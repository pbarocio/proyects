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porte" sheetId="1" r:id="rId4"/>
    <sheet state="visible" name="Relación de líneas" sheetId="2" r:id="rId5"/>
    <sheet state="visible" name="Asignaciones" sheetId="3" r:id="rId6"/>
    <sheet state="visible" name="Asignaciones_Complementarias" sheetId="4" r:id="rId7"/>
    <sheet state="visible" name="Inventario Celulares" sheetId="5" r:id="rId8"/>
    <sheet state="visible" name="Inventario CPU" sheetId="6" r:id="rId9"/>
    <sheet state="visible" name="Inventario Laptop" sheetId="7" r:id="rId10"/>
    <sheet state="visible" name="Inventario Monitores" sheetId="8" r:id="rId11"/>
    <sheet state="visible" name="Inventario Tablet" sheetId="9" r:id="rId12"/>
    <sheet state="visible" name="Listas" sheetId="10" r:id="rId13"/>
    <sheet state="visible" name="Números baja" sheetId="11" r:id="rId14"/>
    <sheet state="visible" name="Empleados" sheetId="12" r:id="rId15"/>
    <sheet state="visible" name="Historico_Lineas_2026" sheetId="13" r:id="rId16"/>
  </sheets>
  <definedNames>
    <definedName name="Condición">Listas!$C$2:$C$6</definedName>
    <definedName name="Caja">Listas!$A$2:$A$3</definedName>
    <definedName name="CPU_Asignado">Asignaciones!$K$2:$K$152</definedName>
    <definedName name="Departamento_Asignado">Asignaciones!$C$2:$C$152</definedName>
    <definedName name="Correos_Institucionales">Asignaciones!$G$2:$G$152</definedName>
    <definedName name="Laptops_Asignadas">Asignaciones!$J$2:$J$152</definedName>
    <definedName name="Lista_Laptop">'Inventario Laptop'!$A$2:$A$67</definedName>
    <definedName name="Lista_Monitores">'Inventario Monitores'!$A$2:$A$67</definedName>
    <definedName name="Sucursales">Listas!$U$2:$U$8</definedName>
    <definedName name="Correos_Gmail">Asignaciones!$E$2:$E$152</definedName>
    <definedName name="Puestos">Listas!$Y$2:$Y$512</definedName>
    <definedName name="Departamentos">Listas!$W$2:$W$100</definedName>
    <definedName name="Nombres_Directorio">Asignaciones!$A$2:$A$152</definedName>
    <definedName name="Lista_Tablets">'Inventario Tablet'!$A$2:$A$17</definedName>
    <definedName name="Cargadores">Listas!$S$2:$S$8</definedName>
    <definedName name="Renovar">Listas!$G$2:$G$3</definedName>
    <definedName name="Tablet_Asignada">Asignaciones!$M$2:$M$152</definedName>
    <definedName name="Sucursal_Asignada">Asignaciones!$B$2:$B$152</definedName>
    <definedName name="Precio_Equipos_2026">Listas!$P$3:$P$10</definedName>
    <definedName name="Puesto_Asignado">Asignaciones!$D$2:$D$152</definedName>
    <definedName name="Lista_Números">Listas!$AA$2:$AA$172</definedName>
    <definedName name="Monitor_Asignado">Asignaciones!$L$2:$L$152</definedName>
    <definedName name="Tipo_HD">Listas!$E$2:$E$3</definedName>
    <definedName name="Lista_Equipos_2026">Listas!$O$3:$O$10</definedName>
    <definedName name="Números_Asignados">Asignaciones!$I$2:$I$152</definedName>
    <definedName name="Lista_CPU">'Inventario CPU'!$A$2:$A$64</definedName>
    <definedName hidden="1" localSheetId="1" name="_xlnm._FilterDatabase">'Relación de líneas'!$A$1:$H$172</definedName>
    <definedName hidden="1" localSheetId="2" name="_xlnm._FilterDatabase">Asignaciones!$A$1:$O$152</definedName>
    <definedName hidden="1" localSheetId="4" name="_xlnm._FilterDatabase">'Inventario Celulares'!$A$1:$V$139</definedName>
    <definedName hidden="1" localSheetId="5" name="_xlnm._FilterDatabase">'Inventario CPU'!$A$1:$V$1</definedName>
    <definedName hidden="1" localSheetId="6" name="_xlnm._FilterDatabase">'Inventario Laptop'!$A$1:$X$1</definedName>
    <definedName hidden="1" localSheetId="7" name="_xlnm._FilterDatabase">'Inventario Monitores'!$A$1:$P$67</definedName>
    <definedName hidden="1" localSheetId="8" name="_xlnm._FilterDatabase">'Inventario Tablet'!$A$1:$R$17</definedName>
  </definedNames>
  <calcPr/>
  <extLst>
    <ext uri="GoogleSheetsCustomDataVersion2">
      <go:sheetsCustomData xmlns:go="http://customooxmlschemas.google.com/" r:id="rId17" roundtripDataChecksum="PfoM+q8CF7I786VYJwXH/81X/9KMRSVFncRj+PMRhPE="/>
    </ext>
  </extLst>
</workbook>
</file>

<file path=xl/sharedStrings.xml><?xml version="1.0" encoding="utf-8"?>
<sst xmlns="http://schemas.openxmlformats.org/spreadsheetml/2006/main" count="19132" uniqueCount="6035">
  <si>
    <t>Número</t>
  </si>
  <si>
    <t>GoDaddy</t>
  </si>
  <si>
    <t>Plan</t>
  </si>
  <si>
    <t>Mensualidad</t>
  </si>
  <si>
    <t>GB mensuales</t>
  </si>
  <si>
    <t>Nombre</t>
  </si>
  <si>
    <t>Sucursal</t>
  </si>
  <si>
    <t>Departamento</t>
  </si>
  <si>
    <t>Número de soporte</t>
  </si>
  <si>
    <t>Puesto</t>
  </si>
  <si>
    <t>Número de cliente</t>
  </si>
  <si>
    <t>PIN</t>
  </si>
  <si>
    <t>Dominio</t>
  </si>
  <si>
    <t>AKKY</t>
  </si>
  <si>
    <t>Usuario</t>
  </si>
  <si>
    <t>VCASTELS</t>
  </si>
  <si>
    <t>Contraseña</t>
  </si>
  <si>
    <t>Implementos16</t>
  </si>
  <si>
    <t>PROVEEDOR ALARMAS ADT - 800 999 1206</t>
  </si>
  <si>
    <t>No Cliente</t>
  </si>
  <si>
    <t>Tarímbaro</t>
  </si>
  <si>
    <t>Pénjamo</t>
  </si>
  <si>
    <t>La Piedad</t>
  </si>
  <si>
    <t>Sistema Titanium Checador</t>
  </si>
  <si>
    <t>Número de poliza:</t>
  </si>
  <si>
    <t>Empleados:</t>
  </si>
  <si>
    <t>Terminales:</t>
  </si>
  <si>
    <t>Instalaciones:</t>
  </si>
  <si>
    <t>Clave de Activación:</t>
  </si>
  <si>
    <t>D6C696F6-5091-4517-9FFF-27CE98F0AFD2</t>
  </si>
  <si>
    <t>Correo Gmail</t>
  </si>
  <si>
    <t>Correo Institucional</t>
  </si>
  <si>
    <t>Celular</t>
  </si>
  <si>
    <t>Laptop</t>
  </si>
  <si>
    <t>CPU</t>
  </si>
  <si>
    <t>Monitor</t>
  </si>
  <si>
    <t>Tablet</t>
  </si>
  <si>
    <t>Zona</t>
  </si>
  <si>
    <t>KNOX</t>
  </si>
  <si>
    <t>Abdiel Yahir González Razo</t>
  </si>
  <si>
    <t>La Barca</t>
  </si>
  <si>
    <t>Carlos Vidal Plascencia Camacho</t>
  </si>
  <si>
    <t>Agricultura Inteligente</t>
  </si>
  <si>
    <t>Corporativo</t>
  </si>
  <si>
    <t>Asesor de Ventas</t>
  </si>
  <si>
    <t>Dirección</t>
  </si>
  <si>
    <t>paneles.solares@agrocisa.com.mx</t>
  </si>
  <si>
    <t>Director</t>
  </si>
  <si>
    <t>4GR0C154#AI</t>
  </si>
  <si>
    <t>Jorge Luis Plascencia Camacho/Segunda línea</t>
  </si>
  <si>
    <t>PANELES-SOLARES</t>
  </si>
  <si>
    <t>José Luis Plascencia Camacho</t>
  </si>
  <si>
    <t>Diego Guadalupe Armas Álvarez</t>
  </si>
  <si>
    <t>luisplascencia.agroc@gmail.com</t>
  </si>
  <si>
    <t>diego.armas@agrocisa.com.mx</t>
  </si>
  <si>
    <t>AGROCISA060904**</t>
  </si>
  <si>
    <t>DIEGO-ARMAS</t>
  </si>
  <si>
    <t>Jesus Alberto Zuno Jimenez</t>
  </si>
  <si>
    <t>jesus.zuno@agrocisa.com.mx</t>
  </si>
  <si>
    <t>4GR0C154#LB</t>
  </si>
  <si>
    <t>Pascual Humberto Ramírez Flores</t>
  </si>
  <si>
    <t>soportetcgps.agro@gmail.com</t>
  </si>
  <si>
    <t>4GR0C154#GPS</t>
  </si>
  <si>
    <t>soportetc.gps@agrocisa.com.mx</t>
  </si>
  <si>
    <t>SOPORTE-GPS</t>
  </si>
  <si>
    <t>AGROINTLB</t>
  </si>
  <si>
    <t>Mariana Álvarez Estrada</t>
  </si>
  <si>
    <t>Auxiliar Administrativo</t>
  </si>
  <si>
    <t>mariana.alvarez@agrocisa.com.mx</t>
  </si>
  <si>
    <t>AGR-INT</t>
  </si>
  <si>
    <t>José Alejandro Tellez Gómez</t>
  </si>
  <si>
    <t>Técnico</t>
  </si>
  <si>
    <t>alejandro.tellez@agrocisa.com.mx</t>
  </si>
  <si>
    <t>TECNICO-DRONES</t>
  </si>
  <si>
    <t>Isela María Guadalupe Rodríguez Estrada</t>
  </si>
  <si>
    <t>Capital Humano</t>
  </si>
  <si>
    <t>isela.rhagrocisa@gmail.com</t>
  </si>
  <si>
    <t>agrocisa2016</t>
  </si>
  <si>
    <t>isela.rodriguez@agrocisa.com.mx</t>
  </si>
  <si>
    <t>NOMINAS</t>
  </si>
  <si>
    <t>Vacante reclutamiento</t>
  </si>
  <si>
    <t>Reclutamiento</t>
  </si>
  <si>
    <t>maria.hernandez@agrocisa.com.mx</t>
  </si>
  <si>
    <t>RECLUTAMIENTO</t>
  </si>
  <si>
    <t>María del Cármen Sánchez García</t>
  </si>
  <si>
    <t>Compras</t>
  </si>
  <si>
    <t>auxiliarcompras.agrocisa@gmail.com</t>
  </si>
  <si>
    <t>4GR0C154#COMPRAS</t>
  </si>
  <si>
    <t>compras@agrocisa.com.mx</t>
  </si>
  <si>
    <t>COMPRAS</t>
  </si>
  <si>
    <t>José Alejandro Rosas Oñate</t>
  </si>
  <si>
    <t>Chofer</t>
  </si>
  <si>
    <t>chofercompras@agrocisa.com.mx</t>
  </si>
  <si>
    <t>Alejandra Guadalupe Munguía Albisio</t>
  </si>
  <si>
    <t>Compras Internacionales</t>
  </si>
  <si>
    <t>comprasinternacionales@agrocisa.com.mx</t>
  </si>
  <si>
    <t>COMPRAS-INT</t>
  </si>
  <si>
    <t>Alejandra Guadalupe Estrada Lomelí</t>
  </si>
  <si>
    <t>Contabilidad</t>
  </si>
  <si>
    <t>alejandra.estrada@agrocisa.com.mx</t>
  </si>
  <si>
    <t>4GR0C154#CONTA</t>
  </si>
  <si>
    <t>CONTA-2</t>
  </si>
  <si>
    <t>María Rodríguez González</t>
  </si>
  <si>
    <t>mariarodriguez.agro@gmail.com</t>
  </si>
  <si>
    <t>maria.rodriguez@agrocisa.com.mx</t>
  </si>
  <si>
    <t>CONTA-4</t>
  </si>
  <si>
    <t>Nancy Esmeralda Carrillo González</t>
  </si>
  <si>
    <t>ncarrillo.agro@gmail.com</t>
  </si>
  <si>
    <t>Contable2018</t>
  </si>
  <si>
    <t>nancy.carrillo@agrocisa.com.mx</t>
  </si>
  <si>
    <t>CONTA-3</t>
  </si>
  <si>
    <t>Ramona Araceli Palos Chairez</t>
  </si>
  <si>
    <t>arpalos.agro@gmail.com</t>
  </si>
  <si>
    <t>Burbujas18</t>
  </si>
  <si>
    <t>araceli.palos@agrocisa.com.mx</t>
  </si>
  <si>
    <t>CONTA-5</t>
  </si>
  <si>
    <t>Magdalena Estrada Gómez</t>
  </si>
  <si>
    <t>Jefa Crédito y Cobranza</t>
  </si>
  <si>
    <t>m.estradaagro@gmail.com</t>
  </si>
  <si>
    <t>Brasil17</t>
  </si>
  <si>
    <t>magdalena.estrada@agrocisa.com.mx</t>
  </si>
  <si>
    <t>CORD-CREDITO</t>
  </si>
  <si>
    <t>Kathya Margarita Cerpa Velazco</t>
  </si>
  <si>
    <t>Jefa de Finanzas</t>
  </si>
  <si>
    <t>kacerpa.agro@gmail.com</t>
  </si>
  <si>
    <t>Turquia21</t>
  </si>
  <si>
    <t>kathya.cerpa@agrocisa.com.mx</t>
  </si>
  <si>
    <t>4GR0C154#FINANZAS</t>
  </si>
  <si>
    <t>FINANZAS</t>
  </si>
  <si>
    <t>Saúl Hernández Becerra</t>
  </si>
  <si>
    <t>Jefe de Agricultura Inteligente</t>
  </si>
  <si>
    <t>saul.hernandez@agrocisa.com.mx</t>
  </si>
  <si>
    <t>JEFE-AI</t>
  </si>
  <si>
    <t>Luis Donaldo Sánchez Álvarez</t>
  </si>
  <si>
    <t>Jefe de Capital Humano</t>
  </si>
  <si>
    <t>capitalhumano.agrocisa@gmail.com</t>
  </si>
  <si>
    <t>capitalhumano@agrocisa.com.mx</t>
  </si>
  <si>
    <t>4GR0C154#CH</t>
  </si>
  <si>
    <t>CAPITAL-HUMANO</t>
  </si>
  <si>
    <t>Juan Pablo Quinones Rodríguez</t>
  </si>
  <si>
    <t>Jefe de Compras</t>
  </si>
  <si>
    <t>juan.quinones.agro@gmail.com</t>
  </si>
  <si>
    <t>juan.quinones@agrocisa.com.mx</t>
  </si>
  <si>
    <t>COMPRAS-2</t>
  </si>
  <si>
    <t>Ricardo Durán Ulloa</t>
  </si>
  <si>
    <t>Jefe de Contabilidad</t>
  </si>
  <si>
    <t>rduran.agro@gmail.com</t>
  </si>
  <si>
    <t>Brasil2017</t>
  </si>
  <si>
    <t>Renovación</t>
  </si>
  <si>
    <t>ricardo.duran@agrocisa.com.mx</t>
  </si>
  <si>
    <t>CONTA-1</t>
  </si>
  <si>
    <t>GB Plan</t>
  </si>
  <si>
    <t>Raúl Óscar Ortega Guillén</t>
  </si>
  <si>
    <t>Marca-Modelo</t>
  </si>
  <si>
    <t>IMEI</t>
  </si>
  <si>
    <t>Jefe de Marketing</t>
  </si>
  <si>
    <t>marketingdigital@agrocisa.com.mx</t>
  </si>
  <si>
    <t>Número de Serie</t>
  </si>
  <si>
    <t>4GR0C154#AGROmkt</t>
  </si>
  <si>
    <t>marketingexperiencial@agrocisa.com.mx</t>
  </si>
  <si>
    <t>MacAddress</t>
  </si>
  <si>
    <t>4GR0C154#MKT</t>
  </si>
  <si>
    <t>Condición</t>
  </si>
  <si>
    <t>COORD-MKT</t>
  </si>
  <si>
    <t>Cargador</t>
  </si>
  <si>
    <t>Silvia Janeth Meza Segura</t>
  </si>
  <si>
    <t>Caja</t>
  </si>
  <si>
    <t>Fecha de entrega</t>
  </si>
  <si>
    <t>Morelia</t>
  </si>
  <si>
    <t>Abraham Octavio García Sahagún</t>
  </si>
  <si>
    <t>Comentarios</t>
  </si>
  <si>
    <t>Marketing</t>
  </si>
  <si>
    <t>Observaciones</t>
  </si>
  <si>
    <t>Jefe de Refacciones</t>
  </si>
  <si>
    <t>Marketing Experiencial</t>
  </si>
  <si>
    <t>refalabarca.agro@gmail.com</t>
  </si>
  <si>
    <t>Precio</t>
  </si>
  <si>
    <t>marketingsucursales@agrocisa.com.mx</t>
  </si>
  <si>
    <t>AZgarcia5864</t>
  </si>
  <si>
    <t>abraham.garcia@agrocisa.com.mx</t>
  </si>
  <si>
    <t>4GR0C154#Mkt</t>
  </si>
  <si>
    <t>CORD-REFACCIONES</t>
  </si>
  <si>
    <t>Jesús Mora Pérez</t>
  </si>
  <si>
    <t>Jefe de Servicio Administrativo</t>
  </si>
  <si>
    <t>coordservicio.agro@gmail.com</t>
  </si>
  <si>
    <t>4GR0C154#LBS</t>
  </si>
  <si>
    <t>jesus.mora@agrocisa.com.mx</t>
  </si>
  <si>
    <t>JESUS-MORA</t>
  </si>
  <si>
    <t>NO EXISTEN DATOS DEL CEL</t>
  </si>
  <si>
    <t>J Jesús Velazco Aviña</t>
  </si>
  <si>
    <t>Samsung Galaxy A36</t>
  </si>
  <si>
    <t>RFGL119947D</t>
  </si>
  <si>
    <t>7C:7B:BF:E9:7B:4E</t>
  </si>
  <si>
    <t>Jefe de Servicio Operativo</t>
  </si>
  <si>
    <t>Nuevo (a)</t>
  </si>
  <si>
    <t>jvelazco.agro@gmail.com</t>
  </si>
  <si>
    <t>Sin Cargador y Sin cable</t>
  </si>
  <si>
    <t>jesus.velazco@agrocisa.com.mx</t>
  </si>
  <si>
    <t>Con caja</t>
  </si>
  <si>
    <t>SERVICIO-OPERATIVO</t>
  </si>
  <si>
    <t>Reclamos</t>
  </si>
  <si>
    <t>Sin detalles estéticos ni de funcionamiento</t>
  </si>
  <si>
    <t>Pablo Alberto Barocio Valle</t>
  </si>
  <si>
    <t>Jefe de Sistemas</t>
  </si>
  <si>
    <t>sistemas.agrocisa@gmail.com</t>
  </si>
  <si>
    <t>4GR0C154#2022</t>
  </si>
  <si>
    <t>sistemas@agrocisa.com.mx</t>
  </si>
  <si>
    <t>4GR0C154#SISTEMAS</t>
  </si>
  <si>
    <t>SISTEMAS</t>
  </si>
  <si>
    <t>Yessica Velázquez Villanueva</t>
  </si>
  <si>
    <t>Jefe de Staff</t>
  </si>
  <si>
    <t>yvelazquez.agro@gmail.com</t>
  </si>
  <si>
    <t>Mercatec17</t>
  </si>
  <si>
    <t>yessica.velazquez@agrocisa.com.mx</t>
  </si>
  <si>
    <t>AUDITORIA</t>
  </si>
  <si>
    <t>Adrián Paskinel Hernández Zavala</t>
  </si>
  <si>
    <t>Practicante Credito y Cobranza</t>
  </si>
  <si>
    <t>Jefe de Ventas Construcción</t>
  </si>
  <si>
    <t>adrian.hernandez@agrocisa.com.mx</t>
  </si>
  <si>
    <t xml:space="preserve">Practicas Profesionales </t>
  </si>
  <si>
    <t>COORD-CONST</t>
  </si>
  <si>
    <t>practicantecc@agrocisa.com.mx</t>
  </si>
  <si>
    <t>Jesús García Anaya</t>
  </si>
  <si>
    <t>Jefe Parque Vehicular</t>
  </si>
  <si>
    <t>jesusgarcia.agrocisa@gmail.com</t>
  </si>
  <si>
    <t>Londres17</t>
  </si>
  <si>
    <t>Vacante</t>
  </si>
  <si>
    <t>Maquinaria Agrícola</t>
  </si>
  <si>
    <t>ventaszonabajio.agro@gmail.com</t>
  </si>
  <si>
    <t>ventaszonabajio@agrocisa.com.mx</t>
  </si>
  <si>
    <t>jesus.garcia@agrocisa.com.mx</t>
  </si>
  <si>
    <t>COORD-PV</t>
  </si>
  <si>
    <t>VENTAS-1-LP</t>
  </si>
  <si>
    <t>Miguel Ángel González Escoto</t>
  </si>
  <si>
    <t>LA PIEDAD</t>
  </si>
  <si>
    <t>Jefe Postventa</t>
  </si>
  <si>
    <t>migonzalez.agro@gmail.com</t>
  </si>
  <si>
    <t>Vacante Promotor de Servicio</t>
  </si>
  <si>
    <t>miguel.gonzalez@agrocisa.com.mx</t>
  </si>
  <si>
    <t>POSTVENTA</t>
  </si>
  <si>
    <t>Servicio</t>
  </si>
  <si>
    <t>Promotor de Servicio</t>
  </si>
  <si>
    <t>Sí</t>
  </si>
  <si>
    <t>promotorlp.agro@gmail.com</t>
  </si>
  <si>
    <t>Jorge Humberto Gómez Córdova</t>
  </si>
  <si>
    <t>4GR0C154#LP</t>
  </si>
  <si>
    <t>juan.mendez@agrocisa.com.mx</t>
  </si>
  <si>
    <t>Jefe Ventas Agrícola</t>
  </si>
  <si>
    <t>jgomez.agro@gmail.com</t>
  </si>
  <si>
    <t>Maquinaria21</t>
  </si>
  <si>
    <t>jorge.gomez@agrocisa.com.mx</t>
  </si>
  <si>
    <t>CORD-AGRICOLA</t>
  </si>
  <si>
    <t>Brenda Guadalupe Martínez Aguilar</t>
  </si>
  <si>
    <t>Vacante Garantías</t>
  </si>
  <si>
    <t>Crédito y Cobranza</t>
  </si>
  <si>
    <t>brenda.martinez@agrocisa.com.mx</t>
  </si>
  <si>
    <t>4GR0C154#LBC</t>
  </si>
  <si>
    <t>garantiaslapiedad@agrocisa.com.mx</t>
  </si>
  <si>
    <t>Hugo Antonio Gómez Hernández</t>
  </si>
  <si>
    <t>Familia</t>
  </si>
  <si>
    <t>CREDITO-3</t>
  </si>
  <si>
    <t>Estacionamiento Atotonilco</t>
  </si>
  <si>
    <t>Velador</t>
  </si>
  <si>
    <t>SERVICIO-2-LP</t>
  </si>
  <si>
    <t>Dulce María Guadalupe Sahagún Serna</t>
  </si>
  <si>
    <t>Ramón Gómez</t>
  </si>
  <si>
    <t>Rancho San Antonio</t>
  </si>
  <si>
    <t>credito03.agro@gmail.com</t>
  </si>
  <si>
    <t>Patricia Salinas Villa</t>
  </si>
  <si>
    <t>4GR0C154#C03</t>
  </si>
  <si>
    <t>credito03@agrocisa.com.mx</t>
  </si>
  <si>
    <t>Maquinaria Construcción</t>
  </si>
  <si>
    <t>Elena del Cármen Plascencia Camacho</t>
  </si>
  <si>
    <t>CREDITO-2</t>
  </si>
  <si>
    <t>pavina.agro@gmail.com</t>
  </si>
  <si>
    <t>N/A</t>
  </si>
  <si>
    <t>Patricia Lorena Covarrubias Tello</t>
  </si>
  <si>
    <t>4GR0C154#MOR</t>
  </si>
  <si>
    <t>patricia.avina@agrocisa.com.mx</t>
  </si>
  <si>
    <t>auxiliarcredito.agro@gmail.com</t>
  </si>
  <si>
    <t>Georgina Niño Cerda/Esposa Sr Luis</t>
  </si>
  <si>
    <t>credito01@agrocisa.com.mx</t>
  </si>
  <si>
    <t>CREDITO-1</t>
  </si>
  <si>
    <t>MORELIA 6</t>
  </si>
  <si>
    <t>Poncitlán</t>
  </si>
  <si>
    <t>Lucia Barboza Santiago</t>
  </si>
  <si>
    <t>Jorge Luis Plascencia Niño / Hijo Sr Luis</t>
  </si>
  <si>
    <t>Cajera</t>
  </si>
  <si>
    <t>promotorponcitlan.agro@gmail.com</t>
  </si>
  <si>
    <t>lbarboza.agro@gmail.com</t>
  </si>
  <si>
    <t>Espana18</t>
  </si>
  <si>
    <t>lucia.barboza@agrocisa.com.mx</t>
  </si>
  <si>
    <t>4GR0C154#PON</t>
  </si>
  <si>
    <t>CAJA</t>
  </si>
  <si>
    <t>Samsung Galaxy A56</t>
  </si>
  <si>
    <t>Juan Pablo Plascencia Hernández / Hijo Sr Vidal</t>
  </si>
  <si>
    <t>RZGL10508TV</t>
  </si>
  <si>
    <t>Vacante DMS</t>
  </si>
  <si>
    <t>8C:2E:72:08:0D:51</t>
  </si>
  <si>
    <t>Dealer Standard</t>
  </si>
  <si>
    <t>DMS</t>
  </si>
  <si>
    <t>dealerstandard@agrocisa.com.mx</t>
  </si>
  <si>
    <t>4GR0C154#DS</t>
  </si>
  <si>
    <t>Laura Guadalupe Hernández Padilla/Esposa de Vidal</t>
  </si>
  <si>
    <t>cvidalpc@gmail.com</t>
  </si>
  <si>
    <t>vidal.plascencia@agrocisa.com.mx</t>
  </si>
  <si>
    <t>4GR0C154#LBD</t>
  </si>
  <si>
    <t>luis.plascencia@agrocisa.com.mx</t>
  </si>
  <si>
    <t>Jeniffer Paulina Resendiz Bravo</t>
  </si>
  <si>
    <t>Finanzas</t>
  </si>
  <si>
    <t>paresendiz.agro@gmail.com</t>
  </si>
  <si>
    <t>Paris2022</t>
  </si>
  <si>
    <t>paulina.resendiz@agrocisa.com.mx</t>
  </si>
  <si>
    <t>AUX-FINANZAS</t>
  </si>
  <si>
    <t>Ricardo Moreno Medina</t>
  </si>
  <si>
    <t>ricardomoreno.agro@gmail.com</t>
  </si>
  <si>
    <t>4GR0C154#</t>
  </si>
  <si>
    <t>ricardo.moreno@agrocisa.com.mx</t>
  </si>
  <si>
    <t>Juana Alejandra García Jiménez</t>
  </si>
  <si>
    <t>Jurídico</t>
  </si>
  <si>
    <t>Representante Legal</t>
  </si>
  <si>
    <t>alegarcia.agro@gmail.com</t>
  </si>
  <si>
    <t>4GR0C154#JUZGADO</t>
  </si>
  <si>
    <t>juana.garcia@agrocisa.com.mx</t>
  </si>
  <si>
    <t>JURIDICO</t>
  </si>
  <si>
    <t>José Antonio Gómez Malacara</t>
  </si>
  <si>
    <t>Mantenimiento</t>
  </si>
  <si>
    <t>Jefe de Mantenimiento</t>
  </si>
  <si>
    <t>jantonio.agro@gmail.com</t>
  </si>
  <si>
    <t>jose.malacara@agrocisa.com.mx</t>
  </si>
  <si>
    <t>David Villaseñor Núñez</t>
  </si>
  <si>
    <t>Analista Comercial</t>
  </si>
  <si>
    <t>analistacomercial@agrocisa.com.mx</t>
  </si>
  <si>
    <t>david.villasenor@agrcoisa.com.mx</t>
  </si>
  <si>
    <t>ANALISTA-COMERCIAL</t>
  </si>
  <si>
    <t>Daniel Gerardo Aviña Bravo</t>
  </si>
  <si>
    <t>daniel.avina@agrocisa.com.mx</t>
  </si>
  <si>
    <t>DANIEL-AVINA</t>
  </si>
  <si>
    <t>CIENEGALB03</t>
  </si>
  <si>
    <t>Guillermo Barboza Santiago</t>
  </si>
  <si>
    <t>gbarboza.agro@gmail.com</t>
  </si>
  <si>
    <t>Soleado21</t>
  </si>
  <si>
    <t>guillermo.barboza@agrocisa.com.mx</t>
  </si>
  <si>
    <t>CIENEGALB04,CIENEGALB06</t>
  </si>
  <si>
    <t>Jesús Pérez Pérez</t>
  </si>
  <si>
    <t>jeperez.agro@gmail.com</t>
  </si>
  <si>
    <t>jesus.perez@agrocisa.com.mx</t>
  </si>
  <si>
    <t>RZGL105089X</t>
  </si>
  <si>
    <t>8C:2E:72:08:0D:61</t>
  </si>
  <si>
    <t>JESUS-PEREZ</t>
  </si>
  <si>
    <t>CIENEGALB01</t>
  </si>
  <si>
    <t>Joaquín de Jesús Hernández Rojas</t>
  </si>
  <si>
    <t>jhernandez.agrocisa@gmail.com</t>
  </si>
  <si>
    <t>Rusia2018</t>
  </si>
  <si>
    <t>joaquin.hernandez@agrocisa.com.mx</t>
  </si>
  <si>
    <t>CIENEGALB05</t>
  </si>
  <si>
    <t xml:space="preserve">José Luis Flores Barragán </t>
  </si>
  <si>
    <t>jose.flores.agro@gmail.com</t>
  </si>
  <si>
    <t>jose.flores@agrocisa.com.mx</t>
  </si>
  <si>
    <t>JOSE-LUIS</t>
  </si>
  <si>
    <t>Luis Ernesto Santiago González</t>
  </si>
  <si>
    <t>lsantiago.agro@gmail.com</t>
  </si>
  <si>
    <t>Argentina19</t>
  </si>
  <si>
    <t>luis.santiago@agrocisa.com.mx</t>
  </si>
  <si>
    <t>LUIS-SANTIAGO</t>
  </si>
  <si>
    <t>CIENEGALB07</t>
  </si>
  <si>
    <t>Luis Felipe Barboza Román</t>
  </si>
  <si>
    <t>luis.barboza@agrocisa.com.mx</t>
  </si>
  <si>
    <t>CIENEGALB02</t>
  </si>
  <si>
    <t>María Guadalupe Aviña Cervantes</t>
  </si>
  <si>
    <t>gavina.agro@gmail.com</t>
  </si>
  <si>
    <t>Morelia21</t>
  </si>
  <si>
    <t>guadalupe.avina@agrocisa.com.mx</t>
  </si>
  <si>
    <t>LUPITA-AVINA</t>
  </si>
  <si>
    <t>Mariana Esmeralda Garcia Alvarado</t>
  </si>
  <si>
    <t>recepcion@agrocisa.com.mx</t>
  </si>
  <si>
    <t>RECEPCION</t>
  </si>
  <si>
    <t>Bernardo Arceo Mendez</t>
  </si>
  <si>
    <t>Maquinaria Agrícola y Construcción</t>
  </si>
  <si>
    <t>bernaarceo.agro@gmail.com</t>
  </si>
  <si>
    <t>bernardo.arceo@agrocisa.com.mx</t>
  </si>
  <si>
    <t>HOST</t>
  </si>
  <si>
    <t>Costo</t>
  </si>
  <si>
    <t>Observavciones</t>
  </si>
  <si>
    <t>Arleth Paola Martínez Carreón</t>
  </si>
  <si>
    <t>Sistema Operativo</t>
  </si>
  <si>
    <t>Procesador</t>
  </si>
  <si>
    <t>RAM</t>
  </si>
  <si>
    <t>Chipset</t>
  </si>
  <si>
    <t>Almacenamiento</t>
  </si>
  <si>
    <t>ventaslabarca@agrocisa.com.mx</t>
  </si>
  <si>
    <t>Tipo HD</t>
  </si>
  <si>
    <t>Renovar</t>
  </si>
  <si>
    <t>Componentes</t>
  </si>
  <si>
    <t>MAC LAN</t>
  </si>
  <si>
    <t>MAC WIFI</t>
  </si>
  <si>
    <t>Fecha Mantenimiento</t>
  </si>
  <si>
    <t>AUX-VENTAS</t>
  </si>
  <si>
    <t>Jesús Bernardo Navarro Estrada</t>
  </si>
  <si>
    <t>jnavarro.agrocisa@gmail.com</t>
  </si>
  <si>
    <t>jesus.navarro@agrocisa.com.mx</t>
  </si>
  <si>
    <t>Intel Core i3 @ 3.30GHz</t>
  </si>
  <si>
    <t>12 GB</t>
  </si>
  <si>
    <t>Ricardo Covarrubias García</t>
  </si>
  <si>
    <t>94:DE:80:83:5C:5D</t>
  </si>
  <si>
    <t>choferlb.agro@gmail.com</t>
  </si>
  <si>
    <t>ricardo.covarrubias@agrocisa.com.mx</t>
  </si>
  <si>
    <t>Eduardo Guadalupe Gutierrez Rodríguez</t>
  </si>
  <si>
    <t>Implementero</t>
  </si>
  <si>
    <t>edugutierrez.agro@gmail.com</t>
  </si>
  <si>
    <t>Camiones19</t>
  </si>
  <si>
    <t>eduardo.gutierrez@agrocisa.com.mx</t>
  </si>
  <si>
    <t>Francisco Valadez Gaona</t>
  </si>
  <si>
    <t>Samsung S25FE 128GB</t>
  </si>
  <si>
    <t>R5GL32KPQ7N</t>
  </si>
  <si>
    <t>60:B4:A2:7D:72:28</t>
  </si>
  <si>
    <t>construccionlabarca@agrocisa.com.mx</t>
  </si>
  <si>
    <t>FRANCISCO-VALADEZ</t>
  </si>
  <si>
    <t>CONST LB1</t>
  </si>
  <si>
    <t>Andrea Guadalupe Cárdenas Cárdenas</t>
  </si>
  <si>
    <t>Asesor de Ventas en Línea</t>
  </si>
  <si>
    <t>ventas@agrocisa.com.mx</t>
  </si>
  <si>
    <t>Aranza Margarita Cerda González</t>
  </si>
  <si>
    <t>Diseñador Gráfico</t>
  </si>
  <si>
    <t>diseno.grafico@agrocisa.com.mx</t>
  </si>
  <si>
    <t>Paola Fernanda Paz Valdez</t>
  </si>
  <si>
    <t>Marketing Digital</t>
  </si>
  <si>
    <t>marketing.agrocisa@gmail.com</t>
  </si>
  <si>
    <t>Agroci54</t>
  </si>
  <si>
    <t>4GR0C154#MK</t>
  </si>
  <si>
    <t>Francisco Javier Ornelas Rosales</t>
  </si>
  <si>
    <t>Parque Vehicular</t>
  </si>
  <si>
    <t>auxpaquevehicular.agro@gmail.com</t>
  </si>
  <si>
    <t>auxparquevehicular@agrocisa.com.mx</t>
  </si>
  <si>
    <t>AUX-PV</t>
  </si>
  <si>
    <t>Juan Antonio Lara Mendoza</t>
  </si>
  <si>
    <t>antonio.lara@agrocisa.com.mx</t>
  </si>
  <si>
    <t>juan.lara@agrocisa.com.mx</t>
  </si>
  <si>
    <t>ANTONIO-LARA</t>
  </si>
  <si>
    <t>Michael Alberto Castro García</t>
  </si>
  <si>
    <t>Logística</t>
  </si>
  <si>
    <t>michael.castro@agrocisa.com.mx</t>
  </si>
  <si>
    <t>Ex- Reclutamiento</t>
  </si>
  <si>
    <t>LOGISTICA</t>
  </si>
  <si>
    <t/>
  </si>
  <si>
    <t>Windows 10 Pro 64-bit</t>
  </si>
  <si>
    <t>Alonso Isidro Tamayo García</t>
  </si>
  <si>
    <t>Intel Core i5 7400 @ 3.00GHz</t>
  </si>
  <si>
    <t>8 GB</t>
  </si>
  <si>
    <t>ASUSTeK COMPUTER INC. PRIME H110M-P</t>
  </si>
  <si>
    <t>Refacciones</t>
  </si>
  <si>
    <t>240 GB</t>
  </si>
  <si>
    <t>Almacenista</t>
  </si>
  <si>
    <t>alonso.tamayo@agrocisa.com.mx</t>
  </si>
  <si>
    <t>SSD</t>
  </si>
  <si>
    <t>No</t>
  </si>
  <si>
    <t>Buenas condiciones</t>
  </si>
  <si>
    <t>0C:9D:92:64:BF:FE</t>
  </si>
  <si>
    <t>viernes 05 de junio de 2024</t>
  </si>
  <si>
    <t>Vacante Analista Refacciones y Servicio</t>
  </si>
  <si>
    <t>Analista de Refacciones y Servicio</t>
  </si>
  <si>
    <t>analistaservicio.agro@gmail.com</t>
  </si>
  <si>
    <t>analistaservicio@agrocisa.com.mx</t>
  </si>
  <si>
    <t>SERVICIO</t>
  </si>
  <si>
    <t>Carlos Eduardo Ortega Herrera</t>
  </si>
  <si>
    <t>Asesor de Refacciones Campo</t>
  </si>
  <si>
    <t>refaccioneslb01@agrocisa.com.mx</t>
  </si>
  <si>
    <t>eduardo.ortega@agrocisa.com.mx</t>
  </si>
  <si>
    <t>RZGL1037RRR</t>
  </si>
  <si>
    <t>8C:2E:72:05:19:63</t>
  </si>
  <si>
    <t>LBZONA01</t>
  </si>
  <si>
    <t>Pedro Garcia Lara</t>
  </si>
  <si>
    <t>pedrolara.agro@gmail.com</t>
  </si>
  <si>
    <t>4GR0C154#PEDRO</t>
  </si>
  <si>
    <t>pedro.garcia@agrocisa.com.mx</t>
  </si>
  <si>
    <t>LBZONA02</t>
  </si>
  <si>
    <t>Raúl Arzate Ortíz</t>
  </si>
  <si>
    <t>raarzate.agro@gmail.com</t>
  </si>
  <si>
    <t>SOLEADO26</t>
  </si>
  <si>
    <t>raul.arzate@agrocisa.com.mx</t>
  </si>
  <si>
    <t>LBZONA03</t>
  </si>
  <si>
    <t>Damián Zaragoza Hernández</t>
  </si>
  <si>
    <t>Asesor de Refacciones Mostrador</t>
  </si>
  <si>
    <t>damian.zaragoza@agrocisa.com.mx</t>
  </si>
  <si>
    <t>Bruma0609**</t>
  </si>
  <si>
    <t>REFACCIONES-2</t>
  </si>
  <si>
    <t>Félix Antonio Román Becerra</t>
  </si>
  <si>
    <t>Encargado de Refacciones Sucursal</t>
  </si>
  <si>
    <t>felix.roman@agrocisa.com.mx</t>
  </si>
  <si>
    <t>ALMACEN-1</t>
  </si>
  <si>
    <t>Miguel Muñiz Ramírez</t>
  </si>
  <si>
    <t>miguel.muniz@agrocisa.com.mx</t>
  </si>
  <si>
    <t>TALLER-1</t>
  </si>
  <si>
    <t>Andrea Becerra Cisneros</t>
  </si>
  <si>
    <t>Windows 7 Professional 64-bit SP1</t>
  </si>
  <si>
    <t>Intel Core i3 7100 @ 3.90GHz</t>
  </si>
  <si>
    <t>ASUSTeK COMPUTER INC. H110M-A/M.2</t>
  </si>
  <si>
    <t>1 TB</t>
  </si>
  <si>
    <t>serviciolabarca@agrocisa.com.mx</t>
  </si>
  <si>
    <t>HDD</t>
  </si>
  <si>
    <t>Media Vida</t>
  </si>
  <si>
    <t>38:D5:47:7C:99:EE</t>
  </si>
  <si>
    <t>SERVICIO-2</t>
  </si>
  <si>
    <t>martes 23 de julio 2024</t>
  </si>
  <si>
    <t>Ashly Guadalupe López Martínez</t>
  </si>
  <si>
    <t>garantiaslabarca@agrocisa.com.mx</t>
  </si>
  <si>
    <t>ashly.lopez@agrocisa.com.mx</t>
  </si>
  <si>
    <t>4GR0C14#LB</t>
  </si>
  <si>
    <t>SERVICIO-1</t>
  </si>
  <si>
    <t>Juan Alfredo Valdovin López</t>
  </si>
  <si>
    <t>Técnico Dinamómetro</t>
  </si>
  <si>
    <t>dinamometrolb@agrocisa.com.mx</t>
  </si>
  <si>
    <t>4GR0C154#SER</t>
  </si>
  <si>
    <t>DINAMOMETRO-LB</t>
  </si>
  <si>
    <t>Luis Enrique Nuñez Nuñez</t>
  </si>
  <si>
    <t>R5GYC3DXFPH</t>
  </si>
  <si>
    <t>24:F4:0A:EE:E1:51</t>
  </si>
  <si>
    <t>Jefe de Taller</t>
  </si>
  <si>
    <t>luisnunez.agro@gmail.com</t>
  </si>
  <si>
    <t>tallerlabarca@agrocisa.com.mx</t>
  </si>
  <si>
    <t>Jaime García García</t>
  </si>
  <si>
    <t>Jefe de Técnicos</t>
  </si>
  <si>
    <t>jggarcia.agro@gmail.com</t>
  </si>
  <si>
    <t>Tractor19</t>
  </si>
  <si>
    <t>Antonio López Silva</t>
  </si>
  <si>
    <t>Jefe de Técnicos Gama Alta</t>
  </si>
  <si>
    <t>alopezsilva.agro@gmail.com</t>
  </si>
  <si>
    <t>Tornillos22</t>
  </si>
  <si>
    <t>antonio.lopez@agrocisa.com.mx</t>
  </si>
  <si>
    <t>Luis Eduardo Gutierrez Infante</t>
  </si>
  <si>
    <t>promotorlabarca@agrocisa.com.mx</t>
  </si>
  <si>
    <t>luis.gutierrez@agrocisa.com.mx</t>
  </si>
  <si>
    <t>PROMOTOR-LB</t>
  </si>
  <si>
    <t>Andrés García García</t>
  </si>
  <si>
    <t>andresgarcia.agro@gmail.com</t>
  </si>
  <si>
    <t>andres.garcia@agrocisa.com.mx</t>
  </si>
  <si>
    <t>ESCANER-LB</t>
  </si>
  <si>
    <t>TALLER-2</t>
  </si>
  <si>
    <t>Jesús Eduardo Guerrero Zuñiga</t>
  </si>
  <si>
    <t>Windows 10 Home 64-bit</t>
  </si>
  <si>
    <t>Intel Pentium E6500 @ 2.93GHz</t>
  </si>
  <si>
    <t>4 GB</t>
  </si>
  <si>
    <t>Gigabyte Technology Co. Ltd. G41MT-S2P</t>
  </si>
  <si>
    <t>jeguerrero.agro@gmail.com</t>
  </si>
  <si>
    <t>480 GB</t>
  </si>
  <si>
    <t>jesus.guerrero@agrocisa.com.mx</t>
  </si>
  <si>
    <t>50:E5:49:84:9D:7E</t>
  </si>
  <si>
    <t>64:66:B3:07:5A:3A</t>
  </si>
  <si>
    <t>Félix Eugenio Ávalos Hernández</t>
  </si>
  <si>
    <t>Telemetría</t>
  </si>
  <si>
    <t>telematrix.agrocisa@gmail.com</t>
  </si>
  <si>
    <t>telemetria@agrocisa.com.mx</t>
  </si>
  <si>
    <t>TELEMETRIA</t>
  </si>
  <si>
    <t>TELEMETRIA-2</t>
  </si>
  <si>
    <t>Lucia Guadalupe Trujillo Rodríguez</t>
  </si>
  <si>
    <t>Sistemas</t>
  </si>
  <si>
    <t>Auxiliar de Sistemas</t>
  </si>
  <si>
    <t>SISTEMAS-2</t>
  </si>
  <si>
    <t>Juan Martín Campos Rodríguez</t>
  </si>
  <si>
    <t>Vigilancia</t>
  </si>
  <si>
    <t>Guardia</t>
  </si>
  <si>
    <t>vigilancialabarca.agro@gmail.com</t>
  </si>
  <si>
    <t>vigilancialabarca@agrocisa.com.mx</t>
  </si>
  <si>
    <t>R5GYC4JY3CW</t>
  </si>
  <si>
    <t>78:33:C6:1B:DF:CA</t>
  </si>
  <si>
    <t>Diego Alejandro Núñez Fuentes</t>
  </si>
  <si>
    <t>diego.nunez@agrocisa.com.mx</t>
  </si>
  <si>
    <t>4GR0C154#AILP</t>
  </si>
  <si>
    <t>PANELES-LP</t>
  </si>
  <si>
    <t>ZONA2</t>
  </si>
  <si>
    <t>Francisco Villalobos Sánchez</t>
  </si>
  <si>
    <t>droneslp@agrocisa.com.mx</t>
  </si>
  <si>
    <t>francisco.villalobos@agrocisa.com.mx</t>
  </si>
  <si>
    <t>DRONES-LP</t>
  </si>
  <si>
    <t>tecdrones.lp.agro@gmail.com</t>
  </si>
  <si>
    <t>Diana Montserrat Osorio Hernández</t>
  </si>
  <si>
    <t>diosorio.agro@gmail.com</t>
  </si>
  <si>
    <t>caja.lp@agrocisa.com.mx</t>
  </si>
  <si>
    <t>CAJA-LP</t>
  </si>
  <si>
    <t>Guillermo Sahagún Cervantes</t>
  </si>
  <si>
    <t>Windows 11 Pro 64-bit</t>
  </si>
  <si>
    <t>Intel Core i3 4160 @ 3.60GHz</t>
  </si>
  <si>
    <t>ASUSTeK COMPUTER INC. H81M-K</t>
  </si>
  <si>
    <t>ventasintlb.agro@gmail.com</t>
  </si>
  <si>
    <t>4GR0C154#LB1</t>
  </si>
  <si>
    <t>guillermo.sahagun@agrocisa.com.mx</t>
  </si>
  <si>
    <t>38:D5:47:7B:34:C4</t>
  </si>
  <si>
    <t>jueves 11 de julio de 2024</t>
  </si>
  <si>
    <t>BAJIOPJ19</t>
  </si>
  <si>
    <t>Juan Pablo Mendez Guzmán</t>
  </si>
  <si>
    <t>Marco Dario Martínez Álvarez</t>
  </si>
  <si>
    <t>marcodario.agro@gmail.com</t>
  </si>
  <si>
    <t>Agrocisa14</t>
  </si>
  <si>
    <t>marco.martinez@agrocisa.com.mx</t>
  </si>
  <si>
    <t>BAJIOLP13</t>
  </si>
  <si>
    <t>Rafael Godínez Ramirez</t>
  </si>
  <si>
    <t>zonabajiolp14@agrocisa.com.mx</t>
  </si>
  <si>
    <t>VENTAS-3-LP</t>
  </si>
  <si>
    <t>BAJIOLP14</t>
  </si>
  <si>
    <t>Alicia Viridiana Rodríguez Paredes</t>
  </si>
  <si>
    <t>ventaslapiedad.agro@gmail.com</t>
  </si>
  <si>
    <t>ventaslapiedad@agrocisa.com.mx</t>
  </si>
  <si>
    <t>VENTAS-LP</t>
  </si>
  <si>
    <t>Juan Carlos Morales Hernández</t>
  </si>
  <si>
    <t>choferlp.agro@gmail.com</t>
  </si>
  <si>
    <t>choferlapiedad@agrocisa.com.mx</t>
  </si>
  <si>
    <t>RZGL1036BXX</t>
  </si>
  <si>
    <t>8C:2E:72:05:0D:4F</t>
  </si>
  <si>
    <t>Fernando Barboza Román</t>
  </si>
  <si>
    <t>Gerente de Sucursal</t>
  </si>
  <si>
    <t>ferbarboza.agro@gmail.com</t>
  </si>
  <si>
    <t>Cambio de Lada Ex Morelia Zona01</t>
  </si>
  <si>
    <t>Nublado21</t>
  </si>
  <si>
    <t>fernando.barboza@agrocisa.com.mx</t>
  </si>
  <si>
    <t>GERENTE-LP</t>
  </si>
  <si>
    <t>Marco Antonio Falcón Ramirez</t>
  </si>
  <si>
    <t>construccionlapiedad@agrocisa.com.mx</t>
  </si>
  <si>
    <t>VENTAS-2-LP</t>
  </si>
  <si>
    <t>BAJIOLP12</t>
  </si>
  <si>
    <t>Intel Pentium G4400 @ 3.30GHz</t>
  </si>
  <si>
    <t>Manuel Martínez Rizo</t>
  </si>
  <si>
    <t>ECS H110M4-C23 (U3E1)</t>
  </si>
  <si>
    <t>refaccioneslapieda01@agrocisa.com.mx</t>
  </si>
  <si>
    <t>manuel.martinez@agrocisa.com.mx</t>
  </si>
  <si>
    <t>F4:4D:30:AF:4B:BD</t>
  </si>
  <si>
    <t>miércoles 12 de julio de 2024</t>
  </si>
  <si>
    <t>REFA-2-LP</t>
  </si>
  <si>
    <t>LPZONA01</t>
  </si>
  <si>
    <t>Uziel Sánchez Martínez</t>
  </si>
  <si>
    <t>uzsanchez.agro@gmail.com</t>
  </si>
  <si>
    <t>Italia19</t>
  </si>
  <si>
    <t>uziel.sanchez@agrocisa.com.mx</t>
  </si>
  <si>
    <t>REFA-1-LP</t>
  </si>
  <si>
    <t>LPZONA02</t>
  </si>
  <si>
    <t>Elsa Guadalupe Ramírez López</t>
  </si>
  <si>
    <t>refaccioneslapiedad@agrocisa.com.mx</t>
  </si>
  <si>
    <t>elsa.ramirez@agrocisa.com.mx</t>
  </si>
  <si>
    <t>4GR0C154#RLP</t>
  </si>
  <si>
    <t>ALMACEN-LP</t>
  </si>
  <si>
    <t>María Fernanda Navarro Salazar</t>
  </si>
  <si>
    <t>serviciolp.agro@gmail.com</t>
  </si>
  <si>
    <t>serviciolapiedad@agrocisa.com.mx</t>
  </si>
  <si>
    <t>4GR0C154#SLP</t>
  </si>
  <si>
    <t>SERVICIO-1-LP</t>
  </si>
  <si>
    <t>Abraham Rodríguez Mendoza</t>
  </si>
  <si>
    <t>tallerlapiedad@agrocisa.com.mx</t>
  </si>
  <si>
    <t>4GR0C154#LPSER</t>
  </si>
  <si>
    <t>TALLER-LP</t>
  </si>
  <si>
    <t>Ana Karen Rocel Guerrero</t>
  </si>
  <si>
    <t>cajamorelia@agrocisa.com.mx</t>
  </si>
  <si>
    <t>CAJA-MOR</t>
  </si>
  <si>
    <t>gerenciamorelia.agrocisa@gmail.com</t>
  </si>
  <si>
    <t>gerenciamorelia@agrocisa.com.mx</t>
  </si>
  <si>
    <t>4GR0C154#GERMOR</t>
  </si>
  <si>
    <t>GERENTE-MOR</t>
  </si>
  <si>
    <t>Ana Gabriela Trejo Loza</t>
  </si>
  <si>
    <t>RZGL1036NKE</t>
  </si>
  <si>
    <t>8C:2E:72:05:10:0F</t>
  </si>
  <si>
    <t>gtrejo.agro@gmail.com</t>
  </si>
  <si>
    <t>gabriela.trejo@agrocisa.com.mx</t>
  </si>
  <si>
    <t>CONST-MORELIA</t>
  </si>
  <si>
    <t>MORELIA 1</t>
  </si>
  <si>
    <t>Hugo César Bucio López</t>
  </si>
  <si>
    <t>AUX-ALMACEN</t>
  </si>
  <si>
    <t>hugo.bucio.agro@gmail.com</t>
  </si>
  <si>
    <t>hugo.bucio@agrocisa.com.mx</t>
  </si>
  <si>
    <t>MORELIA 4</t>
  </si>
  <si>
    <t>Intel Core i3 4150 @ 3.50GHz</t>
  </si>
  <si>
    <t>Joel Velázquez Jaime</t>
  </si>
  <si>
    <t>ASUSTeK COMPUTER INC. H81M-A</t>
  </si>
  <si>
    <t>joel.velazquez@agrocisa.com.mx</t>
  </si>
  <si>
    <t>ZONAEDOMEX</t>
  </si>
  <si>
    <t>2C:56:DC:4C:F1:B0</t>
  </si>
  <si>
    <t>50:3E:AA:94:BB:E0</t>
  </si>
  <si>
    <t>martes 11 de junio de 2024</t>
  </si>
  <si>
    <t>Juan Pablo Tapia García</t>
  </si>
  <si>
    <t>juanpablotapia.agro@gmail.com</t>
  </si>
  <si>
    <t>juan.tapia@agrocisa.com.mx</t>
  </si>
  <si>
    <t>MORELIA 5</t>
  </si>
  <si>
    <t>Roberto Adrián Ferreira Muñiz</t>
  </si>
  <si>
    <t>ventasmo1.agro@gmail.com</t>
  </si>
  <si>
    <t>roberto.ferreira@agrocisa.com.mx</t>
  </si>
  <si>
    <t>ADRIAN-FERREIRA</t>
  </si>
  <si>
    <t>MORELIA2</t>
  </si>
  <si>
    <t>Karla Edith Escalante Rodríguez</t>
  </si>
  <si>
    <t>ventasmorelia.agro@gmail.com</t>
  </si>
  <si>
    <t>ventas.morelia@agrocisa.com.mx</t>
  </si>
  <si>
    <t xml:space="preserve">4GR0C154#MOR </t>
  </si>
  <si>
    <t>VENTAS-MOR</t>
  </si>
  <si>
    <t xml:space="preserve">José Juan Hernández Zavala </t>
  </si>
  <si>
    <t>construcciontc2.agro@gmail.com</t>
  </si>
  <si>
    <t>4GR0C154#CONS</t>
  </si>
  <si>
    <t>construccion.tc2@agrocisa.com.mx</t>
  </si>
  <si>
    <t>MORELIA 3</t>
  </si>
  <si>
    <t>javina.agro@gmail.com</t>
  </si>
  <si>
    <t>juan.avina@agrocisa.com.mx</t>
  </si>
  <si>
    <t xml:space="preserve">Luis Ángel Reyes Tena </t>
  </si>
  <si>
    <t>luis.reyes@agrocisa.com.mx</t>
  </si>
  <si>
    <t>ALMACEN-MORELIA</t>
  </si>
  <si>
    <t>ALMACEN-MOR</t>
  </si>
  <si>
    <t>Jaime Salazar Guzmán</t>
  </si>
  <si>
    <t>jaimesalazar.agro@gmail.com</t>
  </si>
  <si>
    <t>jaime.salazar@agrocisa.com.mx</t>
  </si>
  <si>
    <t>REFA-2-MOR</t>
  </si>
  <si>
    <t>MOZONA01</t>
  </si>
  <si>
    <t>refacciones.mozona02.agro@gmail.com</t>
  </si>
  <si>
    <t>juan.marquez@agrocisa.com.mx</t>
  </si>
  <si>
    <t>REFA-3-MOR</t>
  </si>
  <si>
    <t>MOZONA02</t>
  </si>
  <si>
    <t>Yadira Torres Barajas</t>
  </si>
  <si>
    <t>refamostradormorelia.agro@gmail.com</t>
  </si>
  <si>
    <t>yadira.torres@agrocisa.com.mx</t>
  </si>
  <si>
    <t>REFA-1-MOR</t>
  </si>
  <si>
    <t>BASE</t>
  </si>
  <si>
    <t>Iphone 17 256</t>
  </si>
  <si>
    <t>Gabriela González Hinojosa</t>
  </si>
  <si>
    <t>KFXLGFN0J7</t>
  </si>
  <si>
    <t>00:92:35:ED:20:70</t>
  </si>
  <si>
    <t>servicio.mo.agro@gmail.com</t>
  </si>
  <si>
    <t>serviciomorelia@agrocisa.com.mx</t>
  </si>
  <si>
    <t>SERVICIO-MORELIA</t>
  </si>
  <si>
    <t>sábado 05 de julio de 2025</t>
  </si>
  <si>
    <t>Vacante Jefe de Taller Morelia</t>
  </si>
  <si>
    <t>800 GB</t>
  </si>
  <si>
    <t>tallermor.agro@gmail.com</t>
  </si>
  <si>
    <t>4GR0C154#MO</t>
  </si>
  <si>
    <t>tallermorelia@agrocisa.com.mx</t>
  </si>
  <si>
    <t>B0:6E:BF:2A:AB:55</t>
  </si>
  <si>
    <t>TALLER-MORELIA</t>
  </si>
  <si>
    <t>lunes 15 de julio de 2024</t>
  </si>
  <si>
    <t>tecdrones.pj.agro@gmail.com</t>
  </si>
  <si>
    <t>4GR0C154#PJ</t>
  </si>
  <si>
    <t>María Guadalupe Gutiérrez Magaña</t>
  </si>
  <si>
    <t>lgutierrez.agro@gmail.com</t>
  </si>
  <si>
    <t>Monedero18</t>
  </si>
  <si>
    <t>guadalupe.gutierrez@agrocisa.com.mx</t>
  </si>
  <si>
    <t>CAJA-PJ</t>
  </si>
  <si>
    <t>Nancy Yaneth Arroyo Cabello</t>
  </si>
  <si>
    <t>ventaspenjamo@agrocisa.com.mx</t>
  </si>
  <si>
    <t>VENTAS-PJ</t>
  </si>
  <si>
    <t>Vacante Chofer</t>
  </si>
  <si>
    <t>choferpenjamo@agrocisa.com.mx</t>
  </si>
  <si>
    <t>Irving Josue Vega Ibarra</t>
  </si>
  <si>
    <t>zonabajiopj18@agrocisa.com.mx</t>
  </si>
  <si>
    <t>BAJIOPJ18</t>
  </si>
  <si>
    <t>Rodolfo Rico Uribe</t>
  </si>
  <si>
    <t>zonabajiopj16@agrocisa.com.mx</t>
  </si>
  <si>
    <t>rodolfo.rico@agrocisa.com.mx</t>
  </si>
  <si>
    <t>BAJIOPJ16</t>
  </si>
  <si>
    <t>Santiago Cruz Elizarraras</t>
  </si>
  <si>
    <t>scruz.agrocisa@gmail.com</t>
  </si>
  <si>
    <t>Africa25</t>
  </si>
  <si>
    <t>santiago.cruz@agrocisa.com.mx</t>
  </si>
  <si>
    <t>BAJIOPJ17</t>
  </si>
  <si>
    <t>Gerardo Damián Contreras Aguilar</t>
  </si>
  <si>
    <t>g.contrerasagro@gmail.com</t>
  </si>
  <si>
    <t>Londres2022</t>
  </si>
  <si>
    <t>gerardo.contreras@agrocisa.com.mx</t>
  </si>
  <si>
    <t>GERENTE-PJ</t>
  </si>
  <si>
    <t>RFGL1199AQB</t>
  </si>
  <si>
    <t>7C:7B:BF:E9:7C:FC</t>
  </si>
  <si>
    <t>Isidro Navarro Ibarra</t>
  </si>
  <si>
    <t>7C:10:C9:44:9E:DA</t>
  </si>
  <si>
    <t>inavarropj.agro@gmail.com</t>
  </si>
  <si>
    <t>Alan Ricardo Estrada Duarte</t>
  </si>
  <si>
    <t>construccionpenjamo.agro@gmail.com</t>
  </si>
  <si>
    <t>construccionpenjamo@agrocisa.com.mx</t>
  </si>
  <si>
    <t>CONST PENJAMO</t>
  </si>
  <si>
    <t>Juan Pablo Frausto Cervantes</t>
  </si>
  <si>
    <t>construccionguanajuato@agrocisa.com.mx</t>
  </si>
  <si>
    <t>Ángel Manuel Delgado Vázquez</t>
  </si>
  <si>
    <t>andelgado.agro@gmail.com</t>
  </si>
  <si>
    <t>angel.delgado@agrocisa.com.mx</t>
  </si>
  <si>
    <t>PJZONA01</t>
  </si>
  <si>
    <t>Vacante Asesor de Refacciones Campo</t>
  </si>
  <si>
    <t>uriel.martinez@agrocisa.com.mx</t>
  </si>
  <si>
    <t>REFA-2-PJ</t>
  </si>
  <si>
    <t>PJZONA02</t>
  </si>
  <si>
    <t>Brenda Alcocer Alcocer</t>
  </si>
  <si>
    <t>refapj.agro@gmail.com</t>
  </si>
  <si>
    <t>brenda.alcocer@agrocisa.com.mx</t>
  </si>
  <si>
    <t>REFA-1-PJ</t>
  </si>
  <si>
    <t>Pedro Castañeda Vázquez</t>
  </si>
  <si>
    <t>RFGL1199ATT</t>
  </si>
  <si>
    <t>7C:7B:BF:E9:7D:02</t>
  </si>
  <si>
    <t>pcastaneda.agro@gmail.com</t>
  </si>
  <si>
    <t>pedro.castaneda@agrocisa.com.mx</t>
  </si>
  <si>
    <t>ALMACEN-PJ</t>
  </si>
  <si>
    <t>Usado (a)</t>
  </si>
  <si>
    <t>Lorena González Macías</t>
  </si>
  <si>
    <t>garantiaspj.agro@gmail.com</t>
  </si>
  <si>
    <t xml:space="preserve">ASUSTeK COMPUTER INC. H110M-R </t>
  </si>
  <si>
    <t>garantias.pj@agrocisa.com.mx</t>
  </si>
  <si>
    <t>GARANTIAS-PJ</t>
  </si>
  <si>
    <t>18:31:BF:69:48:85</t>
  </si>
  <si>
    <t>Martín Ceballos Castillo</t>
  </si>
  <si>
    <t>tallerpenjamo.agro@gmail.com</t>
  </si>
  <si>
    <t>tallerpenjamo@agrocisa.com.mx</t>
  </si>
  <si>
    <t>DINAMOMETRO-PJ</t>
  </si>
  <si>
    <t>Natanael Bravo Gallardo</t>
  </si>
  <si>
    <t>promotorpenjamo@agrocisa.com.mx</t>
  </si>
  <si>
    <t>tecdrones.po.agro@gmail.com</t>
  </si>
  <si>
    <t>4GR0C154#PO</t>
  </si>
  <si>
    <t>Maribel Cervantes Flores</t>
  </si>
  <si>
    <t>cajaponcitlan@agrocisa.com.mx</t>
  </si>
  <si>
    <t>4GR0C154#CAJA</t>
  </si>
  <si>
    <t>CAJA-PO</t>
  </si>
  <si>
    <t>RZGL10377DV</t>
  </si>
  <si>
    <t>8C:2E:72:05:14:A7</t>
  </si>
  <si>
    <t>agricolazonapn08.agrocisa@gmail.com</t>
  </si>
  <si>
    <t>gerardo.godinez@agrocisa.com.mx</t>
  </si>
  <si>
    <t>CIENEGAPN08</t>
  </si>
  <si>
    <t>José Alfredo Macías Plascencia</t>
  </si>
  <si>
    <t>alfredomacias.agro@gmail.com</t>
  </si>
  <si>
    <t>jose.macias@agrocisa.com.mx</t>
  </si>
  <si>
    <t>Luis Felipe Tinoco Solorzano</t>
  </si>
  <si>
    <t>zonacienegapn09.agro@gmail.com</t>
  </si>
  <si>
    <t>zonacienegapn09@agrocisa.com.mx</t>
  </si>
  <si>
    <t>CIENEGAPN09</t>
  </si>
  <si>
    <t>Airam Monserrat Vázquez Segura</t>
  </si>
  <si>
    <t>ventasponci.agrocisa@gmail.com</t>
  </si>
  <si>
    <t>airam.vazquez@agrocisa.com.mx</t>
  </si>
  <si>
    <t>4RG0C154#PON</t>
  </si>
  <si>
    <t>VENTAS-PO</t>
  </si>
  <si>
    <t>Moisés Alberto González Mendoza</t>
  </si>
  <si>
    <t>mgonzalez.agrocisa@gmail.com</t>
  </si>
  <si>
    <t>moises.gonzalez@agrocisa.com.mx</t>
  </si>
  <si>
    <t>4GR0C154#GER</t>
  </si>
  <si>
    <t>GERENTE-PO</t>
  </si>
  <si>
    <t>Luis Gustavo Soto Ibarra</t>
  </si>
  <si>
    <t>construccionponcitlan.agro@gmail.com</t>
  </si>
  <si>
    <t>construccionponcitlan@agrocisa.com.mx</t>
  </si>
  <si>
    <t>CIENEGAPN10</t>
  </si>
  <si>
    <t>Bryan Arturo Ramírez Alonso</t>
  </si>
  <si>
    <t>bryan.ramirez@agrocisa.com.mx</t>
  </si>
  <si>
    <t>18:31:BF:69:49:9C</t>
  </si>
  <si>
    <t>martes 20 de agosto de 2024</t>
  </si>
  <si>
    <t>Ricardo Emmanuel Chávez Lumbreras</t>
  </si>
  <si>
    <t>ricardo.chavez@agrocisa.com.mx</t>
  </si>
  <si>
    <t>POZONA02</t>
  </si>
  <si>
    <t>Orlando Yael Ceja Briseño</t>
  </si>
  <si>
    <t>RZGL10507ZR</t>
  </si>
  <si>
    <t>8C:2E:72:08:0D:4D</t>
  </si>
  <si>
    <t>orlando.ceja@agrocisa.com.mx</t>
  </si>
  <si>
    <t xml:space="preserve">Patricia Yunuen Vázquez Villa </t>
  </si>
  <si>
    <t>pvazquez.agro@gmail.com</t>
  </si>
  <si>
    <t>Invierno19</t>
  </si>
  <si>
    <t>patricia.vazquez@agrocisa.com.mx</t>
  </si>
  <si>
    <t>SERVICIO-PO</t>
  </si>
  <si>
    <t>César Enrique Flores Franco</t>
  </si>
  <si>
    <t>tallerponcitlan@agrocisa.com.mx</t>
  </si>
  <si>
    <t>TALLER-PO</t>
  </si>
  <si>
    <t>María Guadalupe Díaz Hernández</t>
  </si>
  <si>
    <t>Zona Altos</t>
  </si>
  <si>
    <t>ventaszonatepa@agrocisa.com.mx</t>
  </si>
  <si>
    <t>4GR0C154#ZA</t>
  </si>
  <si>
    <t>maria.diaz@agrocisa.com.mx</t>
  </si>
  <si>
    <t>ZONATEPA</t>
  </si>
  <si>
    <t>pablo.maldonado@agrocisa.com.mx</t>
  </si>
  <si>
    <t>VENTAS-ZA</t>
  </si>
  <si>
    <t>ALTOS3</t>
  </si>
  <si>
    <t>Martín Salcedo Vargas</t>
  </si>
  <si>
    <t>martin.salcedo@agrocisa.com.mx</t>
  </si>
  <si>
    <t>GERENTE-ZA</t>
  </si>
  <si>
    <t>RZGL1050BEZ</t>
  </si>
  <si>
    <t>8C:2E:72:08:0E:31</t>
  </si>
  <si>
    <t>sabado, 25 de abril de 2026</t>
  </si>
  <si>
    <t>Línea no era renovable</t>
  </si>
  <si>
    <t>Intel Processor @ 3.60GHz</t>
  </si>
  <si>
    <t>GHIA PRIME H510M-E</t>
  </si>
  <si>
    <t>FC:34:97:A1:74:B1</t>
  </si>
  <si>
    <t>RZGL105068T</t>
  </si>
  <si>
    <t>8C:2E:72:08:0C:DB</t>
  </si>
  <si>
    <t>martes 04 de julio de 2023</t>
  </si>
  <si>
    <t>2C:4D:54:D4:76:BA</t>
  </si>
  <si>
    <t>R5GL32KPJ2M</t>
  </si>
  <si>
    <t>60:B4:A2:7D:70:92</t>
  </si>
  <si>
    <t>B0:6E:BF:BF:FC:F3</t>
  </si>
  <si>
    <t>R5GYC4JW58H</t>
  </si>
  <si>
    <t>78:33:C6:1B:CF:42</t>
  </si>
  <si>
    <t>Baja por desfase de renovación</t>
  </si>
  <si>
    <t>lunes 27 de enero de 2024</t>
  </si>
  <si>
    <t>Windows 11</t>
  </si>
  <si>
    <t>R5GYC4JW5TH</t>
  </si>
  <si>
    <t>78:33:C6:1B:CF:68</t>
  </si>
  <si>
    <t>2C:56:DC:4D:02:88</t>
  </si>
  <si>
    <t>R5GL32KPJVX</t>
  </si>
  <si>
    <t>60:B4:A2:7D:70:C6</t>
  </si>
  <si>
    <t>0C:9D:92:64:BD:82</t>
  </si>
  <si>
    <t>Windows 7 Ultimate 32-bit SP1</t>
  </si>
  <si>
    <t>Intel Core i3 2100 @ 3.10GHz</t>
  </si>
  <si>
    <t>Gigabyte Technology Co. Ltd. H61M-S2V-B3</t>
  </si>
  <si>
    <t>Renovar - Obsoleta</t>
  </si>
  <si>
    <t>50:E5:49:2C:70:F2</t>
  </si>
  <si>
    <t>R5GL32KPQ2J</t>
  </si>
  <si>
    <t>60:B4:A2:7D:72:1E</t>
  </si>
  <si>
    <t>C8:7F:54:56:8B:A5</t>
  </si>
  <si>
    <t>RFGL1198LFH</t>
  </si>
  <si>
    <t>7C:7B:BF:E9:76:FC</t>
  </si>
  <si>
    <t>Intel Core i7 7700K @ 4.20GHz</t>
  </si>
  <si>
    <t>16 GB</t>
  </si>
  <si>
    <t>ASUSTeK COMPUTER INC. STRIX B250H GAMING</t>
  </si>
  <si>
    <t>Fuente de poder</t>
  </si>
  <si>
    <t>10:7B:44:15:16:5A</t>
  </si>
  <si>
    <t>R5GYC4JVP3N</t>
  </si>
  <si>
    <t>78:33:C6:1B:CB:5A</t>
  </si>
  <si>
    <t>REFACCIONES-1</t>
  </si>
  <si>
    <t>Intel Processor @ 2.60GHz</t>
  </si>
  <si>
    <t>ASUSTeK COMPUTER INC. PRIME B460M-A R2.0</t>
  </si>
  <si>
    <t>500 GB</t>
  </si>
  <si>
    <t>FC:34:97:E5:4E:8A</t>
  </si>
  <si>
    <t>miércoles 03 de julio de 2024</t>
  </si>
  <si>
    <t>Nombre de Host</t>
  </si>
  <si>
    <t>Condicion</t>
  </si>
  <si>
    <t>Marca</t>
  </si>
  <si>
    <t>Modelo</t>
  </si>
  <si>
    <t>No. Serie</t>
  </si>
  <si>
    <t>Correo empresarial</t>
  </si>
  <si>
    <t>Con cargador Original y cable Original</t>
  </si>
  <si>
    <t>martes 28 de enero de 2025</t>
  </si>
  <si>
    <t>Lenovo</t>
  </si>
  <si>
    <t>THINKPAD L14 GEN 1</t>
  </si>
  <si>
    <t>AMD Ryzen 3</t>
  </si>
  <si>
    <t>LENOVO 20U6S44E00</t>
  </si>
  <si>
    <t>84:A9:38:FE:5A:88</t>
  </si>
  <si>
    <t>C8:94:02:BC:0F:BB</t>
  </si>
  <si>
    <t>Windows 11 Pro</t>
  </si>
  <si>
    <t>D0:17:C2:AC:3E:42</t>
  </si>
  <si>
    <t>R5GL32KP8PK</t>
  </si>
  <si>
    <t>60:B4:A2:7D:6E:28</t>
  </si>
  <si>
    <t>jueves 27 de marzo de 2025</t>
  </si>
  <si>
    <t>Hewlett Packard</t>
  </si>
  <si>
    <t>15-da0009la</t>
  </si>
  <si>
    <t>5CD9466J7R</t>
  </si>
  <si>
    <t>Windows 10 Home Single Language 64-bit</t>
  </si>
  <si>
    <t>Intel Core i3 @ 2.30GHz</t>
  </si>
  <si>
    <t>HP 864E</t>
  </si>
  <si>
    <t>40:23:43:34:77:7F</t>
  </si>
  <si>
    <t>REFACCIONES-3</t>
  </si>
  <si>
    <t>7C:10:C9:8A:91:73</t>
  </si>
  <si>
    <t>R5GYC4JVREX</t>
  </si>
  <si>
    <t>78:33:C6:1B:CB:F4</t>
  </si>
  <si>
    <t>COM-INT-N</t>
  </si>
  <si>
    <t>Batería Dañada</t>
  </si>
  <si>
    <t>lunes 19 de enero de 2025</t>
  </si>
  <si>
    <t>V330-14ARR - 81B1</t>
  </si>
  <si>
    <t>MTM:81B1002ULM</t>
  </si>
  <si>
    <t>AMD Ryzen 5</t>
  </si>
  <si>
    <t>6 GB</t>
  </si>
  <si>
    <t>LENOVO LNVNB161216</t>
  </si>
  <si>
    <t>7C:8A:E1:2D:3D:78</t>
  </si>
  <si>
    <t>E4:AA:EA:E1:01:27</t>
  </si>
  <si>
    <t>SALA-JUNTAS</t>
  </si>
  <si>
    <t>Windows 11 Pro for Workstations 64-bit</t>
  </si>
  <si>
    <t>AMD Ryzen 7</t>
  </si>
  <si>
    <t>CHUWI Innovation And Technology</t>
  </si>
  <si>
    <t>84:47:09:10:7B:4E</t>
  </si>
  <si>
    <t>A8:93:4A:E0:4C:89</t>
  </si>
  <si>
    <t>sabado 17 de enero de 2026</t>
  </si>
  <si>
    <t>Acer</t>
  </si>
  <si>
    <t>N16Q1</t>
  </si>
  <si>
    <t>NXGCUAL00963107A9D7600</t>
  </si>
  <si>
    <t>Intel Core i5 7200U @ 2.50GHz</t>
  </si>
  <si>
    <t>HP 8368 (U3E1)</t>
  </si>
  <si>
    <t>54:AB:3A:B5:04:56</t>
  </si>
  <si>
    <t>40:49:0F:80:AD:B9</t>
  </si>
  <si>
    <t>R5GL32KP9FH</t>
  </si>
  <si>
    <t>60:B4:A2:7D:6E:5A</t>
  </si>
  <si>
    <t>B0:6E:BF:BF:FA:D9</t>
  </si>
  <si>
    <t>Dell</t>
  </si>
  <si>
    <t>81F4</t>
  </si>
  <si>
    <t>Windows 11 Home Single Language 64-bit</t>
  </si>
  <si>
    <t>Intel Core i7 @ 1.80GHz</t>
  </si>
  <si>
    <t>Dell Inc. 0TNFXD</t>
  </si>
  <si>
    <t>54:8D:5A:76:5F:66</t>
  </si>
  <si>
    <t>Windows 10 Pro for Workstations 64-bit</t>
  </si>
  <si>
    <t>Intel Core i3 6100 @ 3.70GHz</t>
  </si>
  <si>
    <t>ASUSTeK COMPUTER INC. B150M-K D3</t>
  </si>
  <si>
    <t>30:5A:3A:7E:6F:BD</t>
  </si>
  <si>
    <t>R5GL32KPCYP</t>
  </si>
  <si>
    <t>60:B4:A2:7D:6F:40</t>
  </si>
  <si>
    <t>Aspire E5-475</t>
  </si>
  <si>
    <t>NXGCWAL01171027AF47600</t>
  </si>
  <si>
    <t>Acer AntMan_SK</t>
  </si>
  <si>
    <t>A8:1E:84:56:B5:81</t>
  </si>
  <si>
    <t>3C:A0:67:86:89:D9</t>
  </si>
  <si>
    <t>miércoles 20 de septiembre de 2023</t>
  </si>
  <si>
    <t>P143G</t>
  </si>
  <si>
    <t>NT2020MX061840</t>
  </si>
  <si>
    <t>7 GB</t>
  </si>
  <si>
    <t>Dell Inc. 0FH5FM</t>
  </si>
  <si>
    <t>jueves 02 de enero de 2024</t>
  </si>
  <si>
    <t>Intel Processor @ 3.20GHz</t>
  </si>
  <si>
    <t>10:6F:D9:BB:01:CF</t>
  </si>
  <si>
    <t>HP 885F</t>
  </si>
  <si>
    <t>84:69:93:78:3A:6B</t>
  </si>
  <si>
    <t>30:03:C8:83:76:5D</t>
  </si>
  <si>
    <t>R5GYC4JY29W</t>
  </si>
  <si>
    <t>78:33:C6:1B:DF:82</t>
  </si>
  <si>
    <t>10:6F:D9:C5:5E:5B</t>
  </si>
  <si>
    <t>Windows 7 Professional 32-bit SP1</t>
  </si>
  <si>
    <t>Intel Pentium E5400 @ 2.70GHz</t>
  </si>
  <si>
    <t>2 GB</t>
  </si>
  <si>
    <t>ECS P43G</t>
  </si>
  <si>
    <t>44:87:FC:88:29:8F</t>
  </si>
  <si>
    <t>miércoles 24 de julio de 2024</t>
  </si>
  <si>
    <t>Pablo (Temporal)</t>
  </si>
  <si>
    <t>RZGL1035FAA</t>
  </si>
  <si>
    <t>8C:2E:72:05:05:AD</t>
  </si>
  <si>
    <t>Inspiron 15 352s</t>
  </si>
  <si>
    <t>JXVY8W3</t>
  </si>
  <si>
    <t>Dell Inc. 035P38</t>
  </si>
  <si>
    <t>F0:A6:54:DE:F4:AB</t>
  </si>
  <si>
    <t>lunes 17 de febrero de 2025</t>
  </si>
  <si>
    <t>R5GL32KPB7X</t>
  </si>
  <si>
    <t>60:B4:A2:7D:6E:CE</t>
  </si>
  <si>
    <t>DINAMOMETRO-LP</t>
  </si>
  <si>
    <t>Inspiron 15</t>
  </si>
  <si>
    <t>Windows 10 Enterprise 64-bit</t>
  </si>
  <si>
    <t>Dell Inc. 04YVDP (U3E1)</t>
  </si>
  <si>
    <t>10:7D:1A:35:A9:BC</t>
  </si>
  <si>
    <t>E8:9E:B4:34:1F:DD</t>
  </si>
  <si>
    <t>Intel Core i3 3220 @ 3.30GHz</t>
  </si>
  <si>
    <t>ASUSTeK COMPUTER INC. P8B75-M</t>
  </si>
  <si>
    <t>Fuente de Poder</t>
  </si>
  <si>
    <t>BC-EE-7B-8C-1C-E7</t>
  </si>
  <si>
    <t>RFGL1198GRR</t>
  </si>
  <si>
    <t>7C:7B:BF:E9:76:08</t>
  </si>
  <si>
    <t>Detalle en teclado</t>
  </si>
  <si>
    <t>sabado 20 de septiembre de 2025</t>
  </si>
  <si>
    <t>Intel Core i5 @ 2.50GHz</t>
  </si>
  <si>
    <t>Dell Inc. 04YVDP</t>
  </si>
  <si>
    <t>10:7D:1A:2F:EA:A3</t>
  </si>
  <si>
    <t>54:13:79:AD:61:4D</t>
  </si>
  <si>
    <t>Obsoleto (a)</t>
  </si>
  <si>
    <t>Intel Core 2 Duo E7400 @ 2.80GHz</t>
  </si>
  <si>
    <t>Dell Inc. 0P301D</t>
  </si>
  <si>
    <t>340 GB</t>
  </si>
  <si>
    <t>Obsoleto</t>
  </si>
  <si>
    <t>00:21:9B:26:46:DE</t>
  </si>
  <si>
    <t>ESCANER-MORELIA</t>
  </si>
  <si>
    <t>N17C4</t>
  </si>
  <si>
    <t>NXH2NAL0028200F9723400</t>
  </si>
  <si>
    <t>RFGL1198FLT</t>
  </si>
  <si>
    <t>7C:7B:BF:E9:75:BC</t>
  </si>
  <si>
    <t>Windows 7 Ultimate 64-bit SP1</t>
  </si>
  <si>
    <t>Fuente de Poder y SSD</t>
  </si>
  <si>
    <t>E0:3F:49:83:3D:48</t>
  </si>
  <si>
    <t>RZGL10355PW</t>
  </si>
  <si>
    <t>8C:2E:72:05:03:33</t>
  </si>
  <si>
    <t>B0:6E:BF:BE:C8:4F</t>
  </si>
  <si>
    <t>RZGL1035F3B</t>
  </si>
  <si>
    <t>8C:2E:72:05:05:9F</t>
  </si>
  <si>
    <t>martes 14 de enero de 2024</t>
  </si>
  <si>
    <t>Intel Core i5 @ 2.80GHz</t>
  </si>
  <si>
    <t>ASUSTeK COMPUTER INC. PRIME B360M-A</t>
  </si>
  <si>
    <t>04:92:26:4C:44:32</t>
  </si>
  <si>
    <t>RZGL1050B6R</t>
  </si>
  <si>
    <t>8C:2E:72:08:0E:21</t>
  </si>
  <si>
    <t>B0:6E:BF:2A:AA:5B</t>
  </si>
  <si>
    <t>RZGL103657W</t>
  </si>
  <si>
    <t>8C:2E:72:05:0B:95</t>
  </si>
  <si>
    <t>jueves 04 de julio de 2024</t>
  </si>
  <si>
    <t>Intel Pentium G2030 @ 3.00GHz</t>
  </si>
  <si>
    <t>ECS H61H2-MV</t>
  </si>
  <si>
    <t>74:27:EA:4A:7D:57</t>
  </si>
  <si>
    <t>RZGL103564V</t>
  </si>
  <si>
    <t>8C:2E:72:05:03:4F</t>
  </si>
  <si>
    <t>lunes 16 de diciembre de 2024</t>
  </si>
  <si>
    <t>A0:36:BC:E6:9E:E7</t>
  </si>
  <si>
    <t>Intel Core i5 @ 1.60GHz</t>
  </si>
  <si>
    <t>KBL Charmander_KL</t>
  </si>
  <si>
    <t>98:28:A6:0F:E8:C7</t>
  </si>
  <si>
    <t>70:C9:4E:B8:FD:51</t>
  </si>
  <si>
    <t>RZGL1036RZM</t>
  </si>
  <si>
    <t>8C:2E:72:05:10:EF</t>
  </si>
  <si>
    <t>martes 21 de enero de 2025</t>
  </si>
  <si>
    <t>38:D5:47:7C:D9:67</t>
  </si>
  <si>
    <t>martes 27 de agosto de 2024</t>
  </si>
  <si>
    <t>PR-MKT</t>
  </si>
  <si>
    <t>HP</t>
  </si>
  <si>
    <t>RTL8723DE</t>
  </si>
  <si>
    <t>CND90724TC</t>
  </si>
  <si>
    <t>B0:0C:D1:E8:4B:D6</t>
  </si>
  <si>
    <t>48:5F:99:4A:B5:BD</t>
  </si>
  <si>
    <t>AUX-CAJA</t>
  </si>
  <si>
    <t>2 TB</t>
  </si>
  <si>
    <t>10:7D:1A:2F:E7:AF</t>
  </si>
  <si>
    <t>54:13:79:AA:F2:DF</t>
  </si>
  <si>
    <t>jueves 13 de marzo de 2025</t>
  </si>
  <si>
    <t>ZRK</t>
  </si>
  <si>
    <t>NXMA3AL0103390FBCA7600</t>
  </si>
  <si>
    <t>Intel Core @ 1.80GHz</t>
  </si>
  <si>
    <t>Acer Dazzle_CX</t>
  </si>
  <si>
    <t>3C:77:E6:AF:78:22</t>
  </si>
  <si>
    <t>3C:77:E6:AF:78:21</t>
  </si>
  <si>
    <t>Con cargador y cable Genéricos</t>
  </si>
  <si>
    <t>martes 05 de noviembre de 2024</t>
  </si>
  <si>
    <t>N16Q2</t>
  </si>
  <si>
    <t>Intel Core i3 6100U @ 2.30GHz</t>
  </si>
  <si>
    <t>Acer Ironman_SK (U3E1)</t>
  </si>
  <si>
    <t>CA:FF:7D:2E:1C:B4</t>
  </si>
  <si>
    <t>C8:FF:28:2E:89:BD</t>
  </si>
  <si>
    <t>TECNICO-DRONES-O</t>
  </si>
  <si>
    <t>Con Cargador Original</t>
  </si>
  <si>
    <t>Equipo obsoleto</t>
  </si>
  <si>
    <t>Notebook</t>
  </si>
  <si>
    <t>14-G031LA</t>
  </si>
  <si>
    <t>AMD E1-6010</t>
  </si>
  <si>
    <t>3 GB</t>
  </si>
  <si>
    <t>Hewlett-Packard 22CF</t>
  </si>
  <si>
    <t>38:63:BB:E2:8A:43</t>
  </si>
  <si>
    <t>30:10:B3:BB:6C:C7</t>
  </si>
  <si>
    <t>YD04AW7F</t>
  </si>
  <si>
    <t>LENOVO LNVNB161216 (U3E1)</t>
  </si>
  <si>
    <t>50:5B:C2:BF:1A:4D</t>
  </si>
  <si>
    <t>jueves 06 de febrero de 2020</t>
  </si>
  <si>
    <t>15-dy0016la</t>
  </si>
  <si>
    <t>5CD9466JNG</t>
  </si>
  <si>
    <t>0C:9D:92:64:BD:BF</t>
  </si>
  <si>
    <t>viernes 31 de marzo de 2023</t>
  </si>
  <si>
    <t>V14G2ALC</t>
  </si>
  <si>
    <t>PF3WVTXS</t>
  </si>
  <si>
    <t>00:45:E2:BF:20:25</t>
  </si>
  <si>
    <t>viernes 19 de septiembre de 2025</t>
  </si>
  <si>
    <t>Pavilion 15/EH0XXX</t>
  </si>
  <si>
    <t>5CD1424D2X</t>
  </si>
  <si>
    <t>RZGL1035EKB</t>
  </si>
  <si>
    <t>8C:2E:72:05:05:7D</t>
  </si>
  <si>
    <t>HP 87C5</t>
  </si>
  <si>
    <t>48:E7:DA:66:15:97</t>
  </si>
  <si>
    <t>PANELES-SOLARES-</t>
  </si>
  <si>
    <t>Usado</t>
  </si>
  <si>
    <t>Siniestrada</t>
  </si>
  <si>
    <t>NXGE7AL001619010E67600</t>
  </si>
  <si>
    <t>58:11:22:19:1E:83</t>
  </si>
  <si>
    <t>RZGL1035KBM</t>
  </si>
  <si>
    <t>8C:2E:72:05:06:B7</t>
  </si>
  <si>
    <t>E0:3F:49:81:5B:9E</t>
  </si>
  <si>
    <t>RZGL1036C2R</t>
  </si>
  <si>
    <t>8C:2E:72:05:0D:59</t>
  </si>
  <si>
    <t>R5GL32KPMDH</t>
  </si>
  <si>
    <t>60:B4:A2:7D:71:6E</t>
  </si>
  <si>
    <t>ASUSTeK COMPUTER INC. H110M-D</t>
  </si>
  <si>
    <t>60:45:CB:6D:EC:4E</t>
  </si>
  <si>
    <t>R5GYC4JY1VY</t>
  </si>
  <si>
    <t>78:33:C6:1B:DF:66</t>
  </si>
  <si>
    <t>B0:6E:BF:BF:F5:EA</t>
  </si>
  <si>
    <t>RFGL1198HNJ</t>
  </si>
  <si>
    <t>7C:7B:BF:E9:76:44</t>
  </si>
  <si>
    <t>30:5A:3A:56:87:DD</t>
  </si>
  <si>
    <t>54:AB:3A:80:CC:B1</t>
  </si>
  <si>
    <t>C8:FF:28:31:FB:C9</t>
  </si>
  <si>
    <t>RFGL1198HGW</t>
  </si>
  <si>
    <t>7C:7B:BF:E9:76:38</t>
  </si>
  <si>
    <t>CORD-AI</t>
  </si>
  <si>
    <t>Gigabyte Technology Co. Ltd. H510M H</t>
  </si>
  <si>
    <t>5CD1424D1B</t>
  </si>
  <si>
    <t>74:56:3C:07:B7:42</t>
  </si>
  <si>
    <t>Windows 11 Enterprise 64-bit</t>
  </si>
  <si>
    <t>16 FB</t>
  </si>
  <si>
    <t>RFGL1198GVF</t>
  </si>
  <si>
    <t>7C:7B:BF:E9:76:0E</t>
  </si>
  <si>
    <t>B8:AE:ED:35:13:9B</t>
  </si>
  <si>
    <t>jueves 18 de julio de 2024</t>
  </si>
  <si>
    <t>RZGL1035ZDK</t>
  </si>
  <si>
    <t>8C:2E:72:05:0A:15</t>
  </si>
  <si>
    <t>miércoles 05 de marzo de 2025</t>
  </si>
  <si>
    <t>14:DD:A9:E1:FA:E5</t>
  </si>
  <si>
    <t>R5GL32KPC8E</t>
  </si>
  <si>
    <t>60:B4:A2:7D:6F:12</t>
  </si>
  <si>
    <t>74:27:EA:4A:75:97</t>
  </si>
  <si>
    <t>CND90724RC</t>
  </si>
  <si>
    <t>HP 84A6</t>
  </si>
  <si>
    <t>B0:0C:D1:E8:46:CA</t>
  </si>
  <si>
    <t>48:5F:99:4A:B5:A7</t>
  </si>
  <si>
    <t>R5CYC4JVVTF</t>
  </si>
  <si>
    <t>78:33:C6:1B:CC:D4</t>
  </si>
  <si>
    <t>Teclado</t>
  </si>
  <si>
    <t>14:DD:A9:E1:FB:8C</t>
  </si>
  <si>
    <t>15-dy2052la</t>
  </si>
  <si>
    <t>5CD1528XFT</t>
  </si>
  <si>
    <t>Intel Processor @ 2.40GHz</t>
  </si>
  <si>
    <t>HP 87FE</t>
  </si>
  <si>
    <t>10:6F:D9:C5:05:CB</t>
  </si>
  <si>
    <t>Iphone 17 Pro 256</t>
  </si>
  <si>
    <t>LQ66122TF4</t>
  </si>
  <si>
    <t>Teclado reparado</t>
  </si>
  <si>
    <t>5CD1424D2B</t>
  </si>
  <si>
    <t>48:E7:DA:66:AF:91</t>
  </si>
  <si>
    <t>Batería reparada</t>
  </si>
  <si>
    <t>NXGCWAL01171027A0E7600</t>
  </si>
  <si>
    <t>A8:1E:84:56:B6:BC</t>
  </si>
  <si>
    <t>3C:A0:67:86:7C:83</t>
  </si>
  <si>
    <t>sábado 15 de julio de 2023</t>
  </si>
  <si>
    <t>VOSTRO 14 3000</t>
  </si>
  <si>
    <t>FCBJZT3</t>
  </si>
  <si>
    <t>Dell Inc. 05HPX6</t>
  </si>
  <si>
    <t>04:BF:1B:3F:F5:BD</t>
  </si>
  <si>
    <t>F0:A6:54:3D:BA:21</t>
  </si>
  <si>
    <t>Módem La Barca</t>
  </si>
  <si>
    <t>TI</t>
  </si>
  <si>
    <t>Módem Pénjamo</t>
  </si>
  <si>
    <t>Módem La Piedad</t>
  </si>
  <si>
    <t>Módem Morelia</t>
  </si>
  <si>
    <t>Módem Poncitlán</t>
  </si>
  <si>
    <t>NXGCUAL009631077F77600</t>
  </si>
  <si>
    <t>Acer AntMan_SK (U3E1)</t>
  </si>
  <si>
    <t>54:AB:3A:B2:38:8C</t>
  </si>
  <si>
    <t>40:49:0F:78:B8:23</t>
  </si>
  <si>
    <t>03 de febrero de 2025</t>
  </si>
  <si>
    <t>Vostro 3515</t>
  </si>
  <si>
    <t>GZ336N3</t>
  </si>
  <si>
    <t>Dell Inc. 0G62VR</t>
  </si>
  <si>
    <t>B4:45:06:AC:40:DF</t>
  </si>
  <si>
    <t>50:C2:E8:16:A7:B3</t>
  </si>
  <si>
    <t>VENTAS-MORELIA</t>
  </si>
  <si>
    <t>Robada a Adrián Ferreira</t>
  </si>
  <si>
    <t>jueves 05 de octubre de 2023</t>
  </si>
  <si>
    <t>NT2020MX061846</t>
  </si>
  <si>
    <t>10:6F:D9:BB:01:D7</t>
  </si>
  <si>
    <t>AMD Ryzen 3 PRO</t>
  </si>
  <si>
    <t>GHIA PRIME A320M-K</t>
  </si>
  <si>
    <t>Buenas Condiciones</t>
  </si>
  <si>
    <t>C8:7F:54:56:87:7B</t>
  </si>
  <si>
    <t>R5GYC4JW5CW</t>
  </si>
  <si>
    <t>78:33:C6:1B:CF:4A</t>
  </si>
  <si>
    <t>Mouse</t>
  </si>
  <si>
    <t>14:DD:A9:E1:FB:99</t>
  </si>
  <si>
    <t>SERVICIO-PJ</t>
  </si>
  <si>
    <t>R5GL32KPT1A</t>
  </si>
  <si>
    <t>60:B4:A2:7D:72:E2</t>
  </si>
  <si>
    <t>C8:7F:54:56:8E:89</t>
  </si>
  <si>
    <t>jueves 15 de agosto de 2024</t>
  </si>
  <si>
    <t>VENTAS-1-PJ</t>
  </si>
  <si>
    <t>Obsoleta</t>
  </si>
  <si>
    <t>00:11:22:33:44:55</t>
  </si>
  <si>
    <t>RZGL1050BZW</t>
  </si>
  <si>
    <t>8C:2E:72:08:0E:55</t>
  </si>
  <si>
    <t>CM5HZT3</t>
  </si>
  <si>
    <t>04:BF:1B:40:03:3D</t>
  </si>
  <si>
    <t>VENTAS-2-PJ</t>
  </si>
  <si>
    <t>Intel Pentium G645 @ 2.90GHz</t>
  </si>
  <si>
    <t>Intel Corporation DH61HO</t>
  </si>
  <si>
    <t>EC:A8:6B:72:1E:F0</t>
  </si>
  <si>
    <t>TALLER-PJ</t>
  </si>
  <si>
    <t>RFGL1198L5E</t>
  </si>
  <si>
    <t>7C:7B:BF:E9:76:E8</t>
  </si>
  <si>
    <t>Equipo en mal estado</t>
  </si>
  <si>
    <t>jueves 15 de septiembre de 2022</t>
  </si>
  <si>
    <t>Toshiba</t>
  </si>
  <si>
    <t>No legible</t>
  </si>
  <si>
    <t>Windows 7 Starter 32-bit</t>
  </si>
  <si>
    <t>Intel Celeron B815 @ 1.60GHz</t>
  </si>
  <si>
    <t>00:26:6C:12:CE:E1</t>
  </si>
  <si>
    <t>44:6D:57:2A:61:61</t>
  </si>
  <si>
    <t>VENTAS-ONLINE</t>
  </si>
  <si>
    <t>4C:ED:FB:C2:5B:41</t>
  </si>
  <si>
    <t>miércoles 11 de septiembre de 2024</t>
  </si>
  <si>
    <t>R5GL32KPNFJ</t>
  </si>
  <si>
    <t>60:B4:A2:7D:71:B4</t>
  </si>
  <si>
    <t>martes 14 de febrero de 2023</t>
  </si>
  <si>
    <t>PF-3FBL8X</t>
  </si>
  <si>
    <t>C8:94:02:BC:12:09</t>
  </si>
  <si>
    <t>SERV-CONTPAQ</t>
  </si>
  <si>
    <t>R5GYC4JVQVW</t>
  </si>
  <si>
    <t>78:33:C6:1B:CB:CE</t>
  </si>
  <si>
    <t>KBL Metapod_KL</t>
  </si>
  <si>
    <t>98:28:A6:1C:FD:D1</t>
  </si>
  <si>
    <t>30:D1:6B:AE:9E:1B</t>
  </si>
  <si>
    <t>DEALER-STANDARD</t>
  </si>
  <si>
    <t>lunes 28 de abril de 2025</t>
  </si>
  <si>
    <t>15-en0031a</t>
  </si>
  <si>
    <t>5CDI4Z4CVH</t>
  </si>
  <si>
    <t>48:E7:DA:66:B4:D9</t>
  </si>
  <si>
    <t>RZGL1035BYH</t>
  </si>
  <si>
    <t>Observaviones</t>
  </si>
  <si>
    <t>8C:2E:72:05:04:CF</t>
  </si>
  <si>
    <t>Resolución</t>
  </si>
  <si>
    <t>Condiciones</t>
  </si>
  <si>
    <t>LG FLATRON 19EN33SA</t>
  </si>
  <si>
    <t>308NDUN31510</t>
  </si>
  <si>
    <t>5CD152841T</t>
  </si>
  <si>
    <t>10:6F:D9:C4:A0:E9</t>
  </si>
  <si>
    <t>CAJA-L</t>
  </si>
  <si>
    <t>Asusteck</t>
  </si>
  <si>
    <t>Prime B460M-A</t>
  </si>
  <si>
    <t>GARANTIAS-PO</t>
  </si>
  <si>
    <t>Intel Core i5 @ 2.90GHz</t>
  </si>
  <si>
    <t>Gigabyte Technology Co. Ltd. B365M H</t>
  </si>
  <si>
    <t>18:C0:4D:60:E7:1C</t>
  </si>
  <si>
    <t>Inspiron 15-3567</t>
  </si>
  <si>
    <t>Gateway KX2403</t>
  </si>
  <si>
    <t>5952PJ2</t>
  </si>
  <si>
    <t>MMC3BAA001325027638500</t>
  </si>
  <si>
    <t>KBL Metapod_KL (U3E1)</t>
  </si>
  <si>
    <t>Media vida</t>
  </si>
  <si>
    <t>98:28:A6:1B:11:BD</t>
  </si>
  <si>
    <t>30:D1:6B:AE:C1:E1</t>
  </si>
  <si>
    <t>REFA-1-PO</t>
  </si>
  <si>
    <t>Windows 10 Pro 32-bit</t>
  </si>
  <si>
    <t>ASUSTeK COMPUTER INC. H61M-E</t>
  </si>
  <si>
    <t>BC:EE:7B:9C:09:97</t>
  </si>
  <si>
    <t>viernes 09 de agosto de 2024</t>
  </si>
  <si>
    <t>RZGL10357CN</t>
  </si>
  <si>
    <t>8C:2E:72:05:03:A1</t>
  </si>
  <si>
    <t>HNC HSG1016</t>
  </si>
  <si>
    <t>721HW1BY00684</t>
  </si>
  <si>
    <t>Display Reparado</t>
  </si>
  <si>
    <t>jueves 18 de diciembre de 2025</t>
  </si>
  <si>
    <t>Obsoleo</t>
  </si>
  <si>
    <t>N15Q6</t>
  </si>
  <si>
    <t>NXG1KAL0015380A0517600</t>
  </si>
  <si>
    <t>Intel Core i5 @ 2.20GHz</t>
  </si>
  <si>
    <t>Acer USOPP_BH (U3E1)</t>
  </si>
  <si>
    <t>2C-60-0C-DF-B1-BF</t>
  </si>
  <si>
    <t>94-65-9C-4F-1C-44</t>
  </si>
  <si>
    <t>REFA-2-PO</t>
  </si>
  <si>
    <t>B0:6E:BF:BE:C1:18</t>
  </si>
  <si>
    <t>RZGL10368HZ</t>
  </si>
  <si>
    <t>8C:2E:72:05:0C:6F</t>
  </si>
  <si>
    <t>Aspire A315-53</t>
  </si>
  <si>
    <t>NXH2AAL0098340B39A3400</t>
  </si>
  <si>
    <t>LG FLATRON W1943C-B</t>
  </si>
  <si>
    <t>009NDLS3E176</t>
  </si>
  <si>
    <t>74:27:EA:4A:30:0E</t>
  </si>
  <si>
    <t>RZGL103684B</t>
  </si>
  <si>
    <t>8C:2E:72:05:0C:55</t>
  </si>
  <si>
    <t>Falso contacto en cargador</t>
  </si>
  <si>
    <t>lunes 19 de enero de 2026</t>
  </si>
  <si>
    <t>Intel Pentium CPU N4200 @ 1.10GHz</t>
  </si>
  <si>
    <t>88:B1:11:8B:79:8C</t>
  </si>
  <si>
    <t>LG 22MK430H-B</t>
  </si>
  <si>
    <t>812NTMXE7107</t>
  </si>
  <si>
    <t>lunes 19 de mayo de 2025</t>
  </si>
  <si>
    <t>180 GB</t>
  </si>
  <si>
    <t>B8:AE:ED:35:25:08</t>
  </si>
  <si>
    <t>ALMACEN-2</t>
  </si>
  <si>
    <t>LG FLATRON L1718S-BN</t>
  </si>
  <si>
    <t>803UXVW2Z567</t>
  </si>
  <si>
    <t>R5GYC4JY31Z</t>
  </si>
  <si>
    <t>78:33:C6:1B:DF:B4</t>
  </si>
  <si>
    <t>NXGCUAL00963107B247600</t>
  </si>
  <si>
    <t>40:49:0F:80:EF:75</t>
  </si>
  <si>
    <t>VENDEDORES-PO</t>
  </si>
  <si>
    <t>Windows 7 Home Basic 32-bit SP1</t>
  </si>
  <si>
    <t>Intel Core 2 Duo E7500 @ 2.93GHz</t>
  </si>
  <si>
    <t>Intel Corporation DG41CN</t>
  </si>
  <si>
    <t>70:71:BC:B1:93:62</t>
  </si>
  <si>
    <t>AUX-COMPRAS</t>
  </si>
  <si>
    <t>ASUSTEK VP227HE</t>
  </si>
  <si>
    <t>N6LMTF001284</t>
  </si>
  <si>
    <t>R5GL32KPDMT</t>
  </si>
  <si>
    <t>lunes 23 de junio de 2025</t>
  </si>
  <si>
    <t>60:B4:A2:7D:6F:6E</t>
  </si>
  <si>
    <t>CND90723S9</t>
  </si>
  <si>
    <t>70:71:BC:B1:CC:0A</t>
  </si>
  <si>
    <t>Cambio porque Abraham es Coordinador</t>
  </si>
  <si>
    <t>48:5F:99:40:01:57</t>
  </si>
  <si>
    <t>LG 22M38A-B</t>
  </si>
  <si>
    <t>512NTLE9P520</t>
  </si>
  <si>
    <t>miércoles 04 de diciembre de 2024</t>
  </si>
  <si>
    <t>N23C3</t>
  </si>
  <si>
    <t>NXKJRAL00H347040F3400</t>
  </si>
  <si>
    <t>CONTA-PRAC</t>
  </si>
  <si>
    <t>MDC Herbag_MDU</t>
  </si>
  <si>
    <t>D0:39:57:7D:F2:57</t>
  </si>
  <si>
    <t>08:BF:B8:A6:F0:B6</t>
  </si>
  <si>
    <t>RZGL10354LW</t>
  </si>
  <si>
    <t>8C:2E:72:05:02:EB</t>
  </si>
  <si>
    <t>martes 05 agosto de 2025</t>
  </si>
  <si>
    <t>Windows 11 pro 64-bit</t>
  </si>
  <si>
    <t>Intel Core i3-7100 @ 3.90GHz</t>
  </si>
  <si>
    <t>ASUSek COMPUTER INC. PRIME H110M-P (LGA1151)</t>
  </si>
  <si>
    <t>20:23:51:9A:25:D1</t>
  </si>
  <si>
    <t>lunes 15 de enero de 2023</t>
  </si>
  <si>
    <t>NXKJEAL00H347042743400</t>
  </si>
  <si>
    <t>D0:39:57:7E:04:C1</t>
  </si>
  <si>
    <t xml:space="preserve"> </t>
  </si>
  <si>
    <t>RZGL1036H6Z</t>
  </si>
  <si>
    <t>F6:B9:CB:54:A8:0A</t>
  </si>
  <si>
    <t>MKT-ASUS</t>
  </si>
  <si>
    <t>Falta S-Pen</t>
  </si>
  <si>
    <t>martes 04 de fecbrero de 2025</t>
  </si>
  <si>
    <t>ZenBook Pro Duo</t>
  </si>
  <si>
    <t>N6N0CV04D85723B</t>
  </si>
  <si>
    <t>Intel Core i7-12700H</t>
  </si>
  <si>
    <t>ASUS UX582ZW</t>
  </si>
  <si>
    <t>BC:6E:E2:C6:74:D8</t>
  </si>
  <si>
    <t>LG 19M35A-B</t>
  </si>
  <si>
    <t>407NDDM0G226</t>
  </si>
  <si>
    <t>PRACTICANTE-PV</t>
  </si>
  <si>
    <t>LG FLATRON 19EN3S-B</t>
  </si>
  <si>
    <t>308NDRF22782</t>
  </si>
  <si>
    <t>Sin Información</t>
  </si>
  <si>
    <t>Intel(R) Celeron(R) 847 @ 1.10 ghZ</t>
  </si>
  <si>
    <t>Hewlett-Packard 1854</t>
  </si>
  <si>
    <t>F0:92:1C:52:C2:37</t>
  </si>
  <si>
    <t>0C:84:DC:AC:00:0D</t>
  </si>
  <si>
    <t>RZGL105047F</t>
  </si>
  <si>
    <t>8C:2E:72:08:0C:55</t>
  </si>
  <si>
    <t>CND907252L</t>
  </si>
  <si>
    <t>48:5F:99:3F:A3:AF</t>
  </si>
  <si>
    <t>RZGL1035N6D</t>
  </si>
  <si>
    <t>8C:2E:72:05:07:73</t>
  </si>
  <si>
    <t>Lenovo V15 G4 ABP</t>
  </si>
  <si>
    <t>PF4LHPFD</t>
  </si>
  <si>
    <t xml:space="preserve">Windows 11 pro 64-bit </t>
  </si>
  <si>
    <t>AMD Ryzen 7 7730U</t>
  </si>
  <si>
    <t>FC:5C:EE:BB:25:2A</t>
  </si>
  <si>
    <t>E8:65:38:25:2E:31</t>
  </si>
  <si>
    <t>Imágen con demasiada luz azul</t>
  </si>
  <si>
    <t>LG FLATRON E194 C-BN</t>
  </si>
  <si>
    <t>204NDCR17971</t>
  </si>
  <si>
    <t>martes 05 de diciembre de 2024</t>
  </si>
  <si>
    <t>V15 G4 ABP</t>
  </si>
  <si>
    <t>PF4LHWC8</t>
  </si>
  <si>
    <t>R5GL32KPDWF</t>
  </si>
  <si>
    <t>60:B4:A2:7D:6F:7E</t>
  </si>
  <si>
    <t>FC:5C:EE:C1:EC:79</t>
  </si>
  <si>
    <t>E8:65:38:17:D2:7F</t>
  </si>
  <si>
    <t>sábado 29 de noviembre de 2025</t>
  </si>
  <si>
    <t>PF4LHBHM</t>
  </si>
  <si>
    <t>FC:5C:EE:C1:E6:59</t>
  </si>
  <si>
    <t>E8:65:38:25:2D:E9</t>
  </si>
  <si>
    <t>sábado 18 de marzo 2023</t>
  </si>
  <si>
    <t>RZGL1036HGP</t>
  </si>
  <si>
    <t>8C:2E:72:05:0E:BF</t>
  </si>
  <si>
    <t>viernes 23 de mayo de 2025</t>
  </si>
  <si>
    <t>15-fc00801a</t>
  </si>
  <si>
    <t>1H844836GB</t>
  </si>
  <si>
    <t xml:space="preserve">Windows 11 Pro 64-bit </t>
  </si>
  <si>
    <t>HP 8B30</t>
  </si>
  <si>
    <t>F8:6D:CC:C7:29:4A</t>
  </si>
  <si>
    <t>ASUSTEK VH197</t>
  </si>
  <si>
    <t>B5LM1206178</t>
  </si>
  <si>
    <t>jueves 05 de junio de 2025</t>
  </si>
  <si>
    <t>1H844836P6</t>
  </si>
  <si>
    <t>RZGL1036CBN</t>
  </si>
  <si>
    <t>8C:2E:72:05:0D:6B</t>
  </si>
  <si>
    <t>F8:6D:CC:C7:2D:C8</t>
  </si>
  <si>
    <t>lunes 27 de enero de 2025</t>
  </si>
  <si>
    <t>512NTYT9P514</t>
  </si>
  <si>
    <t>Aspire E5-475-52ZU</t>
  </si>
  <si>
    <t>NXGCWAL0117102791F7600</t>
  </si>
  <si>
    <t>R5GYC4JXCJR</t>
  </si>
  <si>
    <t>78:33:C6:1B:D9:A6</t>
  </si>
  <si>
    <t>3C:A0:67:86:A2:B5</t>
  </si>
  <si>
    <t>martes 02 de diciembre de 2025</t>
  </si>
  <si>
    <t>MSI</t>
  </si>
  <si>
    <t>Modern 15 F13MG</t>
  </si>
  <si>
    <t>Intel 13th Core i7-1355U</t>
  </si>
  <si>
    <t>Micro-Star MS-15S1</t>
  </si>
  <si>
    <t>40:C2:BA:B6:7F:79</t>
  </si>
  <si>
    <t>EC:8E:77:BF:32:86</t>
  </si>
  <si>
    <t>Lenovo D22e-20</t>
  </si>
  <si>
    <t>1S66D2KAC6WWURHH88RR</t>
  </si>
  <si>
    <t>R5GL32KPD7J</t>
  </si>
  <si>
    <t>60:B4:A2:7D:6F:52</t>
  </si>
  <si>
    <t>14-dq0052dx</t>
  </si>
  <si>
    <t>5CD4475G58</t>
  </si>
  <si>
    <t>Intel Processor @ 1.10GHz</t>
  </si>
  <si>
    <t>HP 864D</t>
  </si>
  <si>
    <t>64 GB</t>
  </si>
  <si>
    <t>A8:E2:91:00:FA:67</t>
  </si>
  <si>
    <t xml:space="preserve">AOC </t>
  </si>
  <si>
    <t>R5GYC3DXFBY</t>
  </si>
  <si>
    <t>24:F4:0A:EE:E1:39</t>
  </si>
  <si>
    <t>MS-15H5 (U3E1)</t>
  </si>
  <si>
    <t>VWRXX-3MYYH-M8CY6-BMR3Y-FGDW6</t>
  </si>
  <si>
    <t>Intel Core Ultra 5 125H</t>
  </si>
  <si>
    <t>Micro-Star  MS-15H5 (U3E1)</t>
  </si>
  <si>
    <t>9C:B1:50:BD:53:F8</t>
  </si>
  <si>
    <t>LG FLATRON 19EN33S-B</t>
  </si>
  <si>
    <t>309NDVWN2311</t>
  </si>
  <si>
    <t>R5GL32KPHGV</t>
  </si>
  <si>
    <t>60:B4:A2:7D:70:6C</t>
  </si>
  <si>
    <t>jueves 30 de octubre de 2025</t>
  </si>
  <si>
    <t>VAIO</t>
  </si>
  <si>
    <t>View Sonic VS15562</t>
  </si>
  <si>
    <t>TVT172783266</t>
  </si>
  <si>
    <t>jueves 27 de noviembre de 2025</t>
  </si>
  <si>
    <t>Modern 15 B13M</t>
  </si>
  <si>
    <t>K2504N0117978</t>
  </si>
  <si>
    <t>Intel Core i7-1355U</t>
  </si>
  <si>
    <t>MS-15H1</t>
  </si>
  <si>
    <t>D0:57:7E:00:C2:01</t>
  </si>
  <si>
    <t>RFGL1198F8Y</t>
  </si>
  <si>
    <t>7C:7B:BF:E9:75:A4</t>
  </si>
  <si>
    <t>GHIA MG2020</t>
  </si>
  <si>
    <t>S12120701478</t>
  </si>
  <si>
    <t>THIN 15 B13UC-1000US1000US</t>
  </si>
  <si>
    <t>V2506N0009830</t>
  </si>
  <si>
    <t>Intel Core I5-13420H</t>
  </si>
  <si>
    <t>MSI MS-16R8</t>
  </si>
  <si>
    <t>D8:43:AE:FB:66:80</t>
  </si>
  <si>
    <t>FC:6D:77:85:B8:9E</t>
  </si>
  <si>
    <t>RZGL103658Z</t>
  </si>
  <si>
    <t>8C:2E:72:05:0B:97</t>
  </si>
  <si>
    <t>MKT-EXPERIENCIAL</t>
  </si>
  <si>
    <t>Dell E1916HV</t>
  </si>
  <si>
    <t>CN-0HN22V-FCC00-AK-D8WB-A16</t>
  </si>
  <si>
    <t>V2506N0010700</t>
  </si>
  <si>
    <t>FC:6D:77:8C:C5:44</t>
  </si>
  <si>
    <t>RFGL1036PJA</t>
  </si>
  <si>
    <t>1A:39:58:34:AE:79</t>
  </si>
  <si>
    <t>sábado 27 de diciembre de 2025</t>
  </si>
  <si>
    <t>HUAWEI</t>
  </si>
  <si>
    <t>Matebook D16</t>
  </si>
  <si>
    <t>28KBB25B24800231</t>
  </si>
  <si>
    <t>13th Gen Intel Core i5-13420H</t>
  </si>
  <si>
    <t>HUAWEI MCLG-XX-PCB</t>
  </si>
  <si>
    <t>LG 24MP60G</t>
  </si>
  <si>
    <t>105NTMX0D731</t>
  </si>
  <si>
    <t>R5GYC4JWT0A</t>
  </si>
  <si>
    <t>78:33:C6:1B:D4:DE</t>
  </si>
  <si>
    <t>miércoles 31 de diciembre de 2025</t>
  </si>
  <si>
    <t>2BKBB25B24800106</t>
  </si>
  <si>
    <t>LG 19M38A-B</t>
  </si>
  <si>
    <t>902NTMXBU643</t>
  </si>
  <si>
    <t>FC:6D:77:44:CB:A9</t>
  </si>
  <si>
    <t>No.</t>
  </si>
  <si>
    <t>MAC-Address</t>
  </si>
  <si>
    <t>Precio Equipo</t>
  </si>
  <si>
    <t>Precio Sugerido</t>
  </si>
  <si>
    <t>RFGL1198GYE</t>
  </si>
  <si>
    <t>7C:7B:BF:E9:76:14</t>
  </si>
  <si>
    <t>Hyundai</t>
  </si>
  <si>
    <t>HT8WB1RBK03</t>
  </si>
  <si>
    <t>CF08218WB115900</t>
  </si>
  <si>
    <t>viernes 09 de enero de 2026</t>
  </si>
  <si>
    <t>Matebook D17</t>
  </si>
  <si>
    <t>2BKBB25B224800150</t>
  </si>
  <si>
    <t>FC:6D:77:85:63:4E</t>
  </si>
  <si>
    <t>210NDNU09799</t>
  </si>
  <si>
    <t>CF08218WB115891</t>
  </si>
  <si>
    <t>Samsung S26 Ultra 512GB</t>
  </si>
  <si>
    <t>R5GL20QWZ0M</t>
  </si>
  <si>
    <t>70:4E:E0:5F:87:E9</t>
  </si>
  <si>
    <t>Aspire Lite AL15-41</t>
  </si>
  <si>
    <t>UN31ZSI03S5310A6C50700</t>
  </si>
  <si>
    <t>AMD Ryzen 5 7430U</t>
  </si>
  <si>
    <t>F8:3D:C6:76:95:40</t>
  </si>
  <si>
    <t>jueves 02 de enero de 2023</t>
  </si>
  <si>
    <t>LG 32MN500M</t>
  </si>
  <si>
    <t>204NTXRG7778</t>
  </si>
  <si>
    <t>LNPH95TXDF</t>
  </si>
  <si>
    <t>EA:88:FD:47:D5:90</t>
  </si>
  <si>
    <t>CF08218WB115898</t>
  </si>
  <si>
    <t>Maquinaria</t>
  </si>
  <si>
    <t>RZGL1035CFH</t>
  </si>
  <si>
    <t>8C:2E:72:05:04:F1</t>
  </si>
  <si>
    <t>204NTNHG7775</t>
  </si>
  <si>
    <t>CF08218WB115894</t>
  </si>
  <si>
    <t>RZGL1035NVP</t>
  </si>
  <si>
    <t>8C:2E:72:05:07:9F</t>
  </si>
  <si>
    <t>DELL E1909Wf</t>
  </si>
  <si>
    <t>CN-0Y858D-72872-923-0J5L</t>
  </si>
  <si>
    <t>CF08218WB115896</t>
  </si>
  <si>
    <t>RZGL1035C4Y</t>
  </si>
  <si>
    <t>8C:2E:72:05:04:DB</t>
  </si>
  <si>
    <t>603NTWGGF273</t>
  </si>
  <si>
    <t>Alcatel</t>
  </si>
  <si>
    <t>8094M</t>
  </si>
  <si>
    <t>407NDZJ0G221</t>
  </si>
  <si>
    <t>RZGL1035EQR</t>
  </si>
  <si>
    <t>8C:2E:72:05:05:87</t>
  </si>
  <si>
    <t>608NTBK1J901</t>
  </si>
  <si>
    <t>RZGL1035S0H</t>
  </si>
  <si>
    <t>8C:2E:72:05:08:6F</t>
  </si>
  <si>
    <t>Huawei</t>
  </si>
  <si>
    <t>Mediapad T3 10</t>
  </si>
  <si>
    <t>D8TNU19820107722</t>
  </si>
  <si>
    <t>DVR-LP</t>
  </si>
  <si>
    <t>Acer P166HQL</t>
  </si>
  <si>
    <t>MMLTYAA0034150794C4201</t>
  </si>
  <si>
    <t>RZGL103659N</t>
  </si>
  <si>
    <t>8C:2E:72:05:0B:99</t>
  </si>
  <si>
    <t>D8TNU19907106381</t>
  </si>
  <si>
    <t>RZGL1035L9Y</t>
  </si>
  <si>
    <t>8C:2E:72:05:06:F5</t>
  </si>
  <si>
    <t>Acer V206HQL</t>
  </si>
  <si>
    <t>MMLY6AM001505113978504</t>
  </si>
  <si>
    <t>D8TNU19907107447</t>
  </si>
  <si>
    <t>708NTYT7M634</t>
  </si>
  <si>
    <t>D8TNU19820106700</t>
  </si>
  <si>
    <t>RZGL10504CZ</t>
  </si>
  <si>
    <t>8C:2E:72:08:0C:5F</t>
  </si>
  <si>
    <t>LG 19EN33S-B</t>
  </si>
  <si>
    <t>307NDYG51386</t>
  </si>
  <si>
    <t>HyTab Pro 10LC1</t>
  </si>
  <si>
    <t>K112110LC1LTM03356</t>
  </si>
  <si>
    <t>8C:C5:E1:6D:E6:89</t>
  </si>
  <si>
    <t>804NTKFBY453</t>
  </si>
  <si>
    <t>R5GYC4JVR7V</t>
  </si>
  <si>
    <t>78:33:C6:1B:CB:E6</t>
  </si>
  <si>
    <t>Acer X163W</t>
  </si>
  <si>
    <t>ETLE50C006047120EB4000</t>
  </si>
  <si>
    <t>K112110LC1LTM04879</t>
  </si>
  <si>
    <t>8C:C5:E1:6D:F0:60</t>
  </si>
  <si>
    <t>RZGL1037G0A</t>
  </si>
  <si>
    <t>8C:2E:72:05:16:DF</t>
  </si>
  <si>
    <t>S12120702545</t>
  </si>
  <si>
    <t>K112110LC1LTM03274</t>
  </si>
  <si>
    <t>8C:C5:E1:6D:E6:ED</t>
  </si>
  <si>
    <t>lunes 08 de julio de 2024</t>
  </si>
  <si>
    <t>801NTJJE228</t>
  </si>
  <si>
    <t>RZGL1036S3H</t>
  </si>
  <si>
    <t>8C:2E:72:05:10:F7</t>
  </si>
  <si>
    <t>Linea no era renovable, MKT usa iPhone</t>
  </si>
  <si>
    <t>K112110LC1LTM00554</t>
  </si>
  <si>
    <t>8C:C5:E1:6D:E0:2C</t>
  </si>
  <si>
    <t>jueves 4 de enerto de 2023</t>
  </si>
  <si>
    <t>807NTSU3N734</t>
  </si>
  <si>
    <t>R5GL32KPC2W</t>
  </si>
  <si>
    <t>60:B4:A2:7D:6F:06</t>
  </si>
  <si>
    <t>POSTVENTA-MOR</t>
  </si>
  <si>
    <t>MMLY6AM0016150670F8504</t>
  </si>
  <si>
    <t>3T10 Smart 8094M</t>
  </si>
  <si>
    <t>NBYTW8XWQOIFIN8T</t>
  </si>
  <si>
    <t>GOW2J24R4M</t>
  </si>
  <si>
    <t>1E:E3:F3:3E:3F:21</t>
  </si>
  <si>
    <t>807NTEP3L036</t>
  </si>
  <si>
    <t>RZGL1037PBK</t>
  </si>
  <si>
    <t>8C:2E:72:05:18:C3</t>
  </si>
  <si>
    <t>704NTPCA1912</t>
  </si>
  <si>
    <t>RZGL105044R</t>
  </si>
  <si>
    <t>8C:2E:72:08:0C:4F</t>
  </si>
  <si>
    <t>612NTZN02517</t>
  </si>
  <si>
    <t>RFGL1199APJ</t>
  </si>
  <si>
    <t>7C:7B:BF:E9:7C:FA</t>
  </si>
  <si>
    <t>LG 19M38A</t>
  </si>
  <si>
    <t>801NTJJ2E228</t>
  </si>
  <si>
    <t>RZGL105085Z</t>
  </si>
  <si>
    <t>8C:2E:72:08:0D:59</t>
  </si>
  <si>
    <t>Tipo</t>
  </si>
  <si>
    <t>Planes 2026</t>
  </si>
  <si>
    <t>Equipos 2026</t>
  </si>
  <si>
    <t>Cargadores</t>
  </si>
  <si>
    <t>Hacer EB192Q</t>
  </si>
  <si>
    <t>Números</t>
  </si>
  <si>
    <t>MMT6MAA002716030073E00</t>
  </si>
  <si>
    <t>GB Mensuales</t>
  </si>
  <si>
    <t>Marca y Modelo</t>
  </si>
  <si>
    <t>Precio renovación</t>
  </si>
  <si>
    <t>Sin caja</t>
  </si>
  <si>
    <t>Escritorio</t>
  </si>
  <si>
    <t>Con cargador Original y Cable Genérico</t>
  </si>
  <si>
    <t>RZGL1035CSZ</t>
  </si>
  <si>
    <t>8C:2E:72:05:05:07</t>
  </si>
  <si>
    <t>Iphone 17 PRO MAX</t>
  </si>
  <si>
    <t>Con cargador original sin cable</t>
  </si>
  <si>
    <t>Analista de Ventas</t>
  </si>
  <si>
    <t>Samsung S26+ 512GB</t>
  </si>
  <si>
    <t>Con cargador gernérico sin cable</t>
  </si>
  <si>
    <t>Analista Postventa</t>
  </si>
  <si>
    <t>Sólo cable</t>
  </si>
  <si>
    <t>Corporativo Operativo</t>
  </si>
  <si>
    <t>802NTWG0Y137</t>
  </si>
  <si>
    <t>RZGL1037SEY</t>
  </si>
  <si>
    <t>26:3B:5C:58:97:08</t>
  </si>
  <si>
    <t>LG 22M37A-B</t>
  </si>
  <si>
    <t>510NTCZ0M915</t>
  </si>
  <si>
    <t>Postventa</t>
  </si>
  <si>
    <t>Sin Asignar</t>
  </si>
  <si>
    <t>Staff</t>
  </si>
  <si>
    <t>RZGL10508GR</t>
  </si>
  <si>
    <t>8C:2E:72:08:0D:6F</t>
  </si>
  <si>
    <t>510NTXR0M786</t>
  </si>
  <si>
    <t>510NTRLBK582</t>
  </si>
  <si>
    <t>Practicas Profesionales</t>
  </si>
  <si>
    <t>510NTDV0N162</t>
  </si>
  <si>
    <t>NVR-PJ</t>
  </si>
  <si>
    <t>BTC VT17WV7X</t>
  </si>
  <si>
    <t>RZGL10508TK</t>
  </si>
  <si>
    <t>8C:2E:72:08:0D:85</t>
  </si>
  <si>
    <t>RZGL1037J0D</t>
  </si>
  <si>
    <t>8C:2E:72:05:17:63</t>
  </si>
  <si>
    <t>R5GYC4JY2JL</t>
  </si>
  <si>
    <t>72:5A:AE:22:4F:C6</t>
  </si>
  <si>
    <t>RZGL1037P2A</t>
  </si>
  <si>
    <t>8C:2E:72:05:18:B1</t>
  </si>
  <si>
    <t>empleado_id</t>
  </si>
  <si>
    <t>codigo</t>
  </si>
  <si>
    <t>nombre</t>
  </si>
  <si>
    <t>apellido_paterno</t>
  </si>
  <si>
    <t>apellido_materno</t>
  </si>
  <si>
    <t>rfc</t>
  </si>
  <si>
    <t>curp</t>
  </si>
  <si>
    <t>estado_civil</t>
  </si>
  <si>
    <t>sexo</t>
  </si>
  <si>
    <t>fecha_nacimiento</t>
  </si>
  <si>
    <t>municipio_nacimiento_id</t>
  </si>
  <si>
    <t>calle</t>
  </si>
  <si>
    <t>numero_exterior</t>
  </si>
  <si>
    <t>numero_interior</t>
  </si>
  <si>
    <t>codigo_postal_id</t>
  </si>
  <si>
    <t>colonia</t>
  </si>
  <si>
    <t>localidad</t>
  </si>
  <si>
    <t>municipio_id</t>
  </si>
  <si>
    <t>telefono_particular</t>
  </si>
  <si>
    <t>correo_electronico</t>
  </si>
  <si>
    <t>emergencia_nombre</t>
  </si>
  <si>
    <t>emergencia_telefono</t>
  </si>
  <si>
    <t>emergencia_parentesco</t>
  </si>
  <si>
    <t>fecha_ingreso</t>
  </si>
  <si>
    <t>sucursal_id</t>
  </si>
  <si>
    <t>departamento_id</t>
  </si>
  <si>
    <t>puesto_id</t>
  </si>
  <si>
    <t>licencia_manejo</t>
  </si>
  <si>
    <t>licencia_tipo</t>
  </si>
  <si>
    <t>licencia_expedicion</t>
  </si>
  <si>
    <t>licencia_vigencia</t>
  </si>
  <si>
    <t>cuenta_bancaria</t>
  </si>
  <si>
    <t>clabe</t>
  </si>
  <si>
    <t>nss</t>
  </si>
  <si>
    <t>clinica</t>
  </si>
  <si>
    <t>infonavit</t>
  </si>
  <si>
    <t>tipo_retencion</t>
  </si>
  <si>
    <t>importe</t>
  </si>
  <si>
    <t>fecha_infonavit</t>
  </si>
  <si>
    <t>tipo_sangre</t>
  </si>
  <si>
    <t>talla_camisa</t>
  </si>
  <si>
    <t>talla_pantalon</t>
  </si>
  <si>
    <t>talla_zapatos</t>
  </si>
  <si>
    <t>numero_afore</t>
  </si>
  <si>
    <t>afore</t>
  </si>
  <si>
    <t>grado_estudios</t>
  </si>
  <si>
    <t>licenciatura_titulo</t>
  </si>
  <si>
    <t>licenciatura_institucion</t>
  </si>
  <si>
    <t>licenciatura_fecha</t>
  </si>
  <si>
    <t>maestria_titulo</t>
  </si>
  <si>
    <t>maestria_institucion</t>
  </si>
  <si>
    <t>maestria_fecha</t>
  </si>
  <si>
    <t>ingles_comprension</t>
  </si>
  <si>
    <t>ingles_lectura</t>
  </si>
  <si>
    <t>ingles_escritura</t>
  </si>
  <si>
    <t>frances_comprension</t>
  </si>
  <si>
    <t>frances_lectura</t>
  </si>
  <si>
    <t>frances_escritura</t>
  </si>
  <si>
    <t>otro_idioma</t>
  </si>
  <si>
    <t>otro_comprension</t>
  </si>
  <si>
    <t>otro_lectura</t>
  </si>
  <si>
    <t>otro_escritura</t>
  </si>
  <si>
    <t>excel</t>
  </si>
  <si>
    <t>word</t>
  </si>
  <si>
    <t>power_point</t>
  </si>
  <si>
    <t>access</t>
  </si>
  <si>
    <t>otras_habilidades</t>
  </si>
  <si>
    <t>observaciones</t>
  </si>
  <si>
    <t>estatus</t>
  </si>
  <si>
    <t>fecha_creacion</t>
  </si>
  <si>
    <t>usuario_creacion</t>
  </si>
  <si>
    <t>fecha_actualizacion</t>
  </si>
  <si>
    <t>usuario_actualizacion</t>
  </si>
  <si>
    <t>fecha_eliminacion</t>
  </si>
  <si>
    <t>usuario_eliminacion</t>
  </si>
  <si>
    <t>ISELA MARIA GUADALUPE</t>
  </si>
  <si>
    <t>RODRIGUEZ</t>
  </si>
  <si>
    <t>ESTRADA</t>
  </si>
  <si>
    <t>ROEI860106HA2</t>
  </si>
  <si>
    <t>ROEI860106MJCDSS03</t>
  </si>
  <si>
    <t>CASADA</t>
  </si>
  <si>
    <t>FEMENINO</t>
  </si>
  <si>
    <t>HALC󿿓N</t>
  </si>
  <si>
    <t>FRACC. REAL SAN EL󿿍AS</t>
  </si>
  <si>
    <t>LA BARCA</t>
  </si>
  <si>
    <t>iselmar_210200@hotmail.com</t>
  </si>
  <si>
    <t>LE󿿓N ARREDONDO</t>
  </si>
  <si>
    <t>ESPOSO</t>
  </si>
  <si>
    <t>NULL</t>
  </si>
  <si>
    <t>10N2271555</t>
  </si>
  <si>
    <t>TIPO A</t>
  </si>
  <si>
    <t>NO TIENE</t>
  </si>
  <si>
    <t>A+</t>
  </si>
  <si>
    <t>ACTIVO</t>
  </si>
  <si>
    <t>HUGO ANTONIO</t>
  </si>
  <si>
    <t>GOMEZ</t>
  </si>
  <si>
    <t>HERNANDEZ</t>
  </si>
  <si>
    <t>GOHH551121JE5</t>
  </si>
  <si>
    <t>GOHH551121HJCMRG02</t>
  </si>
  <si>
    <t>CASADO</t>
  </si>
  <si>
    <t>MASCULINO</t>
  </si>
  <si>
    <t>INDEPENDENCIA</t>
  </si>
  <si>
    <t>LOS NARANJOS</t>
  </si>
  <si>
    <t>ATOTONILCO EL ALTO</t>
  </si>
  <si>
    <t>BLANCA ESTELA TEJEDA RIZO</t>
  </si>
  <si>
    <t>ESPOSA</t>
  </si>
  <si>
    <t>O</t>
  </si>
  <si>
    <t>INACTIVO</t>
  </si>
  <si>
    <t>JAIME</t>
  </si>
  <si>
    <t>R5GYC4JY2VW</t>
  </si>
  <si>
    <t>GARCIA</t>
  </si>
  <si>
    <t>78:33:C6:1B:DF:A8</t>
  </si>
  <si>
    <t>GAGJ731124ER6</t>
  </si>
  <si>
    <t>GAGJ731124HJCRRM06</t>
  </si>
  <si>
    <t>VHGFV</t>
  </si>
  <si>
    <t>CENTRO</t>
  </si>
  <si>
    <t>EL MIRTO</t>
  </si>
  <si>
    <t>37R82645928</t>
  </si>
  <si>
    <t>TIPO B</t>
  </si>
  <si>
    <t>MAGDALENA</t>
  </si>
  <si>
    <t>EAGM8110087S6</t>
  </si>
  <si>
    <t>EAGM811008MJCSMG01</t>
  </si>
  <si>
    <t>BUGAMBILIA</t>
  </si>
  <si>
    <t>BUGAMBILIAS</t>
  </si>
  <si>
    <t>maesgo5@hotmail.com</t>
  </si>
  <si>
    <t>MARTHA GOMEZ</t>
  </si>
  <si>
    <t>MADRE</t>
  </si>
  <si>
    <t>O-</t>
  </si>
  <si>
    <t>MARIA GUADALUPE</t>
  </si>
  <si>
    <t>AVIÑA</t>
  </si>
  <si>
    <t>CERVANTES</t>
  </si>
  <si>
    <t>AICG660205599</t>
  </si>
  <si>
    <t>AICG660205MJCVRD01</t>
  </si>
  <si>
    <t>SOLTERA</t>
  </si>
  <si>
    <t>HIDALGO 8</t>
  </si>
  <si>
    <t>SAN AGUSTIN</t>
  </si>
  <si>
    <t>MARTA AVIÑA CERVANTES</t>
  </si>
  <si>
    <t>HERMANA</t>
  </si>
  <si>
    <t>10R4474744</t>
  </si>
  <si>
    <t>RICARDO</t>
  </si>
  <si>
    <t>MORENO</t>
  </si>
  <si>
    <t>MEDINA</t>
  </si>
  <si>
    <t>MOMR560909KC0</t>
  </si>
  <si>
    <t>MOMR560909HMNRDC03</t>
  </si>
  <si>
    <t>CIRCUITO SANTA LUCIA NORTE</t>
  </si>
  <si>
    <t>SANTA MONICA</t>
  </si>
  <si>
    <t>YOLANDA VILLANUEVA HINOJOSA</t>
  </si>
  <si>
    <t>37R7844346</t>
  </si>
  <si>
    <t>O+</t>
  </si>
  <si>
    <t>RZGL1037P7W</t>
  </si>
  <si>
    <t>8C:2E:72:05:18:BB</t>
  </si>
  <si>
    <t>NO TIENE CEL PERSONAL</t>
  </si>
  <si>
    <t>KATHYA MARGARITA</t>
  </si>
  <si>
    <t>CERPA</t>
  </si>
  <si>
    <t>VELAZCO</t>
  </si>
  <si>
    <t>CEVK790526UE3</t>
  </si>
  <si>
    <t>CEVK790526MJCRLT05</t>
  </si>
  <si>
    <t>AV. LA ESTANCIA</t>
  </si>
  <si>
    <t>LOS CIRUELOS</t>
  </si>
  <si>
    <t>katyvelazco@hotmail.com</t>
  </si>
  <si>
    <t>KARLA LIZETHE CERPA VELAZCO</t>
  </si>
  <si>
    <t>MARIO DE JESUS</t>
  </si>
  <si>
    <t>ROJO</t>
  </si>
  <si>
    <t>ARIAS</t>
  </si>
  <si>
    <t>ROAM820222JS5</t>
  </si>
  <si>
    <t>ROAM820222HJCJRR01</t>
  </si>
  <si>
    <t>JOSE SOTELO CASILLAS</t>
  </si>
  <si>
    <t>INFONAVIT MILPILLAS</t>
  </si>
  <si>
    <t>ATOTONILCO</t>
  </si>
  <si>
    <t>LAURA ALICIA GOMEZ</t>
  </si>
  <si>
    <t>37R6684530</t>
  </si>
  <si>
    <t>CARRERA TECNICA</t>
  </si>
  <si>
    <t>CONALEP</t>
  </si>
  <si>
    <t>BERNARDO</t>
  </si>
  <si>
    <t>ARCEO</t>
  </si>
  <si>
    <t>MENDEZ</t>
  </si>
  <si>
    <t>AEMB500430FQ3</t>
  </si>
  <si>
    <t>AEMB500430HMNRNR07</t>
  </si>
  <si>
    <t>1705A30907</t>
  </si>
  <si>
    <t>R5GYC4JX6NT</t>
  </si>
  <si>
    <t>78:33:C6:1B:D8:22</t>
  </si>
  <si>
    <t>RFGL1198K7K</t>
  </si>
  <si>
    <t>7C:7B:BF:E9:76:AA</t>
  </si>
  <si>
    <t>R5GL130VE7A</t>
  </si>
  <si>
    <t>78:33:C6:B4:7C:A6</t>
  </si>
  <si>
    <t>DMQXLM2H76</t>
  </si>
  <si>
    <t>8E:DE:1A:A2:BA:71</t>
  </si>
  <si>
    <t>RFGL1198JEA</t>
  </si>
  <si>
    <t>7C:7B:BF:E9:76:76</t>
  </si>
  <si>
    <t>CARLOS VIDAL</t>
  </si>
  <si>
    <t>PLASCENCIA</t>
  </si>
  <si>
    <t>CAMACHO</t>
  </si>
  <si>
    <t>PACC681106TD9</t>
  </si>
  <si>
    <t>PACC681106HJCLMR07</t>
  </si>
  <si>
    <t>UGFGHJ</t>
  </si>
  <si>
    <t>FERNANDO</t>
  </si>
  <si>
    <t>BARBOZA</t>
  </si>
  <si>
    <t>ROMAN</t>
  </si>
  <si>
    <t>BARF841204P91</t>
  </si>
  <si>
    <t>BARF841204HJCRMR02</t>
  </si>
  <si>
    <t>CUITLAHUAC</t>
  </si>
  <si>
    <t>SAN FRANCISCO DE RIVAS</t>
  </si>
  <si>
    <t>YANETH GARCIA RODRIGUEZ</t>
  </si>
  <si>
    <t>10R5074988</t>
  </si>
  <si>
    <t>RZGL1035A1Z</t>
  </si>
  <si>
    <t>8C:2E:72:05:04:51</t>
  </si>
  <si>
    <t>DURAN</t>
  </si>
  <si>
    <t>ULLOA</t>
  </si>
  <si>
    <t>DUUR7304031D6</t>
  </si>
  <si>
    <t>DUUR730403HJCRLC04</t>
  </si>
  <si>
    <t>PASEO RIO LERMA</t>
  </si>
  <si>
    <t>INGENIEROS, LOMA BONITA</t>
  </si>
  <si>
    <t>ricardu_73@yahoo.com.mx</t>
  </si>
  <si>
    <t>MARTHA LUCIA DURAN</t>
  </si>
  <si>
    <t>10R1445029</t>
  </si>
  <si>
    <t>LUIS ENRIQUE</t>
  </si>
  <si>
    <t>NUÑEZ</t>
  </si>
  <si>
    <t>NUNL901128391</t>
  </si>
  <si>
    <t>NUNL901128HJCXXS01</t>
  </si>
  <si>
    <t>CALZADA RAYMUNDO VAZQUEZ HERRERA</t>
  </si>
  <si>
    <t>SAN GABRIEL</t>
  </si>
  <si>
    <t>JENNIFER DAVALOS ANDRADE</t>
  </si>
  <si>
    <t>10R6085417</t>
  </si>
  <si>
    <t>A-</t>
  </si>
  <si>
    <t>JORGE HUMBERTO</t>
  </si>
  <si>
    <t>CORDOVA</t>
  </si>
  <si>
    <t>GOCJ730415FU5</t>
  </si>
  <si>
    <t>GOCJ730415HJCMRR07</t>
  </si>
  <si>
    <t>DIVORCIADO</t>
  </si>
  <si>
    <t>SN</t>
  </si>
  <si>
    <t>LOS MESONES</t>
  </si>
  <si>
    <t>cokecordova@gmail.com</t>
  </si>
  <si>
    <t>CELIA GOMEZ CORDOVA</t>
  </si>
  <si>
    <t>37R79782933</t>
  </si>
  <si>
    <t>BACHILLERATO GENERAL</t>
  </si>
  <si>
    <t>UNIVERSIDAD DE GUADALAJARA</t>
  </si>
  <si>
    <t>CITLALLI</t>
  </si>
  <si>
    <t>RAMOS</t>
  </si>
  <si>
    <t>RAGC8905294N9</t>
  </si>
  <si>
    <t>RAGC890529MJCMRT02</t>
  </si>
  <si>
    <t>JHUU</t>
  </si>
  <si>
    <t>SAN ANTONIO DE RIVAS</t>
  </si>
  <si>
    <t>MAMA</t>
  </si>
  <si>
    <t>MOISES ALBERTO</t>
  </si>
  <si>
    <t>GONZALEZ</t>
  </si>
  <si>
    <t>MENDOZA</t>
  </si>
  <si>
    <t>GOMM830408RTA</t>
  </si>
  <si>
    <t>GOMM830408HJCNNS03</t>
  </si>
  <si>
    <t>PASEO DEL LAGO DE PATZCUARO</t>
  </si>
  <si>
    <t>LOMA BONITA</t>
  </si>
  <si>
    <t>moi_glez82@hotmail.com</t>
  </si>
  <si>
    <t>JANET BARENICE BRISEÑO</t>
  </si>
  <si>
    <t>10R6142594</t>
  </si>
  <si>
    <t>AB+</t>
  </si>
  <si>
    <t>BANAMEX</t>
  </si>
  <si>
    <t>PEDRO</t>
  </si>
  <si>
    <t>LARA</t>
  </si>
  <si>
    <t>GALP730908HB2</t>
  </si>
  <si>
    <t>GALP730908HJCRRD06</t>
  </si>
  <si>
    <t>EMILIANO ZAPATA</t>
  </si>
  <si>
    <t>LA CONCIA</t>
  </si>
  <si>
    <t>LUZ MARIA HIDALGO ESTRADA</t>
  </si>
  <si>
    <t>2004A34706</t>
  </si>
  <si>
    <t>MARLENE GUADALUPE</t>
  </si>
  <si>
    <t>IBARRA</t>
  </si>
  <si>
    <t>MGGI021212102</t>
  </si>
  <si>
    <t>IGHJ</t>
  </si>
  <si>
    <t>EDUARDO GUADALUPE</t>
  </si>
  <si>
    <t>GUTIERREZ</t>
  </si>
  <si>
    <t>GURE911025JWA</t>
  </si>
  <si>
    <t>GURE911025HJCTDD09</t>
  </si>
  <si>
    <t>NIÑOS HEROES</t>
  </si>
  <si>
    <t>PROVIDENCIA</t>
  </si>
  <si>
    <t>TERESA DE JESUS GONZALEZ GUTIERREZ</t>
  </si>
  <si>
    <t>37R7784159</t>
  </si>
  <si>
    <t>MARTIN</t>
  </si>
  <si>
    <t>SALCEDO</t>
  </si>
  <si>
    <t>VARGAS</t>
  </si>
  <si>
    <t>SAVM851014UM7</t>
  </si>
  <si>
    <t>SAVM851014HJCLRR09</t>
  </si>
  <si>
    <t>DEGOLLADO</t>
  </si>
  <si>
    <t>marttsalcedo@gmail.com</t>
  </si>
  <si>
    <t>MARTIN SALCEDO AVALOS</t>
  </si>
  <si>
    <t>PADRE</t>
  </si>
  <si>
    <t>10R6041874</t>
  </si>
  <si>
    <t>RAUL</t>
  </si>
  <si>
    <t>ARZATE</t>
  </si>
  <si>
    <t>ORTIZ</t>
  </si>
  <si>
    <t>AAOR930803MA0</t>
  </si>
  <si>
    <t>AAOR930803HMNRRL07</t>
  </si>
  <si>
    <t>SOLTERO</t>
  </si>
  <si>
    <t>EJIDO</t>
  </si>
  <si>
    <t>VISTA HERMOSA</t>
  </si>
  <si>
    <t>raularzate274@gmail.com</t>
  </si>
  <si>
    <t>BERTHA ORTIZ ALVARADO</t>
  </si>
  <si>
    <t>2001A35848</t>
  </si>
  <si>
    <t>.</t>
  </si>
  <si>
    <t>ABEL</t>
  </si>
  <si>
    <t>BARRERA</t>
  </si>
  <si>
    <t>JIMENEZ</t>
  </si>
  <si>
    <t>BAJA580120716</t>
  </si>
  <si>
    <t>BAJA580120HJCRMB01</t>
  </si>
  <si>
    <t>HIDALGO</t>
  </si>
  <si>
    <t>abelbarrerajim@yahoo.com.mx</t>
  </si>
  <si>
    <t>LAURA VELAZQUEZ JIMENEZ</t>
  </si>
  <si>
    <t>N06263292</t>
  </si>
  <si>
    <t>ING AGRICOLA</t>
  </si>
  <si>
    <t>UNAM</t>
  </si>
  <si>
    <t>JOAQUIN DE JESUS</t>
  </si>
  <si>
    <t>ROJAS</t>
  </si>
  <si>
    <t>HERJ8212064U8</t>
  </si>
  <si>
    <t>HERJ821206HJCRJQ09</t>
  </si>
  <si>
    <t>VALLE DE LA UVA</t>
  </si>
  <si>
    <t>LOMAS DEL VALLE</t>
  </si>
  <si>
    <t>jukin82@gmail.com</t>
  </si>
  <si>
    <t>ALONDRA GARCIA IBARRA</t>
  </si>
  <si>
    <t>20R7786972</t>
  </si>
  <si>
    <t>MMLY6AM001505114948504</t>
  </si>
  <si>
    <t>PASCUAL</t>
  </si>
  <si>
    <t>LOPEZ</t>
  </si>
  <si>
    <t>PLES012345698</t>
  </si>
  <si>
    <t>ED</t>
  </si>
  <si>
    <t>JAIME ALONSO</t>
  </si>
  <si>
    <t>SANCHEZ</t>
  </si>
  <si>
    <t>GASJ971021MF9</t>
  </si>
  <si>
    <t>GASJ971021HJCRNM06</t>
  </si>
  <si>
    <t>GARIBY RIVERA</t>
  </si>
  <si>
    <t>10R6086798</t>
  </si>
  <si>
    <t>JESUS ANTONIO</t>
  </si>
  <si>
    <t>DIAZ</t>
  </si>
  <si>
    <t>DIGJ870921TG9</t>
  </si>
  <si>
    <t>DIGJ870921HJCZNS08</t>
  </si>
  <si>
    <t>4 DE MAYO</t>
  </si>
  <si>
    <t>RZGL105080F</t>
  </si>
  <si>
    <t>8C:2E:72:08:0D:4F</t>
  </si>
  <si>
    <t>10R3696577</t>
  </si>
  <si>
    <t>FRANCISCO</t>
  </si>
  <si>
    <t>QUINTERO</t>
  </si>
  <si>
    <t>DE LA TORRE</t>
  </si>
  <si>
    <t>QUTF840619EM4</t>
  </si>
  <si>
    <t>QUTF840619HJCNRR09</t>
  </si>
  <si>
    <t>Benq ET-0004-L</t>
  </si>
  <si>
    <t>ETI7700528027</t>
  </si>
  <si>
    <t>EL ARENAL</t>
  </si>
  <si>
    <t>26R6932512</t>
  </si>
  <si>
    <t>BRIAN DANIEL</t>
  </si>
  <si>
    <t>NUNEZ</t>
  </si>
  <si>
    <t>NUNB990121216</t>
  </si>
  <si>
    <t>NUNB990121HJCXXR02</t>
  </si>
  <si>
    <t>RAYMUNDO VAZQUEZ HERRERA</t>
  </si>
  <si>
    <t>EL ABREVADERO</t>
  </si>
  <si>
    <t>WENDY SARAHI JIMENEZ GUTIERREZ</t>
  </si>
  <si>
    <t>10R6940072</t>
  </si>
  <si>
    <t>ELFEGO</t>
  </si>
  <si>
    <t>CASTRO</t>
  </si>
  <si>
    <t>CASE8107196G9</t>
  </si>
  <si>
    <t>CASE810719HMNSNL09</t>
  </si>
  <si>
    <t>RETORNO DEL APATITO</t>
  </si>
  <si>
    <t>VILLAS DEL PEDREGAL</t>
  </si>
  <si>
    <t>MORELIA</t>
  </si>
  <si>
    <t>AA6320</t>
  </si>
  <si>
    <t>ABRAHAM OCTAVIO</t>
  </si>
  <si>
    <t>SAHAGUN</t>
  </si>
  <si>
    <t>GASA8911022W6</t>
  </si>
  <si>
    <t>GASA891102HJCRHB06</t>
  </si>
  <si>
    <t>FLORIFONDIA</t>
  </si>
  <si>
    <t>SANTA CECILIA</t>
  </si>
  <si>
    <t>abraham_5864@hotmail.com</t>
  </si>
  <si>
    <t>MARIA MAGDALENA VENEGAS SANCHEZ</t>
  </si>
  <si>
    <t>10R6890676</t>
  </si>
  <si>
    <t>B+</t>
  </si>
  <si>
    <t>Samsung S19A10N</t>
  </si>
  <si>
    <t>ZT16H9NB500106V</t>
  </si>
  <si>
    <t>RZGL1035B2E</t>
  </si>
  <si>
    <t>8C:2E:72:05:04:95</t>
  </si>
  <si>
    <t>MIGUEL ANGEL</t>
  </si>
  <si>
    <t>ESCOTO</t>
  </si>
  <si>
    <t>GOEM890219SA2</t>
  </si>
  <si>
    <t>GOEM890219HJCNSG01</t>
  </si>
  <si>
    <t>ABASOLO</t>
  </si>
  <si>
    <t>SAN ANTONIO DE FERNANDEZ</t>
  </si>
  <si>
    <t>miguelangelgleze@gamil.com</t>
  </si>
  <si>
    <t>RAFAEL GONZALEZ NUÑEZ</t>
  </si>
  <si>
    <t>37R6513359</t>
  </si>
  <si>
    <t>DANIEL GERARDO</t>
  </si>
  <si>
    <t>BRAVO</t>
  </si>
  <si>
    <t>AIBD770302UF4</t>
  </si>
  <si>
    <t>AIBD770302HJCVRN01</t>
  </si>
  <si>
    <t>GTGRF</t>
  </si>
  <si>
    <t>MARIA EUGENIA VALDIVIA</t>
  </si>
  <si>
    <t>10R7256866</t>
  </si>
  <si>
    <t>LUIS ERNESTO</t>
  </si>
  <si>
    <t>SANTIAGO</t>
  </si>
  <si>
    <t>SAGL840110I98</t>
  </si>
  <si>
    <t>SAGL840110HJCNNS07</t>
  </si>
  <si>
    <t>PROL JUAREZ</t>
  </si>
  <si>
    <t>MARIA DE JESUS GODINEZ ALCANTAR</t>
  </si>
  <si>
    <t>10R83788909</t>
  </si>
  <si>
    <t>JUAN JOSE</t>
  </si>
  <si>
    <t>CASTILLO</t>
  </si>
  <si>
    <t>CAMJ5202239N4</t>
  </si>
  <si>
    <t>CAMJ520223HMNSNN08</t>
  </si>
  <si>
    <t>IUYTGHJ</t>
  </si>
  <si>
    <t>1701A16662</t>
  </si>
  <si>
    <t>612NTHM02609</t>
  </si>
  <si>
    <t>JUAN MARCOS</t>
  </si>
  <si>
    <t>ACEVEDO</t>
  </si>
  <si>
    <t>AEEJ741227DM3</t>
  </si>
  <si>
    <t>AEEJ741227HJCCSN00</t>
  </si>
  <si>
    <t>ARQUITECTOS</t>
  </si>
  <si>
    <t>FRACC SAN JOAQUIN</t>
  </si>
  <si>
    <t>RZGL10383YX</t>
  </si>
  <si>
    <t>20R5160407</t>
  </si>
  <si>
    <t>8C:2E:72:05:1C:45</t>
  </si>
  <si>
    <t>BENJAMIN</t>
  </si>
  <si>
    <t>OROZCO</t>
  </si>
  <si>
    <t>RIVERA</t>
  </si>
  <si>
    <t>OORB881006FC8</t>
  </si>
  <si>
    <t>OORB881006HJCRVN02</t>
  </si>
  <si>
    <t>PORFIRIO DIAZ</t>
  </si>
  <si>
    <t>37R7624683</t>
  </si>
  <si>
    <t>IRIS SARAHI</t>
  </si>
  <si>
    <t>ENRIQUEZ</t>
  </si>
  <si>
    <t>AVALOS</t>
  </si>
  <si>
    <t>EIAI930101AL5</t>
  </si>
  <si>
    <t>EIAI930101MJCNVR09</t>
  </si>
  <si>
    <t>ANDADOR LOMA VERDE</t>
  </si>
  <si>
    <t>LOMAS DE SAN LUIS</t>
  </si>
  <si>
    <t>ISELA ELIZABETH</t>
  </si>
  <si>
    <t>COVARRUBIAS</t>
  </si>
  <si>
    <t>CONI9608072J6</t>
  </si>
  <si>
    <t>CONI960807MJCVXS02</t>
  </si>
  <si>
    <t>IUYTFGHJ</t>
  </si>
  <si>
    <t>Samsung 740NW</t>
  </si>
  <si>
    <t>HA17HVBP517624X</t>
  </si>
  <si>
    <t>MARCO ANTONIO</t>
  </si>
  <si>
    <t>PINTO</t>
  </si>
  <si>
    <t>PIOM7311257WA</t>
  </si>
  <si>
    <t>PIOM731125HDFNRR03</t>
  </si>
  <si>
    <t>JHGV</t>
  </si>
  <si>
    <t>1801A33943</t>
  </si>
  <si>
    <t>RZGL10368AL</t>
  </si>
  <si>
    <t>8C:2E:72:05:0C:61</t>
  </si>
  <si>
    <t>JUAN CARLOS</t>
  </si>
  <si>
    <t>ROMERO</t>
  </si>
  <si>
    <t>EIRJ691211UV3</t>
  </si>
  <si>
    <t>EIRJ691211HMNNMN05</t>
  </si>
  <si>
    <t>RCSA</t>
  </si>
  <si>
    <t>1801A35412</t>
  </si>
  <si>
    <t>MARCO DARIO</t>
  </si>
  <si>
    <t>MARTINEZ</t>
  </si>
  <si>
    <t>ALVAREZ</t>
  </si>
  <si>
    <t>MAAM8712265C1</t>
  </si>
  <si>
    <t>MAAM871226HMNRLR07</t>
  </si>
  <si>
    <t>RZGL10372SJ</t>
  </si>
  <si>
    <t>16 DE SEPTIEMBRE</t>
  </si>
  <si>
    <t>1E:B7:EA:B4:6B:B8</t>
  </si>
  <si>
    <t>ERMITA</t>
  </si>
  <si>
    <t>dariomartinezalvarez@hotmail.com</t>
  </si>
  <si>
    <t>ESMERALDA MADRIGAL ALVARADO</t>
  </si>
  <si>
    <t>1801A32984</t>
  </si>
  <si>
    <t>NESTOR JOSE</t>
  </si>
  <si>
    <t>SOLORIO</t>
  </si>
  <si>
    <t>MASN840319DY5</t>
  </si>
  <si>
    <t>MASN840319HMNRLS08</t>
  </si>
  <si>
    <t>804NTFABY459</t>
  </si>
  <si>
    <t>CONOCIDO</t>
  </si>
  <si>
    <t>EL PALMITO</t>
  </si>
  <si>
    <t>EDGAR ALFONSO</t>
  </si>
  <si>
    <t>GUARDADO</t>
  </si>
  <si>
    <t>CORONA</t>
  </si>
  <si>
    <t>EDCA321548796</t>
  </si>
  <si>
    <t>ADADFDA</t>
  </si>
  <si>
    <t>008NTFAM3923</t>
  </si>
  <si>
    <t>JANET GUADALUPE</t>
  </si>
  <si>
    <t>RAMIREZ</t>
  </si>
  <si>
    <t>VERA</t>
  </si>
  <si>
    <t>RAVJ920728HS4</t>
  </si>
  <si>
    <t>RAVJ920728MGTMRN09</t>
  </si>
  <si>
    <t>PROLONGACION LEON</t>
  </si>
  <si>
    <t>SANTA ANA PACUECO</t>
  </si>
  <si>
    <t>YESSICA</t>
  </si>
  <si>
    <t>VELAZQUEZ</t>
  </si>
  <si>
    <t>VILLANUEVA</t>
  </si>
  <si>
    <t>VEVY910420C15</t>
  </si>
  <si>
    <t>VEVY910420MJCLLS09</t>
  </si>
  <si>
    <t>CUAUHTEMOC</t>
  </si>
  <si>
    <t>GUADALUPE DE LERMA</t>
  </si>
  <si>
    <t>yezzica_ale@hotmail.com</t>
  </si>
  <si>
    <t>EDUARDO SOLORIO</t>
  </si>
  <si>
    <t>708NTNH7M623</t>
  </si>
  <si>
    <t>RAFAEL</t>
  </si>
  <si>
    <t>ANDRADE</t>
  </si>
  <si>
    <t>AARR851113</t>
  </si>
  <si>
    <t>AARR851113HJCNDF02</t>
  </si>
  <si>
    <t>OCAMPO</t>
  </si>
  <si>
    <t>MASCOTA</t>
  </si>
  <si>
    <t>OCOTLAN</t>
  </si>
  <si>
    <t>rafael_scorpion@hotmail.com</t>
  </si>
  <si>
    <t>ALEJANDRA GAMA</t>
  </si>
  <si>
    <t>10R2239832</t>
  </si>
  <si>
    <t>O +</t>
  </si>
  <si>
    <t>LICENCIATURA</t>
  </si>
  <si>
    <t>TITULADO</t>
  </si>
  <si>
    <t>INSTITUTO TECNOLOGICO DE OCOTLAN</t>
  </si>
  <si>
    <t>LUCIA</t>
  </si>
  <si>
    <t>BASL8509177Z5</t>
  </si>
  <si>
    <t>BASL850917MJCRNC05</t>
  </si>
  <si>
    <t>SANTA LUCIA ORIENTE #32 FRACCIONAMIENTO SANTA LUCI</t>
  </si>
  <si>
    <t>FRACCIONAMIENTO SANTA LUCIA</t>
  </si>
  <si>
    <t>belucy_bs@hotmail.com</t>
  </si>
  <si>
    <t>CARLOS ALBERTO ZAMORA CRUZ</t>
  </si>
  <si>
    <t>ALMA ROSA</t>
  </si>
  <si>
    <t>MORALES</t>
  </si>
  <si>
    <t>MOEA730115ET7</t>
  </si>
  <si>
    <t>MOEA730115MDFRSL06</t>
  </si>
  <si>
    <t>SAN LUIS</t>
  </si>
  <si>
    <t>EL MONTE</t>
  </si>
  <si>
    <t>LA BARCAA</t>
  </si>
  <si>
    <t>312NDFVDJ163</t>
  </si>
  <si>
    <t>BERTHA ALICIA</t>
  </si>
  <si>
    <t>TORIBIO</t>
  </si>
  <si>
    <t>AITB810709AQ6</t>
  </si>
  <si>
    <t>AITB810709MJCVRR09</t>
  </si>
  <si>
    <t>RFVBNHGF</t>
  </si>
  <si>
    <t>NANCY ESMERALDA</t>
  </si>
  <si>
    <t>CARRILLO</t>
  </si>
  <si>
    <t>CAGN730404NA4</t>
  </si>
  <si>
    <t>CAGN730404MJCRNN0</t>
  </si>
  <si>
    <t>SAN JOSE DE LAS MORAS</t>
  </si>
  <si>
    <t>nesmeralda_0404@hotmail.com</t>
  </si>
  <si>
    <t>ARTURO CHAVEZ</t>
  </si>
  <si>
    <t>JOSE ALFREDO</t>
  </si>
  <si>
    <t>MACIAS</t>
  </si>
  <si>
    <t>MAPA730418JM4</t>
  </si>
  <si>
    <t>MAPA730418HJCCLL07</t>
  </si>
  <si>
    <t>RINCON DEL ALAMO</t>
  </si>
  <si>
    <t>ARBOLEDAS</t>
  </si>
  <si>
    <t>jalfredomp73@gmail.com</t>
  </si>
  <si>
    <t>ALEJANDRA VILLAROEL DELGADO</t>
  </si>
  <si>
    <t>10R6881489</t>
  </si>
  <si>
    <t>NO TIENE NUMERO PERSONAL</t>
  </si>
  <si>
    <t>1S66D2KAC6WWURHH8AYD</t>
  </si>
  <si>
    <t>JASM671001GR2</t>
  </si>
  <si>
    <t>JASM671001HMNMLR02</t>
  </si>
  <si>
    <t>PEDRO MORENO</t>
  </si>
  <si>
    <t>FRACCIONAMIENTO PEÑA</t>
  </si>
  <si>
    <t>majs2000@hotmail.com</t>
  </si>
  <si>
    <t>SI</t>
  </si>
  <si>
    <t>LICENCIADO EN SISTEMAS COMPUTACIONALES</t>
  </si>
  <si>
    <t>UNIVA</t>
  </si>
  <si>
    <t>SANDRA TRINIDAD</t>
  </si>
  <si>
    <t>VELASCO</t>
  </si>
  <si>
    <t>CASTELLANOS</t>
  </si>
  <si>
    <t>VECS890711KX2</t>
  </si>
  <si>
    <t>VECS890711MJCLSN03</t>
  </si>
  <si>
    <t>JHGBNM</t>
  </si>
  <si>
    <t>ESPSOS</t>
  </si>
  <si>
    <t>MONICA DEL ROCIO</t>
  </si>
  <si>
    <t>ZARAGOZA</t>
  </si>
  <si>
    <t>SAZM860422MV3</t>
  </si>
  <si>
    <t>SAZM860422MJCNRN03</t>
  </si>
  <si>
    <t>OIUHG</t>
  </si>
  <si>
    <t>JUANA ALEJANDRA</t>
  </si>
  <si>
    <t>GAJJ851231SV6</t>
  </si>
  <si>
    <t>GAJJ851231MJCRMN05</t>
  </si>
  <si>
    <t>CHAPULTEPEC</t>
  </si>
  <si>
    <t>LG 19M38-B</t>
  </si>
  <si>
    <t>902NTABBT936</t>
  </si>
  <si>
    <t>BLANCA ESTELA</t>
  </si>
  <si>
    <t>TELLO</t>
  </si>
  <si>
    <t>PALOMAR</t>
  </si>
  <si>
    <t>TEPB7702174YA</t>
  </si>
  <si>
    <t>TEPB770217MJCLLL04</t>
  </si>
  <si>
    <t>ALEJANDRO ORTIZ</t>
  </si>
  <si>
    <t>CONTADURIA PUBLICA</t>
  </si>
  <si>
    <t>MARIA DEL ROSARIO</t>
  </si>
  <si>
    <t>CAZARES</t>
  </si>
  <si>
    <t>MATA</t>
  </si>
  <si>
    <t>CAMR870612FU7</t>
  </si>
  <si>
    <t>CAMR870612MJCZTS07</t>
  </si>
  <si>
    <t>DFVBNM</t>
  </si>
  <si>
    <t>SILVIA JANETH</t>
  </si>
  <si>
    <t>MEZA</t>
  </si>
  <si>
    <t>SEGURA</t>
  </si>
  <si>
    <t>MESS831117QQ2</t>
  </si>
  <si>
    <t>MESS831117MMNZGL05</t>
  </si>
  <si>
    <t>ANDADOR F</t>
  </si>
  <si>
    <t>INVONAVIT EL FUERTE</t>
  </si>
  <si>
    <t>smezas1983@gmail.com</t>
  </si>
  <si>
    <t>SILVIA SEGURA</t>
  </si>
  <si>
    <t>MMG4986720</t>
  </si>
  <si>
    <t>TIPO C</t>
  </si>
  <si>
    <t>ELIGIO ENRIQUE</t>
  </si>
  <si>
    <t>FRAGOSO</t>
  </si>
  <si>
    <t>AAFE531201U24</t>
  </si>
  <si>
    <t>AAFE531201HDFLRL01</t>
  </si>
  <si>
    <t>SOL NIÑO</t>
  </si>
  <si>
    <t>PUERTAS DEL SOL</t>
  </si>
  <si>
    <t>QUERETARO</t>
  </si>
  <si>
    <t>enriquealvarez@alenquetero.com.mx</t>
  </si>
  <si>
    <t>SANTIAGO ALVAREZ ENRIQUEZ</t>
  </si>
  <si>
    <t>HIJO</t>
  </si>
  <si>
    <t>Q112905-05</t>
  </si>
  <si>
    <t>BENQ HLI507SW</t>
  </si>
  <si>
    <t>SIN NÚMERO</t>
  </si>
  <si>
    <t>JANETH GUADALUPE</t>
  </si>
  <si>
    <t>TEMORES</t>
  </si>
  <si>
    <t>TEZJ911212FMA</t>
  </si>
  <si>
    <t>TEZJ911212MJCMRN08</t>
  </si>
  <si>
    <t>ADRIANA ESTEFANIA</t>
  </si>
  <si>
    <t>BARRON</t>
  </si>
  <si>
    <t>GUANAJUATO</t>
  </si>
  <si>
    <t>F</t>
  </si>
  <si>
    <t>UNAA</t>
  </si>
  <si>
    <t>MAMAM</t>
  </si>
  <si>
    <t>ELSA GUADALUPE</t>
  </si>
  <si>
    <t>RALE870617T29</t>
  </si>
  <si>
    <t>RALE870617MMNMPL03</t>
  </si>
  <si>
    <t>DIVORCIADA</t>
  </si>
  <si>
    <t>CHILPANCINGO</t>
  </si>
  <si>
    <t>skap_1_9@hotmail.com</t>
  </si>
  <si>
    <t>GABRIEL RAMIREZ</t>
  </si>
  <si>
    <t>YOANA YUDIT</t>
  </si>
  <si>
    <t>CABELLO</t>
  </si>
  <si>
    <t>SALGADO</t>
  </si>
  <si>
    <t>CASY900919NV0</t>
  </si>
  <si>
    <t>CASY900919MMNBLN03</t>
  </si>
  <si>
    <t>MMLXKAM001551009004225</t>
  </si>
  <si>
    <t>ATMOSFERA</t>
  </si>
  <si>
    <t>RZGL1035MSR</t>
  </si>
  <si>
    <t>8C:2E:72:05:07:59</t>
  </si>
  <si>
    <t>ANALISTA-COMER</t>
  </si>
  <si>
    <t>Samsung S19A330NHL</t>
  </si>
  <si>
    <t>4L22H9DX200754P</t>
  </si>
  <si>
    <t>R5GYC4JVRBB</t>
  </si>
  <si>
    <t>78:33:C6:1B:CB:EE</t>
  </si>
  <si>
    <t>martes 05 de agosto de 2025</t>
  </si>
  <si>
    <t>ASUSTEK VP227</t>
  </si>
  <si>
    <t>RZGL10506JZ</t>
  </si>
  <si>
    <t>8C:2E:72:08:0C:EF</t>
  </si>
  <si>
    <t>RZGL10354NN</t>
  </si>
  <si>
    <t>8C:2E:72:05:02:EF</t>
  </si>
  <si>
    <t>RZGL1035XXD</t>
  </si>
  <si>
    <t>8C:2E:72:05:09:B3</t>
  </si>
  <si>
    <t>FLORENTINO</t>
  </si>
  <si>
    <t>RANGEL</t>
  </si>
  <si>
    <t>RAHF720203868</t>
  </si>
  <si>
    <t>RAHF720203HMNNRL08</t>
  </si>
  <si>
    <t>ARROCENA</t>
  </si>
  <si>
    <t>ERANDENI</t>
  </si>
  <si>
    <t>0101D36242</t>
  </si>
  <si>
    <t>SANDRA</t>
  </si>
  <si>
    <t>CHAVEZ</t>
  </si>
  <si>
    <t>ARTEAGA</t>
  </si>
  <si>
    <t>CAAS7412261L0</t>
  </si>
  <si>
    <t>CAAS741226MDFHRN08</t>
  </si>
  <si>
    <t>ORQUIDEA</t>
  </si>
  <si>
    <t>A</t>
  </si>
  <si>
    <t>SAN BERNABE DE LA CANTERA</t>
  </si>
  <si>
    <t>TARIMBARO</t>
  </si>
  <si>
    <t>FLORES</t>
  </si>
  <si>
    <t>PARKMAN CACHO</t>
  </si>
  <si>
    <t>FOCF610404FV2</t>
  </si>
  <si>
    <t>FOCF610404HDFLCR07</t>
  </si>
  <si>
    <t>LOMAS</t>
  </si>
  <si>
    <t>VILLAS DE LA GRANJENA</t>
  </si>
  <si>
    <t>PONCITLAN</t>
  </si>
  <si>
    <t>LUCIANO</t>
  </si>
  <si>
    <t>FOLU740315CP3</t>
  </si>
  <si>
    <t>FOXL740315HJCLXC00</t>
  </si>
  <si>
    <t>EMILIO CARRANZA</t>
  </si>
  <si>
    <t>RFGL1198L4Y</t>
  </si>
  <si>
    <t>7C:7B:BF:E9:76:E6</t>
  </si>
  <si>
    <t>OSCAR ALBERTO</t>
  </si>
  <si>
    <t>GALO8808186Y4</t>
  </si>
  <si>
    <t>GALO880818HJCRPS03</t>
  </si>
  <si>
    <t>S</t>
  </si>
  <si>
    <t>MARIA LUISA</t>
  </si>
  <si>
    <t>JAUREGUI</t>
  </si>
  <si>
    <t>JALL911107DL4</t>
  </si>
  <si>
    <t>JALL911107MJCRPS00</t>
  </si>
  <si>
    <t>RAMON CORONA PONIENTE</t>
  </si>
  <si>
    <t>CESAR ERNESTO</t>
  </si>
  <si>
    <t>CARC9405025J5</t>
  </si>
  <si>
    <t>CARC940502HGTSMS07</t>
  </si>
  <si>
    <t>SANDIA</t>
  </si>
  <si>
    <t>LOS FRESNOS II</t>
  </si>
  <si>
    <t>PENJAM</t>
  </si>
  <si>
    <t>ANA CAROLINA</t>
  </si>
  <si>
    <t>MEHA8807022G3</t>
  </si>
  <si>
    <t>MEHA880702MGTNRN09</t>
  </si>
  <si>
    <t>R5GYC4JY28B</t>
  </si>
  <si>
    <t>78:33:C6:1B:DF:80</t>
  </si>
  <si>
    <t>JOSE IGNACIO</t>
  </si>
  <si>
    <t>MAGAÑA</t>
  </si>
  <si>
    <t>DUMI920428767</t>
  </si>
  <si>
    <t>DUMI920428HGTRGG09</t>
  </si>
  <si>
    <t>JHGTYUI</t>
  </si>
  <si>
    <t>JC23133806</t>
  </si>
  <si>
    <t>CRUZ</t>
  </si>
  <si>
    <t>ELIZARRARAS</t>
  </si>
  <si>
    <t>CUES8703021C2</t>
  </si>
  <si>
    <t>CUES870302HGTRLN03</t>
  </si>
  <si>
    <t>MIGUEL HIDALGO</t>
  </si>
  <si>
    <t>CRUZITAS DE GUTIERREZ</t>
  </si>
  <si>
    <t>cruzeli_santiago@hotmail.com</t>
  </si>
  <si>
    <t>VERONICA CABRERA CONRRIQUEZ</t>
  </si>
  <si>
    <t>SG23056761</t>
  </si>
  <si>
    <t>número</t>
  </si>
  <si>
    <t>MPP</t>
  </si>
  <si>
    <t>Plan 2024</t>
  </si>
  <si>
    <t>Mensualidad 2024</t>
  </si>
  <si>
    <t>GB 2024</t>
  </si>
  <si>
    <t>Plan 2026</t>
  </si>
  <si>
    <t>Mensualidad 2026</t>
  </si>
  <si>
    <t>CASTAÑEDA</t>
  </si>
  <si>
    <t>VAZQUEZ</t>
  </si>
  <si>
    <t>GB</t>
  </si>
  <si>
    <t>CAVP900225RN3</t>
  </si>
  <si>
    <t>CAVP900225HGTSZD03</t>
  </si>
  <si>
    <t>GB Promoción</t>
  </si>
  <si>
    <t>Diferencia</t>
  </si>
  <si>
    <t>TORRES CUATAS</t>
  </si>
  <si>
    <t>PENJAMO</t>
  </si>
  <si>
    <t>R5GL32KPDZX</t>
  </si>
  <si>
    <t>CLAUDIA ARRIGA LEMUS</t>
  </si>
  <si>
    <t>60:B4:A2:7D:6F:84</t>
  </si>
  <si>
    <t>PR21085359</t>
  </si>
  <si>
    <t>X</t>
  </si>
  <si>
    <t>GERARDO DAMIAN</t>
  </si>
  <si>
    <t>CONTRERAS</t>
  </si>
  <si>
    <t>AGUILAR</t>
  </si>
  <si>
    <t>COAG8511207B9</t>
  </si>
  <si>
    <t>COAG851120HNTNGR09</t>
  </si>
  <si>
    <t>COPALILLO</t>
  </si>
  <si>
    <t>FRACC LOS SABINOS</t>
  </si>
  <si>
    <t>coag851120@hotmail.com</t>
  </si>
  <si>
    <t>ALMA JUDITH IÑIGUEZ</t>
  </si>
  <si>
    <t>GUMG8812066E3</t>
  </si>
  <si>
    <t>GUMG881206MGTTGD08</t>
  </si>
  <si>
    <t>VICENTE GUERRERO #26 COL MIGUEL HIDALGO</t>
  </si>
  <si>
    <t>MARIA CRUZ MAGAÑA GOMEZ</t>
  </si>
  <si>
    <t>C</t>
  </si>
  <si>
    <t>ALERGIA MARISCOS</t>
  </si>
  <si>
    <t>JOSE VICTOR</t>
  </si>
  <si>
    <t>VACV860902759</t>
  </si>
  <si>
    <t>VACV860902HGTZRC09</t>
  </si>
  <si>
    <t>MORELOS</t>
  </si>
  <si>
    <t>CRUCITAS DE GUTIERREZ</t>
  </si>
  <si>
    <t>VANESSA RODRIGUEZ</t>
  </si>
  <si>
    <t>JR22075558</t>
  </si>
  <si>
    <t>UNIVERSIDAD</t>
  </si>
  <si>
    <t>UNIVERSIDAD DEL SABER</t>
  </si>
  <si>
    <t>D6F425J6PO</t>
  </si>
  <si>
    <t>CANO</t>
  </si>
  <si>
    <t>32:EE:19:1A:D9:DA</t>
  </si>
  <si>
    <t>CALJ731102LU5</t>
  </si>
  <si>
    <t>CALJ731102HGTNPN17</t>
  </si>
  <si>
    <t>REVOLUCION</t>
  </si>
  <si>
    <t>SALAMANCA</t>
  </si>
  <si>
    <t>RODRIGO VALENTIN</t>
  </si>
  <si>
    <t>VENTURA</t>
  </si>
  <si>
    <t>IAVR881130SUA</t>
  </si>
  <si>
    <t>IAVR881130HDFBND02</t>
  </si>
  <si>
    <t>RZGL1036RVE</t>
  </si>
  <si>
    <t>8C:2E:72:05:10:E7</t>
  </si>
  <si>
    <t>MNBVC</t>
  </si>
  <si>
    <t>0101T37854</t>
  </si>
  <si>
    <t>HUMBERTO</t>
  </si>
  <si>
    <t>LEON</t>
  </si>
  <si>
    <t>VALH941020HZ9</t>
  </si>
  <si>
    <t>VALH941020HMNZNM07</t>
  </si>
  <si>
    <t>GFDCVGD</t>
  </si>
  <si>
    <t>OMAR SALVADOR</t>
  </si>
  <si>
    <t>LUNA</t>
  </si>
  <si>
    <t>SAAVEDRA</t>
  </si>
  <si>
    <t>LUSO731219GZ4</t>
  </si>
  <si>
    <t>LUSO731219HMNNVM07</t>
  </si>
  <si>
    <t>OIUY</t>
  </si>
  <si>
    <t>RAUL ALEJANDRO</t>
  </si>
  <si>
    <t>CISNEROS</t>
  </si>
  <si>
    <t>RUIZ</t>
  </si>
  <si>
    <t>CIRR891004BF9</t>
  </si>
  <si>
    <t>CIRR891004HMNSZL03</t>
  </si>
  <si>
    <t>CIRCUITO LOMA ESTANCIA</t>
  </si>
  <si>
    <t>FRACC VILLAS DE LA LOMA</t>
  </si>
  <si>
    <t>JOSE RAMON</t>
  </si>
  <si>
    <t>JRMM785122021</t>
  </si>
  <si>
    <t>RZGL1035ABP</t>
  </si>
  <si>
    <t>8C:2E:72:05:04:65</t>
  </si>
  <si>
    <t>DFGFSF</t>
  </si>
  <si>
    <t>CUEVAS</t>
  </si>
  <si>
    <t>IACR651113MNA</t>
  </si>
  <si>
    <t>IACR651113HJCBVL08</t>
  </si>
  <si>
    <t>DOCTOR PABLO MALDONADO</t>
  </si>
  <si>
    <t>SAN JOSE DE ORNELAS</t>
  </si>
  <si>
    <t>ibarraraul607@gmail.com</t>
  </si>
  <si>
    <t>ROSA MACIAS PADILLA</t>
  </si>
  <si>
    <t>37R84686637</t>
  </si>
  <si>
    <t>JORGE CELSO</t>
  </si>
  <si>
    <t>FOCJ680406IF0</t>
  </si>
  <si>
    <t>FOCJ680406HJCLRR00</t>
  </si>
  <si>
    <t>SAN JOSE ORNELAS</t>
  </si>
  <si>
    <t>IGNACIO</t>
  </si>
  <si>
    <t>CEGI921001V4A</t>
  </si>
  <si>
    <t>CEGI921001HJCRRG06</t>
  </si>
  <si>
    <t>RAMON CORONA</t>
  </si>
  <si>
    <t>SANTA MARIA</t>
  </si>
  <si>
    <t>juniorcervantes5027@gmail.com</t>
  </si>
  <si>
    <t>10R6083682</t>
  </si>
  <si>
    <t>GUILLERMO</t>
  </si>
  <si>
    <t>BARAJAS</t>
  </si>
  <si>
    <t>BASG940306T70</t>
  </si>
  <si>
    <t>BASG940306HJCRNL07</t>
  </si>
  <si>
    <t>RZGL10357EK</t>
  </si>
  <si>
    <t>EDCF</t>
  </si>
  <si>
    <t>8C:2E:72:05:03:A5</t>
  </si>
  <si>
    <t>10R7373626</t>
  </si>
  <si>
    <t>ANDRES</t>
  </si>
  <si>
    <t>GAGA901113QU0</t>
  </si>
  <si>
    <t>GAGA901113HJCRRN08</t>
  </si>
  <si>
    <t>CIRCUITO BARCELONA</t>
  </si>
  <si>
    <t>26 D</t>
  </si>
  <si>
    <t>CASTELLANA</t>
  </si>
  <si>
    <t>andres.garcia_13@hotmail.com</t>
  </si>
  <si>
    <t>BRENDA GUADALUPE MEZA</t>
  </si>
  <si>
    <t>10R82657446</t>
  </si>
  <si>
    <t>NO TIENE N󿿚MERO PERSONAL</t>
  </si>
  <si>
    <t>ANTONIO</t>
  </si>
  <si>
    <t>SILVA</t>
  </si>
  <si>
    <t>LOSA770412HN9</t>
  </si>
  <si>
    <t>LOSA770412HJCPLN08</t>
  </si>
  <si>
    <t>NORTE</t>
  </si>
  <si>
    <t>CIRCUITO SANTA LUCIA</t>
  </si>
  <si>
    <t>tonnisss77@gmail.com</t>
  </si>
  <si>
    <t>ADRIANA DE LOS ANGELES CAMARENA DIAZ</t>
  </si>
  <si>
    <t>10R82098461</t>
  </si>
  <si>
    <t>PABLO ANDRES</t>
  </si>
  <si>
    <t>MADRIGAL</t>
  </si>
  <si>
    <t>VEGA</t>
  </si>
  <si>
    <t>MAVP940621DB1</t>
  </si>
  <si>
    <t>MAVP940621HMNDGB09</t>
  </si>
  <si>
    <t>AMADO NERVO</t>
  </si>
  <si>
    <t>RODRIGO ULISES</t>
  </si>
  <si>
    <t>BRISEÑO</t>
  </si>
  <si>
    <t>RUBR970326TDA</t>
  </si>
  <si>
    <t>RUBR970326HJCZRD07</t>
  </si>
  <si>
    <t>LA PAZ DE ORDAZ</t>
  </si>
  <si>
    <t>RZGL1035MAF</t>
  </si>
  <si>
    <t>8C:2E:72:05:07:39</t>
  </si>
  <si>
    <t>EDUARDO</t>
  </si>
  <si>
    <t>GODINEZ</t>
  </si>
  <si>
    <t>EGCR540510540</t>
  </si>
  <si>
    <t>LAZARO CARDENAZ</t>
  </si>
  <si>
    <t>FABIOLA VALDIVIA GONZALEZ</t>
  </si>
  <si>
    <t>GUADALUPE MANUEL</t>
  </si>
  <si>
    <t>GOEG7309079A7</t>
  </si>
  <si>
    <t>GOEG730907HJCNSD03</t>
  </si>
  <si>
    <t>VIOLETA</t>
  </si>
  <si>
    <t>guadalupe.manuel.gonzalez0709@gmail.com</t>
  </si>
  <si>
    <t>LAURA MARIANA ZAMORA BARBOZA</t>
  </si>
  <si>
    <t>10R7435620</t>
  </si>
  <si>
    <t>BASG840210IX5</t>
  </si>
  <si>
    <t>BASG840210HJCRNL06</t>
  </si>
  <si>
    <t>gyrmob1@gmail.com</t>
  </si>
  <si>
    <t>JANET BARBOZA ROMAN</t>
  </si>
  <si>
    <t>10R6301109</t>
  </si>
  <si>
    <t>JONATHAN</t>
  </si>
  <si>
    <t>TORRES</t>
  </si>
  <si>
    <t>SOLIS</t>
  </si>
  <si>
    <t>TOSJ851230JH5</t>
  </si>
  <si>
    <t>TOSJ851230HMNRLN04</t>
  </si>
  <si>
    <t>ALTAIR</t>
  </si>
  <si>
    <t>SIN COLONIA</t>
  </si>
  <si>
    <t>MARIANA</t>
  </si>
  <si>
    <t>LOZA</t>
  </si>
  <si>
    <t>LOLM780617761</t>
  </si>
  <si>
    <t>LOLM780617MJCPZR01</t>
  </si>
  <si>
    <t>JUAN ROBLES</t>
  </si>
  <si>
    <t>BELLAVISTA</t>
  </si>
  <si>
    <t>lozamariana274@gmail.com</t>
  </si>
  <si>
    <t>JULIO LOPEZ</t>
  </si>
  <si>
    <t>MONTES</t>
  </si>
  <si>
    <t>GAMB9301047X6</t>
  </si>
  <si>
    <t>GAMB930104HJCRNN01</t>
  </si>
  <si>
    <t>RZGL10377EY</t>
  </si>
  <si>
    <t>GFSSFSDF</t>
  </si>
  <si>
    <t>8C:2E:72:05:14:A9</t>
  </si>
  <si>
    <t>10R3864321</t>
  </si>
  <si>
    <t>MARTHA</t>
  </si>
  <si>
    <t>REYES</t>
  </si>
  <si>
    <t>BAEZ</t>
  </si>
  <si>
    <t>REBM630110197</t>
  </si>
  <si>
    <t>REBM630110MMNYZR07</t>
  </si>
  <si>
    <t>VIUDA</t>
  </si>
  <si>
    <t>PRIVADA DE LOPEZ RAYON</t>
  </si>
  <si>
    <t>JARDINEZ DEL CARMEN</t>
  </si>
  <si>
    <t>marthareyes848@gmail.com</t>
  </si>
  <si>
    <t>JORGE LUIS RODRIGUEZ REYES</t>
  </si>
  <si>
    <t>JOSE MANUEL</t>
  </si>
  <si>
    <t>GORM7903257M3</t>
  </si>
  <si>
    <t>GORM790325HGTMDN07</t>
  </si>
  <si>
    <t>HHGFSFSDF</t>
  </si>
  <si>
    <t>RAMONA ARACELI</t>
  </si>
  <si>
    <t>PALOS</t>
  </si>
  <si>
    <t>CHAIREZ</t>
  </si>
  <si>
    <t>PACR940522DC6</t>
  </si>
  <si>
    <t>PACR940522MMNLHM02</t>
  </si>
  <si>
    <t>VENUSTIANO CARRANZA</t>
  </si>
  <si>
    <t>BRISEÑAS</t>
  </si>
  <si>
    <t>aracelipalosjr01@gmail.com</t>
  </si>
  <si>
    <t>FRANCISCO JAVIER PALOS CAMPOS</t>
  </si>
  <si>
    <t>PAPA</t>
  </si>
  <si>
    <t>SALVADOR</t>
  </si>
  <si>
    <t>TOTS541223AF8</t>
  </si>
  <si>
    <t>TOTS541223HMNRRL04</t>
  </si>
  <si>
    <t>BNMK,JHGD</t>
  </si>
  <si>
    <t>RZGL10365WM</t>
  </si>
  <si>
    <t>8C:2E:72:05:0B:C1</t>
  </si>
  <si>
    <t>ISIDRO</t>
  </si>
  <si>
    <t>NAVARRO</t>
  </si>
  <si>
    <t>NAII7005287P7</t>
  </si>
  <si>
    <t>NAII700528HGTVBS04</t>
  </si>
  <si>
    <t>JUAN RULFO</t>
  </si>
  <si>
    <t>LINDA VISTA</t>
  </si>
  <si>
    <t>navarro.isidro@outlook.com</t>
  </si>
  <si>
    <t>RAMIRO NAVARRO</t>
  </si>
  <si>
    <t>HERMANO</t>
  </si>
  <si>
    <t>IR19064240</t>
  </si>
  <si>
    <t>JESUS</t>
  </si>
  <si>
    <t>MOLINA</t>
  </si>
  <si>
    <t>ALANIZ</t>
  </si>
  <si>
    <t>MOAJ631003LK3</t>
  </si>
  <si>
    <t>MOAJ631003HGTLLS08</t>
  </si>
  <si>
    <t>LKNHYUJ</t>
  </si>
  <si>
    <t>JS17060146</t>
  </si>
  <si>
    <t>MARIA DE JESUS</t>
  </si>
  <si>
    <t>DELGADO</t>
  </si>
  <si>
    <t>DEHJ720608G12</t>
  </si>
  <si>
    <t>DEHJ720608MGTLRS07</t>
  </si>
  <si>
    <t>RIVAPALACIO</t>
  </si>
  <si>
    <t>B</t>
  </si>
  <si>
    <t>EL TOLENTO</t>
  </si>
  <si>
    <t>ALEJANDRO</t>
  </si>
  <si>
    <t>RIOS</t>
  </si>
  <si>
    <t>AGRI012154545</t>
  </si>
  <si>
    <t>AR21083551</t>
  </si>
  <si>
    <t>R5CYC4JY66T</t>
  </si>
  <si>
    <t>78:33:C6:1B:E0:84</t>
  </si>
  <si>
    <t>JOSE ANTONIO</t>
  </si>
  <si>
    <t>MALACARA</t>
  </si>
  <si>
    <t>GOMA760516232</t>
  </si>
  <si>
    <t>GOMA760516HJCMLN14</t>
  </si>
  <si>
    <t>LAZARO CARDENAS</t>
  </si>
  <si>
    <t>EL PASO</t>
  </si>
  <si>
    <t>antonio.gomez.malacara@gmail.com</t>
  </si>
  <si>
    <t>MARIA ESTHER MAGALLON MEDINA</t>
  </si>
  <si>
    <t>7015B000</t>
  </si>
  <si>
    <t>OSVALDO</t>
  </si>
  <si>
    <t>RAZO</t>
  </si>
  <si>
    <t>PACHECO</t>
  </si>
  <si>
    <t>RAPO8401016YA</t>
  </si>
  <si>
    <t>RAPO840101HGTZCS08</t>
  </si>
  <si>
    <t>GOMEZ FARIAS</t>
  </si>
  <si>
    <t>razopachecoosvaldo@gmail.com</t>
  </si>
  <si>
    <t>YADIRA VEGA JUAREZ</t>
  </si>
  <si>
    <t>SD18433806</t>
  </si>
  <si>
    <t>ANTONIO ALEJANDRO</t>
  </si>
  <si>
    <t>RONA911107PQ8</t>
  </si>
  <si>
    <t>RONA911107HJCDVN05</t>
  </si>
  <si>
    <t>LOPEZ PORTILLO</t>
  </si>
  <si>
    <t>LA PROVIDENCIA</t>
  </si>
  <si>
    <t>RZGL10369BP</t>
  </si>
  <si>
    <t>8C:2E:72:05:0C:A5</t>
  </si>
  <si>
    <t>ADELA</t>
  </si>
  <si>
    <t>ZUÑIGA</t>
  </si>
  <si>
    <t>AGUIRRE</t>
  </si>
  <si>
    <t>ZUAA631029ID4</t>
  </si>
  <si>
    <t>ZUAA631029MJCXGD05</t>
  </si>
  <si>
    <t>BELISARIO DOMINGUEZ</t>
  </si>
  <si>
    <t>LA MAGUEYERA</t>
  </si>
  <si>
    <t>SANDRA LIZBETH</t>
  </si>
  <si>
    <t>CAGS830829755</t>
  </si>
  <si>
    <t>CAGS830829MJCHDN06</t>
  </si>
  <si>
    <t>MIER Y TERAN</t>
  </si>
  <si>
    <t>MARIO ALBERTO</t>
  </si>
  <si>
    <t>MAGM850815SW4</t>
  </si>
  <si>
    <t>MAGM850815HJCRDR01</t>
  </si>
  <si>
    <t>UNION LIBRE</t>
  </si>
  <si>
    <t>LOMA ALTA</t>
  </si>
  <si>
    <t>mario150885godinez@gmail.com</t>
  </si>
  <si>
    <t>SONIA NAVARRO</t>
  </si>
  <si>
    <t>PAREJA</t>
  </si>
  <si>
    <t>10R7373116</t>
  </si>
  <si>
    <t>OCTAVIO</t>
  </si>
  <si>
    <t>ESCOBAR</t>
  </si>
  <si>
    <t>ELIZALDE</t>
  </si>
  <si>
    <t>EOEO620708MN2</t>
  </si>
  <si>
    <t>EOEO620708HJCSLC09</t>
  </si>
  <si>
    <t>BELIZARIO DOMINGUEZ</t>
  </si>
  <si>
    <t>LA MAGUELLERA</t>
  </si>
  <si>
    <t>10R3322496</t>
  </si>
  <si>
    <t>JOSE LUIS</t>
  </si>
  <si>
    <t>CAMARILLO</t>
  </si>
  <si>
    <t>VACL980615N37</t>
  </si>
  <si>
    <t>VACL980615HGTRMS03</t>
  </si>
  <si>
    <t>CARR TIERRAS NEGRAS</t>
  </si>
  <si>
    <t>JESUS EDUARDO</t>
  </si>
  <si>
    <t>GUERRERO</t>
  </si>
  <si>
    <t>R5GL32KPPDT</t>
  </si>
  <si>
    <t>GUZJ940731IE8</t>
  </si>
  <si>
    <t>60:B4:A2:7D:71:F2</t>
  </si>
  <si>
    <t>GUZJ940731HSLRXS02</t>
  </si>
  <si>
    <t>FAISAN</t>
  </si>
  <si>
    <t>eduardo_m.i@hotmail.com</t>
  </si>
  <si>
    <t>JOSEE ALFREDO GUERRERO RUIZ</t>
  </si>
  <si>
    <t>10R7613431</t>
  </si>
  <si>
    <t>2DO CONTACTO DE EMERGENCIA DAYANA ADIDE SEGURA CARLOS 3939386126</t>
  </si>
  <si>
    <t>MA DE LA PAZ</t>
  </si>
  <si>
    <t>HEGM760123TT4</t>
  </si>
  <si>
    <t>HEGP760123MJCRRZ05</t>
  </si>
  <si>
    <t>JAVIER VALLE AREVALO</t>
  </si>
  <si>
    <t>JULIO ROCHA NILO</t>
  </si>
  <si>
    <t>NANSY NELIDA</t>
  </si>
  <si>
    <t>MEDN721221DQ2</t>
  </si>
  <si>
    <t>MEDN721221MOCDZN05</t>
  </si>
  <si>
    <t>ESTRONCIO</t>
  </si>
  <si>
    <t>INDUSTRIAL</t>
  </si>
  <si>
    <t>1447079-1</t>
  </si>
  <si>
    <t>WILLIAN BENJAMIN</t>
  </si>
  <si>
    <t>FOLW890224CY9</t>
  </si>
  <si>
    <t>FOLW890224HTLNL09</t>
  </si>
  <si>
    <t>ARTURO</t>
  </si>
  <si>
    <t>GOCA750519MU9</t>
  </si>
  <si>
    <t>GOCA750519HMNNRH05</t>
  </si>
  <si>
    <t>CALLE OCHO</t>
  </si>
  <si>
    <t>FRAC ARROYO DELGADO</t>
  </si>
  <si>
    <t>RZGL10365FD</t>
  </si>
  <si>
    <t>ARELI MONSERRAT</t>
  </si>
  <si>
    <t>VALLE</t>
  </si>
  <si>
    <t>8C:2E:72:05:0B:A5</t>
  </si>
  <si>
    <t>NAJERA</t>
  </si>
  <si>
    <t>VANA9409265T1</t>
  </si>
  <si>
    <t>VANA940926MGRLJR04</t>
  </si>
  <si>
    <t>REY CUAHUTEMOC</t>
  </si>
  <si>
    <t>PASCUAL ORTIZ</t>
  </si>
  <si>
    <t>ABRAHAM GEOVANNI</t>
  </si>
  <si>
    <t>SISA960401D53</t>
  </si>
  <si>
    <t>SISA960401HMNLNB03</t>
  </si>
  <si>
    <t>DANIEL HUAJUCA</t>
  </si>
  <si>
    <t>JESUS ROMERO FLORES</t>
  </si>
  <si>
    <t>IRVIN</t>
  </si>
  <si>
    <t>RARI980828313</t>
  </si>
  <si>
    <t>RARI980828HMNMMR08</t>
  </si>
  <si>
    <t>LOMA LOS BANCOS</t>
  </si>
  <si>
    <t>ALEJANDRA GUADALUPE</t>
  </si>
  <si>
    <t>CURIEL</t>
  </si>
  <si>
    <t>AUCA910504UD2</t>
  </si>
  <si>
    <t>AUCA910504MJCGRL05</t>
  </si>
  <si>
    <t>CORREGIDORA</t>
  </si>
  <si>
    <t>EJIDAL</t>
  </si>
  <si>
    <t>SALVADOR AGUILAR AGUILA</t>
  </si>
  <si>
    <t>2XL</t>
  </si>
  <si>
    <t>PSICOLOG󿿍A</t>
  </si>
  <si>
    <t>DESARROLLO ORGANIZACIONAL</t>
  </si>
  <si>
    <t>UNIVERSIDAD TECNOLOGICA DE GUADALAJARA</t>
  </si>
  <si>
    <t>ALVARO ALEJANDRO</t>
  </si>
  <si>
    <t>MELENDRES</t>
  </si>
  <si>
    <t>META770821F28</t>
  </si>
  <si>
    <t>META770821HJCLRL09</t>
  </si>
  <si>
    <t>ANTONIO CORTES MORA</t>
  </si>
  <si>
    <t>RZGL1037DWA</t>
  </si>
  <si>
    <t>8C:2E:72:05:16:53</t>
  </si>
  <si>
    <t>ANA GABRIELA</t>
  </si>
  <si>
    <t>TREJO</t>
  </si>
  <si>
    <t>TELA8501078AA</t>
  </si>
  <si>
    <t>TELA850107MMNRZN04</t>
  </si>
  <si>
    <t>CUARTO RETORNO DE PENJAMO</t>
  </si>
  <si>
    <t>FRACC LOMAS DE LA MAESTRANZA</t>
  </si>
  <si>
    <t>ybagok@hotmail.com</t>
  </si>
  <si>
    <t>ANA LUISA LOZA SALAZAR</t>
  </si>
  <si>
    <t>0101P36372</t>
  </si>
  <si>
    <t>PEREZ</t>
  </si>
  <si>
    <t>ALCARAZ</t>
  </si>
  <si>
    <t>PEAM690605PX2</t>
  </si>
  <si>
    <t>PEAM690605HJCRLN08</t>
  </si>
  <si>
    <t>FIDEL VELAZQUEZ SANCHEZ</t>
  </si>
  <si>
    <t>FRACC INFONAVIT MILPILLAS</t>
  </si>
  <si>
    <t>ANGELICA</t>
  </si>
  <si>
    <t>MEGA720810E76</t>
  </si>
  <si>
    <t>MEGA720810MPLNNN08</t>
  </si>
  <si>
    <t>PRIVADA DE LAS FLORES</t>
  </si>
  <si>
    <t>RIVERAS DE LA CIENEGA</t>
  </si>
  <si>
    <t>angelicamendoza9160@gmail.com</t>
  </si>
  <si>
    <t>Honor X5 Plus</t>
  </si>
  <si>
    <t>FRIDA TLACUILO MENDOZA</t>
  </si>
  <si>
    <t>ANMXCP4119400882</t>
  </si>
  <si>
    <t>HIJA</t>
  </si>
  <si>
    <t>EC:53:82:AE:8E:C1</t>
  </si>
  <si>
    <t>SATJ840107Q66</t>
  </si>
  <si>
    <t>SATJ840107HMNNRS03</t>
  </si>
  <si>
    <t>20 DE NOVIEMBRE</t>
  </si>
  <si>
    <t>CUMUATILLO</t>
  </si>
  <si>
    <t>JOSEFINA TREJO DEL TORO</t>
  </si>
  <si>
    <t>EDUARDO IVAN</t>
  </si>
  <si>
    <t>ORTEGA</t>
  </si>
  <si>
    <t>AYALA</t>
  </si>
  <si>
    <t>OEAE930221RN8</t>
  </si>
  <si>
    <t>OEAE930221HJCRYD06</t>
  </si>
  <si>
    <t>NICOLAS BRAVO</t>
  </si>
  <si>
    <t>LORENA ORTEGA AYALA</t>
  </si>
  <si>
    <t>MADDRE</t>
  </si>
  <si>
    <t>MARIO</t>
  </si>
  <si>
    <t>BIGM950818DU5</t>
  </si>
  <si>
    <t>BIGM950818H</t>
  </si>
  <si>
    <t>MNRNR05</t>
  </si>
  <si>
    <t>AVENIDA JACARANDAS</t>
  </si>
  <si>
    <t>EL COENQUEÑO</t>
  </si>
  <si>
    <t>AURELIO BRISEÑO PARRA</t>
  </si>
  <si>
    <t>1240636-6</t>
  </si>
  <si>
    <t>FERNANDO NOE</t>
  </si>
  <si>
    <t>BELTRAN</t>
  </si>
  <si>
    <t>AABF990519JU5</t>
  </si>
  <si>
    <t>AABF990519HGTYLR09</t>
  </si>
  <si>
    <t>FRESA</t>
  </si>
  <si>
    <t>LOS FRESNO</t>
  </si>
  <si>
    <t>SR</t>
  </si>
  <si>
    <t>FN23833016</t>
  </si>
  <si>
    <t>CLARA ABIGAIL</t>
  </si>
  <si>
    <t>LEDESMA</t>
  </si>
  <si>
    <t>HERRERA</t>
  </si>
  <si>
    <t>LEHC9506124T0</t>
  </si>
  <si>
    <t>LEHC950612MDFDRL00</t>
  </si>
  <si>
    <t>LAS ROSAS</t>
  </si>
  <si>
    <t>LA LOMA</t>
  </si>
  <si>
    <t>JORGE LEDESMA RODRIGUEZ</t>
  </si>
  <si>
    <t>RIGOBERTO</t>
  </si>
  <si>
    <t>ZAPIEN</t>
  </si>
  <si>
    <t>GUZR9603162H2</t>
  </si>
  <si>
    <t>GUZR960316HJCTPG05</t>
  </si>
  <si>
    <t>ALVARO OBREGON</t>
  </si>
  <si>
    <t>CUITZEO</t>
  </si>
  <si>
    <t>RIGOBERTO GUTIERREZ FLORES</t>
  </si>
  <si>
    <t>LUIS JAIRO</t>
  </si>
  <si>
    <t>LINARES</t>
  </si>
  <si>
    <t>ESPINOZA</t>
  </si>
  <si>
    <t>LIEL8506066D9</t>
  </si>
  <si>
    <t>LIEL850606HMNNSS04</t>
  </si>
  <si>
    <t>M ESCONDIDA EDIFICIO A DEP 4</t>
  </si>
  <si>
    <t>JUAN LINARES ALVA</t>
  </si>
  <si>
    <t>FELIX ANTONIO</t>
  </si>
  <si>
    <t>BECERRA</t>
  </si>
  <si>
    <t>ROBF000227R25</t>
  </si>
  <si>
    <t>ROBF000227HJCMCLA3</t>
  </si>
  <si>
    <t>GARDENIA</t>
  </si>
  <si>
    <t>felixromanbecerra@gmail.com</t>
  </si>
  <si>
    <t>HUMBERTO ROMAN GONZALEZ</t>
  </si>
  <si>
    <t>10N6678851</t>
  </si>
  <si>
    <t>DIEGO</t>
  </si>
  <si>
    <t>HUERTA</t>
  </si>
  <si>
    <t>TOHD910125RZA</t>
  </si>
  <si>
    <t>TOHD910125HMNRRG05</t>
  </si>
  <si>
    <t>CHILAPA</t>
  </si>
  <si>
    <t>ADOLFO LOPEZ MATEOS</t>
  </si>
  <si>
    <t>HILDA HUERTA GONZALE</t>
  </si>
  <si>
    <t>1007A30537</t>
  </si>
  <si>
    <t>GERONIMO MANUEL</t>
  </si>
  <si>
    <t>ORNELAS</t>
  </si>
  <si>
    <t>VILLARRUEL</t>
  </si>
  <si>
    <t>OEVG920720D65</t>
  </si>
  <si>
    <t>OEVG920720HJCRLR02</t>
  </si>
  <si>
    <t>ROBLE</t>
  </si>
  <si>
    <t>LA PRIMAVERA</t>
  </si>
  <si>
    <t>GERONIMO ORNELAS PEREZ</t>
  </si>
  <si>
    <t>10R6508390</t>
  </si>
  <si>
    <t>MAYRA</t>
  </si>
  <si>
    <t>TRUJILLO</t>
  </si>
  <si>
    <t>TUGM940919L52</t>
  </si>
  <si>
    <t>TUGM940919HJCRRY01</t>
  </si>
  <si>
    <t>RAYON</t>
  </si>
  <si>
    <t>EL GUAMICHIL</t>
  </si>
  <si>
    <t>VICTOR TRUJILLO RUIZ</t>
  </si>
  <si>
    <t>LAURA EDITH</t>
  </si>
  <si>
    <t>MOGL950411T72</t>
  </si>
  <si>
    <t>MOGL950411MGTRNR00</t>
  </si>
  <si>
    <t>BENITO JUAREZ</t>
  </si>
  <si>
    <t>MARIA DE LOURDES GONZALEZ CASDTILLO</t>
  </si>
  <si>
    <t>MAYRA PAOLA</t>
  </si>
  <si>
    <t>LEMUS</t>
  </si>
  <si>
    <t>AALM971219CV3</t>
  </si>
  <si>
    <t>AALM971219MMNVMY01</t>
  </si>
  <si>
    <t>FRENTE A LA ESCUELA</t>
  </si>
  <si>
    <t>RANCHO NUEVO</t>
  </si>
  <si>
    <t>MAYRA LEMUS AYALA</t>
  </si>
  <si>
    <t>JUAN PABLO</t>
  </si>
  <si>
    <t>DE ALBA</t>
  </si>
  <si>
    <t>IAAJ760202HHA</t>
  </si>
  <si>
    <t>IAAJ760202HJCBLN06</t>
  </si>
  <si>
    <t>NARANJO</t>
  </si>
  <si>
    <t>MANUEL CLEOFAS</t>
  </si>
  <si>
    <t>MAZA</t>
  </si>
  <si>
    <t>MARIN</t>
  </si>
  <si>
    <t>MAMM670525D1A</t>
  </si>
  <si>
    <t>MAMM670525HMNZRN08</t>
  </si>
  <si>
    <t>RETORNO 22 DE DICIEMBRE</t>
  </si>
  <si>
    <t>SANT MARIA DE GUIDO</t>
  </si>
  <si>
    <t>JULIAN</t>
  </si>
  <si>
    <t>GARJ6911148A4</t>
  </si>
  <si>
    <t>GARJ691114HDFRDL07</t>
  </si>
  <si>
    <t>ISOTE</t>
  </si>
  <si>
    <t>SOEE940816R92</t>
  </si>
  <si>
    <t>SOEE940816HMNLSD01</t>
  </si>
  <si>
    <t>JOSE MARIA MORELOS</t>
  </si>
  <si>
    <t>JARIPITIRO</t>
  </si>
  <si>
    <t>soleseduardo@hotmail.com</t>
  </si>
  <si>
    <t>SILVIA ESTRADA GARCIA</t>
  </si>
  <si>
    <t>VALENCIA</t>
  </si>
  <si>
    <t>TUVS750228222</t>
  </si>
  <si>
    <t>TUVS750228HJCRLL01</t>
  </si>
  <si>
    <t>LOMA ALEGRE</t>
  </si>
  <si>
    <t>FRACC LOMAS DE SAN LUIS</t>
  </si>
  <si>
    <t>salvadortrujillovalencia@gmail.com</t>
  </si>
  <si>
    <t>MAYRA JANETH RIOS FLORES</t>
  </si>
  <si>
    <t>37R7439652</t>
  </si>
  <si>
    <t>CUOTA FIJA</t>
  </si>
  <si>
    <t>MARIA SHAVENNY</t>
  </si>
  <si>
    <t>AVILA</t>
  </si>
  <si>
    <t>AIES960130FB5</t>
  </si>
  <si>
    <t>AIES960130MMNVNH09</t>
  </si>
  <si>
    <t>EUCALIPTO</t>
  </si>
  <si>
    <t>S/N</t>
  </si>
  <si>
    <t>SAN JUANITO DE ECHEVERRIA</t>
  </si>
  <si>
    <t>shavenny96avila@gmail.com</t>
  </si>
  <si>
    <t>JOSE LUIS AVILA RODRIGUEZ</t>
  </si>
  <si>
    <t>ANDREA LUCIA</t>
  </si>
  <si>
    <t>SERNA</t>
  </si>
  <si>
    <t>GASA991229BK7</t>
  </si>
  <si>
    <t>GASA991229MJCRRN08</t>
  </si>
  <si>
    <t>ARCADIO CHAVEZ</t>
  </si>
  <si>
    <t>andrea3serna5000@gmail.com</t>
  </si>
  <si>
    <t>LUCIA SERNA</t>
  </si>
  <si>
    <t>JUAN MANUEL ALEJANDRO</t>
  </si>
  <si>
    <t>FIERRO</t>
  </si>
  <si>
    <t>BIFJ960621JR6</t>
  </si>
  <si>
    <t>BIFJ960621HJCRRN00</t>
  </si>
  <si>
    <t>CANARIO</t>
  </si>
  <si>
    <t>CAMINO REAL</t>
  </si>
  <si>
    <t>alejandrobf@outlook.com</t>
  </si>
  <si>
    <t>JUAN MANUEL BRISEÑO GONZALEZ</t>
  </si>
  <si>
    <t>10N3789091</t>
  </si>
  <si>
    <t>ADRIAN PASKINEL</t>
  </si>
  <si>
    <t>ZAVALA</t>
  </si>
  <si>
    <t>HEZA860211VA2</t>
  </si>
  <si>
    <t>HEZA860211HMNRVD04</t>
  </si>
  <si>
    <t>ing.adrianpaskinel@gmail.com</t>
  </si>
  <si>
    <t>LESLI SUZZETTE NAVARRO VILLASEÑOR</t>
  </si>
  <si>
    <t>37R7824867</t>
  </si>
  <si>
    <t>XL</t>
  </si>
  <si>
    <t>AGRONEGOCIOS</t>
  </si>
  <si>
    <t>VRNTAS, MENEJO DE PERSONAL, INVENTARIOS, CONTABILIDAD BASICA, LIDERAZGO, TRABAJO EN EQUIPO, ELABORACION Y DESARROLLO DE PROYECTOS, AUTODIDACTA</t>
  </si>
  <si>
    <t>MAGALLON</t>
  </si>
  <si>
    <t>GOMA970519AP4</t>
  </si>
  <si>
    <t>GOMA970519HMNMGN01</t>
  </si>
  <si>
    <t>EL PASO DE HIDALGO</t>
  </si>
  <si>
    <t>JOSE ANTONIO GOMEZ MALACARA</t>
  </si>
  <si>
    <t>ANA SOFIA</t>
  </si>
  <si>
    <t>MARDUEÑO</t>
  </si>
  <si>
    <t>MANA960312RGA</t>
  </si>
  <si>
    <t>MANA960312MJCRVN03</t>
  </si>
  <si>
    <t>JAVIER MINA</t>
  </si>
  <si>
    <t>as.mardue󿿱o@gmail.com</t>
  </si>
  <si>
    <t>LUIS MARDUEÑO</t>
  </si>
  <si>
    <t>JOSE ISAC</t>
  </si>
  <si>
    <t>GUCI900319UH7</t>
  </si>
  <si>
    <t>GUCI300319HJCTRS03</t>
  </si>
  <si>
    <t>GABRIELA GUTIERREZ CRUZ</t>
  </si>
  <si>
    <t>JAL0050936</t>
  </si>
  <si>
    <t>GUADALUPE JACQUELINE</t>
  </si>
  <si>
    <t>HECG9312069W2</t>
  </si>
  <si>
    <t>HECG931206HJCRSD05</t>
  </si>
  <si>
    <t>SIN CALLE</t>
  </si>
  <si>
    <t>PATRICIA YUNUEN</t>
  </si>
  <si>
    <t>VILLA</t>
  </si>
  <si>
    <t>VAVP890625RR1</t>
  </si>
  <si>
    <t>VAVP890625MJCZLT07</t>
  </si>
  <si>
    <t>TREN DEL PACIFICO</t>
  </si>
  <si>
    <t>LA GRAN VIA</t>
  </si>
  <si>
    <t>yunni06@hotmail.com</t>
  </si>
  <si>
    <t>PATRICIA VILLA GARCIA</t>
  </si>
  <si>
    <t>ANAYA</t>
  </si>
  <si>
    <t>GAAJ781102A67</t>
  </si>
  <si>
    <t>GAAJ781102HJCRNS04</t>
  </si>
  <si>
    <t>MANUEL M, GONZALEZ</t>
  </si>
  <si>
    <t>jesus.garany@gmail.com</t>
  </si>
  <si>
    <t>GENOVEVA ANDRADE SANTIAGO</t>
  </si>
  <si>
    <t>37R7784221</t>
  </si>
  <si>
    <t>GOGJ431002D96</t>
  </si>
  <si>
    <t>GOGJ431002HJCNDS06</t>
  </si>
  <si>
    <t>JOSE GONZALEZ GODINEZ</t>
  </si>
  <si>
    <t>JOSE</t>
  </si>
  <si>
    <t>GOGJ431002814</t>
  </si>
  <si>
    <t>GOGJ431002HJCNDS14</t>
  </si>
  <si>
    <t>JESUS GONZALEZ GODINEZ</t>
  </si>
  <si>
    <t>10N1182151</t>
  </si>
  <si>
    <t>VICENTE</t>
  </si>
  <si>
    <t>MANJARREZ</t>
  </si>
  <si>
    <t>MAGV6407191B4</t>
  </si>
  <si>
    <t>MAGV640719HJCNRC00</t>
  </si>
  <si>
    <t>LOMA BLANCA</t>
  </si>
  <si>
    <t>FRAC LOMAS DE SAN LUIS</t>
  </si>
  <si>
    <t>manjaresvicente019@gmail.com</t>
  </si>
  <si>
    <t>MARIA DOLORES VELASCO ALEJO</t>
  </si>
  <si>
    <t>10R3825350</t>
  </si>
  <si>
    <t>PRIMARIA</t>
  </si>
  <si>
    <t>UZIEL</t>
  </si>
  <si>
    <t>SAMU940522BZ5</t>
  </si>
  <si>
    <t>SAMU940522HMNNRZ07</t>
  </si>
  <si>
    <t>NUMARAN</t>
  </si>
  <si>
    <t>uzielsanchez@hotmail.com</t>
  </si>
  <si>
    <t>OFELIA MARTINEZ</t>
  </si>
  <si>
    <t>1402A36867</t>
  </si>
  <si>
    <t>BACHILLERATO</t>
  </si>
  <si>
    <t>SAUL</t>
  </si>
  <si>
    <t>HEBS930720I44</t>
  </si>
  <si>
    <t>HEBS930720HMNCL04</t>
  </si>
  <si>
    <t>VICENTE GUERRERO</t>
  </si>
  <si>
    <t>saul.hbecerra@gmail.com</t>
  </si>
  <si>
    <t>LIDIA BECERRA SANTIAGO</t>
  </si>
  <si>
    <t>TIA</t>
  </si>
  <si>
    <t>0+</t>
  </si>
  <si>
    <t>CH</t>
  </si>
  <si>
    <t>ARQUITECTO</t>
  </si>
  <si>
    <t>TECNOLOGICO DE JIQUILPAN</t>
  </si>
  <si>
    <t>MANEJO DE AUTOCAD 60-70%</t>
  </si>
  <si>
    <t>DANIEL</t>
  </si>
  <si>
    <t>TAFOLLA</t>
  </si>
  <si>
    <t>OITD940904F46</t>
  </si>
  <si>
    <t>OITD940904HMNRFN09</t>
  </si>
  <si>
    <t>COAHUILA</t>
  </si>
  <si>
    <t>SAN RAFAEL</t>
  </si>
  <si>
    <t>daniel-ortiz-t94@hotmail.com</t>
  </si>
  <si>
    <t>JOSE ANTONIO ORTIZ VERA</t>
  </si>
  <si>
    <t>1022302-6</t>
  </si>
  <si>
    <t>INGENIERIA</t>
  </si>
  <si>
    <t>ING. AGRONOMO</t>
  </si>
  <si>
    <t>DIAGNOSTICO FITOSANITARIO CULTIVOS HORTICOLAS, POLINIZACION Y MANEJO PARA OBTENCION DE NUEVAS LINEAS DE MAIZ, ANALISIS DE MERCADO</t>
  </si>
  <si>
    <t>JOSUE EMMANUEL</t>
  </si>
  <si>
    <t>SOLANO</t>
  </si>
  <si>
    <t>SOHJ910921395</t>
  </si>
  <si>
    <t>SOHJ910921HGTLDS07</t>
  </si>
  <si>
    <t>PRIVADA MANUEL PADILLA VILLA</t>
  </si>
  <si>
    <t>CUERAMARO</t>
  </si>
  <si>
    <t>solano.josue@hotmail.com</t>
  </si>
  <si>
    <t>ALEJANDRA AYALA RODRIGUEZ</t>
  </si>
  <si>
    <t>ING INNOVACION AGRICOLA SUSTENTABLE</t>
  </si>
  <si>
    <t>INSTITUTO TECNOLOGICO SUPERIOR DE ABASOLO</t>
  </si>
  <si>
    <t>ESPECIALIDAD EN HORTICULTURA</t>
  </si>
  <si>
    <t>APOYO</t>
  </si>
  <si>
    <t>GASOLINA</t>
  </si>
  <si>
    <t>EMPLEADOS</t>
  </si>
  <si>
    <t>ADRF020158JKL</t>
  </si>
  <si>
    <t>MONY</t>
  </si>
  <si>
    <t>JESUS BERNARDO</t>
  </si>
  <si>
    <t>NAEJ850820PV3</t>
  </si>
  <si>
    <t>NAEJ8508HJCVSS08</t>
  </si>
  <si>
    <t>jesus.bnavarro2008@gmail.com</t>
  </si>
  <si>
    <t>MA TRINIDAD GONZALEZ SANTIAGO</t>
  </si>
  <si>
    <t>10R4706396</t>
  </si>
  <si>
    <t>ANTONIO JHAIR</t>
  </si>
  <si>
    <t>NARES</t>
  </si>
  <si>
    <t>NARA770930MLA</t>
  </si>
  <si>
    <t>NARA770930HJCRDN08</t>
  </si>
  <si>
    <t>OSCAR</t>
  </si>
  <si>
    <t>CAMPOS</t>
  </si>
  <si>
    <t>ARELLANO</t>
  </si>
  <si>
    <t>CAAO9411182F1</t>
  </si>
  <si>
    <t>CAAO941118HJCMRS06</t>
  </si>
  <si>
    <t>REFORMA  ORIENTE</t>
  </si>
  <si>
    <t>camposrefote@hotmail.com</t>
  </si>
  <si>
    <t>VERONICA CAMPOS ARELLANO</t>
  </si>
  <si>
    <t>LICENCIADO EN MERCADOTECNIA</t>
  </si>
  <si>
    <t>JOSE MARTIN</t>
  </si>
  <si>
    <t>PARTIDA</t>
  </si>
  <si>
    <t>PARM940625MT7</t>
  </si>
  <si>
    <t>PARM940625HMNRZR09</t>
  </si>
  <si>
    <t>GUADALUPE VICTORIA</t>
  </si>
  <si>
    <t>ROSA RUIZ BATRES</t>
  </si>
  <si>
    <t>BANDERAS</t>
  </si>
  <si>
    <t>GOBJ750710F84</t>
  </si>
  <si>
    <t>GOBJ750710HJCNNN09</t>
  </si>
  <si>
    <t>05 DE MAYO</t>
  </si>
  <si>
    <t>LORENA GOMEZ PATIÑO</t>
  </si>
  <si>
    <t>PACJ125632LKJ</t>
  </si>
  <si>
    <t>E</t>
  </si>
  <si>
    <t>+</t>
  </si>
  <si>
    <t>MARIA ARGENTINA</t>
  </si>
  <si>
    <t>CAGX930104EFA</t>
  </si>
  <si>
    <t>CXGA930104MMNZDR04</t>
  </si>
  <si>
    <t>LUIS DONALDO COLOSIO MURRIETA</t>
  </si>
  <si>
    <t>argentina_cazares@hotmail.com</t>
  </si>
  <si>
    <t>LUIS EDUARDO GARCIA HERNANDEZ</t>
  </si>
  <si>
    <t>10N3929689</t>
  </si>
  <si>
    <t>AGROBIOTECNOLOGIA</t>
  </si>
  <si>
    <t>UDG</t>
  </si>
  <si>
    <t>LEONEL</t>
  </si>
  <si>
    <t>ANGELES</t>
  </si>
  <si>
    <t>AESL951019LP0</t>
  </si>
  <si>
    <t>AESL951019HJCNLN00</t>
  </si>
  <si>
    <t>AZUCENA</t>
  </si>
  <si>
    <t>TOTOTLAN</t>
  </si>
  <si>
    <t>leo_angeles19@hotmail.com</t>
  </si>
  <si>
    <t>TOMAS EDUARDO ANGELES SALGADO</t>
  </si>
  <si>
    <t>10N3924548</t>
  </si>
  <si>
    <t>MERCADOTECNIA</t>
  </si>
  <si>
    <t>JOSE EDUARDO</t>
  </si>
  <si>
    <t>HUARACHA</t>
  </si>
  <si>
    <t>LOHE910524930</t>
  </si>
  <si>
    <t>LOHE910524HMNPRD06</t>
  </si>
  <si>
    <t>JUAN RODRIGUEZ VEGA</t>
  </si>
  <si>
    <t>pepelalolopez91@gmail.com</t>
  </si>
  <si>
    <t>MA FRANCISCA HUARACHA LOPEZ</t>
  </si>
  <si>
    <t>MICH117289</t>
  </si>
  <si>
    <t>MAVL830829M83</t>
  </si>
  <si>
    <t>MAVL830829HMNRZS08</t>
  </si>
  <si>
    <t>GARDENIAS</t>
  </si>
  <si>
    <t>EL CUITZILLO</t>
  </si>
  <si>
    <t>kikem9113@gmail.com</t>
  </si>
  <si>
    <t>VERONICA PATRICIA MAGAÑA GARCIA</t>
  </si>
  <si>
    <t>M</t>
  </si>
  <si>
    <t>DULCE MARIA</t>
  </si>
  <si>
    <t>CURD9511057U7</t>
  </si>
  <si>
    <t>CURD951105MMNRDL02</t>
  </si>
  <si>
    <t>JUAREZ</t>
  </si>
  <si>
    <t>ma_dul95@hotmail.com</t>
  </si>
  <si>
    <t>ROSA MARIA RODRIGUEZ SEGURA</t>
  </si>
  <si>
    <t>LIC AGROBIOTECNOLOGIA</t>
  </si>
  <si>
    <t>SATHYA</t>
  </si>
  <si>
    <t>CORTES</t>
  </si>
  <si>
    <t>VILLALOBOS</t>
  </si>
  <si>
    <t>COVS9403073Y6</t>
  </si>
  <si>
    <t>COVS940307MMNRLT06</t>
  </si>
  <si>
    <t>PLATA</t>
  </si>
  <si>
    <t>FRACC METROPOLIS I</t>
  </si>
  <si>
    <t>sathya@hotmail.com</t>
  </si>
  <si>
    <t>JULIO CESAR</t>
  </si>
  <si>
    <t>TOLENTINO</t>
  </si>
  <si>
    <t>DITJ9001267P1</t>
  </si>
  <si>
    <t>DITJ900126HJCZLL06</t>
  </si>
  <si>
    <t>HEROES DE NACOZARI</t>
  </si>
  <si>
    <t>HUGO SANCHEZ MANJARREZ</t>
  </si>
  <si>
    <t>YESICA EDITH</t>
  </si>
  <si>
    <t>ZAMBRANO</t>
  </si>
  <si>
    <t>LAGUNA</t>
  </si>
  <si>
    <t>ZALY951202AY2</t>
  </si>
  <si>
    <t>ZALY951202MGTMGS09</t>
  </si>
  <si>
    <t>CARRILLO PUERTO</t>
  </si>
  <si>
    <t>S/C</t>
  </si>
  <si>
    <t>EL CHIFLIDO LA TROJA</t>
  </si>
  <si>
    <t>JARA</t>
  </si>
  <si>
    <t>JASA930113T16</t>
  </si>
  <si>
    <t>JASA930113HJCRNL05</t>
  </si>
  <si>
    <t>CIRCUITO SANTA LUCIA SUR</t>
  </si>
  <si>
    <t>AMPARO ROJAS MORENO</t>
  </si>
  <si>
    <t>HECTOR</t>
  </si>
  <si>
    <t>TORH4906221F1</t>
  </si>
  <si>
    <t>TORH490622HMNRYC01</t>
  </si>
  <si>
    <t>LAGUAN DE ESCUINAPA</t>
  </si>
  <si>
    <t>LAGUNA I</t>
  </si>
  <si>
    <t>RAMON EMILIO</t>
  </si>
  <si>
    <t>PINEDA</t>
  </si>
  <si>
    <t>PICR900527E41</t>
  </si>
  <si>
    <t>PICR900527HBCNHM06</t>
  </si>
  <si>
    <t>NARCISO SANTIAGO</t>
  </si>
  <si>
    <t>emiliopineda315@gmail.com</t>
  </si>
  <si>
    <t>LAURA CHAVEZ HINOJOSA</t>
  </si>
  <si>
    <t>JAL0055065</t>
  </si>
  <si>
    <t>ROSARIO GUADALUPE</t>
  </si>
  <si>
    <t>GUEVARA</t>
  </si>
  <si>
    <t>GUER890117HE0</t>
  </si>
  <si>
    <t>GUER890117MMSVSS01</t>
  </si>
  <si>
    <t>1RA DE MAYO</t>
  </si>
  <si>
    <t>DAVID EMMANUEL</t>
  </si>
  <si>
    <t>HEBD010506EQ5</t>
  </si>
  <si>
    <t>HEBD010506HJCRRVA4</t>
  </si>
  <si>
    <t>SAN PEDRO RUIZ</t>
  </si>
  <si>
    <t>MA GUADALUPE BARAJAS CASTRO</t>
  </si>
  <si>
    <t>SERGIO</t>
  </si>
  <si>
    <t>CAVS9301166B2</t>
  </si>
  <si>
    <t>CAVS930116HJCMZR08</t>
  </si>
  <si>
    <t>PRIVADA SAN JOSE LOTE 15</t>
  </si>
  <si>
    <t>CHICHIMECO</t>
  </si>
  <si>
    <t>sergiocv_93@hotmail.com</t>
  </si>
  <si>
    <t>SERGIO CAMACHO SILVA</t>
  </si>
  <si>
    <t>20R2776316</t>
  </si>
  <si>
    <t>INGENIERO</t>
  </si>
  <si>
    <t>INGENIERIA EN AGRONOMIA</t>
  </si>
  <si>
    <t>ELIUD EMANUEL</t>
  </si>
  <si>
    <t>SOVE970913BV3</t>
  </si>
  <si>
    <t>SOVE970913HJCLLL05</t>
  </si>
  <si>
    <t>NUEVO BOULEVARD</t>
  </si>
  <si>
    <t>INFONAVIT II</t>
  </si>
  <si>
    <t>eliud13.97.puto@hotmail.com</t>
  </si>
  <si>
    <t>ALVARO SOLIS OCHOA</t>
  </si>
  <si>
    <t>PREPARATORIA</t>
  </si>
  <si>
    <t>TOSH800804N53</t>
  </si>
  <si>
    <t>TOSH800804HMNRLC02</t>
  </si>
  <si>
    <t>RIGEL</t>
  </si>
  <si>
    <t>FRAC LAS ESPIGAS</t>
  </si>
  <si>
    <t>HECTOR TORRES SOLIS</t>
  </si>
  <si>
    <t>1007A36713</t>
  </si>
  <si>
    <t>JUAN LUIS</t>
  </si>
  <si>
    <t>MONTAÑO</t>
  </si>
  <si>
    <t>VEMJ970819TE4</t>
  </si>
  <si>
    <t>VEMJ970819HGTGNN04</t>
  </si>
  <si>
    <t>LUIS DONALDO COLOSIO</t>
  </si>
  <si>
    <t>juanluis_vega97@hotmail.com</t>
  </si>
  <si>
    <t>MARIA GUADALUPE MONTAÑO BARAJAS</t>
  </si>
  <si>
    <t>ADMINISTRACION Y GESTION DE PYMES</t>
  </si>
  <si>
    <t>UNIVERSIDAD POLITECNICA DE PENJAMO</t>
  </si>
  <si>
    <t>PIÑA</t>
  </si>
  <si>
    <t>PIMR700430PZ3</t>
  </si>
  <si>
    <t>PIMR700430HMNXDC06</t>
  </si>
  <si>
    <t>CIRCUITO FORTUM</t>
  </si>
  <si>
    <t>FRANCISCO ZARCO LOS LAURELES</t>
  </si>
  <si>
    <t>HILDA CRUZ ORTIZ</t>
  </si>
  <si>
    <t>KARINA ELIZABETH</t>
  </si>
  <si>
    <t>JILK951231SI1</t>
  </si>
  <si>
    <t>JILK951231MMNMNR08</t>
  </si>
  <si>
    <t>1 DE MAYO</t>
  </si>
  <si>
    <t>EL PASO DE ALAMOS</t>
  </si>
  <si>
    <t>jimenezkarina159@gmail.com</t>
  </si>
  <si>
    <t>EDUJARDO JIMENEZ NAVARRO</t>
  </si>
  <si>
    <t>LICENCIATURA EN ADMINISTRACION</t>
  </si>
  <si>
    <t>JORGE ANTONIO</t>
  </si>
  <si>
    <t>DILJ761105DCA</t>
  </si>
  <si>
    <t>DILJ761105HMNZPR09</t>
  </si>
  <si>
    <t>CANDIDO RANGEL</t>
  </si>
  <si>
    <t>SAN MIGUEL</t>
  </si>
  <si>
    <t>tonydiaz1176@gmail.com</t>
  </si>
  <si>
    <t>LILIANA DIAZ LOPEZ</t>
  </si>
  <si>
    <t>JOS󿿉 ANTONIO</t>
  </si>
  <si>
    <t>TORA931208345</t>
  </si>
  <si>
    <t>TORA931208HJCRDN04</t>
  </si>
  <si>
    <t>ROBLES</t>
  </si>
  <si>
    <t>antoniot759@gmail.com</t>
  </si>
  <si>
    <t>BERTHA ALICIA RODRIGUEZ TORRES</t>
  </si>
  <si>
    <t>SISTEMAS COMPUTACIONALES</t>
  </si>
  <si>
    <t>INSTITUTO TECNOLOGICO  DE OCOTLAN</t>
  </si>
  <si>
    <t>GERARDO</t>
  </si>
  <si>
    <t>MACGOO1111KV3</t>
  </si>
  <si>
    <t>MACG001111HGTGSRA2</t>
  </si>
  <si>
    <t>LA TRINIDAD</t>
  </si>
  <si>
    <t>EVANGELINA CISNEROS PEREZ</t>
  </si>
  <si>
    <t>**</t>
  </si>
  <si>
    <t>BACHILLERATO TECNICO</t>
  </si>
  <si>
    <t>CANCHOLA</t>
  </si>
  <si>
    <t>CACJ980923936</t>
  </si>
  <si>
    <t>CACJ980923HGTNNS09</t>
  </si>
  <si>
    <t>ANTONIO GOMEZ</t>
  </si>
  <si>
    <t>chuchekano725@gmail.com</t>
  </si>
  <si>
    <t>ROSA CANO VARGAS</t>
  </si>
  <si>
    <t>JS17733416</t>
  </si>
  <si>
    <t>BERENICE</t>
  </si>
  <si>
    <t>CASILLAS</t>
  </si>
  <si>
    <t>OECB970313H26</t>
  </si>
  <si>
    <t>OECB970313MMNRSR00</t>
  </si>
  <si>
    <t>PASO DE HIDALGO</t>
  </si>
  <si>
    <t>berenice031397@hotmail.com</t>
  </si>
  <si>
    <t>MARIA GUADALUPE ORNELAS</t>
  </si>
  <si>
    <t>NICOLAS</t>
  </si>
  <si>
    <t>CARN0006053G2</t>
  </si>
  <si>
    <t>CARN000605HJCSMCA0</t>
  </si>
  <si>
    <t>GONZALEZ GALLO</t>
  </si>
  <si>
    <t>nromancastro0516@gmail.com</t>
  </si>
  <si>
    <t>GLORIA ROMAN DIAZ</t>
  </si>
  <si>
    <t>37R82645726</t>
  </si>
  <si>
    <t>CYNTHIA</t>
  </si>
  <si>
    <t>AUNC890509V90</t>
  </si>
  <si>
    <t>AUNC890509MJCGXY08</t>
  </si>
  <si>
    <t>VALLARTA</t>
  </si>
  <si>
    <t>cyndirella.an@gmail.com</t>
  </si>
  <si>
    <t>TERESA NUÑEZ AVILA</t>
  </si>
  <si>
    <t>MARIA FERNANDA</t>
  </si>
  <si>
    <t>CALDERON</t>
  </si>
  <si>
    <t>GUZMAN</t>
  </si>
  <si>
    <t>CAGF971003QW8</t>
  </si>
  <si>
    <t>CAGF971003MMNLZR06</t>
  </si>
  <si>
    <t>AV. LA SALLE</t>
  </si>
  <si>
    <t>VASCO DE QUIROGA</t>
  </si>
  <si>
    <t>mafe_031097@hotmail.com</t>
  </si>
  <si>
    <t>MARIA GUADALUPE GUZMAN CERVANTES</t>
  </si>
  <si>
    <t>INGENIERIA EN GESTION EMPRESARIAL</t>
  </si>
  <si>
    <t>INSTITUTO TECNOLOGICO DE LA PIEDAD</t>
  </si>
  <si>
    <t>TRABAJO EN EQUIPO, TOMA DE DECISIONES, ORGANIZACI󿿓N, ATENCI󿿓N A CLIENTES, CREATIVIDAD E INNOVACI󿿓N, COMUNICACI󿿓N EFECTIVA, LIDERAZGO, ENTRE OTROS DOMINIOS</t>
  </si>
  <si>
    <t>REAR931106232</t>
  </si>
  <si>
    <t>REAR931106HMNYYG05</t>
  </si>
  <si>
    <t>FRACC. LAS CAÑADAS AVENIDA LAS CAÑADAS</t>
  </si>
  <si>
    <t>LAS CAÑADAS</t>
  </si>
  <si>
    <t>NUMARAL</t>
  </si>
  <si>
    <t>MARIANA CELESTE CABRERA</t>
  </si>
  <si>
    <t>CHOFER</t>
  </si>
  <si>
    <t>UMFC77</t>
  </si>
  <si>
    <t>SECUNDARIA</t>
  </si>
  <si>
    <t>MARIA DE JESUS YARELI</t>
  </si>
  <si>
    <t>GASJ961016NG8</t>
  </si>
  <si>
    <t>GASJ961016MJCRRS03</t>
  </si>
  <si>
    <t>CORREGIDORA # 425 COL EJIDAL</t>
  </si>
  <si>
    <t>LUIS ENRIQUE MOLINA ESCOBAR</t>
  </si>
  <si>
    <t>VARELA</t>
  </si>
  <si>
    <t>VAHM860914K28</t>
  </si>
  <si>
    <t>VAHM860914HMNRRG09</t>
  </si>
  <si>
    <t>VILLAS DE LA LOMA</t>
  </si>
  <si>
    <t>75.mike.v@gmail.com</t>
  </si>
  <si>
    <t>ANA LUISA RAMIREZ TORRES</t>
  </si>
  <si>
    <t>MICH110085</t>
  </si>
  <si>
    <t>DIEGO ARMANDO</t>
  </si>
  <si>
    <t>LIZARRAGA</t>
  </si>
  <si>
    <t>HELD9103071DA</t>
  </si>
  <si>
    <t>HELD910307HSLRZG03</t>
  </si>
  <si>
    <t>CHETUMAL</t>
  </si>
  <si>
    <t>JARDINES DE LA HACIENDA</t>
  </si>
  <si>
    <t>lizarragad755@gmail.com</t>
  </si>
  <si>
    <t>JULIETA LUVIANO GONZALEZ</t>
  </si>
  <si>
    <t>ROSENDO RAFAEL</t>
  </si>
  <si>
    <t>PANIAGUA</t>
  </si>
  <si>
    <t>MONTEJANO</t>
  </si>
  <si>
    <t>PAMR9609094T5</t>
  </si>
  <si>
    <t>PAMR960909HMNNNS04</t>
  </si>
  <si>
    <t>IGNACIO ALDAMA</t>
  </si>
  <si>
    <t>TANHUATO</t>
  </si>
  <si>
    <t>rafael199609@hotmail.com</t>
  </si>
  <si>
    <t>RAFAEL PANIAGUA ESQUIVEL</t>
  </si>
  <si>
    <t>1362273-8</t>
  </si>
  <si>
    <t>INGENIERO AGRONOMO</t>
  </si>
  <si>
    <t>UNIVERSIDAD MICHOACANA DE SAN NICOLAS DE HIDALGO</t>
  </si>
  <si>
    <t>JOSE GERARDO</t>
  </si>
  <si>
    <t>RERG911130N53</t>
  </si>
  <si>
    <t>RERG911130HMNYDR09</t>
  </si>
  <si>
    <t>FRAC LA LOMA</t>
  </si>
  <si>
    <t>BRENDA TORRES JAIME</t>
  </si>
  <si>
    <t>MARIA DEL ROCIO</t>
  </si>
  <si>
    <t>SARR8012314A5</t>
  </si>
  <si>
    <t>SARR801231MMCNDC00</t>
  </si>
  <si>
    <t>PROLONGACION ALDAMA</t>
  </si>
  <si>
    <t>ALEJANDRA MENDOZA RODRIGUEZ</t>
  </si>
  <si>
    <t>AMIGA</t>
  </si>
  <si>
    <t>FOCI9005153G6</t>
  </si>
  <si>
    <t>FOCI900515HGTLRS05</t>
  </si>
  <si>
    <t>EL CHIFLIDO</t>
  </si>
  <si>
    <t>isidro.agri@gmail.com</t>
  </si>
  <si>
    <t>SALVADOR FLORES CRUZ</t>
  </si>
  <si>
    <t>MAGDALENO</t>
  </si>
  <si>
    <t>AIAM771014Q68</t>
  </si>
  <si>
    <t>AIAM771014HJCVVG00</t>
  </si>
  <si>
    <t>ANGELICA GONZALEZ MENDOZA</t>
  </si>
  <si>
    <t>MA. DE JESUS</t>
  </si>
  <si>
    <t>RENTERIA</t>
  </si>
  <si>
    <t>OIRJ750606HM1</t>
  </si>
  <si>
    <t>OIRJ750606MJCRNS08</t>
  </si>
  <si>
    <t>SAN ANTONIO</t>
  </si>
  <si>
    <t>MARIA GUADALUPE SANCHEZ ORTIZ</t>
  </si>
  <si>
    <t>LUCIA PAULINA</t>
  </si>
  <si>
    <t>C󿿁ZARES</t>
  </si>
  <si>
    <t>L󿿓PEZ</t>
  </si>
  <si>
    <t>CALL830425C50</t>
  </si>
  <si>
    <t>CALL830425MMNZPC05</t>
  </si>
  <si>
    <t>UNI󿿓N LIBRE</t>
  </si>
  <si>
    <t>HACIENDA DE LOS CABOS</t>
  </si>
  <si>
    <t>FRACCCIONAMIENTO SAN JOS󿿉</t>
  </si>
  <si>
    <t>pau_abril25@hotmail.com</t>
  </si>
  <si>
    <t>LUIS DANIEL CAZARES LOPEZ</t>
  </si>
  <si>
    <t>1801A36666</t>
  </si>
  <si>
    <t>BACCHILLERATO</t>
  </si>
  <si>
    <t>SAOC660221JA3</t>
  </si>
  <si>
    <t>SAOC660221HMSNRH29</t>
  </si>
  <si>
    <t>CARTAMO</t>
  </si>
  <si>
    <t>FRACC LA CIENEGA</t>
  </si>
  <si>
    <t>CARMEN RAMIREZ RODRIGUEZ</t>
  </si>
  <si>
    <t>ABRAHAM ARQUIMIDES</t>
  </si>
  <si>
    <t>MAFA791120GL5</t>
  </si>
  <si>
    <t>MAFA791120HDFRRB04</t>
  </si>
  <si>
    <t>MARTIRES NICOLAITAS</t>
  </si>
  <si>
    <t>NICOLAITAS ILUSTRES</t>
  </si>
  <si>
    <t>aquilesb09@gmail.com</t>
  </si>
  <si>
    <t>GONZALO MARTINEZ MAYA</t>
  </si>
  <si>
    <t>1348010-7</t>
  </si>
  <si>
    <t>JOSE IVAN</t>
  </si>
  <si>
    <t>ZUAI850318HT0</t>
  </si>
  <si>
    <t>ZUAI850318HGTXGV05</t>
  </si>
  <si>
    <t>SEPARADO</t>
  </si>
  <si>
    <t>CTO SAN JUAN DEL MAGUEY</t>
  </si>
  <si>
    <t>AZUL MAGUEY</t>
  </si>
  <si>
    <t>zuai1803@gmail.com</t>
  </si>
  <si>
    <t>OMAR EDUARDO ZUÑIGA AGUIRRE</t>
  </si>
  <si>
    <t>AUTOMOVILI</t>
  </si>
  <si>
    <t>VSM</t>
  </si>
  <si>
    <t>SERGIO HUMBERTO</t>
  </si>
  <si>
    <t>CARRAZCO</t>
  </si>
  <si>
    <t>DICS6403026L0</t>
  </si>
  <si>
    <t>DICS640302HJCZRR09</t>
  </si>
  <si>
    <t>SANTA ROSA</t>
  </si>
  <si>
    <t>diazcarrasco05@hotmail.com</t>
  </si>
  <si>
    <t>ALIDA ARREOLA DUEÑAS</t>
  </si>
  <si>
    <t>JOSE ALEJANDRO</t>
  </si>
  <si>
    <t>LEBA920425E62</t>
  </si>
  <si>
    <t>LEBA920425HMNNRL09</t>
  </si>
  <si>
    <t>ULISES</t>
  </si>
  <si>
    <t>FRACCIONAMIENTO DELTA</t>
  </si>
  <si>
    <t>boock250492@gmail.com</t>
  </si>
  <si>
    <t>MARIA DOLORES BRAVO MARTINEZ</t>
  </si>
  <si>
    <t>1801A37815</t>
  </si>
  <si>
    <t>GUZA891207BX7</t>
  </si>
  <si>
    <t>GUZA891207HRCRXL09</t>
  </si>
  <si>
    <t>EL CARMEN</t>
  </si>
  <si>
    <t>FRACCIONAMIENTO EL CARMEN</t>
  </si>
  <si>
    <t>guerreroztorres@gmail.com</t>
  </si>
  <si>
    <t>ALFREDO GUERRERO</t>
  </si>
  <si>
    <t>10R4606855</t>
  </si>
  <si>
    <t>FRANCISCA</t>
  </si>
  <si>
    <t>CABF8506254E5</t>
  </si>
  <si>
    <t>CABF850625MGTBRR06</t>
  </si>
  <si>
    <t>SEPARADA</t>
  </si>
  <si>
    <t>CALLEJON SAN ANTONIO</t>
  </si>
  <si>
    <t>SAN JOSE DE LOS SABINOS</t>
  </si>
  <si>
    <t>JESUS CABELLO MAGAÑA</t>
  </si>
  <si>
    <t>TIO</t>
  </si>
  <si>
    <t>GABRIEL LUIS FELIPE</t>
  </si>
  <si>
    <t>ESCOBEDO</t>
  </si>
  <si>
    <t>EOTG930623UV6</t>
  </si>
  <si>
    <t>EOTG930623HJCSRB04</t>
  </si>
  <si>
    <t>PRIVADA DE HIDALGO</t>
  </si>
  <si>
    <t>SA MARTIN DE ZULA</t>
  </si>
  <si>
    <t>galufe_120@hotmail.com</t>
  </si>
  <si>
    <t>MARIA TERESA ESCOBEDO TRUJILLO</t>
  </si>
  <si>
    <t>10N3631038</t>
  </si>
  <si>
    <t>CRISTOBAL NOE</t>
  </si>
  <si>
    <t>QUIÑONEZ</t>
  </si>
  <si>
    <t>VENEGAS</t>
  </si>
  <si>
    <t>QUVC941110BK9</t>
  </si>
  <si>
    <t>QUVC941110HJCXNR07</t>
  </si>
  <si>
    <t>PLUTARCO ELIAS CALLES</t>
  </si>
  <si>
    <t>cristobal.auro@gmail.com</t>
  </si>
  <si>
    <t>AURORA TISCAREÑO JARA</t>
  </si>
  <si>
    <t>10N4638135</t>
  </si>
  <si>
    <t>JAVIER</t>
  </si>
  <si>
    <t>DIJAR</t>
  </si>
  <si>
    <t>GADJ841114M39</t>
  </si>
  <si>
    <t>GADJ841114HGTRJV06</t>
  </si>
  <si>
    <t>FUERTE DE COPORO</t>
  </si>
  <si>
    <t>javier_g16@yahoo.com</t>
  </si>
  <si>
    <t>GUSTAVO GARCIA DIJAR</t>
  </si>
  <si>
    <t>0971925-7</t>
  </si>
  <si>
    <t>NO</t>
  </si>
  <si>
    <t>DIEGO ERICK</t>
  </si>
  <si>
    <t>SALD9709099MA</t>
  </si>
  <si>
    <t>SALD970909HMNNPG05</t>
  </si>
  <si>
    <t>FERROCARRIL</t>
  </si>
  <si>
    <t>ARIO DE ROSALES</t>
  </si>
  <si>
    <t>diegoericks109@gmail.com</t>
  </si>
  <si>
    <t>MA DE LOURDES LOPEZ GUERRERO</t>
  </si>
  <si>
    <t>1423630-7</t>
  </si>
  <si>
    <t>KATIA</t>
  </si>
  <si>
    <t>GORK970413E15</t>
  </si>
  <si>
    <t>GORK970413HJCNJT09</t>
  </si>
  <si>
    <t>gonzalezrojok@yahoo.com.mx</t>
  </si>
  <si>
    <t>HILDA ROJO ARIAS</t>
  </si>
  <si>
    <t>TELLEZ</t>
  </si>
  <si>
    <t>TEGA9507268I9</t>
  </si>
  <si>
    <t>TEGA950726HMNLML00</t>
  </si>
  <si>
    <t>PRIVADA BARCELONA</t>
  </si>
  <si>
    <t>FRACC LA CASTELLANA</t>
  </si>
  <si>
    <t>jano15.et@gmail.com</t>
  </si>
  <si>
    <t>MARIA DE JESUS GUDIÑO ENRRIQUEZ</t>
  </si>
  <si>
    <t>MIGUEL</t>
  </si>
  <si>
    <t>SOTELO</t>
  </si>
  <si>
    <t>MASM950130DV9</t>
  </si>
  <si>
    <t>MASM950130HMNDTG07</t>
  </si>
  <si>
    <t>LAGUNA LARGA DE CORTEZ</t>
  </si>
  <si>
    <t>miguelmadrigalsotelo@hotmail.com</t>
  </si>
  <si>
    <t>CELINA SOTELO RAMIREZ</t>
  </si>
  <si>
    <t>CARLOS ELI</t>
  </si>
  <si>
    <t>GAEC960928Q13</t>
  </si>
  <si>
    <t>GAEC960928HMNRNR09</t>
  </si>
  <si>
    <t>ESTANCIA DEL REFUGIO</t>
  </si>
  <si>
    <t>carlos96garcia@hotmail.com</t>
  </si>
  <si>
    <t>ABELARDO</t>
  </si>
  <si>
    <t>CARA940217188</t>
  </si>
  <si>
    <t>CARA940217HGTHMB09</t>
  </si>
  <si>
    <t>SAN JOSE DE MORALES</t>
  </si>
  <si>
    <t>abelardoramirez1994@hotmail.com</t>
  </si>
  <si>
    <t>J JESUS CHAVEZ RAMIREZ</t>
  </si>
  <si>
    <t>RAUL DE JESUS</t>
  </si>
  <si>
    <t>AGUERO</t>
  </si>
  <si>
    <t>ALFARO</t>
  </si>
  <si>
    <t>AUAR851102QX3</t>
  </si>
  <si>
    <t>AUAR851102HJCGLL07</t>
  </si>
  <si>
    <t>rulax85@hotmail.com</t>
  </si>
  <si>
    <t>ANA CRISTINA BECERRA RUEZGA</t>
  </si>
  <si>
    <t>10R3329867</t>
  </si>
  <si>
    <t>MIREYA BERENICE</t>
  </si>
  <si>
    <t>MUÑOZ</t>
  </si>
  <si>
    <t>MUSM920522329</t>
  </si>
  <si>
    <t>MUSM920522MJCXLR09</t>
  </si>
  <si>
    <t>mireya.munoz1992@outlook.com</t>
  </si>
  <si>
    <t>YOLANDA SOLIS</t>
  </si>
  <si>
    <t>BRENDA</t>
  </si>
  <si>
    <t>ALCOCER</t>
  </si>
  <si>
    <t>AOAB900618Q14</t>
  </si>
  <si>
    <t>AOAB900618MGTLLR05</t>
  </si>
  <si>
    <t>PRIVADA 24 DE FEBRERO</t>
  </si>
  <si>
    <t>brenda.alcocer025@gmail.com.mx</t>
  </si>
  <si>
    <t>HERLINDA ALCOCER RODRIGUEZ</t>
  </si>
  <si>
    <t>COGR830129I83</t>
  </si>
  <si>
    <t>COGR830129HJCVRC01</t>
  </si>
  <si>
    <t>ADOLFO RUIZ CORTINEZ</t>
  </si>
  <si>
    <t>ricardocovarrubias011@gmail.com</t>
  </si>
  <si>
    <t>ANTONIO COVARRUBIAS GARCIA</t>
  </si>
  <si>
    <t>2101A37899</t>
  </si>
  <si>
    <t>DUEÑAS</t>
  </si>
  <si>
    <t>ARIZAGA</t>
  </si>
  <si>
    <t>DUAJ931010NJ2</t>
  </si>
  <si>
    <t>DUAJ931010HJCXRN05</t>
  </si>
  <si>
    <t>CRISTOBAL HIDALGO</t>
  </si>
  <si>
    <t>N</t>
  </si>
  <si>
    <t>VELOZ</t>
  </si>
  <si>
    <t>PINEDO</t>
  </si>
  <si>
    <t>VEPJ7908071F5</t>
  </si>
  <si>
    <t>VEPJ790807HJCLNS04</t>
  </si>
  <si>
    <t>CERRO GORDO</t>
  </si>
  <si>
    <t>GUADALAJARA</t>
  </si>
  <si>
    <t>josevmaquinaria@hotmail.com</t>
  </si>
  <si>
    <t>IMELDA EDUVIGES GUERRERO R</t>
  </si>
  <si>
    <t>06R4157222</t>
  </si>
  <si>
    <t>MONICA ALEJANDRA</t>
  </si>
  <si>
    <t>LOHM9403177M1</t>
  </si>
  <si>
    <t>LOHM940317MMNPRN02</t>
  </si>
  <si>
    <t>MARGARITAS</t>
  </si>
  <si>
    <t>OBRERA</t>
  </si>
  <si>
    <t>monalop19@gmail.com</t>
  </si>
  <si>
    <t>ANA BERTHA HERNANDEZ RIOS</t>
  </si>
  <si>
    <t>0++</t>
  </si>
  <si>
    <t>VALENTIN</t>
  </si>
  <si>
    <t>CUELLAR</t>
  </si>
  <si>
    <t>CUCV890822JH6</t>
  </si>
  <si>
    <t>CUCV890822HMNLSL08</t>
  </si>
  <si>
    <t>MITAD DE NORIA</t>
  </si>
  <si>
    <t>valecuellarc.89@hotmail.com</t>
  </si>
  <si>
    <t>EDITH GPE CANO CERVANTES</t>
  </si>
  <si>
    <t>ANGEL OMAR</t>
  </si>
  <si>
    <t>TOTA930730EK0</t>
  </si>
  <si>
    <t>TOTA930730HJCRRN01</t>
  </si>
  <si>
    <t>MATAMOROS</t>
  </si>
  <si>
    <t>SAN PEDRO DE RUIZ</t>
  </si>
  <si>
    <t>NORMA ANTONIO JIMENEZ</t>
  </si>
  <si>
    <t>JAL0058696</t>
  </si>
  <si>
    <t>MARIA DEL REFUGIO</t>
  </si>
  <si>
    <t>COVR690327QE7</t>
  </si>
  <si>
    <t>COVR690327MMNRLF03</t>
  </si>
  <si>
    <t>FRACC METROPOLIS</t>
  </si>
  <si>
    <t>SATHYA CORTES VILLALOBOS</t>
  </si>
  <si>
    <t>LUIS ALBERTO</t>
  </si>
  <si>
    <t>TARL960814FX3</t>
  </si>
  <si>
    <t>TARL960814HGTFDS07</t>
  </si>
  <si>
    <t>LA VILLA DE GUADALUPE</t>
  </si>
  <si>
    <t>tafollaluisalberto@hotmail.com</t>
  </si>
  <si>
    <t>ANA FERNANDA CHAVEZ JIMENEZ</t>
  </si>
  <si>
    <t>N13742639</t>
  </si>
  <si>
    <t>JORGE MOISES</t>
  </si>
  <si>
    <t>HEOJ920315R51</t>
  </si>
  <si>
    <t>HEOJ920315HJCRRR04</t>
  </si>
  <si>
    <t>jorgemoises.hernandezortiz@gmail.com</t>
  </si>
  <si>
    <t>GLORIA PATRICIA HERNANDEZ ORTIZ</t>
  </si>
  <si>
    <t>PERJ670326SW1</t>
  </si>
  <si>
    <t>PERJ670326HTSRDV01</t>
  </si>
  <si>
    <t>RINCON DE TAMAYO</t>
  </si>
  <si>
    <t>perezrodriguezjavier@yahoo.com.mx</t>
  </si>
  <si>
    <t>MARIA GHUADALUPE HERNANDEZ MEDINA</t>
  </si>
  <si>
    <t>VICTOR</t>
  </si>
  <si>
    <t>MORAN</t>
  </si>
  <si>
    <t>MORV9706159P5</t>
  </si>
  <si>
    <t>MORV970615HJCRMC08</t>
  </si>
  <si>
    <t>GRECIA</t>
  </si>
  <si>
    <t>victor123zaza@gmail.com</t>
  </si>
  <si>
    <t>LUCINA RAMOS</t>
  </si>
  <si>
    <t>10N4643737</t>
  </si>
  <si>
    <t>SERGIO ALEJANDRO</t>
  </si>
  <si>
    <t>MOZQUEDA</t>
  </si>
  <si>
    <t>CAMS930311IE1</t>
  </si>
  <si>
    <t>CAMS930311HJCSZR06</t>
  </si>
  <si>
    <t>MANUEL ENRIQUEZ</t>
  </si>
  <si>
    <t>sergio.c.mozqueda@gmail.com</t>
  </si>
  <si>
    <t>ANA CASTRO MOZQUEDA</t>
  </si>
  <si>
    <t>10R4178614</t>
  </si>
  <si>
    <t>NOVOA</t>
  </si>
  <si>
    <t>DUNM8312185Z1</t>
  </si>
  <si>
    <t>DUNM831218HMNRVG00</t>
  </si>
  <si>
    <t>LOMA ENCANTADA</t>
  </si>
  <si>
    <t>miguelduranno@gmail.com</t>
  </si>
  <si>
    <t>P</t>
  </si>
  <si>
    <t>46907/2017</t>
  </si>
  <si>
    <t>DAVID</t>
  </si>
  <si>
    <t>GOVEA</t>
  </si>
  <si>
    <t>GORD851110TK4</t>
  </si>
  <si>
    <t>GORD851110HGTVYV00</t>
  </si>
  <si>
    <t>EDGAR EDUARDO</t>
  </si>
  <si>
    <t>PEIE941231D6A</t>
  </si>
  <si>
    <t>PEIE941231HGTRBD04</t>
  </si>
  <si>
    <t>TEPIC</t>
  </si>
  <si>
    <t>eepi9433@gmail.com</t>
  </si>
  <si>
    <t>LUCIA IBARRA GARCIA</t>
  </si>
  <si>
    <t>ANGEL MANUEL</t>
  </si>
  <si>
    <t>DEVA931108EZ3</t>
  </si>
  <si>
    <t>DEVA931108HGTLZN00</t>
  </si>
  <si>
    <t>AURORA</t>
  </si>
  <si>
    <t>TOLENTO CENTRO</t>
  </si>
  <si>
    <t>ad0050239@gmail.com</t>
  </si>
  <si>
    <t>EMMA VERONICA TAPIA CASTRO</t>
  </si>
  <si>
    <t>NL26833506</t>
  </si>
  <si>
    <t>JUAN MANUEL</t>
  </si>
  <si>
    <t>MUÑIZ</t>
  </si>
  <si>
    <t>MULJ880218588</t>
  </si>
  <si>
    <t>MULJ880218HJCXPN02</t>
  </si>
  <si>
    <t>SAN JUAN</t>
  </si>
  <si>
    <t>juan_muniz19@yahoo.com.mx</t>
  </si>
  <si>
    <t>ROXANA NUÑO BOTELLO</t>
  </si>
  <si>
    <t>10R4152525</t>
  </si>
  <si>
    <t>AVENAMAR</t>
  </si>
  <si>
    <t>MONTIEL</t>
  </si>
  <si>
    <t>GUILLEN</t>
  </si>
  <si>
    <t>MOGA970416SD1</t>
  </si>
  <si>
    <t>MOGA970416HMNNLV05</t>
  </si>
  <si>
    <t>SIERRA DE PICHATARO</t>
  </si>
  <si>
    <t>PUERTA DEL SOL</t>
  </si>
  <si>
    <t>avenamarm@gmail.com</t>
  </si>
  <si>
    <t>AVENAMAR MONTIEL LOPEZ</t>
  </si>
  <si>
    <t>1602117-6</t>
  </si>
  <si>
    <t>NO S</t>
  </si>
  <si>
    <t>CESAR ULISES</t>
  </si>
  <si>
    <t>HEOC951123GY9</t>
  </si>
  <si>
    <t>HEOC951123HGTRRS08</t>
  </si>
  <si>
    <t>LOS PINOS</t>
  </si>
  <si>
    <t>SAN CARLOS</t>
  </si>
  <si>
    <t>ulisesh81@gmail.com</t>
  </si>
  <si>
    <t>V</t>
  </si>
  <si>
    <t>CS27733106</t>
  </si>
  <si>
    <t>JESUS ALBERTO</t>
  </si>
  <si>
    <t>PATIÑO</t>
  </si>
  <si>
    <t>PARJ990330UI5</t>
  </si>
  <si>
    <t>PARJ990330HMNTMS18</t>
  </si>
  <si>
    <t>5 DE MAYO</t>
  </si>
  <si>
    <t>LAS COLONIAS</t>
  </si>
  <si>
    <t>LAPIEDAD</t>
  </si>
  <si>
    <t>jesusalberto.japor@gmail.com</t>
  </si>
  <si>
    <t>JOHANA RIZO JASSO</t>
  </si>
  <si>
    <t>GERARDO GUADALUPE</t>
  </si>
  <si>
    <t>HINOJOZA</t>
  </si>
  <si>
    <t>MEHG0303245V9</t>
  </si>
  <si>
    <t>MEHJ030324HJCNNRA4</t>
  </si>
  <si>
    <t>LOPEZ MATEO</t>
  </si>
  <si>
    <t>geramh2231mh2231@gmail.com</t>
  </si>
  <si>
    <t>MARIA DEL CARMEN HINOJOSA</t>
  </si>
  <si>
    <t>PAPAS</t>
  </si>
  <si>
    <t>10N6226021</t>
  </si>
  <si>
    <t>KEVEN</t>
  </si>
  <si>
    <t>ROSALES</t>
  </si>
  <si>
    <t>RORK961124KK1</t>
  </si>
  <si>
    <t>RORK961124HMNDSV05</t>
  </si>
  <si>
    <t>RIO DUERO</t>
  </si>
  <si>
    <t>EL ALVAREÑO</t>
  </si>
  <si>
    <t>kevinrodriguez96@gmail.com</t>
  </si>
  <si>
    <t>MAYTE ESTEFANIA GONZALEZ SILVA</t>
  </si>
  <si>
    <t>1616873-8</t>
  </si>
  <si>
    <t>CHRISTIAN</t>
  </si>
  <si>
    <t>PURECO</t>
  </si>
  <si>
    <t>MEPC870820D63</t>
  </si>
  <si>
    <t>MEPC870820HMNNRH03</t>
  </si>
  <si>
    <t>REVOLUCION 472</t>
  </si>
  <si>
    <t>mendez87cristian@gmail.com</t>
  </si>
  <si>
    <t>ROSAMARIA PURECO REYES</t>
  </si>
  <si>
    <t>162987-1</t>
  </si>
  <si>
    <t>VICTORINO</t>
  </si>
  <si>
    <t>NAMV950818KPA</t>
  </si>
  <si>
    <t>NAMV950818HMNVRC07</t>
  </si>
  <si>
    <t>CALZADA DE LOS INDIOS</t>
  </si>
  <si>
    <t>142 B</t>
  </si>
  <si>
    <t>SANTA FE</t>
  </si>
  <si>
    <t>ANCIHUACUARO</t>
  </si>
  <si>
    <t>n4v1.loc10@gmail.com</t>
  </si>
  <si>
    <t>ELIT</t>
  </si>
  <si>
    <t>TOPE880226N91</t>
  </si>
  <si>
    <t>TOPE880226HMNRRL04</t>
  </si>
  <si>
    <t>SAN ISIDRO</t>
  </si>
  <si>
    <t>elit.torres24@gmail.com</t>
  </si>
  <si>
    <t>ROSA</t>
  </si>
  <si>
    <t>GREGORIO</t>
  </si>
  <si>
    <t>CERDA</t>
  </si>
  <si>
    <t>SACG760918433</t>
  </si>
  <si>
    <t>SACG760918HJCNRR07</t>
  </si>
  <si>
    <t>LORETO CHAVEZ CRUZ</t>
  </si>
  <si>
    <t>JAL0071032</t>
  </si>
  <si>
    <t>ALVARO</t>
  </si>
  <si>
    <t>GOLA950901AD4</t>
  </si>
  <si>
    <t>GOLA950901HGTNPL02</t>
  </si>
  <si>
    <t>07alvaroglezlo@gmail.com</t>
  </si>
  <si>
    <t>ROSA MARIA LOPEZ AGUILAR</t>
  </si>
  <si>
    <t>QUIMICO FARMACEUTICO BIOLOGO</t>
  </si>
  <si>
    <t>CENTRO UNIVERSITARIO DE LA CIENEGA</t>
  </si>
  <si>
    <t>DAMIAN</t>
  </si>
  <si>
    <t>ZAHD030221GN7</t>
  </si>
  <si>
    <t>ZAHD030221HJCRRMA6</t>
  </si>
  <si>
    <t>AVENA</t>
  </si>
  <si>
    <t>LA CIENEGA</t>
  </si>
  <si>
    <t>damianzaragoza142@gmail.com</t>
  </si>
  <si>
    <t>MA LUISA HERNANDEZ VELAZQUEZ</t>
  </si>
  <si>
    <t>JUAN ANTONIO</t>
  </si>
  <si>
    <t>AIGJ031207G64</t>
  </si>
  <si>
    <t>AIGJ031207HJCVRNA5</t>
  </si>
  <si>
    <t>jg7220955@gmail.com</t>
  </si>
  <si>
    <t>MA DE JESUS GARCIA RODRIGUEZ</t>
  </si>
  <si>
    <t>10R84604415</t>
  </si>
  <si>
    <t>LUCIO</t>
  </si>
  <si>
    <t>BUSTAMANTE</t>
  </si>
  <si>
    <t>RUBL730421NN2</t>
  </si>
  <si>
    <t>RUBL730421HQTZSC01</t>
  </si>
  <si>
    <t>SANTIAGO TLATELOLCO</t>
  </si>
  <si>
    <t>JARDINES DE SANTIAGO</t>
  </si>
  <si>
    <t>SATIAGO DE QUERETARO</t>
  </si>
  <si>
    <t>l.ruiz_21@hotmail.com</t>
  </si>
  <si>
    <t>VICTOR MANUEL RUIZ TORRES</t>
  </si>
  <si>
    <t>Q144774-01</t>
  </si>
  <si>
    <t>RIGOBERTO DE JESUS</t>
  </si>
  <si>
    <t>GARR970128AAA</t>
  </si>
  <si>
    <t>GARR970128HJCRDG03</t>
  </si>
  <si>
    <t>GERARDO HERRERA</t>
  </si>
  <si>
    <t>ANA LAURA</t>
  </si>
  <si>
    <t>PAHA9805267G5</t>
  </si>
  <si>
    <t>PASEO DE LOS ROBLES</t>
  </si>
  <si>
    <t>LAS HUERTAS</t>
  </si>
  <si>
    <t>laura-plasher@hotmail.com</t>
  </si>
  <si>
    <t>LAURA HERNANDEZ PADILLA</t>
  </si>
  <si>
    <t>29N2223224</t>
  </si>
  <si>
    <t>FLAVIO</t>
  </si>
  <si>
    <t>SALAS</t>
  </si>
  <si>
    <t>SAGF971005BYA</t>
  </si>
  <si>
    <t>SAGF971005HGTLRL05</t>
  </si>
  <si>
    <t>NOGALES</t>
  </si>
  <si>
    <t>UNIDAD HABITACIONAL ISSTE</t>
  </si>
  <si>
    <t>TEXCOCO</t>
  </si>
  <si>
    <t>greba.saga@gmail.com</t>
  </si>
  <si>
    <t>FRANCISCA GARCIA</t>
  </si>
  <si>
    <t>JUAN DANIEL</t>
  </si>
  <si>
    <t>VEVJ980111AR3</t>
  </si>
  <si>
    <t>VEVJ980111HMCLRN01</t>
  </si>
  <si>
    <t>BARR SANTA URSULA</t>
  </si>
  <si>
    <t>jdvelazquezv@gmail.com</t>
  </si>
  <si>
    <t>JUAN VELAZQUEZ SOLIS</t>
  </si>
  <si>
    <t>N14110410</t>
  </si>
  <si>
    <t>OOCV8203128Z6</t>
  </si>
  <si>
    <t>OOCV820312HJCRHC09</t>
  </si>
  <si>
    <t>voch.victor@gmail.com</t>
  </si>
  <si>
    <t>ERIKA MERICIA BRAVO RAMIREZ</t>
  </si>
  <si>
    <t>10R6037240</t>
  </si>
  <si>
    <t>EMMANUEL</t>
  </si>
  <si>
    <t>GOSE980617UH1</t>
  </si>
  <si>
    <t>GOSE980617HJCNLM08</t>
  </si>
  <si>
    <t>GUADALUPANA</t>
  </si>
  <si>
    <t>ZAPOTLAN DEL REY</t>
  </si>
  <si>
    <t>emanax30@gmail.com</t>
  </si>
  <si>
    <t>SANDRA LETICIA GOMEZ SALGADO</t>
  </si>
  <si>
    <t>10N5113600</t>
  </si>
  <si>
    <t>AGUILERA</t>
  </si>
  <si>
    <t>AURR5702222H4</t>
  </si>
  <si>
    <t>AURR570222HMNGML05</t>
  </si>
  <si>
    <t>VIUDO</t>
  </si>
  <si>
    <t>GOBERNADOR DE MICHOACAN</t>
  </si>
  <si>
    <t>RINCON DE LA SANTA CRUZ</t>
  </si>
  <si>
    <t>MM</t>
  </si>
  <si>
    <t>CI8916</t>
  </si>
  <si>
    <t>NEGRETE</t>
  </si>
  <si>
    <t>LOMELI</t>
  </si>
  <si>
    <t>NELM8209076B5</t>
  </si>
  <si>
    <t>NELM820907HJCGMG05</t>
  </si>
  <si>
    <t>GONZALEZ ORTEGA</t>
  </si>
  <si>
    <t>SAN FELIPE</t>
  </si>
  <si>
    <t>negrete.lomeli@hotmail.com</t>
  </si>
  <si>
    <t>MIGUEL ANGEL NEGRETE LOMELI</t>
  </si>
  <si>
    <t>10R4311428</t>
  </si>
  <si>
    <t>JESUS EMANUEL</t>
  </si>
  <si>
    <t>TAMJ8401313B9</t>
  </si>
  <si>
    <t>TAMJ840131HMNFRS07</t>
  </si>
  <si>
    <t>PARIS</t>
  </si>
  <si>
    <t>FRACC DELTA</t>
  </si>
  <si>
    <t>jemanueltm@hotmail.com</t>
  </si>
  <si>
    <t>PAULINA MORALES GARCIA</t>
  </si>
  <si>
    <t>PEDRO ANTONIO</t>
  </si>
  <si>
    <t>VELARDE</t>
  </si>
  <si>
    <t>LOVP760915SY8</t>
  </si>
  <si>
    <t>LOVP760915HSLPLD07</t>
  </si>
  <si>
    <t>PRIV SAN FERNANDO</t>
  </si>
  <si>
    <t>FRACC SAN FERNANDO</t>
  </si>
  <si>
    <t>pedro.lopezvelarde1@gmail.com</t>
  </si>
  <si>
    <t>SYNTYA RODRIGUEZ CARBAJAL</t>
  </si>
  <si>
    <t>1801A31722</t>
  </si>
  <si>
    <t>ZUNO</t>
  </si>
  <si>
    <t>T02J8806053AA</t>
  </si>
  <si>
    <t>T02J880605HJCRNN05</t>
  </si>
  <si>
    <t>JUAN DE LA BARRERA</t>
  </si>
  <si>
    <t>LA FLORESTA</t>
  </si>
  <si>
    <t>MARIANA TORRES ZUNO</t>
  </si>
  <si>
    <t>10R3507357</t>
  </si>
  <si>
    <t>TECNICO MECANICO INDUSTRIAL</t>
  </si>
  <si>
    <t>VAOA980819FJ4</t>
  </si>
  <si>
    <t>VAOA980819HGTZRL02</t>
  </si>
  <si>
    <t>FRANCISCO VILLA</t>
  </si>
  <si>
    <t>ZAPOTE DE BARAJAS</t>
  </si>
  <si>
    <t>ZAPOTEDE BARAJAS</t>
  </si>
  <si>
    <t>sistema@agrocisa.com.mx</t>
  </si>
  <si>
    <t>ALFREDO VAZQUEZ MOZQUEDA</t>
  </si>
  <si>
    <t>JD23433516</t>
  </si>
  <si>
    <t>INGENIERIA EN METAL MECANICA</t>
  </si>
  <si>
    <t>UNIVERSIDAD TECNOLOGICA DEL SURESTE DE GUANAJUATO</t>
  </si>
  <si>
    <t>PASCUAL HUMBERTO</t>
  </si>
  <si>
    <t>RAFP8910200N9</t>
  </si>
  <si>
    <t>RAFP891020HJCMLS03</t>
  </si>
  <si>
    <t>SAN FELIPE DE JESUS</t>
  </si>
  <si>
    <t>p8920@hotmail.com</t>
  </si>
  <si>
    <t>JAHAIRO EDUARDO RAMIREZ</t>
  </si>
  <si>
    <t>37R7621730</t>
  </si>
  <si>
    <t>ARH+</t>
  </si>
  <si>
    <t>INGENIERIA INDUSTRIAL Y DE SISITEMAS</t>
  </si>
  <si>
    <t>HECTOR RAUL</t>
  </si>
  <si>
    <t>CORNEJO</t>
  </si>
  <si>
    <t>SACH650203EI6</t>
  </si>
  <si>
    <t>SACH650203HMNNRC02</t>
  </si>
  <si>
    <t>CUTZAMALA</t>
  </si>
  <si>
    <t>FRAC LOMAS DE LA MAESTRANZA</t>
  </si>
  <si>
    <t>herrasa133@gmail.com</t>
  </si>
  <si>
    <t>VIRGINIA DELGADO FLORES</t>
  </si>
  <si>
    <t>1308207-1</t>
  </si>
  <si>
    <t>LILIA JOCELYNE</t>
  </si>
  <si>
    <t>PAEZ</t>
  </si>
  <si>
    <t>PARL960319JE5</t>
  </si>
  <si>
    <t>PARL960319MJCZDL05</t>
  </si>
  <si>
    <t>DELGADILLO ARAUJO</t>
  </si>
  <si>
    <t>lilia_1903@outlook.com</t>
  </si>
  <si>
    <t>LILIA RODRIGUEZ ANDRADE</t>
  </si>
  <si>
    <t>OSCAR MANUEL</t>
  </si>
  <si>
    <t>IÑIGUEZ</t>
  </si>
  <si>
    <t>IIHO0901018G6</t>
  </si>
  <si>
    <t>IIHO901018HJCXRS03</t>
  </si>
  <si>
    <t>ROSAS MORENO</t>
  </si>
  <si>
    <t>CAPILLAS DE MILPILLAS</t>
  </si>
  <si>
    <t>JACQUELIN</t>
  </si>
  <si>
    <t>09R4016466</t>
  </si>
  <si>
    <t>INGENIERIA EN SISTEMAS PRECUARIOS</t>
  </si>
  <si>
    <t>CARLOS</t>
  </si>
  <si>
    <t>TOCC790321BB2</t>
  </si>
  <si>
    <t>TOCC790321HDFRRR03</t>
  </si>
  <si>
    <t>2 A</t>
  </si>
  <si>
    <t>BENITO JUREZ</t>
  </si>
  <si>
    <t>BUENA VISTA DE CORTEZ</t>
  </si>
  <si>
    <t>JULIANA</t>
  </si>
  <si>
    <t>CS17080224</t>
  </si>
  <si>
    <t>INGENIERO INDUSTRIAL</t>
  </si>
  <si>
    <t>INSTITUTO DE LA PIEDAD</t>
  </si>
  <si>
    <t>ESTEBAN</t>
  </si>
  <si>
    <t>SACE9211061Y3</t>
  </si>
  <si>
    <t>SACE921106HMNNSS01</t>
  </si>
  <si>
    <t>MARIANO MATAMOROS</t>
  </si>
  <si>
    <t>AXEL SANCHEZ CASTRO</t>
  </si>
  <si>
    <t>1801A36470</t>
  </si>
  <si>
    <t>BANCO AZTECA</t>
  </si>
  <si>
    <t>FATIMA KARINA</t>
  </si>
  <si>
    <t>FELIPE</t>
  </si>
  <si>
    <t>GAFF900119S43</t>
  </si>
  <si>
    <t>GAFF900119MGTRLT07</t>
  </si>
  <si>
    <t>CALZADA DE LOS POETAS</t>
  </si>
  <si>
    <t>FATIMA</t>
  </si>
  <si>
    <t>ADMINISTRATIVO</t>
  </si>
  <si>
    <t>UVEG</t>
  </si>
  <si>
    <t>EDUARDO FABIAN</t>
  </si>
  <si>
    <t>ARMEIDA</t>
  </si>
  <si>
    <t>GAAE900702R50</t>
  </si>
  <si>
    <t>GAAE900702HJCRRD09</t>
  </si>
  <si>
    <t>MANUEL DOBIADO</t>
  </si>
  <si>
    <t>TEPATITLAN</t>
  </si>
  <si>
    <t>GABRIELA GARCIA</t>
  </si>
  <si>
    <t>10R3484670</t>
  </si>
  <si>
    <t>TITULACION</t>
  </si>
  <si>
    <t>ADMINISTRACION DE EMPRESAS</t>
  </si>
  <si>
    <t>CARLOS IVAN</t>
  </si>
  <si>
    <t>CAZAREZ</t>
  </si>
  <si>
    <t>MACCA960609DK</t>
  </si>
  <si>
    <t>MACC960609HMNRZR05</t>
  </si>
  <si>
    <t>MIGUEL REGALADO</t>
  </si>
  <si>
    <t>MICHOACAN</t>
  </si>
  <si>
    <t>AURORA VALENCIA NUÑEZ</t>
  </si>
  <si>
    <t>AARON</t>
  </si>
  <si>
    <t>GAZCON</t>
  </si>
  <si>
    <t>MOGA</t>
  </si>
  <si>
    <t>OTILIO MONTAÑO</t>
  </si>
  <si>
    <t>REGINA GPE MORALES GAZCON</t>
  </si>
  <si>
    <t>YADIRA</t>
  </si>
  <si>
    <t>TOBY830710CJ8</t>
  </si>
  <si>
    <t>TOBY830710MMNRRD07</t>
  </si>
  <si>
    <t>CONVENIO DE TLAYACAPAN</t>
  </si>
  <si>
    <t>MISION DEL VALLE</t>
  </si>
  <si>
    <t>01010E3448</t>
  </si>
  <si>
    <t>MOHJ940814KH4</t>
  </si>
  <si>
    <t>MOHJ940814HMNRRN01</t>
  </si>
  <si>
    <t>JESUS MORENO</t>
  </si>
  <si>
    <t>LOS MORENO</t>
  </si>
  <si>
    <t>moralesjuancarlos68744@gmail.com</t>
  </si>
  <si>
    <t>MARISELA HERNANDEZ</t>
  </si>
  <si>
    <t>UMF077</t>
  </si>
  <si>
    <t>RUVALCABA</t>
  </si>
  <si>
    <t>PERR9603297Q2</t>
  </si>
  <si>
    <t>PERR960329HJCRVMO3</t>
  </si>
  <si>
    <t>RIO NAZAS</t>
  </si>
  <si>
    <t>JARDINES DE LA RIBERA</t>
  </si>
  <si>
    <t>JALISCO</t>
  </si>
  <si>
    <t>MAÑA DE LA LUZ RUVALCABA</t>
  </si>
  <si>
    <t>09R4106869</t>
  </si>
  <si>
    <t>JOSE CARLOS</t>
  </si>
  <si>
    <t>PASC940702UX0</t>
  </si>
  <si>
    <t>PASC940702HJCTNR08</t>
  </si>
  <si>
    <t>PIRACANTO</t>
  </si>
  <si>
    <t>EL MEZQUITE</t>
  </si>
  <si>
    <t>NOSE</t>
  </si>
  <si>
    <t>10R4114938</t>
  </si>
  <si>
    <t>ORH+</t>
  </si>
  <si>
    <t>MILAGROS GUADALUPE</t>
  </si>
  <si>
    <t>SERRANO</t>
  </si>
  <si>
    <t>SEGM981219MJCRTL05</t>
  </si>
  <si>
    <t>PONCITLAN CENTRO</t>
  </si>
  <si>
    <t>YULISSA SERRANO GUTIERREZ</t>
  </si>
  <si>
    <t>JESUS ADALBERTO</t>
  </si>
  <si>
    <t>MAJJ921031FQ7</t>
  </si>
  <si>
    <t>MAJJ921031HMNRMS09</t>
  </si>
  <si>
    <t>GUTEMBERG</t>
  </si>
  <si>
    <t>RAMON JIMENEZ</t>
  </si>
  <si>
    <t>1801A38768</t>
  </si>
  <si>
    <t>LUIS RICARDO</t>
  </si>
  <si>
    <t>GAVL8804023E5</t>
  </si>
  <si>
    <t>GAVL880402HJCRRS07</t>
  </si>
  <si>
    <t>MAGNOLIA</t>
  </si>
  <si>
    <t>EL PROTERO</t>
  </si>
  <si>
    <t>JOSE EDUARDO GARCIA VARGAS</t>
  </si>
  <si>
    <t>10R3922314</t>
  </si>
  <si>
    <t>EDGAR OSVALDO</t>
  </si>
  <si>
    <t>CACE911017765</t>
  </si>
  <si>
    <t>CACE911017HJCRRD06</t>
  </si>
  <si>
    <t>DEL PIRUL</t>
  </si>
  <si>
    <t>FABIOLA CARRILLO</t>
  </si>
  <si>
    <t>DD28521503</t>
  </si>
  <si>
    <t>NOE ALEJANDRO</t>
  </si>
  <si>
    <t>GOSN871029VE2</t>
  </si>
  <si>
    <t>GOSN871029HJCNNX02</t>
  </si>
  <si>
    <t>ANDADOR RIO BRAVO</t>
  </si>
  <si>
    <t>BOSQUES DEL LAGO</t>
  </si>
  <si>
    <t>9R64205247</t>
  </si>
  <si>
    <t>JULISSA</t>
  </si>
  <si>
    <t>HEBJ980615DE6</t>
  </si>
  <si>
    <t>HEBJ980615MGTRRL01</t>
  </si>
  <si>
    <t>CORTINA</t>
  </si>
  <si>
    <t>RUBEN HERRERA</t>
  </si>
  <si>
    <t>MOISES</t>
  </si>
  <si>
    <t>TINOCO</t>
  </si>
  <si>
    <t>IITM910606B57</t>
  </si>
  <si>
    <t>IITM910606HJCXNS01</t>
  </si>
  <si>
    <t>AGUSTIN MELGAR</t>
  </si>
  <si>
    <t>moisesvrm15@gmail.com</t>
  </si>
  <si>
    <t>MARCELA VALDEZ</t>
  </si>
  <si>
    <t>CONYUGE</t>
  </si>
  <si>
    <t>10N3836863</t>
  </si>
  <si>
    <t>JESUS OSLER</t>
  </si>
  <si>
    <t>HEGJ940801HR7</t>
  </si>
  <si>
    <t>HEGJ940801HGRRRS05</t>
  </si>
  <si>
    <t>AZUCENAS</t>
  </si>
  <si>
    <t>FIDELAC</t>
  </si>
  <si>
    <t>C6618620</t>
  </si>
  <si>
    <t>LIZBETH ADILENE</t>
  </si>
  <si>
    <t>GUFL870227930</t>
  </si>
  <si>
    <t>GUFL870227MJCZLZ09</t>
  </si>
  <si>
    <t>PRIVADA LEANDRO VALLE</t>
  </si>
  <si>
    <t>MARICELA FLORES</t>
  </si>
  <si>
    <t>ANDRES ALEJANDRO</t>
  </si>
  <si>
    <t>AMADOR</t>
  </si>
  <si>
    <t>AATA840819T13</t>
  </si>
  <si>
    <t>AATA840819HJCMRN05</t>
  </si>
  <si>
    <t>MARITZA GONZALEZ</t>
  </si>
  <si>
    <t>10R5090419</t>
  </si>
  <si>
    <t>MONICA ESMERALDA</t>
  </si>
  <si>
    <t>MEGM931118AR9</t>
  </si>
  <si>
    <t>MEGM931118MJCZMN02</t>
  </si>
  <si>
    <t>HALCON</t>
  </si>
  <si>
    <t>REAL SAN ELIAZ</t>
  </si>
  <si>
    <t>mezam6613@gmail.com</t>
  </si>
  <si>
    <t>GUADALUPE GOMEZ CABRERA</t>
  </si>
  <si>
    <t>HIPERTENSA,</t>
  </si>
  <si>
    <t>PEPJ971226FH3</t>
  </si>
  <si>
    <t>PEPJ971226HMNRRS01</t>
  </si>
  <si>
    <t>FRANCISCO I MADERO</t>
  </si>
  <si>
    <t>PLAZA DEL LIMON</t>
  </si>
  <si>
    <t>perez55579@gmail.com</t>
  </si>
  <si>
    <t>BENJAMIN PEREZ MARISCAL</t>
  </si>
  <si>
    <t>1705A37936</t>
  </si>
  <si>
    <t>APOLINAR</t>
  </si>
  <si>
    <t>GAMA660920EIA</t>
  </si>
  <si>
    <t>GAMA669020HMNRRP01</t>
  </si>
  <si>
    <t>RUBEN JARAMILLO</t>
  </si>
  <si>
    <t>apolinargarcia.50a@gmail.com</t>
  </si>
  <si>
    <t>URIEL GARCIA</t>
  </si>
  <si>
    <t>0101T15487</t>
  </si>
  <si>
    <t>EVELIN</t>
  </si>
  <si>
    <t>SAMPABLO</t>
  </si>
  <si>
    <t>CASIMIRO</t>
  </si>
  <si>
    <t>SACE950827Q77</t>
  </si>
  <si>
    <t>SACE950827MMNMSV04</t>
  </si>
  <si>
    <t>AV. EL PEDREGAL</t>
  </si>
  <si>
    <t>URUETARO</t>
  </si>
  <si>
    <t>FABIOLA CASIMIRO</t>
  </si>
  <si>
    <t>DIEGO GUADALUPE</t>
  </si>
  <si>
    <t>ARMAS</t>
  </si>
  <si>
    <t>AAAD960103DQ7</t>
  </si>
  <si>
    <t>AAAD960103HJCRLG00</t>
  </si>
  <si>
    <t>JESUS ESPINOZA</t>
  </si>
  <si>
    <t>darmasalvarez@gmail.com</t>
  </si>
  <si>
    <t>IVETTE TORRES</t>
  </si>
  <si>
    <t>37R6797251</t>
  </si>
  <si>
    <t>CARLOS ALBERTO</t>
  </si>
  <si>
    <t>GULC9711044V4</t>
  </si>
  <si>
    <t>GULC971104HMNTPR07</t>
  </si>
  <si>
    <t>PINO HUMBOLTZIN</t>
  </si>
  <si>
    <t>CARLOS ALBERTO GUTIERREZ</t>
  </si>
  <si>
    <t>1172A01136</t>
  </si>
  <si>
    <t>ANA KAREN</t>
  </si>
  <si>
    <t>ROCEL</t>
  </si>
  <si>
    <t>ROGA900308821</t>
  </si>
  <si>
    <t>ROGA900308MMNCRN05</t>
  </si>
  <si>
    <t>ENCINO</t>
  </si>
  <si>
    <t>FRACCIONAMIENTO HACIENDA EL ENCANTO</t>
  </si>
  <si>
    <t>JESUS CASIMIRO FONSECA</t>
  </si>
  <si>
    <t>MARIBEL</t>
  </si>
  <si>
    <t>MEMM830413</t>
  </si>
  <si>
    <t>MEMM8300413MMNDXR0</t>
  </si>
  <si>
    <t>CONOCIDO LA MAGDALENA SN, N</t>
  </si>
  <si>
    <t>XX</t>
  </si>
  <si>
    <t>MESON NUEVO</t>
  </si>
  <si>
    <t>Q</t>
  </si>
  <si>
    <t>JENIFFER PAULINA</t>
  </si>
  <si>
    <t>RESENDIZ</t>
  </si>
  <si>
    <t>REBJ990509DA1</t>
  </si>
  <si>
    <t>REBJ990509MJCSRN01</t>
  </si>
  <si>
    <t>SOLISARIDAD</t>
  </si>
  <si>
    <t>paulina-12-2011@hotmail.com</t>
  </si>
  <si>
    <t>JUAN MANUEL RESENDIZ</t>
  </si>
  <si>
    <t>PAP󿿁</t>
  </si>
  <si>
    <t>ALMA EDITH</t>
  </si>
  <si>
    <t>LEBA810315RA2</t>
  </si>
  <si>
    <t>LEBA810315MMNNRL07</t>
  </si>
  <si>
    <t>SAN FERNANDO</t>
  </si>
  <si>
    <t>CIUDAD DEL SOL</t>
  </si>
  <si>
    <t>ALMA LETICIA BRAVO</t>
  </si>
  <si>
    <t>MELQUIADES</t>
  </si>
  <si>
    <t>CUMM9710267H9</t>
  </si>
  <si>
    <t>CUMM971026HCSRNL03</t>
  </si>
  <si>
    <t>AGUSTIN RIVERA</t>
  </si>
  <si>
    <t>CENTRO LA PIEDAD</t>
  </si>
  <si>
    <t>ROSENDO CRUZ LOPEZ</t>
  </si>
  <si>
    <t>B070320533</t>
  </si>
  <si>
    <t>ARMANDO</t>
  </si>
  <si>
    <t>TUTA9804289N9</t>
  </si>
  <si>
    <t>AV. DE LA JUVENTUD</t>
  </si>
  <si>
    <t>ARMANDO TRUJILLO NAVARRO</t>
  </si>
  <si>
    <t>DALILA</t>
  </si>
  <si>
    <t>BAEZA</t>
  </si>
  <si>
    <t>VILLALVA</t>
  </si>
  <si>
    <t>BAVD950226M44</t>
  </si>
  <si>
    <t>BAVD950226MPLZLL07</t>
  </si>
  <si>
    <t>CLAVEL</t>
  </si>
  <si>
    <t>dali2012davi@hotmail.com</t>
  </si>
  <si>
    <t>JESUS RODRIGUEZ</t>
  </si>
  <si>
    <t>SOOM970907GK6</t>
  </si>
  <si>
    <t>SOOM9700907HDGLRR0</t>
  </si>
  <si>
    <t>GALEANA</t>
  </si>
  <si>
    <t>CANATLAN</t>
  </si>
  <si>
    <t>solisortegamarco@gmail.com</t>
  </si>
  <si>
    <t>EDELMIRA ORTEGA RODRIGUEZ</t>
  </si>
  <si>
    <t>JOSE ALONSO</t>
  </si>
  <si>
    <t>GAVA980911215</t>
  </si>
  <si>
    <t>GAVA980911HMNRGL07</t>
  </si>
  <si>
    <t>SIN NOMBRE</t>
  </si>
  <si>
    <t>CUITZILLO GRANDE</t>
  </si>
  <si>
    <t>alonsogarciavega1@hotmail.com</t>
  </si>
  <si>
    <t>JORGE ALEJANDRO</t>
  </si>
  <si>
    <t>SANTOS</t>
  </si>
  <si>
    <t>SAHJ910418KG6</t>
  </si>
  <si>
    <t>SAHJ910418HJCNRR04</t>
  </si>
  <si>
    <t>FLAMINGO</t>
  </si>
  <si>
    <t>FRACC PUERTA DEL LAGO</t>
  </si>
  <si>
    <t>JOCOTEPEC</t>
  </si>
  <si>
    <t>alejandrosantos55@hotmail.com</t>
  </si>
  <si>
    <t>JESSICA SANTANA ORNELAS</t>
  </si>
  <si>
    <t>ANGELICA LORENA</t>
  </si>
  <si>
    <t>LOZANO</t>
  </si>
  <si>
    <t>LONA880913</t>
  </si>
  <si>
    <t>LONA880913MJCZXN01</t>
  </si>
  <si>
    <t>PUERTO RICO</t>
  </si>
  <si>
    <t>EL ROSARIO</t>
  </si>
  <si>
    <t>angelica_lozano88@hotmail.com</t>
  </si>
  <si>
    <t>MARIA LORENA NUÑEZ TORRES</t>
  </si>
  <si>
    <t>LORENA</t>
  </si>
  <si>
    <t>GOML980928ML0</t>
  </si>
  <si>
    <t>GOML980928MGTNCR04</t>
  </si>
  <si>
    <t>ESTACION</t>
  </si>
  <si>
    <t>macias_glezloren@hotmail.com</t>
  </si>
  <si>
    <t>ERIC GONZALEZ</t>
  </si>
  <si>
    <t>CESAR OMAR</t>
  </si>
  <si>
    <t>DE SANTIAGO</t>
  </si>
  <si>
    <t>SACC860601H3C</t>
  </si>
  <si>
    <t>SACC860601HJCNRS06</t>
  </si>
  <si>
    <t>J. INES DE LA CRUZ</t>
  </si>
  <si>
    <t>EL SANTUARIO</t>
  </si>
  <si>
    <t>TERESA GRACIELA</t>
  </si>
  <si>
    <t>JAL0053394</t>
  </si>
  <si>
    <t>TIPO D</t>
  </si>
  <si>
    <t>JOSE TRINIDAD</t>
  </si>
  <si>
    <t>MACT9101038WA</t>
  </si>
  <si>
    <t>MACT910103HGTRRR01</t>
  </si>
  <si>
    <t>C. SIN NOMBRE</t>
  </si>
  <si>
    <t>GLORIA DEL CARMEN</t>
  </si>
  <si>
    <t>ALEJANDRA</t>
  </si>
  <si>
    <t>RONA9911294H1</t>
  </si>
  <si>
    <t>RONA991129MJCDVL09</t>
  </si>
  <si>
    <t>SALTERA</t>
  </si>
  <si>
    <t>SAN PABLO</t>
  </si>
  <si>
    <t>TRINIDAD</t>
  </si>
  <si>
    <t>ESTELA NAVARRO ROMERO</t>
  </si>
  <si>
    <t>+++</t>
  </si>
  <si>
    <t>CARLOS RAFAEL</t>
  </si>
  <si>
    <t>RIRC7510129LA</t>
  </si>
  <si>
    <t>RIRC751012HDFVMR00</t>
  </si>
  <si>
    <t>LOMA CRISTALINA</t>
  </si>
  <si>
    <t>CEVILLAS DE LA LOMA</t>
  </si>
  <si>
    <t>MMMA</t>
  </si>
  <si>
    <t>LIDIA</t>
  </si>
  <si>
    <t>VAPL980204625</t>
  </si>
  <si>
    <t>VAPL980204MCSZRD00</t>
  </si>
  <si>
    <t>PABLO L. SIDAR</t>
  </si>
  <si>
    <t>CHIAPAS</t>
  </si>
  <si>
    <t>ETELVINA PEREZ SANTIZ</t>
  </si>
  <si>
    <t>B P</t>
  </si>
  <si>
    <t>ELEONAI</t>
  </si>
  <si>
    <t>PEFE981127J46</t>
  </si>
  <si>
    <t>PEFE981127HCSRLL15</t>
  </si>
  <si>
    <t>NUEVA REVOLUCION ZAPATISTA</t>
  </si>
  <si>
    <t>NUEVA REVOLUCION</t>
  </si>
  <si>
    <t>ROSAURO PEREZ MENDEZ</t>
  </si>
  <si>
    <t>16N0043884</t>
  </si>
  <si>
    <t>DANIEL OMAR</t>
  </si>
  <si>
    <t>PEDROZA</t>
  </si>
  <si>
    <t>PEGD970526HX1</t>
  </si>
  <si>
    <t>PEGD970526HJCDMN04</t>
  </si>
  <si>
    <t>CLAVE Y GIRASOL</t>
  </si>
  <si>
    <t>MA. TERESA GOMEZ FLORES</t>
  </si>
  <si>
    <t>MAFB950925TV5</t>
  </si>
  <si>
    <t>MAGB950925MMNGML09</t>
  </si>
  <si>
    <t>JOSE MARIA MUNGUIA</t>
  </si>
  <si>
    <t>YOLANDA</t>
  </si>
  <si>
    <t>ORLANDO YAEL</t>
  </si>
  <si>
    <t>CEJA</t>
  </si>
  <si>
    <t>CEBO971202LL4</t>
  </si>
  <si>
    <t>CEBO971202HJCJRR04</t>
  </si>
  <si>
    <t>CEBADA</t>
  </si>
  <si>
    <t>oryaelcebs@gmail.com</t>
  </si>
  <si>
    <t>SANTIAGO CEJA OCHOA</t>
  </si>
  <si>
    <t>10N7518582</t>
  </si>
  <si>
    <t>DIANA MONTSERRAT</t>
  </si>
  <si>
    <t>OSORIO</t>
  </si>
  <si>
    <t>OOHD9509028KA</t>
  </si>
  <si>
    <t>OOHD950902MMNSRN06</t>
  </si>
  <si>
    <t>MAGISTERIO</t>
  </si>
  <si>
    <t>MEXICO</t>
  </si>
  <si>
    <t>osorio95montse@gmail.com</t>
  </si>
  <si>
    <t>JOSEFINA HERNANDEZ</t>
  </si>
  <si>
    <t>MAM󿿁</t>
  </si>
  <si>
    <t>1801A38401</t>
  </si>
  <si>
    <t>AUAL8007099B2</t>
  </si>
  <si>
    <t>AUAL800709HMNGGS09</t>
  </si>
  <si>
    <t>CONOCIDO SIN NOMBRE</t>
  </si>
  <si>
    <t>TZINTZIMEO</t>
  </si>
  <si>
    <t>aguilarlmk@hotmail.com</t>
  </si>
  <si>
    <t>GABRIELA SANCHEZ CASTRO</t>
  </si>
  <si>
    <t>CONYUGUE</t>
  </si>
  <si>
    <t>1861A32500</t>
  </si>
  <si>
    <t>RHO-</t>
  </si>
  <si>
    <t>ALICIA VIRIDIANA</t>
  </si>
  <si>
    <t>PAREDES</t>
  </si>
  <si>
    <t>ROPA9111037F6</t>
  </si>
  <si>
    <t>ROPA911103MMNDRL08</t>
  </si>
  <si>
    <t>CIRCUITO CIENA</t>
  </si>
  <si>
    <t>2 PLAZAS</t>
  </si>
  <si>
    <t>aliciaparedes899@gmail.com</t>
  </si>
  <si>
    <t>JULIO CESAR RIOS VERDUZCO</t>
  </si>
  <si>
    <t>LUCIA GUADALUPE</t>
  </si>
  <si>
    <t>TURL970419B70</t>
  </si>
  <si>
    <t>TURL970419MJCRDC09</t>
  </si>
  <si>
    <t>GARIBI RIVERA</t>
  </si>
  <si>
    <t>EL GUAMUCHIL</t>
  </si>
  <si>
    <t>luciatrujillo009@gmail.com</t>
  </si>
  <si>
    <t>FENANDO TRUJILLO CHAVEZ</t>
  </si>
  <si>
    <t>STEPHANIE</t>
  </si>
  <si>
    <t>SANTANA</t>
  </si>
  <si>
    <t>CASS000512M58</t>
  </si>
  <si>
    <t>CASS000512MMNSNTA7</t>
  </si>
  <si>
    <t>CEREZO</t>
  </si>
  <si>
    <t>LOA PINOS</t>
  </si>
  <si>
    <t>GODA780521F60</t>
  </si>
  <si>
    <t>GODA780521MJCMZL13</t>
  </si>
  <si>
    <t>PALOMA AGUILAR GOMEZ</t>
  </si>
  <si>
    <t>FLAVIO CESAR</t>
  </si>
  <si>
    <t>GAMF971005KX0</t>
  </si>
  <si>
    <t>GAMF971005HDGRRL03</t>
  </si>
  <si>
    <t>cesar.ghost.9710@gmail.com</t>
  </si>
  <si>
    <t>APOLINAR GARCIA CASTAÑEDA</t>
  </si>
  <si>
    <t>ROBERTO ADRIAN</t>
  </si>
  <si>
    <t>FERREIRA</t>
  </si>
  <si>
    <t>FEMR920414HMN</t>
  </si>
  <si>
    <t>FEMR920414HMNRXB01</t>
  </si>
  <si>
    <t>AVENIDA DIAMANTE</t>
  </si>
  <si>
    <t>REAL HACIENDA</t>
  </si>
  <si>
    <t>adrian04492@gmail.com</t>
  </si>
  <si>
    <t>GUADALUPE MORALES ROJAS</t>
  </si>
  <si>
    <t>1007A35397</t>
  </si>
  <si>
    <t>PABLO ALBERTO</t>
  </si>
  <si>
    <t>BAROCIO</t>
  </si>
  <si>
    <t>BAVP890406NH7</t>
  </si>
  <si>
    <t>BAVP890406HJCRLB05</t>
  </si>
  <si>
    <t>FRANCISCO MURGUIA</t>
  </si>
  <si>
    <t>CENTRO LA BARCA</t>
  </si>
  <si>
    <t>pbarocio89@gmail.com</t>
  </si>
  <si>
    <t>ALBERTO BAROCIO MART󿿍NEZ</t>
  </si>
  <si>
    <t>37R7788423</t>
  </si>
  <si>
    <t>VICTOR MANUEL</t>
  </si>
  <si>
    <t>MEJIA</t>
  </si>
  <si>
    <t>MEVV770202NT3</t>
  </si>
  <si>
    <t>MEVV770202HDFJRC05</t>
  </si>
  <si>
    <t>CADASO</t>
  </si>
  <si>
    <t>ODSIDIANA</t>
  </si>
  <si>
    <t>NICHOACAN</t>
  </si>
  <si>
    <t>victormejia_77@yahoo.com.mx</t>
  </si>
  <si>
    <t>ANALILIA</t>
  </si>
  <si>
    <t>0101E38206</t>
  </si>
  <si>
    <t>ESMERALDA</t>
  </si>
  <si>
    <t>ARRIZON</t>
  </si>
  <si>
    <t>TOAE0011233M6</t>
  </si>
  <si>
    <t>TOAE001123MJCRRSA5</t>
  </si>
  <si>
    <t>3 VIRGENES</t>
  </si>
  <si>
    <t>esme123arrizon@gmail.com</t>
  </si>
  <si>
    <t>MARIBEL ARRIZON</t>
  </si>
  <si>
    <t>GARDUÑO</t>
  </si>
  <si>
    <t>GAGR850922T33</t>
  </si>
  <si>
    <t>GAGR850922HMCRNL05</t>
  </si>
  <si>
    <t>RIO SABINAS</t>
  </si>
  <si>
    <t>GEOVILLAS DE SAN MATEO</t>
  </si>
  <si>
    <t>SAN PEDRO TOTOLTEPEC</t>
  </si>
  <si>
    <t>rgarduno85@gmail.com</t>
  </si>
  <si>
    <t>ITZI ELEONOR LOPEZ CABRAL</t>
  </si>
  <si>
    <t>ARIZMENDI</t>
  </si>
  <si>
    <t>RIVAS</t>
  </si>
  <si>
    <t>AIRE740118EA7</t>
  </si>
  <si>
    <t>AIRE740118HMNRVD08</t>
  </si>
  <si>
    <t>ANDALUCIA</t>
  </si>
  <si>
    <t>REAL SAN DIEGO</t>
  </si>
  <si>
    <t>arquigrafica@hotmail.com</t>
  </si>
  <si>
    <t>NEYLE ARIZMENDI GOMORA</t>
  </si>
  <si>
    <t>JUAN ALFREDO</t>
  </si>
  <si>
    <t>VALDOVIN</t>
  </si>
  <si>
    <t>VALJ040202BF6</t>
  </si>
  <si>
    <t>VALJ040202HJCLPNA2</t>
  </si>
  <si>
    <t>SAN RAMON</t>
  </si>
  <si>
    <t>alfredovaldovin5@gmail.com</t>
  </si>
  <si>
    <t>FRANCISCA LOPEZ TORIBIO</t>
  </si>
  <si>
    <t>10N8164688</t>
  </si>
  <si>
    <t>KARLA PAOLA</t>
  </si>
  <si>
    <t>JUSK020731123</t>
  </si>
  <si>
    <t>JUSK020731MJCRNRA8</t>
  </si>
  <si>
    <t>RIO LERMA</t>
  </si>
  <si>
    <t>carlapaolajuarezsantiago@gmail.com</t>
  </si>
  <si>
    <t>EDUARDO JUAREZ GARIBAY</t>
  </si>
  <si>
    <t>HEHL900321819</t>
  </si>
  <si>
    <t>HEHL900321HGTRRS04</t>
  </si>
  <si>
    <t>LEONA VICARIO</t>
  </si>
  <si>
    <t>EL HUARAPO</t>
  </si>
  <si>
    <t>GTO0016728</t>
  </si>
  <si>
    <t>AREVALO</t>
  </si>
  <si>
    <t>CADENA</t>
  </si>
  <si>
    <t>AECI780218123</t>
  </si>
  <si>
    <t>AECI780218HJCRDG03</t>
  </si>
  <si>
    <t>PRIV NARDO OTE</t>
  </si>
  <si>
    <t>PEDREGAL DE SANTA MARTHA</t>
  </si>
  <si>
    <t>TONALA</t>
  </si>
  <si>
    <t>ignacio,arevalo@trabasa.com.mx</t>
  </si>
  <si>
    <t>JOSE NORBERTO</t>
  </si>
  <si>
    <t>PANTOJA</t>
  </si>
  <si>
    <t>TOPN9809164H5</t>
  </si>
  <si>
    <t>TOPJ980916HGTRNR07</t>
  </si>
  <si>
    <t>INSURGENTES</t>
  </si>
  <si>
    <t>LOMA DE LA ESPERANZA</t>
  </si>
  <si>
    <t>josenorbertotorrespantoja@gmail.com</t>
  </si>
  <si>
    <t>JOSE TORRES TORRES</t>
  </si>
  <si>
    <t>JUAN</t>
  </si>
  <si>
    <t>VALENZUELA</t>
  </si>
  <si>
    <t>ALEJANDRE</t>
  </si>
  <si>
    <t>VAAJ7502046G6</t>
  </si>
  <si>
    <t>VAAJ750204HJCLLN09</t>
  </si>
  <si>
    <t>PAPA SOLTERO</t>
  </si>
  <si>
    <t>LORETO</t>
  </si>
  <si>
    <t>LIZETH GUADALUPE OLGUIN</t>
  </si>
  <si>
    <t>04N0016477</t>
  </si>
  <si>
    <t>LUIS ALONSO</t>
  </si>
  <si>
    <t>MICHEL</t>
  </si>
  <si>
    <t>MIAL841023KF0</t>
  </si>
  <si>
    <t>MIAL841023HVZCVS09</t>
  </si>
  <si>
    <t>CAPULIN</t>
  </si>
  <si>
    <t>FRACCIONAMIENTO EL MEZQUITE</t>
  </si>
  <si>
    <t>lama231084.lama@gmail.com</t>
  </si>
  <si>
    <t>LORENA NUÑO JIMENEZ</t>
  </si>
  <si>
    <t>ANA VALERIA</t>
  </si>
  <si>
    <t>HEVA000830459</t>
  </si>
  <si>
    <t>HEVA000830MMNRLNA5</t>
  </si>
  <si>
    <t>CAZADOR</t>
  </si>
  <si>
    <t>villanueva.30vale@gmail.com</t>
  </si>
  <si>
    <t>ARTURO VILLANUEVA</t>
  </si>
  <si>
    <t>ABUELO</t>
  </si>
  <si>
    <t>LICENCIATURA EN ADMINISTRACI󿿓N Y GESTI󿿓N</t>
  </si>
  <si>
    <t>ERICK BRIAN</t>
  </si>
  <si>
    <t>SEVERIANO</t>
  </si>
  <si>
    <t>GASE971031EW9</t>
  </si>
  <si>
    <t>GASE971031HOCRVR05</t>
  </si>
  <si>
    <t>BARRIO COLORADO</t>
  </si>
  <si>
    <t>cherick.guzman@gmail.com</t>
  </si>
  <si>
    <t>RAMIRO GARCIA SIMON</t>
  </si>
  <si>
    <t>INGENIERO MECANICO AGRICOLA</t>
  </si>
  <si>
    <t>UNIVERSIDAD AUTONOMA DE CHAPINGO</t>
  </si>
  <si>
    <t>JOSE FRANCISCO</t>
  </si>
  <si>
    <t>GORF851004V37</t>
  </si>
  <si>
    <t>GORF851004HJCMDR02</t>
  </si>
  <si>
    <t>HUEJOTITAN</t>
  </si>
  <si>
    <t>frank_gomez_92@yahoo.com</t>
  </si>
  <si>
    <t>MIRIAM LARA</t>
  </si>
  <si>
    <t>NOVIA</t>
  </si>
  <si>
    <t>21R6210790</t>
  </si>
  <si>
    <t>GOAG950111UC3</t>
  </si>
  <si>
    <t>GOAG950111MJCMRD04</t>
  </si>
  <si>
    <t>ALCON</t>
  </si>
  <si>
    <t>ig6301985@gmail.com</t>
  </si>
  <si>
    <t>JUANA GUADALUPE GOMEZ CABRERA</t>
  </si>
  <si>
    <t>PERALTA</t>
  </si>
  <si>
    <t>CUPA971015V92</t>
  </si>
  <si>
    <t>CUPA971015HOCRRR08</t>
  </si>
  <si>
    <t>ALDAMA</t>
  </si>
  <si>
    <t>BARRIO CIRUELO</t>
  </si>
  <si>
    <t>cruzperaltaarturo@gmail.com</t>
  </si>
  <si>
    <t>GEHUDI PERALTA LOPEZ</t>
  </si>
  <si>
    <t>UNIVERSIDAD AUTONOMA DE LA CIUDAD DE MEXICO</t>
  </si>
  <si>
    <t>AIRAM MONSERRAT</t>
  </si>
  <si>
    <t>VASA9910021G8</t>
  </si>
  <si>
    <t>VASA991002MJCZGR08</t>
  </si>
  <si>
    <t>airam.vazqz11@gmail.com</t>
  </si>
  <si>
    <t>MARIA EUGENIA SEGURA</t>
  </si>
  <si>
    <t>JESUS ANDRES</t>
  </si>
  <si>
    <t>GAFJ980609TM0</t>
  </si>
  <si>
    <t>GAFJ980609HJCRLS08</t>
  </si>
  <si>
    <t>JOSEFA ORTIZ DE DOMINGUEZ</t>
  </si>
  <si>
    <t>25N4320496</t>
  </si>
  <si>
    <t>MIGM9003116P2</t>
  </si>
  <si>
    <t>MIGM900311HJCCRR07</t>
  </si>
  <si>
    <t>nyl1990@gmail.com</t>
  </si>
  <si>
    <t>LEISLI YADIRA MURILLO  CERVANTES</t>
  </si>
  <si>
    <t>10N6421734</t>
  </si>
  <si>
    <t>CHARLES</t>
  </si>
  <si>
    <t>PECF740817HDFRHR07</t>
  </si>
  <si>
    <t>LAVANDA</t>
  </si>
  <si>
    <t>BELLA VISTA</t>
  </si>
  <si>
    <t>fher.charles@gmail.com</t>
  </si>
  <si>
    <t>NORMA PATRICIA QUEZADA NUÑEZ</t>
  </si>
  <si>
    <t>IRMA JANETTE</t>
  </si>
  <si>
    <t>OISI001112MMNRN020</t>
  </si>
  <si>
    <t>CASA DE MONEDA</t>
  </si>
  <si>
    <t>UNION</t>
  </si>
  <si>
    <t>IRMA SANCHEZ RIVERA</t>
  </si>
  <si>
    <t>1007A38451</t>
  </si>
  <si>
    <t>RORG9808197WA</t>
  </si>
  <si>
    <t>RORG980819MGTDDD00</t>
  </si>
  <si>
    <t>LA TEPUZA DE VILLALOBOS</t>
  </si>
  <si>
    <t>gr5673209@gmail.com</t>
  </si>
  <si>
    <t>JOSE HUMBERTO CANCHOLA MEDINA</t>
  </si>
  <si>
    <t>*</t>
  </si>
  <si>
    <t>YOVANA JACQUELINE</t>
  </si>
  <si>
    <t>PEDRAZA</t>
  </si>
  <si>
    <t>PEPY930308JQ0</t>
  </si>
  <si>
    <t>PEPY930308MMNDNV02</t>
  </si>
  <si>
    <t>ELENA GARRO</t>
  </si>
  <si>
    <t>FRACC VILLAS DE ORIENTE</t>
  </si>
  <si>
    <t>paniaguayo@outlook.es</t>
  </si>
  <si>
    <t>M GUADALUPE PANIAGUA SALMERON</t>
  </si>
  <si>
    <t>BRENDA ANABEL</t>
  </si>
  <si>
    <t>LAPB9502069M6</t>
  </si>
  <si>
    <t>LAPB950206MJCRRR07</t>
  </si>
  <si>
    <t>PATZCUARO</t>
  </si>
  <si>
    <t>b.anabellara@gmail.com</t>
  </si>
  <si>
    <t>ANDREA ECHEVERRIA</t>
  </si>
  <si>
    <t>FAMILIA</t>
  </si>
  <si>
    <t>VALDES</t>
  </si>
  <si>
    <t>VAGM9211096Q5</t>
  </si>
  <si>
    <t>VAGM921109HMNLNN08</t>
  </si>
  <si>
    <t>PASEO SANCHO PANZA</t>
  </si>
  <si>
    <t>FRACC BOSQUES DE LA RIVERA</t>
  </si>
  <si>
    <t>manuel.valdes9@hotmail.com</t>
  </si>
  <si>
    <t>GUADALUPE GONZALEZ</t>
  </si>
  <si>
    <t>37R7546138</t>
  </si>
  <si>
    <t>OLGA MONICA</t>
  </si>
  <si>
    <t>RUBO791008G10</t>
  </si>
  <si>
    <t>RUBO791008MDFZRL07</t>
  </si>
  <si>
    <t>PRIVADA IGNACIO ZARAGOZA</t>
  </si>
  <si>
    <t>monirb2007@gmail.com</t>
  </si>
  <si>
    <t>ERNESTINA BARRERA NAVARRO</t>
  </si>
  <si>
    <t>ISRAEL</t>
  </si>
  <si>
    <t>BAUTISTA</t>
  </si>
  <si>
    <t>BAVI990423EA0</t>
  </si>
  <si>
    <t>BAVI990423HMNTZ507</t>
  </si>
  <si>
    <t>LA CONCEPCION</t>
  </si>
  <si>
    <t>bautistavazquezisrael123@gmail.com</t>
  </si>
  <si>
    <t>AURORA PATRICIA VAZQUEZ LOPEZ</t>
  </si>
  <si>
    <t>10N7211604</t>
  </si>
  <si>
    <t>ENRIQUE ELISEO</t>
  </si>
  <si>
    <t>PICENO</t>
  </si>
  <si>
    <t>PICE980125QM1</t>
  </si>
  <si>
    <t>PICE980125HMNCSN05</t>
  </si>
  <si>
    <t>MARIA ISABEL</t>
  </si>
  <si>
    <t>GUMI841209625</t>
  </si>
  <si>
    <t>GUMI841209MJCTRS04</t>
  </si>
  <si>
    <t>PROL RAMON ARIZAGA</t>
  </si>
  <si>
    <t>EL TROMPO</t>
  </si>
  <si>
    <t>JAMAY</t>
  </si>
  <si>
    <t>isabel.gutierrez0912@hotmail.com</t>
  </si>
  <si>
    <t>PATRICIA GUTIERREZ MARTINEZ</t>
  </si>
  <si>
    <t>MAYRA DEL CARMEN</t>
  </si>
  <si>
    <t>SACM951227MJC</t>
  </si>
  <si>
    <t>SACM951227MJCNRY05</t>
  </si>
  <si>
    <t>12 DE OCTUBRE</t>
  </si>
  <si>
    <t>santosmayra-27@hotmail.es</t>
  </si>
  <si>
    <t>FLAVIO JESUS SANTOS SOTO</t>
  </si>
  <si>
    <t>ROMO</t>
  </si>
  <si>
    <t>LORO770810RK3</t>
  </si>
  <si>
    <t>LORO770810HJCMMS01</t>
  </si>
  <si>
    <t>COLON</t>
  </si>
  <si>
    <t>olomeliromo@gmail.com</t>
  </si>
  <si>
    <t>MARICELA SAINZ</t>
  </si>
  <si>
    <t>BERTHA ISABEL</t>
  </si>
  <si>
    <t>GUERRA</t>
  </si>
  <si>
    <t>MOGB901121ML1</t>
  </si>
  <si>
    <t>MOGB901121MJCRRR03</t>
  </si>
  <si>
    <t>isa_eci@hotmail.es</t>
  </si>
  <si>
    <t>MARIA TERESA GUERRA MENDEZ</t>
  </si>
  <si>
    <t>SACG760617RP6</t>
  </si>
  <si>
    <t>SACG760617HJCHRL00</t>
  </si>
  <si>
    <t>COLINA TURQUESA</t>
  </si>
  <si>
    <t>COLINAS DE PLATA</t>
  </si>
  <si>
    <t>memoemiliano@hormail.com</t>
  </si>
  <si>
    <t>DULCE ALONDRA ZUÑIGA</t>
  </si>
  <si>
    <t>GM25148321</t>
  </si>
  <si>
    <t>SANDRA KARINA</t>
  </si>
  <si>
    <t>MARRON</t>
  </si>
  <si>
    <t>MARS8407303V5</t>
  </si>
  <si>
    <t>MARS840730MJCRMN02</t>
  </si>
  <si>
    <t>JUAN ALVAREZ</t>
  </si>
  <si>
    <t>karymarron13@gmail.com</t>
  </si>
  <si>
    <t>LUIS FELIPE LEMUS JUANILLO</t>
  </si>
  <si>
    <t>NESTOR ZAID</t>
  </si>
  <si>
    <t>VILLEGAS</t>
  </si>
  <si>
    <t>ESPARZA</t>
  </si>
  <si>
    <t>VIEN990419T90</t>
  </si>
  <si>
    <t>VIEN990419HJCLSS02</t>
  </si>
  <si>
    <t>ZARAGOZA PONIENTE</t>
  </si>
  <si>
    <t>zaidvillegas99@gmail.com</t>
  </si>
  <si>
    <t>NESTOR VILLEGAS MEDINA</t>
  </si>
  <si>
    <t>10N5124974</t>
  </si>
  <si>
    <t>OSCAR HUGO</t>
  </si>
  <si>
    <t>VILLASEÑOR</t>
  </si>
  <si>
    <t>REVO860205</t>
  </si>
  <si>
    <t>REVO860205HMNYLS00</t>
  </si>
  <si>
    <t>TIRISTARAN</t>
  </si>
  <si>
    <t>RICARDO FLORES MAGON</t>
  </si>
  <si>
    <t>oscar.reyes.216@hotmail.com</t>
  </si>
  <si>
    <t>MAYRA BERENICE AMEZQUITA PEREZ</t>
  </si>
  <si>
    <t>EDGAR SAMUEL</t>
  </si>
  <si>
    <t>UBIARCO</t>
  </si>
  <si>
    <t>UIOE920620SR0</t>
  </si>
  <si>
    <t>UIOE920620HJCBRD01</t>
  </si>
  <si>
    <t>BAHIA DE CHETUMAL</t>
  </si>
  <si>
    <t>PARQUES DE SANTA MARIA</t>
  </si>
  <si>
    <t>TLAQUEPAQUE</t>
  </si>
  <si>
    <t>samuelubiarco@gmail.com</t>
  </si>
  <si>
    <t>BRENDA MARTINEZ</t>
  </si>
  <si>
    <t>3R67355134</t>
  </si>
  <si>
    <t>MARIA DEL CARMEN</t>
  </si>
  <si>
    <t>SAGC820705887</t>
  </si>
  <si>
    <t>SAGC820705MJCNRR00</t>
  </si>
  <si>
    <t>FRACCIONAMIENTO LOMAS DE SAN LUIS</t>
  </si>
  <si>
    <t>carmensg82@outlook.com</t>
  </si>
  <si>
    <t>MONSERRATH SANCHEZ GARCIA</t>
  </si>
  <si>
    <t>VANESSA ARACELI</t>
  </si>
  <si>
    <t>GODV9711219N2</t>
  </si>
  <si>
    <t>GODV971121MJCDZN01</t>
  </si>
  <si>
    <t>vanegd97@gmail.com</t>
  </si>
  <si>
    <t>MARIA ELENA DIAZ ROMAN</t>
  </si>
  <si>
    <t>OCHOA</t>
  </si>
  <si>
    <t>CAOM801107MT2</t>
  </si>
  <si>
    <t>CAOM801107HMNRCS03</t>
  </si>
  <si>
    <t>NACIONAL</t>
  </si>
  <si>
    <t>PARACUARO</t>
  </si>
  <si>
    <t>moyc20@gmail.com</t>
  </si>
  <si>
    <t>ADELA OCHOA MAGAÑA</t>
  </si>
  <si>
    <t>1401A38039</t>
  </si>
  <si>
    <t>HUGO CESAR</t>
  </si>
  <si>
    <t>BUCIO</t>
  </si>
  <si>
    <t>BULH810711P91</t>
  </si>
  <si>
    <t>BULH810711HMNCPG03</t>
  </si>
  <si>
    <t>CANDIDO NAVARRO</t>
  </si>
  <si>
    <t>LA PRADERA</t>
  </si>
  <si>
    <t>APATZINGAN</t>
  </si>
  <si>
    <t>hgbl1981@gmail.com</t>
  </si>
  <si>
    <t>ELIZABETH VALVERDE VIEYRA</t>
  </si>
  <si>
    <t>AE7973</t>
  </si>
  <si>
    <t>NERI</t>
  </si>
  <si>
    <t>ORIBIO</t>
  </si>
  <si>
    <t>CEON8809273XA</t>
  </si>
  <si>
    <t>CEON880927HDFRRR00</t>
  </si>
  <si>
    <t>PASEO SAN MARTIN CABALLERO</t>
  </si>
  <si>
    <t>MOLINO DE SANTO DOMINGO</t>
  </si>
  <si>
    <t>nericervantes98@gmail.com</t>
  </si>
  <si>
    <t>BLANCA ELIZABETH ORIBIO GALLEGOS</t>
  </si>
  <si>
    <t>KAREL ANNEL</t>
  </si>
  <si>
    <t>OLIVARES</t>
  </si>
  <si>
    <t>VAOK971206M32</t>
  </si>
  <si>
    <t>VAOK971206MJCLLR05</t>
  </si>
  <si>
    <t>SAN JOSE CASAS CAIDAS</t>
  </si>
  <si>
    <t>karel.annel6@gmail.com</t>
  </si>
  <si>
    <t>REYNA EDITH MONTES OLIVARES</t>
  </si>
  <si>
    <t>RUSILES</t>
  </si>
  <si>
    <t>OLVERA</t>
  </si>
  <si>
    <t>RUOM820908SN2</t>
  </si>
  <si>
    <t>RUOM820908HMNSLR09</t>
  </si>
  <si>
    <t>VILLA DE TANCITARO</t>
  </si>
  <si>
    <t>FRACC VILLA MAGNA</t>
  </si>
  <si>
    <t>mrusiles0222@hotmail.com</t>
  </si>
  <si>
    <t>ROSITA ALEJO CUANAS</t>
  </si>
  <si>
    <t>1415063-0</t>
  </si>
  <si>
    <t>DANNA ARELI</t>
  </si>
  <si>
    <t>DEMD951117RX6</t>
  </si>
  <si>
    <t>DEMD951117MMNLCN04</t>
  </si>
  <si>
    <t>danna.delgado3010@gmail.com</t>
  </si>
  <si>
    <t>JORGE AYALA RAMOS</t>
  </si>
  <si>
    <t>ABISAI</t>
  </si>
  <si>
    <t>VALDEZ</t>
  </si>
  <si>
    <t>BOJORQUEZ</t>
  </si>
  <si>
    <t>VABA9905196Y9</t>
  </si>
  <si>
    <t>VABA990519HCHLJB03</t>
  </si>
  <si>
    <t>PUERTO VIVEIRO</t>
  </si>
  <si>
    <t>BANUS</t>
  </si>
  <si>
    <t>TLAJOMULCO</t>
  </si>
  <si>
    <t>abisaivb@hotmail.com</t>
  </si>
  <si>
    <t>DIONICIO VALDEZ VALENCIA</t>
  </si>
  <si>
    <t>MOGC7603188C4</t>
  </si>
  <si>
    <t>MOGC760318HDFRTR01</t>
  </si>
  <si>
    <t>DEL APIO</t>
  </si>
  <si>
    <t>FRACC CAMPRESTRE DEL VERGEL</t>
  </si>
  <si>
    <t>camggmac18@gmail.com</t>
  </si>
  <si>
    <t>ROSA MARIA CHAVEZ ZELTEMO</t>
  </si>
  <si>
    <t>1007A21647</t>
  </si>
  <si>
    <t>ELIA RUBI</t>
  </si>
  <si>
    <t>VALLADOLID</t>
  </si>
  <si>
    <t>MOVE931222</t>
  </si>
  <si>
    <t>MOVE931222MMNRLL05</t>
  </si>
  <si>
    <t>LOS ABODES</t>
  </si>
  <si>
    <t>LA LUZ</t>
  </si>
  <si>
    <t>moralesvrubi@gmail.com</t>
  </si>
  <si>
    <t>ERNESTO ZUÑIGA</t>
  </si>
  <si>
    <t>MIGUEL ANGEL DE JESUS</t>
  </si>
  <si>
    <t>ANGEL</t>
  </si>
  <si>
    <t>MUAM950403J16</t>
  </si>
  <si>
    <t>MUAM950403HJCXNG12</t>
  </si>
  <si>
    <t>miguelangel030495@gmail.com</t>
  </si>
  <si>
    <t>MIGUEL ANGEL MUÑOZ CAMPOS</t>
  </si>
  <si>
    <t>10R6020829</t>
  </si>
  <si>
    <t>MACA910611QI2</t>
  </si>
  <si>
    <t>MACA910611HMNRSL01</t>
  </si>
  <si>
    <t>HEROES DE CHAPULTEPEC</t>
  </si>
  <si>
    <t>ad_12_14@hotmail.com</t>
  </si>
  <si>
    <t>LILIANA NAVA BARAJAS</t>
  </si>
  <si>
    <t>LUIS FAVIO</t>
  </si>
  <si>
    <t>TEGL971107779</t>
  </si>
  <si>
    <t>TEGL971107HMNLMS00</t>
  </si>
  <si>
    <t>sofiaguadalupelopezramirez@gmail.com</t>
  </si>
  <si>
    <t>LUCERO RAMIREZ GARCIA</t>
  </si>
  <si>
    <t>10N5197669</t>
  </si>
  <si>
    <t>BRYAN ARTURO</t>
  </si>
  <si>
    <t>ALONSO</t>
  </si>
  <si>
    <t>RAAB971114HN7</t>
  </si>
  <si>
    <t>RAAB971114HJCMLR06</t>
  </si>
  <si>
    <t>CASA BLANCA</t>
  </si>
  <si>
    <t>bryanarturoramirezalonso@gmil.com</t>
  </si>
  <si>
    <t>CYNTHIA KARINA VENEGAS</t>
  </si>
  <si>
    <t>2R51650810</t>
  </si>
  <si>
    <t>MARCOS ULISES</t>
  </si>
  <si>
    <t>ARROYO</t>
  </si>
  <si>
    <t>HIAM9110297Y1</t>
  </si>
  <si>
    <t>HIAM911029HJCDRR04</t>
  </si>
  <si>
    <t>PASEO RIO DUERO</t>
  </si>
  <si>
    <t>hidalgoar9@gmail.com</t>
  </si>
  <si>
    <t>REYNA M GUADALUPE AVIÑA HERNANDEZ</t>
  </si>
  <si>
    <t>10R4185975</t>
  </si>
  <si>
    <t>RONF820314B64</t>
  </si>
  <si>
    <t>RONF820314HMNDGR00</t>
  </si>
  <si>
    <t>CURTIDORES DE TEREMENDO</t>
  </si>
  <si>
    <t>fernandor82@hotmail.com</t>
  </si>
  <si>
    <t>YOLANDA LOPEZ CALDERON</t>
  </si>
  <si>
    <t>RAUL ADRIAN</t>
  </si>
  <si>
    <t>ZACR951117QM6</t>
  </si>
  <si>
    <t>ZACR951117HMNVLL08</t>
  </si>
  <si>
    <t>MIGUEL SILVA</t>
  </si>
  <si>
    <t>adrianzc.95@hotmail.com</t>
  </si>
  <si>
    <t>ALEJANDRA ZAVALA CALDERON</t>
  </si>
  <si>
    <t>JUAN MARTIN</t>
  </si>
  <si>
    <t>RINCON</t>
  </si>
  <si>
    <t>BARJ9103131U7</t>
  </si>
  <si>
    <t>BARJ910313HMNRNN01</t>
  </si>
  <si>
    <t>22 DE SEPTIEMBRE</t>
  </si>
  <si>
    <t>rinkon_30@hotmail.com</t>
  </si>
  <si>
    <t>CLAUDIA AGUILAR CAMARILLO</t>
  </si>
  <si>
    <t>JN21733943</t>
  </si>
  <si>
    <t>GEOVANNI ARMANDO</t>
  </si>
  <si>
    <t>ESPINOSA</t>
  </si>
  <si>
    <t>EIRG9406014P6</t>
  </si>
  <si>
    <t>EIRG940601HMNSMV04</t>
  </si>
  <si>
    <t>FRAY LUIS HERRERA</t>
  </si>
  <si>
    <t>LA NUEVA ESPERANZA</t>
  </si>
  <si>
    <t>gioss.94gaer@gmail.com</t>
  </si>
  <si>
    <t>ARMANDO ESPINOSA FLORES</t>
  </si>
  <si>
    <t>0303F90093</t>
  </si>
  <si>
    <t>B-</t>
  </si>
  <si>
    <t>GRD</t>
  </si>
  <si>
    <t>G</t>
  </si>
  <si>
    <t>CRISTIAN DE JESUS</t>
  </si>
  <si>
    <t>ZURC010808DR1</t>
  </si>
  <si>
    <t>ZURC010808HMNXZRA8</t>
  </si>
  <si>
    <t>ANDADOR SIERRA DE NAHUATZEN</t>
  </si>
  <si>
    <t>LOMA BOMITA</t>
  </si>
  <si>
    <t>zu󿿱iga714@gmail.com</t>
  </si>
  <si>
    <t>MIGUEL ANGEL ZUÑIGA LEON</t>
  </si>
  <si>
    <t>MED</t>
  </si>
  <si>
    <t>CECILIA</t>
  </si>
  <si>
    <t>MORC871205689</t>
  </si>
  <si>
    <t>MORC871205MMNRYC05</t>
  </si>
  <si>
    <t>CONVENTO DE TLAXCALA</t>
  </si>
  <si>
    <t>cecichikibeyby@gmail.com</t>
  </si>
  <si>
    <t>ELENA MORALES REYES</t>
  </si>
  <si>
    <t>AUME970418NX2</t>
  </si>
  <si>
    <t>AUME970418HMNGRM02</t>
  </si>
  <si>
    <t>AV ROSARIO CASTELLANOS</t>
  </si>
  <si>
    <t>a23aguilar.morales12m@gmail.com</t>
  </si>
  <si>
    <t>ELEUTERIO AGUILAR AGUILAR</t>
  </si>
  <si>
    <t>101T378491</t>
  </si>
  <si>
    <t>CABRERA</t>
  </si>
  <si>
    <t>VACJ960525LQ2</t>
  </si>
  <si>
    <t>VACJ960525HMNLBL03</t>
  </si>
  <si>
    <t>UNION LIBFRE</t>
  </si>
  <si>
    <t>FRANCISCO JAVIER MINA</t>
  </si>
  <si>
    <t>INFIERNILLO</t>
  </si>
  <si>
    <t>julhom25@gmail.com</t>
  </si>
  <si>
    <t>JULIO VALENCIA PANIAGUA</t>
  </si>
  <si>
    <t>FATIMA AMARANTA</t>
  </si>
  <si>
    <t>NUPF000407Q54</t>
  </si>
  <si>
    <t>NUPF000407MMNXDTA1</t>
  </si>
  <si>
    <t>JANITZIO</t>
  </si>
  <si>
    <t>amaranta_np@hotmail.com</t>
  </si>
  <si>
    <t>BARBARA NUÑEZ PEDROZA</t>
  </si>
  <si>
    <t>ARMENDARIZ</t>
  </si>
  <si>
    <t>ZAAF001117BVA</t>
  </si>
  <si>
    <t>ZAAF001117HMNMRRA7</t>
  </si>
  <si>
    <t>AVENIDA MICHOACAN</t>
  </si>
  <si>
    <t>paquito.zaar00@gmail.com</t>
  </si>
  <si>
    <t>MARIA GRACIELA ARMENDARIZ TORRES</t>
  </si>
  <si>
    <t>1801A38283</t>
  </si>
  <si>
    <t>MARIA</t>
  </si>
  <si>
    <t>ROGM770121A62</t>
  </si>
  <si>
    <t>ROGM770121MJCDNR04</t>
  </si>
  <si>
    <t>maryrgonzalez@hotmail.com</t>
  </si>
  <si>
    <t>BEATRIZ RODRIGUEZ GONZALEZ</t>
  </si>
  <si>
    <t>10R6871283</t>
  </si>
  <si>
    <t>FOCD781230V84</t>
  </si>
  <si>
    <t>FOCD781230HJCLVN09</t>
  </si>
  <si>
    <t>danielflorescuevas.78@gmail.com</t>
  </si>
  <si>
    <t>ERICA FLORES CUEVAS</t>
  </si>
  <si>
    <t>10R6903283</t>
  </si>
  <si>
    <t>LOEZA</t>
  </si>
  <si>
    <t>DILJ7902269QA</t>
  </si>
  <si>
    <t>DILJ790226HMNZZN07</t>
  </si>
  <si>
    <t>CANTERA</t>
  </si>
  <si>
    <t>SECTOR II</t>
  </si>
  <si>
    <t>carloscopem@hotmail.com</t>
  </si>
  <si>
    <t>BERTHA LOPEZ HERRERA</t>
  </si>
  <si>
    <t>1505604-3</t>
  </si>
  <si>
    <t>MOISES PORFIRIO</t>
  </si>
  <si>
    <t>RIMM690218I99</t>
  </si>
  <si>
    <t>RIMM690218HDFVNS07</t>
  </si>
  <si>
    <t>PASEO DEL PUMA SUR</t>
  </si>
  <si>
    <t>FRACC PASEOS DE VALLE</t>
  </si>
  <si>
    <t>mrmqpqro@yahoo.com.mx</t>
  </si>
  <si>
    <t>MARISOL DEL VILLAR ESTRADA</t>
  </si>
  <si>
    <t>1459588-8</t>
  </si>
  <si>
    <t>HECTOR ALEJANDRO</t>
  </si>
  <si>
    <t>MEHH901210AD7</t>
  </si>
  <si>
    <t>MEHH901210HGTDRC08</t>
  </si>
  <si>
    <t>CAÑADA ARROYO FRIO</t>
  </si>
  <si>
    <t>CAÑADAS</t>
  </si>
  <si>
    <t>SAN JUAN DE LOS LAGOS</t>
  </si>
  <si>
    <t>alazana6@gmail.com</t>
  </si>
  <si>
    <t>ROSALINDA HERNANDEZ VARGAS</t>
  </si>
  <si>
    <t>HR31076551</t>
  </si>
  <si>
    <t>TAPIA</t>
  </si>
  <si>
    <t>TAGJ810312KS6</t>
  </si>
  <si>
    <t>TAGJ810312HMNPRN04</t>
  </si>
  <si>
    <t>juanpa.tg12@gmail.com</t>
  </si>
  <si>
    <t>PATRICIA RUBIO MARTINEZ</t>
  </si>
  <si>
    <t>1515G96130</t>
  </si>
  <si>
    <t>HECTOR MANUEL</t>
  </si>
  <si>
    <t>CAMARENA</t>
  </si>
  <si>
    <t>CASH960529AG2</t>
  </si>
  <si>
    <t>CASH960529HJCMNC06</t>
  </si>
  <si>
    <t>camarenasanti85@gmail.com</t>
  </si>
  <si>
    <t>AMERICA GARCIA BOLAÑOS</t>
  </si>
  <si>
    <t>10N4511327</t>
  </si>
  <si>
    <t>HEAJ041119</t>
  </si>
  <si>
    <t>HEAJ041119HJCRVNA7</t>
  </si>
  <si>
    <t>10 DE MAYO</t>
  </si>
  <si>
    <t>EL LORETO OCCIDENTAL</t>
  </si>
  <si>
    <t>hjpablo1920@gmail.com</t>
  </si>
  <si>
    <t>CARMEN MARGARITA HERNANDEZ AVIÑA</t>
  </si>
  <si>
    <t>10N7538790</t>
  </si>
  <si>
    <t>JUAN RAMON</t>
  </si>
  <si>
    <t>HUITRON</t>
  </si>
  <si>
    <t>LOHJ730128KT5</t>
  </si>
  <si>
    <t>LOHJ730128HZSPTN09</t>
  </si>
  <si>
    <t>ZAPOPAN</t>
  </si>
  <si>
    <t>rlhuitron1@gmail.com</t>
  </si>
  <si>
    <t>MARTHA ISABEL HERNANDEZ NUÑO</t>
  </si>
  <si>
    <t>3R69014651</t>
  </si>
  <si>
    <t>MANUEL GUSTAVO</t>
  </si>
  <si>
    <t>GARM8608218I2</t>
  </si>
  <si>
    <t>GARM860821HGTRZN06</t>
  </si>
  <si>
    <t>ANDORRA</t>
  </si>
  <si>
    <t>VILLA DE LOURDES</t>
  </si>
  <si>
    <t>IRAPUATO</t>
  </si>
  <si>
    <t>talillinesgus@gmail.com</t>
  </si>
  <si>
    <t>MONSERRAT  ROSALES SEGURA</t>
  </si>
  <si>
    <t>MV24089150</t>
  </si>
  <si>
    <t>CRISTHIAN ULISES</t>
  </si>
  <si>
    <t>FOCC8909288L3</t>
  </si>
  <si>
    <t>FOCC890928HJCLMR05</t>
  </si>
  <si>
    <t>5 DE FEBRERO</t>
  </si>
  <si>
    <t>FRACC REVOLUCION</t>
  </si>
  <si>
    <t>psykiz@hotmail.com</t>
  </si>
  <si>
    <t>ROSA CAMARENA LOPEZ</t>
  </si>
  <si>
    <t>10R7627232</t>
  </si>
  <si>
    <t>NADIA JOSELIN</t>
  </si>
  <si>
    <t>ROCHA</t>
  </si>
  <si>
    <t>ROGN040611NQ6</t>
  </si>
  <si>
    <t>ROGN040611MJCCNDA1</t>
  </si>
  <si>
    <t>ng5574597@gmail.com</t>
  </si>
  <si>
    <t>JEHIELI STEFANY</t>
  </si>
  <si>
    <t>BENITEZ</t>
  </si>
  <si>
    <t>BEAJ930118MQ1</t>
  </si>
  <si>
    <t>BEAJ930118MGRNRH07</t>
  </si>
  <si>
    <t>RIO INDEPENDENCIA</t>
  </si>
  <si>
    <t>JARDINES DEL ROSARIO</t>
  </si>
  <si>
    <t>jeye.stefanny@gmail.com</t>
  </si>
  <si>
    <t>GUADALUPE BENITEZ ARROYO</t>
  </si>
  <si>
    <t>BERENICE DE JESUS</t>
  </si>
  <si>
    <t>CORTEZ</t>
  </si>
  <si>
    <t>FUENTES</t>
  </si>
  <si>
    <t>COFB9912067Z3</t>
  </si>
  <si>
    <t>COFB991206MJCRNR06</t>
  </si>
  <si>
    <t>SANTA TERESITA</t>
  </si>
  <si>
    <t>bcortezfuentes@gmail.com</t>
  </si>
  <si>
    <t>EVANGELINA FUENTES HERNANDEZ</t>
  </si>
  <si>
    <t>EDGAR ALEJANDRO</t>
  </si>
  <si>
    <t>MORA</t>
  </si>
  <si>
    <t>HUME0504024LA</t>
  </si>
  <si>
    <t>HUME050402HJCRRDA6</t>
  </si>
  <si>
    <t>CAMELINAS</t>
  </si>
  <si>
    <t>LERDO CHIQUITO</t>
  </si>
  <si>
    <t>owabinogame@gmail.com</t>
  </si>
  <si>
    <t>FLAVIO CESAR HUARACHA MORA</t>
  </si>
  <si>
    <t>2001A51039</t>
  </si>
  <si>
    <t>SALVADOR ARISAI</t>
  </si>
  <si>
    <t>JIJS050311978</t>
  </si>
  <si>
    <t>JIJS050311HJCMMLA4</t>
  </si>
  <si>
    <t>salvadorarisaijimenez123@gmail.com</t>
  </si>
  <si>
    <t>RAFAEL SALVADOR JIMENEZ ANGUIANO</t>
  </si>
  <si>
    <t>DULCE MARIA GUADALUPE</t>
  </si>
  <si>
    <t>SASD050928PF9</t>
  </si>
  <si>
    <t>SASD050928MJCHRLA2</t>
  </si>
  <si>
    <t>dulcesahagunserna24719@gmail.com</t>
  </si>
  <si>
    <t>MARIA DE JESUS SERNA ARMENTA</t>
  </si>
  <si>
    <t>ANGEL YAHIR</t>
  </si>
  <si>
    <t>ZAHA050201MZ9</t>
  </si>
  <si>
    <t>ZAHA050201JHCRRNA2</t>
  </si>
  <si>
    <t>EL LORETO</t>
  </si>
  <si>
    <t>zaragozaangelyahir@gmail.com</t>
  </si>
  <si>
    <t>ROSA PATRICIA HERNANDEZ AVIÑA</t>
  </si>
  <si>
    <t>CAGD950605BW0</t>
  </si>
  <si>
    <t>CAGD950605HMNSTG00</t>
  </si>
  <si>
    <t>diegoevands389@gmail.com</t>
  </si>
  <si>
    <t>RAMON CASILLAS DAMIAN</t>
  </si>
  <si>
    <t>SLP169084</t>
  </si>
  <si>
    <t>LAGUNAS</t>
  </si>
  <si>
    <t>EALJ771101J83</t>
  </si>
  <si>
    <t>EALJ771101HDFSGV04</t>
  </si>
  <si>
    <t>FRACC LAURELES ERENDIRA</t>
  </si>
  <si>
    <t>sterlingjav@hotmail.com</t>
  </si>
  <si>
    <t>CIRSE JAZMIN ARIZMENDI MALDONADO</t>
  </si>
  <si>
    <t>C04106444</t>
  </si>
  <si>
    <t>JOSE ANGEL</t>
  </si>
  <si>
    <t>MOVA000612</t>
  </si>
  <si>
    <t>MOVA000612HMNRZNA2</t>
  </si>
  <si>
    <t>CORAL</t>
  </si>
  <si>
    <t>PUNTA FLORESTA</t>
  </si>
  <si>
    <t>angelmv1000@gmail.com</t>
  </si>
  <si>
    <t>MARLEN KARINA MORENO VAZQUEZ</t>
  </si>
  <si>
    <t>A5021132</t>
  </si>
  <si>
    <t>MAURICIO</t>
  </si>
  <si>
    <t>CUGM020120HH4</t>
  </si>
  <si>
    <t>CUGM020120HJCRDRA7</t>
  </si>
  <si>
    <t>mauriciocruz1081@alumnos.udg.mx</t>
  </si>
  <si>
    <t>FRANCISCO CRUZ</t>
  </si>
  <si>
    <t>OSVALDO EMMANUEL</t>
  </si>
  <si>
    <t>GUFO010714TJ5</t>
  </si>
  <si>
    <t>GUFO010714HGTRLSA5</t>
  </si>
  <si>
    <t>NARVARTE</t>
  </si>
  <si>
    <t>12 DE DICIEMBRE</t>
  </si>
  <si>
    <t>osvaldo_mane.17@hotmail.com</t>
  </si>
  <si>
    <t>VERONICA ALEJANDRA FLORES PEREZ</t>
  </si>
  <si>
    <t>SL29337200</t>
  </si>
  <si>
    <t>CHRISTIAN MARTIN</t>
  </si>
  <si>
    <t>CUSC901227TQ5</t>
  </si>
  <si>
    <t>CUSC901227HMNRRH09</t>
  </si>
  <si>
    <t>BERNA</t>
  </si>
  <si>
    <t>GARCIA OBESO</t>
  </si>
  <si>
    <t>ing.cmcs@gmail.com</t>
  </si>
  <si>
    <t>DARIAN RODRIGUEZ GRANADOS</t>
  </si>
  <si>
    <t>135723-7</t>
  </si>
  <si>
    <t>MAGO890117N56</t>
  </si>
  <si>
    <t>MAGO890117HJCRNS00</t>
  </si>
  <si>
    <t>oscar-mg89@hotmail.com</t>
  </si>
  <si>
    <t>DANIEL MARTINEZ LOPEZ</t>
  </si>
  <si>
    <t>21R7273108</t>
  </si>
  <si>
    <t>ARANDA</t>
  </si>
  <si>
    <t>AAHF9603193P0</t>
  </si>
  <si>
    <t>AAHF960319HJCRRR08</t>
  </si>
  <si>
    <t>NUEVO REFUGIO</t>
  </si>
  <si>
    <t>agroaranda.96@outlook.com</t>
  </si>
  <si>
    <t>ALBERTO ARANDA HERNANDEZ</t>
  </si>
  <si>
    <t>10R7233709</t>
  </si>
  <si>
    <t>J JESUS</t>
  </si>
  <si>
    <t>GAHJ681218IK6</t>
  </si>
  <si>
    <t>GAHJ681218HJCRRS19</t>
  </si>
  <si>
    <t>garciahernajjesus@gmail.com</t>
  </si>
  <si>
    <t>PATRICIA GARCIA HERNANDEZ</t>
  </si>
  <si>
    <t>DOMINGUEZ</t>
  </si>
  <si>
    <t>RABAGO</t>
  </si>
  <si>
    <t>DORL761202N21</t>
  </si>
  <si>
    <t>DORL761202MMNMBS01</t>
  </si>
  <si>
    <t>CIRCUITO LAS CUMBRES</t>
  </si>
  <si>
    <t>CUMBRES DEL CAMPESTRE</t>
  </si>
  <si>
    <t>marilolydr35@hotmail.com</t>
  </si>
  <si>
    <t>MARIBEL REBOLLLAR MACEDO</t>
  </si>
  <si>
    <t>CEBALLOS</t>
  </si>
  <si>
    <t>CECM950306DX0</t>
  </si>
  <si>
    <t>CECM950306HGTBSR03</t>
  </si>
  <si>
    <t>cuentam695@gmail.com</t>
  </si>
  <si>
    <t>MARTIN CEBALLOS GALLARDO</t>
  </si>
  <si>
    <t>MN22163843</t>
  </si>
  <si>
    <t>SANDOVAL</t>
  </si>
  <si>
    <t>SAMJ911101NB7</t>
  </si>
  <si>
    <t>SAMJ911101HGTNDS08</t>
  </si>
  <si>
    <t>SIMON BOLIVAR</t>
  </si>
  <si>
    <t>j.sandovalmed@gmail.com</t>
  </si>
  <si>
    <t>CLAUDIA LILIANA TRINIDAD RAMOS</t>
  </si>
  <si>
    <t>JS19086559</t>
  </si>
  <si>
    <t>MA. DE LOS ANGELES</t>
  </si>
  <si>
    <t>RIRA710819G70</t>
  </si>
  <si>
    <t>RIRA710819MJCVDN00</t>
  </si>
  <si>
    <t>FRACC LA HACIENDA</t>
  </si>
  <si>
    <t>rivasrodriguezangeles@gmail.com</t>
  </si>
  <si>
    <t>VICTOR RUIZ GUZMAN</t>
  </si>
  <si>
    <t>JESUS MIGUEL</t>
  </si>
  <si>
    <t>ZAXJ010913000</t>
  </si>
  <si>
    <t>ZAXJ010913HNERXSA0</t>
  </si>
  <si>
    <t>maikiisanti@icloud.com</t>
  </si>
  <si>
    <t>PATRICIA SANTIAGO</t>
  </si>
  <si>
    <t>ADALBERTO</t>
  </si>
  <si>
    <t>HEGA900506690</t>
  </si>
  <si>
    <t>HEGA900506HJCRRD03</t>
  </si>
  <si>
    <t>DELICIAS</t>
  </si>
  <si>
    <t>adalbertomerca@gmail.com</t>
  </si>
  <si>
    <t>ELSA IMELDA ZAVALA RAMOS</t>
  </si>
  <si>
    <t>10R6785837</t>
  </si>
  <si>
    <t>MARIA GABRIELA</t>
  </si>
  <si>
    <t>SANTOYO</t>
  </si>
  <si>
    <t>VESG801112RGA</t>
  </si>
  <si>
    <t>VESG801112MMNLNB01</t>
  </si>
  <si>
    <t>HACIENDA DE GIRASOLES</t>
  </si>
  <si>
    <t>NVA BANQUETES</t>
  </si>
  <si>
    <t>FRACC SAN JOSE</t>
  </si>
  <si>
    <t>mgabrielavs.a@gmail.com</t>
  </si>
  <si>
    <t>ERIK FERNANDO VELAZQUEZ SANTOYO</t>
  </si>
  <si>
    <t>1801A50797</t>
  </si>
  <si>
    <t>SALAZAR</t>
  </si>
  <si>
    <t>NASF920513JL2</t>
  </si>
  <si>
    <t>NASF920513MMNVLR07</t>
  </si>
  <si>
    <t>PROL AV HIDALGO</t>
  </si>
  <si>
    <t>BANQUETES</t>
  </si>
  <si>
    <t>mfer.inocuidad@gmail.com</t>
  </si>
  <si>
    <t>ROCIO NAVARRO SALAZAR</t>
  </si>
  <si>
    <t>1801A50869</t>
  </si>
  <si>
    <t>GUSTAVO DE JESUS</t>
  </si>
  <si>
    <t>GALVAN</t>
  </si>
  <si>
    <t>IAGG920514B33</t>
  </si>
  <si>
    <t>IAGG920514HMNGLS08</t>
  </si>
  <si>
    <t>PERIFERICO REPUBLICA</t>
  </si>
  <si>
    <t>JUSTO MENDOZA</t>
  </si>
  <si>
    <t>gustavo181412@gmail.com</t>
  </si>
  <si>
    <t>BETANIA GARCIA ESPINOZA</t>
  </si>
  <si>
    <t>1001A32987</t>
  </si>
  <si>
    <t>SIMON ALEXIS</t>
  </si>
  <si>
    <t>GACS0206075V4</t>
  </si>
  <si>
    <t>GACS020607HJCRMMA5</t>
  </si>
  <si>
    <t>ERINGIO</t>
  </si>
  <si>
    <t>simonalexisgarica@gmail.com</t>
  </si>
  <si>
    <t>ROSARIO GARCIA LOPEZ</t>
  </si>
  <si>
    <t>37N6897402</t>
  </si>
  <si>
    <t>HEMF690726V85</t>
  </si>
  <si>
    <t>HEMF690726HJCRCR04</t>
  </si>
  <si>
    <t>MALLORCA</t>
  </si>
  <si>
    <t>D</t>
  </si>
  <si>
    <t>H</t>
  </si>
  <si>
    <t>MARQUEZ</t>
  </si>
  <si>
    <t>CAML810712MUA</t>
  </si>
  <si>
    <t>CAML810712HJCSRS02</t>
  </si>
  <si>
    <t>CAPRICORNIO</t>
  </si>
  <si>
    <t>VALLE DE LA CONCEPCION</t>
  </si>
  <si>
    <t>jluiscastellanos@hotmail.com</t>
  </si>
  <si>
    <t>IMELDA CASTELLANOS MARQUEZ</t>
  </si>
  <si>
    <t>10R6538715</t>
  </si>
  <si>
    <t>ROBLEDO</t>
  </si>
  <si>
    <t>SOLORZANO</t>
  </si>
  <si>
    <t>ROSL880917HJ7</t>
  </si>
  <si>
    <t>ROSJ880917HGTBLN08</t>
  </si>
  <si>
    <t>PLEYADES</t>
  </si>
  <si>
    <t>juanluisrobl17@icloud.com</t>
  </si>
  <si>
    <t>VERONICA SOLORZANO NARANJO</t>
  </si>
  <si>
    <t>1801A37256</t>
  </si>
  <si>
    <t>JOSE MANUEL ISAIAS</t>
  </si>
  <si>
    <t>BEJARANO</t>
  </si>
  <si>
    <t>BECM620706NM1</t>
  </si>
  <si>
    <t>BECM620706HMNJLN05</t>
  </si>
  <si>
    <t>FRACC LAS ESPIGAS</t>
  </si>
  <si>
    <t>ecoplag6246@hotmail.com</t>
  </si>
  <si>
    <t>2302P34637</t>
  </si>
  <si>
    <t>ROBERTO</t>
  </si>
  <si>
    <t>FERNANDEZ</t>
  </si>
  <si>
    <t>AAFR871108EDA</t>
  </si>
  <si>
    <t>AAFR871108HJCVRB06</t>
  </si>
  <si>
    <t>JOSE MAGAÑA</t>
  </si>
  <si>
    <t>beto.87.ra@gmail.com</t>
  </si>
  <si>
    <t>BERENICE HERNANDEZ TISCAREÑO</t>
  </si>
  <si>
    <t>10R5217379</t>
  </si>
  <si>
    <t>JONATHAN DE JESUS</t>
  </si>
  <si>
    <t>PANO</t>
  </si>
  <si>
    <t>PAGJ001116AT1</t>
  </si>
  <si>
    <t>PAGJ001116HGRNLNA0</t>
  </si>
  <si>
    <t>FERNANDO TERESA DE MIER</t>
  </si>
  <si>
    <t>TERREMOLINOS ORIENTE</t>
  </si>
  <si>
    <t>++0</t>
  </si>
  <si>
    <t>A6677085</t>
  </si>
  <si>
    <t>ROLR841110UC5</t>
  </si>
  <si>
    <t>ROLR841110HGTDPG03</t>
  </si>
  <si>
    <t>modificar0203@gmail.com</t>
  </si>
  <si>
    <t>ANA ANGELES FIGUEROA GONZALEZ</t>
  </si>
  <si>
    <t>1801A50598</t>
  </si>
  <si>
    <t>JARAMILLO</t>
  </si>
  <si>
    <t>JAGG0307035G8</t>
  </si>
  <si>
    <t>JAGG030703MJCRDRA2</t>
  </si>
  <si>
    <t>LOMA VERDE</t>
  </si>
  <si>
    <t>greejgood17@gmail.com</t>
  </si>
  <si>
    <t>CESAR GODINEZ</t>
  </si>
  <si>
    <t>ALFONSO</t>
  </si>
  <si>
    <t>LOCA711030EN4</t>
  </si>
  <si>
    <t>LXCA711030HDFPSL03</t>
  </si>
  <si>
    <t>HEGEL</t>
  </si>
  <si>
    <t>FRACCIONAMIENTO EL ENSUEÑO</t>
  </si>
  <si>
    <t>herrero_20@hotmail.com</t>
  </si>
  <si>
    <t>GIOVANI LOPEZ HERRERA</t>
  </si>
  <si>
    <t>1801A38106</t>
  </si>
  <si>
    <t>VILLAGOMEZ</t>
  </si>
  <si>
    <t>VINM8612069F6</t>
  </si>
  <si>
    <t>VINM861206HMNLGG07</t>
  </si>
  <si>
    <t>CALLE CUATRO</t>
  </si>
  <si>
    <t>FRACCIONAMIENTO VILLAS DEL PEDREGAL</t>
  </si>
  <si>
    <t>miguelangelvillagomeznegrete@gmail.com</t>
  </si>
  <si>
    <t>CHRISTIAN VILLAGOMEZ NEGRETE</t>
  </si>
  <si>
    <t>UMO09589</t>
  </si>
  <si>
    <t>RIZL910810MX1</t>
  </si>
  <si>
    <t>RIZL910810HJCSRS07</t>
  </si>
  <si>
    <t>ero35896@gmail.com</t>
  </si>
  <si>
    <t>MONICA LUNA NAVARRO</t>
  </si>
  <si>
    <t>ISMAEL RIGOBERTO</t>
  </si>
  <si>
    <t>LOIS721116D27</t>
  </si>
  <si>
    <t>LOXI721116HGTPXS01</t>
  </si>
  <si>
    <t>GUADALUPE</t>
  </si>
  <si>
    <t>ismaelrigobertolopez@gmail.com</t>
  </si>
  <si>
    <t>ALAN RICARDO</t>
  </si>
  <si>
    <t>DUARTE</t>
  </si>
  <si>
    <t>EADA970709Q81</t>
  </si>
  <si>
    <t>EADA970709HGTSRL07</t>
  </si>
  <si>
    <t>PALO BLANCO</t>
  </si>
  <si>
    <t>alankingcase21@gmail.com</t>
  </si>
  <si>
    <t>MARIA GUADALUPE DUARTE</t>
  </si>
  <si>
    <t>LD25233506</t>
  </si>
  <si>
    <t>AXCEL URIEL</t>
  </si>
  <si>
    <t>OOLA000115QC8</t>
  </si>
  <si>
    <t>OOLA000115HMNRPXA9</t>
  </si>
  <si>
    <t>FLOR DE CALABAZA</t>
  </si>
  <si>
    <t>TORREON NUEVO</t>
  </si>
  <si>
    <t>axcelurielorozcolopez@gamil.com</t>
  </si>
  <si>
    <t>ARTEMIO OROZCO</t>
  </si>
  <si>
    <t>B101134453</t>
  </si>
  <si>
    <t>DIANA ALEJANDRINA</t>
  </si>
  <si>
    <t>MEFD970713596</t>
  </si>
  <si>
    <t>MEFD970713MJCNLN01</t>
  </si>
  <si>
    <t>mendozaflores.13@outlook.com</t>
  </si>
  <si>
    <t>GERARDO FLORES GARC󿿍A</t>
  </si>
  <si>
    <t>LUIS DONALDO</t>
  </si>
  <si>
    <t>SAAL940912F38</t>
  </si>
  <si>
    <t>SAAL940912HJCNLS01</t>
  </si>
  <si>
    <t>RAYMUNDO VAZQUEZ</t>
  </si>
  <si>
    <t>luis_idsa94@hotmail.com</t>
  </si>
  <si>
    <t>JANETH JOANNA SANCHEZ ALVAREZ</t>
  </si>
  <si>
    <t>10N6082456</t>
  </si>
  <si>
    <t>CAGJ890410DB4</t>
  </si>
  <si>
    <t>CAGJ890410MGTSDS08</t>
  </si>
  <si>
    <t>NARDO</t>
  </si>
  <si>
    <t>mary100489p@gmail.com</t>
  </si>
  <si>
    <t>MARTINA GODINEZ ESQUEDA</t>
  </si>
  <si>
    <t>JOS󿿉</t>
  </si>
  <si>
    <t>GARC󿿍A</t>
  </si>
  <si>
    <t>LOGJ010614MP0</t>
  </si>
  <si>
    <t>LOGJ010614HJCPRSA1</t>
  </si>
  <si>
    <t>20A</t>
  </si>
  <si>
    <t>j1558771@gmail.com</t>
  </si>
  <si>
    <t>HECTOR L󿿓PEZ HERMANDEZ</t>
  </si>
  <si>
    <t>10N7445927</t>
  </si>
  <si>
    <t>CEFM8810024U1</t>
  </si>
  <si>
    <t>CEFM881002MJCRLR01</t>
  </si>
  <si>
    <t>mar_0210_88@hotmail.com</t>
  </si>
  <si>
    <t>FRANCISCA FLORES MENDOZA</t>
  </si>
  <si>
    <t>JOS󿿉 JUAN</t>
  </si>
  <si>
    <t>HESJ690701S84</t>
  </si>
  <si>
    <t>HESJ690701HMNRLN09</t>
  </si>
  <si>
    <t>ARROYO DELGADO</t>
  </si>
  <si>
    <t>jhsindustrial@hotmail.com</t>
  </si>
  <si>
    <t>MARTA ALICIA MORA MORENO</t>
  </si>
  <si>
    <t>1801A31853</t>
  </si>
  <si>
    <t>LUIS GUSTAVO</t>
  </si>
  <si>
    <t>SOTO</t>
  </si>
  <si>
    <t>SOIL9804215C2</t>
  </si>
  <si>
    <t>SOIL980421HJCTBS05</t>
  </si>
  <si>
    <t>EL MOLINO</t>
  </si>
  <si>
    <t>gusibarra.21@icloud.com</t>
  </si>
  <si>
    <t>KARINA IBARRA VELAZQUEZ</t>
  </si>
  <si>
    <t>24R6968016</t>
  </si>
  <si>
    <t>ANTHONY LUIS</t>
  </si>
  <si>
    <t>RUAN0005251C3</t>
  </si>
  <si>
    <t>RUXA000525HNEZXNA9</t>
  </si>
  <si>
    <t>OLIMPICA</t>
  </si>
  <si>
    <t>anthonyar7.2425@gmail.com</t>
  </si>
  <si>
    <t>JES󿿚S ARMANDO RUIZ FLORES</t>
  </si>
  <si>
    <t>10N7484591</t>
  </si>
  <si>
    <t>JORGE LUIS</t>
  </si>
  <si>
    <t>SAHAG󿿚N</t>
  </si>
  <si>
    <t>LOSJ0011154G2</t>
  </si>
  <si>
    <t>LOSJ001115HJCPHRA7</t>
  </si>
  <si>
    <t>CASAS AISLADAS</t>
  </si>
  <si>
    <t>TECUALTITAN</t>
  </si>
  <si>
    <t>jorgeloagaslz@gmail.com</t>
  </si>
  <si>
    <t>ESPERANZA SAHAG󿿚N GARC󿿍A</t>
  </si>
  <si>
    <t>10N6565329</t>
  </si>
  <si>
    <t>CARJ650201</t>
  </si>
  <si>
    <t>CARJ650201HJCMDN09</t>
  </si>
  <si>
    <t>JUSTO SIERRA</t>
  </si>
  <si>
    <t>camposjuanmartin46@gmail.com</t>
  </si>
  <si>
    <t>ROSA ORTEGA GUTIERREZ</t>
  </si>
  <si>
    <t>HECTOR UBALDO</t>
  </si>
  <si>
    <t>CONH040413AVA</t>
  </si>
  <si>
    <t>CONH040413HJCVXCA0</t>
  </si>
  <si>
    <t>DIAZ ORDAZ</t>
  </si>
  <si>
    <t>hectorcova1304@hotmail.com</t>
  </si>
  <si>
    <t>ISELA COVARRUBIAS NUÑEZ</t>
  </si>
  <si>
    <t>10N6663583</t>
  </si>
  <si>
    <t>URIEL</t>
  </si>
  <si>
    <t>SABU010506G66</t>
  </si>
  <si>
    <t>SABU010506HMNLRRA6</t>
  </si>
  <si>
    <t>VULLANUEVA</t>
  </si>
  <si>
    <t>urielsalazar108@gmail.com</t>
  </si>
  <si>
    <t>LORENZO SALAZAR CANCHOLA</t>
  </si>
  <si>
    <t>2001A50036</t>
  </si>
  <si>
    <t>DAVID GUADALUPE</t>
  </si>
  <si>
    <t>GUGD0605307CA</t>
  </si>
  <si>
    <t>GUGD060530HJCZDVA2</t>
  </si>
  <si>
    <t>godinezdavid132@gmail.com</t>
  </si>
  <si>
    <t>MARIA GUADALUPE GODINEZ</t>
  </si>
  <si>
    <t>KARINA ARACELI</t>
  </si>
  <si>
    <t>AEBK980605PTA</t>
  </si>
  <si>
    <t>AEBK980605MJCCRR08</t>
  </si>
  <si>
    <t>araceliacevedo.55@gmail.com</t>
  </si>
  <si>
    <t>SILVIA LORENA BRAVO ANGUIANO</t>
  </si>
  <si>
    <t>FONSECA</t>
  </si>
  <si>
    <t>FOOD800909GF4</t>
  </si>
  <si>
    <t>FOOD800909HMNNRV07</t>
  </si>
  <si>
    <t>JARDINES DE LA LOMA</t>
  </si>
  <si>
    <t>CONJUNTO HABITACIONAL JARDINES DE LA LOMA</t>
  </si>
  <si>
    <t>URUAPAN</t>
  </si>
  <si>
    <t>d_fons@outlook.com</t>
  </si>
  <si>
    <t>FRANCISCO FONSECA TAVERA</t>
  </si>
  <si>
    <t>C6658215</t>
  </si>
  <si>
    <t>MABS990513QN0</t>
  </si>
  <si>
    <t>MABS990512MJCRLN04</t>
  </si>
  <si>
    <t>PASEO RIO LAGOS</t>
  </si>
  <si>
    <t>sandramartinez36@gmail.com</t>
  </si>
  <si>
    <t>ANITA BELTRAN ZARAGOZA</t>
  </si>
  <si>
    <t>VICTOR HUGO</t>
  </si>
  <si>
    <t>BEDOLLA</t>
  </si>
  <si>
    <t>BERV920811DW1</t>
  </si>
  <si>
    <t>BERV920811HMNDYC08</t>
  </si>
  <si>
    <t>BANQUETES DE JUNCOS</t>
  </si>
  <si>
    <t>RICONADA DE LOS SAUCES</t>
  </si>
  <si>
    <t>victorhugobedollareyes@gmail.com</t>
  </si>
  <si>
    <t>VALENTE BEDOLLA ROSAS</t>
  </si>
  <si>
    <t>JEREMY ALEJANDRO</t>
  </si>
  <si>
    <t>HEGJ011024D79</t>
  </si>
  <si>
    <t>HEGJ011024HMNRRRA0</t>
  </si>
  <si>
    <t>jeremyhernandezgarcia03@gmail.com</t>
  </si>
  <si>
    <t>MANUELA GARCIA HERNANDEZ</t>
  </si>
  <si>
    <t>ABUELA</t>
  </si>
  <si>
    <t>10N7233119</t>
  </si>
  <si>
    <t>BARR0309177R6</t>
  </si>
  <si>
    <t>BARR030917HGTRVBA4</t>
  </si>
  <si>
    <t>LUCITAS DE VILLANUEVA</t>
  </si>
  <si>
    <t>robert.b95342@gmail.com</t>
  </si>
  <si>
    <t>KARLA EDITH</t>
  </si>
  <si>
    <t>ESCALANTE</t>
  </si>
  <si>
    <t>EARK900511684</t>
  </si>
  <si>
    <t>EARK900511MCHSDR07</t>
  </si>
  <si>
    <t>FELIX ROMERO</t>
  </si>
  <si>
    <t>WENCESLAO VICTORIA SOTO</t>
  </si>
  <si>
    <t>karla.ed2326@gmail.com</t>
  </si>
  <si>
    <t>DAVID BARRIGA CORONA</t>
  </si>
  <si>
    <t>JOSE JESUS</t>
  </si>
  <si>
    <t>EICJ711209QW8</t>
  </si>
  <si>
    <t>EICJ711209HGTLBS05</t>
  </si>
  <si>
    <t>jjelizarrarasc@gmail.com</t>
  </si>
  <si>
    <t>SUSANA CHAVEZ GUZMAN</t>
  </si>
  <si>
    <t>JS28083849</t>
  </si>
  <si>
    <t>OFELIA</t>
  </si>
  <si>
    <t>HEGO700729NN8</t>
  </si>
  <si>
    <t>HEGO700729MMNRRF04</t>
  </si>
  <si>
    <t>LA MAGDALENA</t>
  </si>
  <si>
    <t>gofe571@gmail.com</t>
  </si>
  <si>
    <t>KAREN YAMILET PRADA HERNANDEZ</t>
  </si>
  <si>
    <t>SAOJ760508QEA</t>
  </si>
  <si>
    <t>SAOJ760508MJCLRS05</t>
  </si>
  <si>
    <t>PETUNIA</t>
  </si>
  <si>
    <t>madejesus1705@gmail.com</t>
  </si>
  <si>
    <t>VIVIANA ELIZABETH TRUJILLO SALAZAR</t>
  </si>
  <si>
    <t>SARG990905SG9</t>
  </si>
  <si>
    <t>SARG990905MJCNDD06</t>
  </si>
  <si>
    <t>GENARITA SIERRA</t>
  </si>
  <si>
    <t>lusanchezro6@gmail.com</t>
  </si>
  <si>
    <t>10N6169794</t>
  </si>
  <si>
    <t>JESUS RAFAEL</t>
  </si>
  <si>
    <t>MAMJ870528VC8</t>
  </si>
  <si>
    <t>MAMJ870528HMNDRS05</t>
  </si>
  <si>
    <t>MALAGA NORTE</t>
  </si>
  <si>
    <t>FRACC MONTE OLIVO</t>
  </si>
  <si>
    <t>ZAMORA</t>
  </si>
  <si>
    <t>rafmadri@hotmail.com</t>
  </si>
  <si>
    <t>GAPA731229LX4</t>
  </si>
  <si>
    <t>GAPA731229MGTRRD05</t>
  </si>
  <si>
    <t>JOSE RICARDO ROJAS RODRIGUEZ</t>
  </si>
  <si>
    <t>MARGARITA</t>
  </si>
  <si>
    <t>SAMM920123NQ3</t>
  </si>
  <si>
    <t>SAMM920123MMNLGR05</t>
  </si>
  <si>
    <t>ARTICULO</t>
  </si>
  <si>
    <t>mmaggie061@gmail.com</t>
  </si>
  <si>
    <t>LUISA MAGALLON</t>
  </si>
  <si>
    <t>11301A4575</t>
  </si>
  <si>
    <t>HOMERO</t>
  </si>
  <si>
    <t>DIGH8206156JA</t>
  </si>
  <si>
    <t>DIGH820615HMNZRM04</t>
  </si>
  <si>
    <t>homerodiazgarcia10@gamil.com</t>
  </si>
  <si>
    <t>BIANEY ABUNDIS LUNA</t>
  </si>
  <si>
    <t>0101T37843</t>
  </si>
  <si>
    <t>JOSE EFRAIN</t>
  </si>
  <si>
    <t>HUERFANO</t>
  </si>
  <si>
    <t>HUVE000723NL5</t>
  </si>
  <si>
    <t>HUVE000723HMCRLFA0</t>
  </si>
  <si>
    <t>PINO SUAREZ</t>
  </si>
  <si>
    <t>SAN JUAN DE LAS HUERTAS</t>
  </si>
  <si>
    <t>efrain404040@gmail.com</t>
  </si>
  <si>
    <t>JOSE HUERFANO SALAZAR</t>
  </si>
  <si>
    <t>ROVS760608RV6</t>
  </si>
  <si>
    <t>ROVS760608HJCDRL09</t>
  </si>
  <si>
    <t>h2osaulr_cxc@hotmail.com</t>
  </si>
  <si>
    <t>CARMEN LORENA CERVANTES RODRIGUEZ</t>
  </si>
  <si>
    <t>SAMUEL UBALDO</t>
  </si>
  <si>
    <t>QUMS750829J92</t>
  </si>
  <si>
    <t>QUMS750829HZSNRM03</t>
  </si>
  <si>
    <t>CRETA</t>
  </si>
  <si>
    <t>samm.quintero@gmail.com</t>
  </si>
  <si>
    <t>MARTHA ALICIA CALIXTO VEGA</t>
  </si>
  <si>
    <t>JUAN ROBERTO</t>
  </si>
  <si>
    <t>MIRELES</t>
  </si>
  <si>
    <t>BAMJ810921F62</t>
  </si>
  <si>
    <t>BAMJ810921HGTRRN03</t>
  </si>
  <si>
    <t>PASO DE PIEDRA</t>
  </si>
  <si>
    <t>angelleonel733@gmail.com</t>
  </si>
  <si>
    <t>T240777294</t>
  </si>
  <si>
    <t>ROGA760529SC5</t>
  </si>
  <si>
    <t>ROGA760529HMNDLR02</t>
  </si>
  <si>
    <t>AV DE LA PERLA</t>
  </si>
  <si>
    <t>C2</t>
  </si>
  <si>
    <t>FRACC VILLAS DEL PEDREGAL</t>
  </si>
  <si>
    <t>arturorg365@gmail.com</t>
  </si>
  <si>
    <t>0101T32560</t>
  </si>
  <si>
    <t>PATRICIA LORENA</t>
  </si>
  <si>
    <t>COTP870524IQ4</t>
  </si>
  <si>
    <t>COTP870524MJCVLT00</t>
  </si>
  <si>
    <t>RIO COLORADO</t>
  </si>
  <si>
    <t>pcovarrubias050240587@gmail.com</t>
  </si>
  <si>
    <t>CARLOS OSVALDO SAHAGUN TELLO</t>
  </si>
  <si>
    <t>RISB7005079H8</t>
  </si>
  <si>
    <t>RISB700507HDFVNR02</t>
  </si>
  <si>
    <t>berisan1970@outlook.com</t>
  </si>
  <si>
    <t>NORMA ANGELICA BONILLA ROSAS</t>
  </si>
  <si>
    <t>10R7688979</t>
  </si>
  <si>
    <t>MARIA TERESA</t>
  </si>
  <si>
    <t>SALDAÑA</t>
  </si>
  <si>
    <t>MURILLO</t>
  </si>
  <si>
    <t>SAMT791001P37</t>
  </si>
  <si>
    <t>SAMT791001MGTLRR01</t>
  </si>
  <si>
    <t>CARRETERA PENJAMO LA PIEDAD</t>
  </si>
  <si>
    <t>saldanam248@gmail.com</t>
  </si>
  <si>
    <t>EZEQUIEL OBLEA BERNAL</t>
  </si>
  <si>
    <t>ROGELIO</t>
  </si>
  <si>
    <t>MAXR63030311H</t>
  </si>
  <si>
    <t>MAXR63030311H100</t>
  </si>
  <si>
    <t>FRACC EL CUITZILLO</t>
  </si>
  <si>
    <t>JUANA VAZQUEZ GONZALEZ</t>
  </si>
  <si>
    <t>PRE-DIABETES</t>
  </si>
  <si>
    <t>RINJ970301JN2</t>
  </si>
  <si>
    <t>RINJ970301HMNVVS05</t>
  </si>
  <si>
    <t>HACIENDA DE LOS POTRILLOS</t>
  </si>
  <si>
    <t>NUEVA BANQUETES</t>
  </si>
  <si>
    <t>jalbertorv@icluod.com</t>
  </si>
  <si>
    <t>KARELY FERNANDA QUEVEDO</t>
  </si>
  <si>
    <t>JENNIFER ALEJANDRA</t>
  </si>
  <si>
    <t>SOAJ000609CC2</t>
  </si>
  <si>
    <t>SOAJ000609MMNLRNA7</t>
  </si>
  <si>
    <t>LERDO DE TEJADA</t>
  </si>
  <si>
    <t>solorioalejandra88@gmail.com</t>
  </si>
  <si>
    <t>J GUADALUPE</t>
  </si>
  <si>
    <t>BAZAN</t>
  </si>
  <si>
    <t>BAOG711205CS0</t>
  </si>
  <si>
    <t>BAOG711205HMNZRD03</t>
  </si>
  <si>
    <t>RAZA OTOMI</t>
  </si>
  <si>
    <t>LOMAS DE SANTIAGUITO</t>
  </si>
  <si>
    <t>josebazanbazan@gmail.com</t>
  </si>
  <si>
    <t>GLORIA RANGEL POLO</t>
  </si>
  <si>
    <t>1201B17710</t>
  </si>
  <si>
    <t>FELIX EUGENIO</t>
  </si>
  <si>
    <t>AAHF900409CE0</t>
  </si>
  <si>
    <t>AAHF900409HJCVRL06</t>
  </si>
  <si>
    <t>feah3000@hotmail.com</t>
  </si>
  <si>
    <t>BEATRIZ GUADALUPE AVALOS HERNANDEZ</t>
  </si>
  <si>
    <t>MARCOS</t>
  </si>
  <si>
    <t>BAGM971207APA</t>
  </si>
  <si>
    <t>BAGM971207HJCRNR05</t>
  </si>
  <si>
    <t>antrobar39@gmail.com</t>
  </si>
  <si>
    <t>ROSA MARIA GONZALEZ BARBOZA</t>
  </si>
  <si>
    <t>37R7519750</t>
  </si>
  <si>
    <t>GATM670710N66</t>
  </si>
  <si>
    <t>GATM670710MGTRLR04</t>
  </si>
  <si>
    <t>PARAGUAY</t>
  </si>
  <si>
    <t>METROPOLIS II</t>
  </si>
  <si>
    <t>productividad10@outlook.com</t>
  </si>
  <si>
    <t>ATHOS GALLAGHAN GUTIERREZ GARCIA</t>
  </si>
  <si>
    <t>RAUL OSCAR</t>
  </si>
  <si>
    <t>OEGR9102106F8</t>
  </si>
  <si>
    <t>OEGR910210HMNRLL00</t>
  </si>
  <si>
    <t>QUIRITZICUA</t>
  </si>
  <si>
    <t>laetrulooscar@gmail.com</t>
  </si>
  <si>
    <t>CARLOS ORTEGA GUILLEN</t>
  </si>
  <si>
    <t>1105C34124</t>
  </si>
  <si>
    <t>ELIAN ALDAIR</t>
  </si>
  <si>
    <t>BOLAÑOS</t>
  </si>
  <si>
    <t>BOGE0004072R7</t>
  </si>
  <si>
    <t>BOGE000407HMNLTLA8</t>
  </si>
  <si>
    <t>CALLE URAPUAN</t>
  </si>
  <si>
    <t>GLORIA ARACELI GUTIERREZ MENDOZA</t>
  </si>
  <si>
    <t>MOSQUEDA</t>
  </si>
  <si>
    <t>MOMM980503I17</t>
  </si>
  <si>
    <t>MOMM980503HGTSXG08</t>
  </si>
  <si>
    <t>JUAN ESCUTIA</t>
  </si>
  <si>
    <t>SAN ANTONIO DE AGUIRRE</t>
  </si>
  <si>
    <t>miguelmosquedamunoz98@gmail.com</t>
  </si>
  <si>
    <t>BLANCA ESTELA MUÑOZ VAZQUEZ</t>
  </si>
  <si>
    <t>ML24863643</t>
  </si>
  <si>
    <t>PEDRO ALONSO</t>
  </si>
  <si>
    <t>CARDENAS</t>
  </si>
  <si>
    <t>CACP940202A48</t>
  </si>
  <si>
    <t>CACP940202HMNRHD09</t>
  </si>
  <si>
    <t>MERCURIO</t>
  </si>
  <si>
    <t>FRACC GALAXIA</t>
  </si>
  <si>
    <t>pedrocarcha@hotmail.com</t>
  </si>
  <si>
    <t>0101A34674</t>
  </si>
  <si>
    <t>CARLOS ABRAHAM</t>
  </si>
  <si>
    <t>ALCALA</t>
  </si>
  <si>
    <t>AACC000204UQ5</t>
  </si>
  <si>
    <t>AACC000204HJCLRRA8</t>
  </si>
  <si>
    <t>carlosalcalaa00@gmail.com</t>
  </si>
  <si>
    <t>J JESUS ALCALA ECHEVERRIA</t>
  </si>
  <si>
    <t>10N6158911</t>
  </si>
  <si>
    <t>DANIELA SARAI</t>
  </si>
  <si>
    <t>HEVD011014CB3</t>
  </si>
  <si>
    <t>HEVD011014MJCRLNA4</t>
  </si>
  <si>
    <t>hernandezdanielash@gmail.com</t>
  </si>
  <si>
    <t>ELSA NORA VALENZUELA TORRES</t>
  </si>
  <si>
    <t>JESSICA MARLENE</t>
  </si>
  <si>
    <t>MELENDREZ</t>
  </si>
  <si>
    <t>BAMJ940908E77</t>
  </si>
  <si>
    <t>BAMJ940908MJCRLS04</t>
  </si>
  <si>
    <t>marlenebarajas627@gmail.com</t>
  </si>
  <si>
    <t>ALONSO BUSTOS CRUZ</t>
  </si>
  <si>
    <t>JUAN DIEGO</t>
  </si>
  <si>
    <t>ASPE</t>
  </si>
  <si>
    <t>AAAJ860315EH3</t>
  </si>
  <si>
    <t>AAAJ860315HJCNSN06</t>
  </si>
  <si>
    <t>juandiegoanayaaspe96@gmail.com</t>
  </si>
  <si>
    <t>BLANCA ESTELA RODRIGUEZ CUBILLO</t>
  </si>
  <si>
    <t>15N6190528</t>
  </si>
  <si>
    <t>NOEL</t>
  </si>
  <si>
    <t>GALINDO</t>
  </si>
  <si>
    <t>LOGN8610176R8</t>
  </si>
  <si>
    <t>LOGN861017HJCZLL03</t>
  </si>
  <si>
    <t>CENTRO NORTE</t>
  </si>
  <si>
    <t>ARANDAS</t>
  </si>
  <si>
    <t>noel.lozga@gmail.com</t>
  </si>
  <si>
    <t>MARIA GUADALUPE MARTINEZ PATIÑO</t>
  </si>
  <si>
    <t>20R7503948</t>
  </si>
  <si>
    <t>DULCE GUADALUPE</t>
  </si>
  <si>
    <t>CHICO</t>
  </si>
  <si>
    <t>MUCD030402410</t>
  </si>
  <si>
    <t>MUCD030402MGTXHLA0</t>
  </si>
  <si>
    <t>BARAJAS VIEJO</t>
  </si>
  <si>
    <t>dulcechico15@gmail.com</t>
  </si>
  <si>
    <t>ANA GUADALUPE CHICO RIOS</t>
  </si>
  <si>
    <t>GABRIELA</t>
  </si>
  <si>
    <t>HINOJOSA</t>
  </si>
  <si>
    <t>GOHG910728N46</t>
  </si>
  <si>
    <t>GOHG910728MMNNNB09</t>
  </si>
  <si>
    <t>NICOLAS OBISPO EDIFICIO 97</t>
  </si>
  <si>
    <t>gabbyyota.2002@gmail.com</t>
  </si>
  <si>
    <t>ALEJANDRA MOTSERRAT GONZALEZ HINOJOSA</t>
  </si>
  <si>
    <t>AB-</t>
  </si>
  <si>
    <t>JESUS IGNACIO</t>
  </si>
  <si>
    <t>URRUTIA</t>
  </si>
  <si>
    <t>RIUJ020514HGT</t>
  </si>
  <si>
    <t>RIUJ020514HGTSRSA0</t>
  </si>
  <si>
    <t>jesusignacioriosurrutia18@gmail.com</t>
  </si>
  <si>
    <t>JOEL</t>
  </si>
  <si>
    <t>VEJJ940601EX8</t>
  </si>
  <si>
    <t>VEJJ940601HMCLML06</t>
  </si>
  <si>
    <t>AV HIDALGO</t>
  </si>
  <si>
    <t>ALMOLOYA</t>
  </si>
  <si>
    <t>joelvj06@gmail.com</t>
  </si>
  <si>
    <t>JOEL VELAZQUEZ BENHUMEA</t>
  </si>
  <si>
    <t>TIPO E</t>
  </si>
  <si>
    <t>ARIADNA</t>
  </si>
  <si>
    <t>HESA00100742A</t>
  </si>
  <si>
    <t>HESA001007MGTRNRA3</t>
  </si>
  <si>
    <t>VARAL DE MORALES</t>
  </si>
  <si>
    <t>arihersan22@gmail.com</t>
  </si>
  <si>
    <t>MARGARITA SANCHEZ GONZALEZ</t>
  </si>
  <si>
    <t>LORJ990129FP2</t>
  </si>
  <si>
    <t>LORJ990129HJCZDN07</t>
  </si>
  <si>
    <t>AV DE LA JUVENTUD</t>
  </si>
  <si>
    <t>lozarodriguezjuanpablo09@gmail.com</t>
  </si>
  <si>
    <t>CLAUDIA VERONICA RODRIGUEZ GONZALEZ</t>
  </si>
  <si>
    <t>37R7841797</t>
  </si>
  <si>
    <t>SULEYMA AHIDE</t>
  </si>
  <si>
    <t>GIL</t>
  </si>
  <si>
    <t>GIRS941219DM9</t>
  </si>
  <si>
    <t>GIRS941219MMNLML06</t>
  </si>
  <si>
    <t>FRANCISCA M NEGRETE</t>
  </si>
  <si>
    <t>suly_fj16@hotmail.com</t>
  </si>
  <si>
    <t>MARCO ANTONIO GIL VERA</t>
  </si>
  <si>
    <t>2001A36292</t>
  </si>
  <si>
    <t>MANUEL</t>
  </si>
  <si>
    <t>CARMONA</t>
  </si>
  <si>
    <t>CECM870812QW0</t>
  </si>
  <si>
    <t>CECM870812HJCRRN03</t>
  </si>
  <si>
    <t>CHICAGO</t>
  </si>
  <si>
    <t>mcervantes666@outlook.com</t>
  </si>
  <si>
    <t>CLAUDIA CELESTE SANTILLAN</t>
  </si>
  <si>
    <t>FRAUSTO</t>
  </si>
  <si>
    <t>FACJ9801055C0</t>
  </si>
  <si>
    <t>FACJ980105HGTRRN08</t>
  </si>
  <si>
    <t>PUEBLO NUEVO</t>
  </si>
  <si>
    <t>jp.fraustocervantes@gmail.com</t>
  </si>
  <si>
    <t>DELFINO FRAUSTO AGUILAR</t>
  </si>
  <si>
    <t>JL25155607</t>
  </si>
  <si>
    <t>IRVING JOSUE</t>
  </si>
  <si>
    <t>VEII0002058S2</t>
  </si>
  <si>
    <t>VEII000205HGTGBRA5</t>
  </si>
  <si>
    <t>CUEVAS DE MORALES</t>
  </si>
  <si>
    <t>irving77vega49@gmail.com</t>
  </si>
  <si>
    <t>RICARDO VEGA GOMEZ</t>
  </si>
  <si>
    <t>RS22233706</t>
  </si>
  <si>
    <t>FALCON</t>
  </si>
  <si>
    <t>FARM840809R90</t>
  </si>
  <si>
    <t>FARM840809HMNLMR04</t>
  </si>
  <si>
    <t>PROLONGACION ZARAGOZA</t>
  </si>
  <si>
    <t>marcofalcon3@gmail.com</t>
  </si>
  <si>
    <t>ROSA RAMIREZ CABRERA</t>
  </si>
  <si>
    <t>1801A3072</t>
  </si>
  <si>
    <t>EZEQUIEL ALEJANDRO</t>
  </si>
  <si>
    <t>VIGIL</t>
  </si>
  <si>
    <t>VISE920619IZ6</t>
  </si>
  <si>
    <t>VISE920619HJCGNZ04</t>
  </si>
  <si>
    <t>ANDADOR 29 DE DICIEMBRE</t>
  </si>
  <si>
    <t>ezequielvigil19@gmail.com</t>
  </si>
  <si>
    <t>GERARDO VIGIL SANCHEZ</t>
  </si>
  <si>
    <t>10R6609114</t>
  </si>
  <si>
    <t>JOSE PABLO</t>
  </si>
  <si>
    <t>OOHP960402TR7</t>
  </si>
  <si>
    <t>OOHP960402HJCCRB01</t>
  </si>
  <si>
    <t>josepabloochoa4@gmail.com</t>
  </si>
  <si>
    <t>NORMA DE LOURDES HERNANDEZ SANTIAGO</t>
  </si>
  <si>
    <t>37R7910737</t>
  </si>
  <si>
    <t>FRANCISCO JAVIER</t>
  </si>
  <si>
    <t>OERF991028916</t>
  </si>
  <si>
    <t>OERF991028HMNRSR04</t>
  </si>
  <si>
    <t>javier8ornelas.14@gmail.com</t>
  </si>
  <si>
    <t>CECILIA YOSELIN GIL RAMOS</t>
  </si>
  <si>
    <t>10N6202315</t>
  </si>
  <si>
    <t>ALEXIA ELIZABETH</t>
  </si>
  <si>
    <t>AAHA030619280</t>
  </si>
  <si>
    <t>AAHA030619MJCLRLA1</t>
  </si>
  <si>
    <t>ABETOS</t>
  </si>
  <si>
    <t>alexiaelizabethalvarez19@gmail.com</t>
  </si>
  <si>
    <t>CARLOS RENEE ALVAREZ RUIZ</t>
  </si>
  <si>
    <t>CESAR ENRIQUE</t>
  </si>
  <si>
    <t>FRANCO</t>
  </si>
  <si>
    <t>FOFC900214R52</t>
  </si>
  <si>
    <t>FOFC900214HGRLRS01</t>
  </si>
  <si>
    <t>floresfrancocesar90@hotmail.com</t>
  </si>
  <si>
    <t>MIRIAM FLORES FRANCO</t>
  </si>
  <si>
    <t>10R7350833</t>
  </si>
  <si>
    <t>ZUJJ000922KI1</t>
  </si>
  <si>
    <t>ZUJJ000922HJCNMSA8</t>
  </si>
  <si>
    <t>ALTAMIRA</t>
  </si>
  <si>
    <t>LOS GUAYABOS</t>
  </si>
  <si>
    <t>jzuno0267@gmail.com</t>
  </si>
  <si>
    <t>ALBERTO ZUNO SANTIAGO</t>
  </si>
  <si>
    <t>10R7455370</t>
  </si>
  <si>
    <t>OMAR</t>
  </si>
  <si>
    <t>PEVO780926S41</t>
  </si>
  <si>
    <t>PEVO780926HGTRLM04</t>
  </si>
  <si>
    <t>AV. HIDALGO</t>
  </si>
  <si>
    <t>CAPILLA DE MARQUEZ</t>
  </si>
  <si>
    <t>villapez837@gmail.com</t>
  </si>
  <si>
    <t>LAURA AIDE ARROYO GARCIA</t>
  </si>
  <si>
    <t>CONCUBINA</t>
  </si>
  <si>
    <t>ANDREA</t>
  </si>
  <si>
    <t>ANGUIANO</t>
  </si>
  <si>
    <t>AURA900401330</t>
  </si>
  <si>
    <t>AURA900401MMNNMN06</t>
  </si>
  <si>
    <t>andrea_rlp@hotmail.com</t>
  </si>
  <si>
    <t>ISAAC ANGUIANO RAMIREZ</t>
  </si>
  <si>
    <t>MUNGUIA</t>
  </si>
  <si>
    <t>ALBISIO</t>
  </si>
  <si>
    <t>MUAA0309163S3</t>
  </si>
  <si>
    <t>MUAA030916MJCNLLA2</t>
  </si>
  <si>
    <t>minguiaalejandra85@gmail.com</t>
  </si>
  <si>
    <t>MARIA CRISTINA ALBISIO PATIÑO</t>
  </si>
  <si>
    <t>LAMJ810310P65</t>
  </si>
  <si>
    <t>LAMJ810310HJCRNN05</t>
  </si>
  <si>
    <t>JORGE DE VERAPAZ</t>
  </si>
  <si>
    <t>larajmz10@gmail.com</t>
  </si>
  <si>
    <t>ANGELICA OROZCO GONZALEZ</t>
  </si>
  <si>
    <t>10R6242398</t>
  </si>
  <si>
    <t>ARLETH PAOLA</t>
  </si>
  <si>
    <t>CARREON</t>
  </si>
  <si>
    <t>MACA9502147Q2</t>
  </si>
  <si>
    <t>MACA950214MMNRRR09</t>
  </si>
  <si>
    <t>HORTENSIA</t>
  </si>
  <si>
    <t>FRACC VIVA COMUNIDAD</t>
  </si>
  <si>
    <t>arletita_14@hotmail.com</t>
  </si>
  <si>
    <t>KARLA EDITH MARTINEZ CARREON</t>
  </si>
  <si>
    <t>VEAJ680804R99</t>
  </si>
  <si>
    <t>VEAJ680804HJCLVS08</t>
  </si>
  <si>
    <t>jesusvelazco@hotmail.com</t>
  </si>
  <si>
    <t>10R6750778</t>
  </si>
  <si>
    <t>MARIA ELENA</t>
  </si>
  <si>
    <t>AIFE970406JC7</t>
  </si>
  <si>
    <t>AIFE970406MJCVRL03</t>
  </si>
  <si>
    <t>havi97599@gmail.com</t>
  </si>
  <si>
    <t>ALMA ROSA FRAUSTO DECIGA</t>
  </si>
  <si>
    <t>29N6791750</t>
  </si>
  <si>
    <t>VICTOR EDUARDO</t>
  </si>
  <si>
    <t>VIEYRA</t>
  </si>
  <si>
    <t>MAVV930814223</t>
  </si>
  <si>
    <t>MAVV930814HBSRYC00</t>
  </si>
  <si>
    <t>ANTONIO DE GODOY</t>
  </si>
  <si>
    <t>PORTALES DE MORELIA</t>
  </si>
  <si>
    <t>victor.mtz.93@outlook.com</t>
  </si>
  <si>
    <t>GRISELDA VIEYRA GUTIERREZ</t>
  </si>
  <si>
    <t>BS2890</t>
  </si>
  <si>
    <t>JOSE DE JESUS</t>
  </si>
  <si>
    <t>AUFJ751222349</t>
  </si>
  <si>
    <t>AUFJ751222HGTGNS06</t>
  </si>
  <si>
    <t>PROL MINA SUR</t>
  </si>
  <si>
    <t>28 DE OCTUBRE EL MIRADOR</t>
  </si>
  <si>
    <t>jo1975123@gmail.com</t>
  </si>
  <si>
    <t>JUANA ESTER CASTILLO</t>
  </si>
  <si>
    <t>JS28044826</t>
  </si>
  <si>
    <t>JOSE ALEXANDER</t>
  </si>
  <si>
    <t>LONA980724JDA</t>
  </si>
  <si>
    <t>LONA980724HGTPGL01</t>
  </si>
  <si>
    <t>MELCHOR OCAMPO</t>
  </si>
  <si>
    <t>josealexanderln@gmail.com</t>
  </si>
  <si>
    <t>YOLANDA NEGRETE GARCIA</t>
  </si>
  <si>
    <t>JR26633106</t>
  </si>
  <si>
    <t>HECTOR GUSTAVO</t>
  </si>
  <si>
    <t>ALVARADO</t>
  </si>
  <si>
    <t>TEAH871014183</t>
  </si>
  <si>
    <t>TEAH871014HMNRLC08</t>
  </si>
  <si>
    <t>MIGUEL ALEMAN</t>
  </si>
  <si>
    <t>LA LADERA</t>
  </si>
  <si>
    <t>QUIRINGUICHARO</t>
  </si>
  <si>
    <t>gustrejo87@hotmail.com</t>
  </si>
  <si>
    <t>SANDRA MENDEZ MENDEZ</t>
  </si>
  <si>
    <t>DIEGO ALEJANDRO</t>
  </si>
  <si>
    <t>NUFD920527MWZ</t>
  </si>
  <si>
    <t>NUED920527HMNXNG06</t>
  </si>
  <si>
    <t>MOROLEON</t>
  </si>
  <si>
    <t>diegonunezfuentes7@gmail.com</t>
  </si>
  <si>
    <t>ERICK RODRIGO NUÑEZ FUENTES</t>
  </si>
  <si>
    <t>BECA030120SQ2</t>
  </si>
  <si>
    <t>BECA030120MMNCSNA9</t>
  </si>
  <si>
    <t>PASEO DE LAS INDIAS</t>
  </si>
  <si>
    <t>BOSQUES DE LA RIVERA</t>
  </si>
  <si>
    <t>andrea.becerracis03@gmail.com</t>
  </si>
  <si>
    <t>GILBERTO BECERRA</t>
  </si>
  <si>
    <t>SAOD0003139E9</t>
  </si>
  <si>
    <t>SAOD000313HJCNRNA6</t>
  </si>
  <si>
    <t>ZALAMEA</t>
  </si>
  <si>
    <t>ortegadaniel132000@gmail.com</t>
  </si>
  <si>
    <t>ANDRES SANCHEZ ROJAS</t>
  </si>
  <si>
    <t>10N6651396</t>
  </si>
  <si>
    <t>HECC820627321</t>
  </si>
  <si>
    <t>HECC820627MMNJKL12</t>
  </si>
  <si>
    <t>PABLO ARTURO</t>
  </si>
  <si>
    <t>MALDONADO</t>
  </si>
  <si>
    <t>PONCE</t>
  </si>
  <si>
    <t>MAPP931125BS8</t>
  </si>
  <si>
    <t>MAPP931125HJCLNB04</t>
  </si>
  <si>
    <t>POZO DEL MONTE</t>
  </si>
  <si>
    <t>p_pablo-25@hotmail.com</t>
  </si>
  <si>
    <t>SILVIA PONCE VENTURA</t>
  </si>
  <si>
    <t>13R6433574</t>
  </si>
  <si>
    <t>LOGA810216H88</t>
  </si>
  <si>
    <t>LOGA810216HJCPDR03</t>
  </si>
  <si>
    <t>LEANDRO VALLE</t>
  </si>
  <si>
    <t>LA COLONIA</t>
  </si>
  <si>
    <t>arturo.vaca@hotmail.com</t>
  </si>
  <si>
    <t>MARICRUZ GARCIA CORONADO</t>
  </si>
  <si>
    <t>10R6035701</t>
  </si>
  <si>
    <t>JUAN JESUS</t>
  </si>
  <si>
    <t>AAOJ970108FF3</t>
  </si>
  <si>
    <t>AAOJ970108HMNYRN01</t>
  </si>
  <si>
    <t>FRANCISCO ZARCO</t>
  </si>
  <si>
    <t>FRACC PEÑA</t>
  </si>
  <si>
    <t>jesus_orozco@hotmail.com</t>
  </si>
  <si>
    <t>MARIA GUADALUPE HERNANDEZ CALDERON</t>
  </si>
  <si>
    <t>LUIS ANGEL</t>
  </si>
  <si>
    <t>TENA</t>
  </si>
  <si>
    <t>RETL9401199KA</t>
  </si>
  <si>
    <t>RETL940119MHNYNS01</t>
  </si>
  <si>
    <t>JERICO</t>
  </si>
  <si>
    <t>GERTRUDIS SANCHEZ</t>
  </si>
  <si>
    <t>luisreyestena@gmail.com</t>
  </si>
  <si>
    <t>ALMA LUCIA TENA MORALES</t>
  </si>
  <si>
    <t>JUDITH</t>
  </si>
  <si>
    <t>PERJ940927DF9</t>
  </si>
  <si>
    <t>PERJ940927MPLRMD00</t>
  </si>
  <si>
    <t>CUAUTHEMOC</t>
  </si>
  <si>
    <t>SAN CLEMENTE</t>
  </si>
  <si>
    <t>judithperezramos27@gmail.com</t>
  </si>
  <si>
    <t>BERTHA PEREZ RAMOS</t>
  </si>
  <si>
    <t>XL200033</t>
  </si>
  <si>
    <t>HECC820627CH7</t>
  </si>
  <si>
    <t>HECC820627MMNRLR01</t>
  </si>
  <si>
    <t>RIO PUCUATO</t>
  </si>
  <si>
    <t>UNIDAD HAB EL FUERTE</t>
  </si>
  <si>
    <t>hdezcarmen13@gmail.com</t>
  </si>
  <si>
    <t>GILBERTO DELGADO TORRES</t>
  </si>
  <si>
    <t>CUÑADO</t>
  </si>
  <si>
    <t>BRENDA GUADALUPE</t>
  </si>
  <si>
    <t>MAAB870627GJA</t>
  </si>
  <si>
    <t>MAAB870627MJCRGR08</t>
  </si>
  <si>
    <t>brenda_star21@hotmail.es</t>
  </si>
  <si>
    <t>ANA YANETH MARTINEZ AGUILAR</t>
  </si>
  <si>
    <t>PORTOCARRERO</t>
  </si>
  <si>
    <t>GAPF8112048V1</t>
  </si>
  <si>
    <t>GAPF811204HDFRRL04</t>
  </si>
  <si>
    <t>felipeportocarrero@gmail.com</t>
  </si>
  <si>
    <t>XXXXX</t>
  </si>
  <si>
    <t>MICH108838</t>
  </si>
  <si>
    <t>VALADEZ</t>
  </si>
  <si>
    <t>GAONA</t>
  </si>
  <si>
    <t>VAGF830214D8A</t>
  </si>
  <si>
    <t>VAGF830214HJCLNR02</t>
  </si>
  <si>
    <t>valadezgaonafrancisco@gmail.com</t>
  </si>
  <si>
    <t>CYNTHIA MARIA TRUJILLO FLORES</t>
  </si>
  <si>
    <t>9N82040925</t>
  </si>
  <si>
    <t>VIND951030KS0</t>
  </si>
  <si>
    <t>VIND951030HJCLXV04</t>
  </si>
  <si>
    <t>david3.villasenor30@gmail.com</t>
  </si>
  <si>
    <t>MA GUADALUPE NUÑEZ DUEÑAS</t>
  </si>
  <si>
    <t>10R79089630</t>
  </si>
  <si>
    <t>BARRAGAN</t>
  </si>
  <si>
    <t>FOBL860607TZ5</t>
  </si>
  <si>
    <t>FOBL860607HJCLRS00</t>
  </si>
  <si>
    <t>luisfloresborre25@gmail.com</t>
  </si>
  <si>
    <t>BLANCA ESTELA IBARRA CERVANTES</t>
  </si>
  <si>
    <t>10R78727973</t>
  </si>
  <si>
    <t>ALMARAL</t>
  </si>
  <si>
    <t>RAAG821225L2A</t>
  </si>
  <si>
    <t>RAAG821225HMNMLL04</t>
  </si>
  <si>
    <t>HELECHOS</t>
  </si>
  <si>
    <t>LAURELES</t>
  </si>
  <si>
    <t>guillermo.ramirez.almaral@gmail.com</t>
  </si>
  <si>
    <t>MAYRA ZULEMA GUZMAN ACOSTA</t>
  </si>
  <si>
    <t>1801A309325</t>
  </si>
  <si>
    <t>FRANCISCO GERMAN</t>
  </si>
  <si>
    <t>MOYA</t>
  </si>
  <si>
    <t>MAMF760612GX4</t>
  </si>
  <si>
    <t>MAMF760612HJCRYR02</t>
  </si>
  <si>
    <t>FRESNO</t>
  </si>
  <si>
    <t>SAN MIGUEL DE LA PAZ</t>
  </si>
  <si>
    <t>gmoya197612@gmail.com</t>
  </si>
  <si>
    <t>ALICIA ESTRADA SOLIS</t>
  </si>
  <si>
    <t>JESUS URIEL</t>
  </si>
  <si>
    <t>MAMJ040612MZA</t>
  </si>
  <si>
    <t>MAMJ040612HGTRRSA4</t>
  </si>
  <si>
    <t>jurielmtz@gmail.com</t>
  </si>
  <si>
    <t>MARISOL MARTINEZ ARIAS</t>
  </si>
  <si>
    <t>PAOLA FERNANDA</t>
  </si>
  <si>
    <t>PAZ</t>
  </si>
  <si>
    <t>PAVP941222L55</t>
  </si>
  <si>
    <t>PAVP941222MJCZLL02</t>
  </si>
  <si>
    <t>PASEO DON QUIJOTE</t>
  </si>
  <si>
    <t>pazf229@gmail.com</t>
  </si>
  <si>
    <t>FERNANDO ALVAREZ</t>
  </si>
  <si>
    <t>1R72055986</t>
  </si>
  <si>
    <t>ASHLY GUADALUPE</t>
  </si>
  <si>
    <t>LOMA000418GP2</t>
  </si>
  <si>
    <t>LOMA000418MJCPRSA9</t>
  </si>
  <si>
    <t>SAN JOSE</t>
  </si>
  <si>
    <t>lopezmartinezashly@gmail.com</t>
  </si>
  <si>
    <t>GABRIELA MARTINEZ ZAMORA</t>
  </si>
  <si>
    <t>CUGR841019636</t>
  </si>
  <si>
    <t>CUGR841019HJCRMG07</t>
  </si>
  <si>
    <t>AQUILES SERDAN</t>
  </si>
  <si>
    <t>MARTHA ANGELICA GODINEZ BRISEÑO</t>
  </si>
  <si>
    <t>GAMIÑO</t>
  </si>
  <si>
    <t>GASS830501UI3</t>
  </si>
  <si>
    <t>GASS830501HMNMLL03</t>
  </si>
  <si>
    <t>REFUGIO LOPEZ DE LA FUENTE</t>
  </si>
  <si>
    <t>NUEVA BANQUETES FRACC EL PITAYITO</t>
  </si>
  <si>
    <t>gamichingon35@hotmail.com</t>
  </si>
  <si>
    <t>JUDITH GARNICA CHAVEZ</t>
  </si>
  <si>
    <t>AAEM030328DK5</t>
  </si>
  <si>
    <t>AAEM030328MJCLSRA6</t>
  </si>
  <si>
    <t>AVENIDA JARDIN</t>
  </si>
  <si>
    <t>ma9017959@gmail.com</t>
  </si>
  <si>
    <t>HERIBERTO ALVAREZ GARCIA</t>
  </si>
  <si>
    <t>ALONSO ISIDRO</t>
  </si>
  <si>
    <t>TAMAYO</t>
  </si>
  <si>
    <t>TAGA010515E19</t>
  </si>
  <si>
    <t>TAGA010515HJCMRLA5</t>
  </si>
  <si>
    <t>LUCIO OCEGUEDA</t>
  </si>
  <si>
    <t>alonsotamayo204@gmail.com</t>
  </si>
  <si>
    <t>MARIA GUADALUPE GARCIA RAMIREZ</t>
  </si>
  <si>
    <t>10N4511731</t>
  </si>
  <si>
    <t>NATANAEL</t>
  </si>
  <si>
    <t>GALLARDO</t>
  </si>
  <si>
    <t>BAGN001215S62</t>
  </si>
  <si>
    <t>BAGN001215HGTRLTA0</t>
  </si>
  <si>
    <t>LOMA LINDA</t>
  </si>
  <si>
    <t>natanaelb544@gmail.com</t>
  </si>
  <si>
    <t>JUAN BRAVO</t>
  </si>
  <si>
    <t>GORR880521AE8</t>
  </si>
  <si>
    <t>GORR880521HJCDMF00</t>
  </si>
  <si>
    <t>YURECUARO</t>
  </si>
  <si>
    <t>rafaelgodinez46@gmail.com</t>
  </si>
  <si>
    <t>SANDRA ADILENE SANCHEZ SANTACLARA</t>
  </si>
  <si>
    <t>2004A371703</t>
  </si>
  <si>
    <t>MIRANDA</t>
  </si>
  <si>
    <t>MITJ810110US1</t>
  </si>
  <si>
    <t>MITJ810110HMNRRN08</t>
  </si>
  <si>
    <t>AURORA BOREAL</t>
  </si>
  <si>
    <t>miranda.torres.juan.luis@gmail.com</t>
  </si>
  <si>
    <t>OSCAR MAURICIO MIRANDA TORRES</t>
  </si>
  <si>
    <t>VISF930610G97</t>
  </si>
  <si>
    <t>VISF930610HMNLNR09</t>
  </si>
  <si>
    <t>TRES ESTRELLAS</t>
  </si>
  <si>
    <t>villaloboxs@gmail.com</t>
  </si>
  <si>
    <t>PAOLA ERANDI CEJA MARTINEZ</t>
  </si>
  <si>
    <t>1801A385734</t>
  </si>
  <si>
    <t>MICHAEL ALBERTO</t>
  </si>
  <si>
    <t>CAGM9104214Q4</t>
  </si>
  <si>
    <t>CAGM910421HCHSRC19</t>
  </si>
  <si>
    <t>VIVA COMUNIDAD</t>
  </si>
  <si>
    <t>VISTA HERMOSA DE NEGRETE</t>
  </si>
  <si>
    <t>ma_cg_21@outlook.com</t>
  </si>
  <si>
    <t>ANA CARINA LOPEZ GUTIERREZ</t>
  </si>
  <si>
    <t>2004A513024</t>
  </si>
  <si>
    <t>CARLOS EDUARDO</t>
  </si>
  <si>
    <t>OEHC8906029J3</t>
  </si>
  <si>
    <t>OEHC890602HMNRRR03</t>
  </si>
  <si>
    <t>LAGO DE ZIRAHUEN</t>
  </si>
  <si>
    <t>ceoh1989@gmail.com</t>
  </si>
  <si>
    <t>GERARDO ORTEGA</t>
  </si>
  <si>
    <t>2001A314251</t>
  </si>
  <si>
    <t>NS</t>
  </si>
  <si>
    <t>DIANA PAOLA</t>
  </si>
  <si>
    <t>ARAIZA</t>
  </si>
  <si>
    <t>AAMD980317HI8</t>
  </si>
  <si>
    <t>AAMD980317MMNRRN08</t>
  </si>
  <si>
    <t>FLOR DE CAOBA</t>
  </si>
  <si>
    <t>paolam.logi@gmail.com</t>
  </si>
  <si>
    <t>LORENA MORAN</t>
  </si>
  <si>
    <t>RAFAEL MOISES</t>
  </si>
  <si>
    <t>BARCELATA</t>
  </si>
  <si>
    <t>BARR990721QH2</t>
  </si>
  <si>
    <t>BARR990721HMCRMF00</t>
  </si>
  <si>
    <t>moysesrafael62@gmail.com</t>
  </si>
  <si>
    <t>KARLA VAZQUEZ VILLEGAS</t>
  </si>
  <si>
    <t>1105T505161</t>
  </si>
  <si>
    <t>ALFREDO</t>
  </si>
  <si>
    <t>CUSA010501877</t>
  </si>
  <si>
    <t>CUSA010501HMNRLLA1</t>
  </si>
  <si>
    <t>AV 12 DE DICIEMBRE</t>
  </si>
  <si>
    <t>SAN PEDRO</t>
  </si>
  <si>
    <t>SAN PEDRO BOCANEO</t>
  </si>
  <si>
    <t>alfredocruzsil2019@gmail.com</t>
  </si>
  <si>
    <t>GEORGINA SILVA GALLEGOS</t>
  </si>
  <si>
    <t>020IA511322</t>
  </si>
  <si>
    <t>SAGJ9806263B2</t>
  </si>
  <si>
    <t>SAGJ980626HMNLZM04</t>
  </si>
  <si>
    <t>AV MADERO</t>
  </si>
  <si>
    <t>SAN JOSE DE LA TRINIDAD</t>
  </si>
  <si>
    <t>jaime.guzman.3456@gmail.com</t>
  </si>
  <si>
    <t>ANDREA SALAZAR GUZMAN</t>
  </si>
  <si>
    <t>2302P377028</t>
  </si>
  <si>
    <t>MARISOL</t>
  </si>
  <si>
    <t>PADILLA</t>
  </si>
  <si>
    <t>PAMM0302051S8</t>
  </si>
  <si>
    <t>PAMM030205MJCDCRA6</t>
  </si>
  <si>
    <t>PIRUL</t>
  </si>
  <si>
    <t>SAN LUIS DEL AGUA CALIENTE</t>
  </si>
  <si>
    <t>padillamaciasmarisol@gmail.com</t>
  </si>
  <si>
    <t>MARIA DEL CARMEN MACIAS GARCIA</t>
  </si>
  <si>
    <t>EDITH</t>
  </si>
  <si>
    <t>ROSAS</t>
  </si>
  <si>
    <t>HERE000324RB3</t>
  </si>
  <si>
    <t>HERE000324MJCRSDA3</t>
  </si>
  <si>
    <t>CALZADA DE LOS LEONES</t>
  </si>
  <si>
    <t>edith.hero20@gmail.com</t>
  </si>
  <si>
    <t>ROSALIA ROSAS VILLANUEVA</t>
  </si>
  <si>
    <t>OÑATE</t>
  </si>
  <si>
    <t>ROOA981001G94</t>
  </si>
  <si>
    <t>ROOA981001HJCSXL05</t>
  </si>
  <si>
    <t>GARBANZO</t>
  </si>
  <si>
    <t>canoonate98@icloud.com</t>
  </si>
  <si>
    <t>MARIA VERONICA OÑATE ALVISO</t>
  </si>
  <si>
    <t>2001A522462</t>
  </si>
  <si>
    <t>RODOLFO</t>
  </si>
  <si>
    <t>RICO</t>
  </si>
  <si>
    <t>URIBE</t>
  </si>
  <si>
    <t>RIUR001022CU7</t>
  </si>
  <si>
    <t>RIUR001022HMNCRDA5</t>
  </si>
  <si>
    <t>AV BENITO CANALES</t>
  </si>
  <si>
    <t>TRES MEZQUITES</t>
  </si>
  <si>
    <t>ricouribe360@gmail.com</t>
  </si>
  <si>
    <t>ULISES JOSUE RICO URIBE</t>
  </si>
  <si>
    <t>1901A501888</t>
  </si>
  <si>
    <t>AVILEZ</t>
  </si>
  <si>
    <t>AIGV9511096Z9</t>
  </si>
  <si>
    <t>AIGV951109HGTVTC09</t>
  </si>
  <si>
    <t>SAN JOSE DE GONZALEZ</t>
  </si>
  <si>
    <t>victoravilez033@gmail.com</t>
  </si>
  <si>
    <t>ANAYELI PEREZ MAGAÑA</t>
  </si>
  <si>
    <t>VG258636926</t>
  </si>
  <si>
    <t>OIPJ0206271T7</t>
  </si>
  <si>
    <t>OIPJ020627HJCRCNA0</t>
  </si>
  <si>
    <t>GORRION</t>
  </si>
  <si>
    <t>juandiegortiz2002@gmail.com</t>
  </si>
  <si>
    <t>ANDREA YAMILET COVARRUBIAS MORA</t>
  </si>
  <si>
    <t>LUIS FELIPE</t>
  </si>
  <si>
    <t>BARL851126AA0</t>
  </si>
  <si>
    <t>BARL851126HJCRMS09</t>
  </si>
  <si>
    <t>FELIPE ANGELES</t>
  </si>
  <si>
    <t>lic.contluis286@gmail.com</t>
  </si>
  <si>
    <t>JOAQUIN BARBOZA HERNANDEZ</t>
  </si>
  <si>
    <t>37R73934673</t>
  </si>
  <si>
    <t>GERARDO ISAAC</t>
  </si>
  <si>
    <t>GORG850406GU8</t>
  </si>
  <si>
    <t>GORG850406HQTDMR02</t>
  </si>
  <si>
    <t>REAL DEL CASTAÑO</t>
  </si>
  <si>
    <t>LOS FRESNOS</t>
  </si>
  <si>
    <t>gi_gora@hotmail.com</t>
  </si>
  <si>
    <t>ABBY GERALDINE GODINEZ RAMIREZ</t>
  </si>
  <si>
    <t>Q116386-06</t>
  </si>
  <si>
    <t>MEGJ000904KD3</t>
  </si>
  <si>
    <t>MEGJ000904HJCNZNA1</t>
  </si>
  <si>
    <t>AL CAMPO</t>
  </si>
  <si>
    <t>LA CAMPANA</t>
  </si>
  <si>
    <t>juanpa.guz09@gmail.com</t>
  </si>
  <si>
    <t>SATURNINO MENDEZ ROCHA</t>
  </si>
  <si>
    <t>1801A374151</t>
  </si>
  <si>
    <t>ABRAHAM</t>
  </si>
  <si>
    <t>ROMA020816NT4</t>
  </si>
  <si>
    <t>ROMA020816HMNDNBA3</t>
  </si>
  <si>
    <t>POLONGACION MIGUEL HIDALGO</t>
  </si>
  <si>
    <t>abrahamrodriguezmen@gmail.com</t>
  </si>
  <si>
    <t>MARIA GUADALUPE MENDOZA ESCAMILLA</t>
  </si>
  <si>
    <t>1801A382879</t>
  </si>
  <si>
    <t>EFRAIN</t>
  </si>
  <si>
    <t>DILE9605267L0</t>
  </si>
  <si>
    <t>DILE960526HJCZPF01</t>
  </si>
  <si>
    <t>AV REVOLUCION</t>
  </si>
  <si>
    <t>EL ZAPOTE</t>
  </si>
  <si>
    <t>alma.yin26com@icloud.com</t>
  </si>
  <si>
    <t>ALMA GUADALUPE OCHOA GONZALEZ</t>
  </si>
  <si>
    <t>LUIS FERNANDO</t>
  </si>
  <si>
    <t>CELL011117D43</t>
  </si>
  <si>
    <t>CELL011117HGTRNSA9</t>
  </si>
  <si>
    <t>JARDIN RUDA</t>
  </si>
  <si>
    <t>FRACC JARDINES DE LAS ORQUIDEAS</t>
  </si>
  <si>
    <t>luiscervantes4120@gmail.com</t>
  </si>
  <si>
    <t>MARIA SANJUANA LINARES MEDINA</t>
  </si>
  <si>
    <t>LD287568758</t>
  </si>
  <si>
    <t>MAVJ920710IP1</t>
  </si>
  <si>
    <t>MAVJ920710HMNRLN07</t>
  </si>
  <si>
    <t>ANDRES COBIAN</t>
  </si>
  <si>
    <t>marquez.vjuanjose@gmail.com</t>
  </si>
  <si>
    <t>MARIA LILIA MARQUEZ VILLANUEVA</t>
  </si>
  <si>
    <t>0101T169859</t>
  </si>
  <si>
    <t>RUBEN ANGEL</t>
  </si>
  <si>
    <t>GARR051024EK7</t>
  </si>
  <si>
    <t>GARR051024HMNRMBA2</t>
  </si>
  <si>
    <t>PALO VERDE</t>
  </si>
  <si>
    <t>angelgarcia21ramirez@gmail.com</t>
  </si>
  <si>
    <t>EMILIO GARCIA CONCHA</t>
  </si>
  <si>
    <t>RL236155434</t>
  </si>
  <si>
    <t>RICARDO EMMANUEL</t>
  </si>
  <si>
    <t>LUMBRERAS</t>
  </si>
  <si>
    <t>CALR051206BP2</t>
  </si>
  <si>
    <t>CALR051206HJCHMCA5</t>
  </si>
  <si>
    <t>LOS ROBLES</t>
  </si>
  <si>
    <t>rmcl061205@gmail.com</t>
  </si>
  <si>
    <t>PATRICIA LUMBRERAS AYAR</t>
  </si>
  <si>
    <t>10N84193982</t>
  </si>
  <si>
    <t>PATRICIA</t>
  </si>
  <si>
    <t>SALINAS</t>
  </si>
  <si>
    <t>SAVP720506575</t>
  </si>
  <si>
    <t>SAVP720506MMNLLT06</t>
  </si>
  <si>
    <t>SIERRA DE ACAHUATO</t>
  </si>
  <si>
    <t>REAL HACIENDA METROPOLIS</t>
  </si>
  <si>
    <t>pati0717@hotmail.com</t>
  </si>
  <si>
    <t>KATIA GEORGINA MIRANDA SALINAS</t>
  </si>
  <si>
    <t>1007A335023</t>
  </si>
  <si>
    <t>JOSE JUAN</t>
  </si>
  <si>
    <t>HEZJ610302MZ9</t>
  </si>
  <si>
    <t>HEZJ610302HMNRVN10</t>
  </si>
  <si>
    <t>JARDIN</t>
  </si>
  <si>
    <t>LOMAS DEL VALLE NORTE</t>
  </si>
  <si>
    <t>juanhernandez.tractores@gmail.com</t>
  </si>
  <si>
    <t>JUAN JESUS HERNANDEZ</t>
  </si>
  <si>
    <t>1201A311816</t>
  </si>
  <si>
    <t>MAXIMILIANO</t>
  </si>
  <si>
    <t>LLANOS</t>
  </si>
  <si>
    <t>GOLM0604082H8</t>
  </si>
  <si>
    <t>GOLM060408HMNNLXA8</t>
  </si>
  <si>
    <t>PASEO DEL ZORRO SUR</t>
  </si>
  <si>
    <t>FRACC PASEOS DEL VALLE</t>
  </si>
  <si>
    <t>gonzmax41@gmail.com</t>
  </si>
  <si>
    <t>GONZALEZ LLANOS</t>
  </si>
  <si>
    <t>RIZO</t>
  </si>
  <si>
    <t>MARM020412B54</t>
  </si>
  <si>
    <t>MARM020412HGTRZNA7</t>
  </si>
  <si>
    <t>LOS OCOTES</t>
  </si>
  <si>
    <t>martinezmanuel200212@gmail.com</t>
  </si>
  <si>
    <t>HECTOR MANUEL MARTINEZ ENRIQUEZ</t>
  </si>
  <si>
    <t>1801A519301</t>
  </si>
  <si>
    <t>NANCY YANETH</t>
  </si>
  <si>
    <t>AOCN031121I3A</t>
  </si>
  <si>
    <t>AOCN031121MGTRBNA6</t>
  </si>
  <si>
    <t>AV SAN JUAN DE LETRAN</t>
  </si>
  <si>
    <t>nancyyanetharroyoc@gmail.com</t>
  </si>
  <si>
    <t>BEATRIZ ADRIANA CABELLO CHAVEZ</t>
  </si>
  <si>
    <t>JAVIER ALEJANDRO</t>
  </si>
  <si>
    <t>LOFJ971106RA4</t>
  </si>
  <si>
    <t>LOFJ971106HJCPLV07</t>
  </si>
  <si>
    <t>ALLENDE</t>
  </si>
  <si>
    <t>SAN MIGUEL ZAPOTITLAN</t>
  </si>
  <si>
    <t>javilopezflos@gmail.com</t>
  </si>
  <si>
    <t>MARGELIA FLORES CAMPOS</t>
  </si>
  <si>
    <t>ANDREA GUADALUPE</t>
  </si>
  <si>
    <t>CACX0202219B8</t>
  </si>
  <si>
    <t>CXCA020221MMNRRNA8</t>
  </si>
  <si>
    <t>andrea123cardenas@gmail.com</t>
  </si>
  <si>
    <t>HESJ681214FQ0</t>
  </si>
  <si>
    <t>HESJ681214HMNRNR05</t>
  </si>
  <si>
    <t>KM1.3 CITRA A SAN FCO DE RIVAS</t>
  </si>
  <si>
    <t>FFF</t>
  </si>
  <si>
    <t>MOPJ830709TM5</t>
  </si>
  <si>
    <t>MOPJ830709HJCRRS09</t>
  </si>
  <si>
    <t>JALTOMATE</t>
  </si>
  <si>
    <t>FRACC PUERTA DE ARANDAS</t>
  </si>
  <si>
    <t>jesusmoraper@hotmail.com</t>
  </si>
  <si>
    <t>KAREN DE JESUS CORTES MORALES</t>
  </si>
  <si>
    <t>20R84334406</t>
  </si>
  <si>
    <t>QUIÑONES</t>
  </si>
  <si>
    <t>QURJ981220GE3</t>
  </si>
  <si>
    <t>QURJ981220HJCXDN08</t>
  </si>
  <si>
    <t>quinonesjeypi@gmail.com</t>
  </si>
  <si>
    <t>MARIA ELENA RODRIGUEZ ZARAGOZA</t>
  </si>
  <si>
    <t>10N72961777</t>
  </si>
  <si>
    <t>DIHG970218RQ0</t>
  </si>
  <si>
    <t>DIHG970218MASZRD06</t>
  </si>
  <si>
    <t>SANTA BERTA</t>
  </si>
  <si>
    <t>lupita.carmilla1507@gmail.com</t>
  </si>
  <si>
    <t>CAROLINA DIAZ HERNANDEZ</t>
  </si>
  <si>
    <t>741C963111</t>
  </si>
  <si>
    <t>ARANZA MARGARITA</t>
  </si>
  <si>
    <t>CEGA011215HD8</t>
  </si>
  <si>
    <t>CEGA011215MJCRNRA1</t>
  </si>
  <si>
    <t>ceraranza@gmail.com</t>
  </si>
  <si>
    <t>DIEGO SANCHEZ</t>
  </si>
  <si>
    <t>FAMILIAR</t>
  </si>
  <si>
    <t>ABDIEL YAHIR</t>
  </si>
  <si>
    <t>GORA0210121K6</t>
  </si>
  <si>
    <t>GORA021012HGTNZBA3</t>
  </si>
  <si>
    <t>ESTACION PENJAMO</t>
  </si>
  <si>
    <t>yahir200222@gmail.com</t>
  </si>
  <si>
    <t>REBECA RAZO CANO</t>
  </si>
  <si>
    <t>BR231154402</t>
  </si>
  <si>
    <t>EALA950504EV7</t>
  </si>
  <si>
    <t>EALA950504MJCSML11</t>
  </si>
  <si>
    <t>ROGELIO GARCIA JARA</t>
  </si>
  <si>
    <t>alejandra.estrada911@gmail.com</t>
  </si>
  <si>
    <t>GUILLERMINA LOMELI LOPEZ</t>
  </si>
  <si>
    <t>LUIS EDUARDO</t>
  </si>
  <si>
    <t>INFANTE</t>
  </si>
  <si>
    <t>GUIL930415PP4</t>
  </si>
  <si>
    <t>GUIL930415HJCTNS08</t>
  </si>
  <si>
    <t>AGUILA REAL</t>
  </si>
  <si>
    <t>lvised93@gmail.com</t>
  </si>
  <si>
    <t>IXCEL LORENA ZAMORA URIBE</t>
  </si>
  <si>
    <t>37R75087669</t>
  </si>
  <si>
    <t>GACJ991117N30</t>
  </si>
  <si>
    <t>GACJ991117HMNRZL01</t>
  </si>
  <si>
    <t>AV ZARAGOZA</t>
  </si>
  <si>
    <t>julio.garcia.cazares@hotmail.com</t>
  </si>
  <si>
    <t>MARIA GUADALUPE MARTINEZ LEON</t>
  </si>
  <si>
    <t>S󿿓LO DUR󿿓 UN DIA, MAND󿿓 MSJ QUE YA NO SE PRESENTAR󿿍A Y NO DI󿿓 DETALLES</t>
  </si>
  <si>
    <t>TISL911124CT5</t>
  </si>
  <si>
    <t>TISL911124HJCNLS00</t>
  </si>
  <si>
    <t>ENRIQUE ALVAREZ DEL CASTILLO</t>
  </si>
  <si>
    <t>TEODOSIO R GUEVARA</t>
  </si>
  <si>
    <t>piquitinoco24@gmail.com</t>
  </si>
  <si>
    <t>FELIPE TINOCO SALAZAR</t>
  </si>
  <si>
    <t>9R65920653</t>
  </si>
  <si>
    <t>MARIANA ESMERALDA</t>
  </si>
  <si>
    <t>GAAM970619AHA</t>
  </si>
  <si>
    <t>GAAM970619MJCRLR09</t>
  </si>
  <si>
    <t>PASEO RIO DE LA CONCEPCION</t>
  </si>
  <si>
    <t>mariana.ega97@gmail.com</t>
  </si>
  <si>
    <t>ISMAEL ALVARADO TAMAYO</t>
  </si>
  <si>
    <t>PAPA ABUELO</t>
  </si>
  <si>
    <t>JUAN DAMIAN</t>
  </si>
  <si>
    <t>BERNAL</t>
  </si>
  <si>
    <t>GOBJ080414Z9</t>
  </si>
  <si>
    <t>GOBJ080414HJCNRNA5</t>
  </si>
  <si>
    <t>LIBERTDA</t>
  </si>
  <si>
    <t>gonberdami@gmail.com</t>
  </si>
  <si>
    <t>MARIA TERESA BERNAL OCHOA</t>
  </si>
  <si>
    <t>CARL8301229G6</t>
  </si>
  <si>
    <t>CARL830122MJC5Y508</t>
  </si>
  <si>
    <t>HUEJOTITLAN</t>
  </si>
  <si>
    <t>TEOCALTICHE</t>
  </si>
  <si>
    <t>luisfernado220188@gmail.com</t>
  </si>
  <si>
    <t>GENOVEVA REYES BELTRAN</t>
  </si>
  <si>
    <t>MURM060909AP2</t>
  </si>
  <si>
    <t>MURM060909H1CXMGA4</t>
  </si>
  <si>
    <t>1 A</t>
  </si>
  <si>
    <t>miguelmuniz4949@gmail.com</t>
  </si>
  <si>
    <t>MARIA DE LOS ANGELES RAMIREZ JUAREZ</t>
  </si>
  <si>
    <t>JOSE MARIA</t>
  </si>
  <si>
    <t>AADM071203HJC</t>
  </si>
  <si>
    <t>AADM071203HJCLZRA6</t>
  </si>
  <si>
    <t>IPROVIPE</t>
  </si>
  <si>
    <t>alvarezdiajose4@gmail.com</t>
  </si>
  <si>
    <t>GUADALUPE DIAS GARCIA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</si>
</sst>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$&quot;#,##0"/>
    <numFmt numFmtId="165" formatCode="dddd&quot;, &quot;d&quot; de &quot;mmmm&quot; de &quot;yyyy"/>
    <numFmt numFmtId="166" formatCode="&quot;$&quot;#,##0.00"/>
    <numFmt numFmtId="167" formatCode="dddd&quot;, &quot;mmmm&quot; &quot;dd&quot;, &quot;yyyy"/>
    <numFmt numFmtId="168" formatCode="d/m/yyyy"/>
    <numFmt numFmtId="169" formatCode="d/m"/>
    <numFmt numFmtId="170" formatCode="&quot;$&quot;#,##0.00;[Red]\-&quot;$&quot;#,##0.00"/>
    <numFmt numFmtId="171" formatCode="dd/mm/yyyy"/>
    <numFmt numFmtId="172" formatCode="0.0000"/>
    <numFmt numFmtId="173" formatCode="dd/mm/yyyy h:mm"/>
    <numFmt numFmtId="174" formatCode="00.00"/>
    <numFmt numFmtId="175" formatCode="0000.0000"/>
    <numFmt numFmtId="176" formatCode="00.0000"/>
    <numFmt numFmtId="177" formatCode="0.0"/>
  </numFmts>
  <fonts count="10">
    <font>
      <sz val="11.0"/>
      <color theme="1"/>
      <name val="Calibri"/>
      <scheme val="minor"/>
    </font>
    <font>
      <b/>
      <sz val="10.0"/>
      <color rgb="FFFFFFFF"/>
      <name val="Book Antiqua"/>
    </font>
    <font/>
    <font>
      <sz val="11.0"/>
      <color theme="1"/>
      <name val="Calibri"/>
    </font>
    <font>
      <b/>
      <sz val="10.0"/>
      <color theme="0"/>
      <name val="Book Antiqua"/>
    </font>
    <font>
      <sz val="10.0"/>
      <color theme="1"/>
      <name val="Book Antiqua"/>
    </font>
    <font>
      <sz val="10.0"/>
      <color theme="1"/>
      <name val="Calibri"/>
    </font>
    <font>
      <sz val="10.0"/>
      <color rgb="FFFFFFFF"/>
      <name val="Book Antiqua"/>
    </font>
    <font>
      <color theme="1"/>
      <name val="Calibri"/>
    </font>
    <font>
      <sz val="10.0"/>
      <color rgb="FFFF0000"/>
      <name val="Book Antiqua"/>
    </font>
  </fonts>
  <fills count="12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0C0C0C"/>
        <bgColor rgb="FF0C0C0C"/>
      </patternFill>
    </fill>
    <fill>
      <patternFill patternType="solid">
        <fgColor theme="1"/>
        <bgColor theme="1"/>
      </patternFill>
    </fill>
  </fills>
  <borders count="4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top style="thin">
        <color rgb="FF000000"/>
      </top>
    </border>
    <border>
      <left style="thin">
        <color theme="0"/>
      </left>
      <right style="thin">
        <color theme="0"/>
      </right>
      <top style="thin">
        <color theme="0"/>
      </top>
    </border>
    <border>
      <left style="thin">
        <color theme="0"/>
      </left>
      <top style="thin">
        <color theme="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theme="1"/>
      </right>
      <bottom style="thin">
        <color rgb="FF000000"/>
      </bottom>
    </border>
    <border>
      <left style="medium">
        <color theme="1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/>
    </border>
    <border>
      <left style="thin">
        <color theme="0"/>
      </left>
      <right/>
      <top style="thin">
        <color theme="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medium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medium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theme="1"/>
      </right>
      <top style="thin">
        <color rgb="FF000000"/>
      </top>
      <bottom style="thin">
        <color theme="1"/>
      </bottom>
    </border>
    <border>
      <left style="thin">
        <color rgb="FF000000"/>
      </left>
      <top style="thin">
        <color rgb="FF000000"/>
      </top>
      <bottom style="thin">
        <color theme="1"/>
      </bottom>
    </border>
    <border>
      <left style="medium">
        <color rgb="FF000000"/>
      </left>
      <right style="thin">
        <color rgb="FF000000"/>
      </right>
      <top style="thin">
        <color theme="1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3" numFmtId="0" xfId="0" applyFont="1"/>
    <xf borderId="1" fillId="2" fontId="4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right"/>
    </xf>
    <xf borderId="1" fillId="0" fontId="5" numFmtId="164" xfId="0" applyAlignment="1" applyBorder="1" applyFont="1" applyNumberFormat="1">
      <alignment horizontal="center" vertical="center"/>
    </xf>
    <xf borderId="4" fillId="0" fontId="2" numFmtId="0" xfId="0" applyBorder="1" applyFont="1"/>
    <xf borderId="1" fillId="2" fontId="7" numFmtId="0" xfId="0" applyAlignment="1" applyBorder="1" applyFont="1">
      <alignment horizontal="center" vertical="center"/>
    </xf>
    <xf borderId="2" fillId="2" fontId="7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right" vertical="center"/>
    </xf>
    <xf borderId="5" fillId="0" fontId="5" numFmtId="0" xfId="0" applyAlignment="1" applyBorder="1" applyFont="1">
      <alignment horizontal="right" vertical="center"/>
    </xf>
    <xf borderId="6" fillId="0" fontId="2" numFmtId="0" xfId="0" applyBorder="1" applyFont="1"/>
    <xf borderId="7" fillId="0" fontId="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" fillId="0" fontId="5" numFmtId="1" xfId="0" applyAlignment="1" applyBorder="1" applyFont="1" applyNumberForma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9" fillId="2" fontId="4" numFmtId="0" xfId="0" applyAlignment="1" applyBorder="1" applyFont="1">
      <alignment horizontal="center" vertical="center"/>
    </xf>
    <xf borderId="9" fillId="2" fontId="1" numFmtId="0" xfId="0" applyAlignment="1" applyBorder="1" applyFont="1">
      <alignment horizontal="center" readingOrder="0" vertical="center"/>
    </xf>
    <xf borderId="9" fillId="2" fontId="1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4" fontId="5" numFmtId="1" xfId="0" applyAlignment="1" applyBorder="1" applyFill="1" applyFont="1" applyNumberFormat="1">
      <alignment horizontal="center" vertical="center"/>
    </xf>
    <xf borderId="1" fillId="0" fontId="5" numFmtId="165" xfId="0" applyAlignment="1" applyBorder="1" applyFont="1" applyNumberFormat="1">
      <alignment horizontal="center" vertical="center"/>
    </xf>
    <xf borderId="1" fillId="5" fontId="5" numFmtId="0" xfId="0" applyAlignment="1" applyBorder="1" applyFill="1" applyFon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" fillId="6" fontId="5" numFmtId="0" xfId="0" applyAlignment="1" applyBorder="1" applyFill="1" applyFont="1">
      <alignment horizontal="center" vertical="center"/>
    </xf>
    <xf borderId="10" fillId="4" fontId="5" numFmtId="0" xfId="0" applyAlignment="1" applyBorder="1" applyFont="1">
      <alignment horizontal="center" vertical="center"/>
    </xf>
    <xf borderId="10" fillId="4" fontId="5" numFmtId="166" xfId="0" applyAlignment="1" applyBorder="1" applyFont="1" applyNumberFormat="1">
      <alignment horizontal="center" vertical="center"/>
    </xf>
    <xf borderId="10" fillId="4" fontId="5" numFmtId="167" xfId="0" applyAlignment="1" applyBorder="1" applyFont="1" applyNumberFormat="1">
      <alignment horizontal="center" vertical="center"/>
    </xf>
    <xf borderId="10" fillId="4" fontId="5" numFmtId="168" xfId="0" applyAlignment="1" applyBorder="1" applyFont="1" applyNumberFormat="1">
      <alignment horizontal="center" vertical="center"/>
    </xf>
    <xf borderId="1" fillId="7" fontId="5" numFmtId="0" xfId="0" applyAlignment="1" applyBorder="1" applyFill="1" applyFont="1">
      <alignment horizontal="center" vertical="center"/>
    </xf>
    <xf borderId="0" fillId="0" fontId="8" numFmtId="0" xfId="0" applyFont="1"/>
    <xf borderId="1" fillId="0" fontId="5" numFmtId="167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vertical="center"/>
    </xf>
    <xf borderId="1" fillId="0" fontId="9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1" fillId="4" fontId="5" numFmtId="0" xfId="0" applyAlignment="1" applyBorder="1" applyFont="1">
      <alignment horizontal="center" vertical="center"/>
    </xf>
    <xf borderId="1" fillId="4" fontId="5" numFmtId="166" xfId="0" applyAlignment="1" applyBorder="1" applyFont="1" applyNumberFormat="1">
      <alignment horizontal="center" vertical="center"/>
    </xf>
    <xf borderId="1" fillId="4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1" fillId="4" fontId="5" numFmtId="0" xfId="0" applyAlignment="1" applyBorder="1" applyFont="1">
      <alignment horizontal="center"/>
    </xf>
    <xf borderId="1" fillId="5" fontId="5" numFmtId="164" xfId="0" applyAlignment="1" applyBorder="1" applyFont="1" applyNumberFormat="1">
      <alignment horizontal="center" vertical="center"/>
    </xf>
    <xf borderId="3" fillId="0" fontId="5" numFmtId="0" xfId="0" applyAlignment="1" applyBorder="1" applyFont="1">
      <alignment horizontal="center" vertical="center"/>
    </xf>
    <xf borderId="1" fillId="8" fontId="5" numFmtId="0" xfId="0" applyAlignment="1" applyBorder="1" applyFill="1" applyFont="1">
      <alignment horizontal="center" vertical="center"/>
    </xf>
    <xf borderId="1" fillId="8" fontId="5" numFmtId="168" xfId="0" applyAlignment="1" applyBorder="1" applyFont="1" applyNumberFormat="1">
      <alignment horizontal="center" vertical="center"/>
    </xf>
    <xf borderId="1" fillId="0" fontId="5" numFmtId="168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vertical="center"/>
    </xf>
    <xf borderId="1" fillId="5" fontId="5" numFmtId="167" xfId="0" applyAlignment="1" applyBorder="1" applyFont="1" applyNumberFormat="1">
      <alignment horizontal="center" vertical="center"/>
    </xf>
    <xf borderId="1" fillId="0" fontId="5" numFmtId="16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center" vertical="center"/>
    </xf>
    <xf borderId="1" fillId="0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5" numFmtId="170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1" fillId="0" fontId="3" numFmtId="1" xfId="0" applyAlignment="1" applyBorder="1" applyFont="1" applyNumberFormat="1">
      <alignment vertical="center"/>
    </xf>
    <xf borderId="1" fillId="0" fontId="9" numFmtId="164" xfId="0" applyAlignment="1" applyBorder="1" applyFont="1" applyNumberFormat="1">
      <alignment horizontal="center" vertical="center"/>
    </xf>
    <xf borderId="11" fillId="2" fontId="4" numFmtId="0" xfId="0" applyAlignment="1" applyBorder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0" fillId="0" fontId="5" numFmtId="0" xfId="0" applyFont="1"/>
    <xf borderId="13" fillId="2" fontId="4" numFmtId="0" xfId="0" applyAlignment="1" applyBorder="1" applyFont="1">
      <alignment horizontal="center" vertical="center"/>
    </xf>
    <xf borderId="14" fillId="2" fontId="4" numFmtId="0" xfId="0" applyAlignment="1" applyBorder="1" applyFont="1">
      <alignment horizontal="center" vertical="center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3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20" fillId="9" fontId="4" numFmtId="0" xfId="0" applyAlignment="1" applyBorder="1" applyFill="1" applyFont="1">
      <alignment horizontal="center" vertical="center"/>
    </xf>
    <xf borderId="1" fillId="9" fontId="4" numFmtId="0" xfId="0" applyAlignment="1" applyBorder="1" applyFont="1">
      <alignment horizontal="center" vertical="center"/>
    </xf>
    <xf borderId="21" fillId="9" fontId="4" numFmtId="0" xfId="0" applyAlignment="1" applyBorder="1" applyFont="1">
      <alignment horizontal="center" vertical="center"/>
    </xf>
    <xf borderId="22" fillId="9" fontId="4" numFmtId="0" xfId="0" applyAlignment="1" applyBorder="1" applyFont="1">
      <alignment horizontal="center" vertical="center"/>
    </xf>
    <xf borderId="8" fillId="9" fontId="4" numFmtId="0" xfId="0" applyAlignment="1" applyBorder="1" applyFont="1">
      <alignment horizontal="center" vertical="center"/>
    </xf>
    <xf borderId="23" fillId="9" fontId="4" numFmtId="0" xfId="0" applyAlignment="1" applyBorder="1" applyFont="1">
      <alignment horizontal="center" vertical="center"/>
    </xf>
    <xf borderId="20" fillId="0" fontId="5" numFmtId="0" xfId="0" applyAlignment="1" applyBorder="1" applyFont="1">
      <alignment horizontal="center" vertical="center"/>
    </xf>
    <xf borderId="2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 vertical="center"/>
    </xf>
    <xf borderId="24" fillId="0" fontId="5" numFmtId="164" xfId="0" applyAlignment="1" applyBorder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28" fillId="0" fontId="3" numFmtId="0" xfId="0" applyBorder="1" applyFont="1"/>
    <xf borderId="29" fillId="0" fontId="3" numFmtId="0" xfId="0" applyBorder="1" applyFont="1"/>
    <xf borderId="30" fillId="0" fontId="3" numFmtId="171" xfId="0" applyBorder="1" applyFont="1" applyNumberFormat="1"/>
    <xf borderId="0" fillId="0" fontId="3" numFmtId="171" xfId="0" applyFont="1" applyNumberFormat="1"/>
    <xf borderId="0" fillId="0" fontId="3" numFmtId="172" xfId="0" applyFont="1" applyNumberFormat="1"/>
    <xf borderId="0" fillId="0" fontId="3" numFmtId="2" xfId="0" applyFont="1" applyNumberFormat="1"/>
    <xf borderId="0" fillId="0" fontId="3" numFmtId="173" xfId="0" applyFont="1" applyNumberFormat="1"/>
    <xf borderId="1" fillId="0" fontId="3" numFmtId="0" xfId="0" applyBorder="1" applyFont="1"/>
    <xf borderId="31" fillId="0" fontId="3" numFmtId="0" xfId="0" applyBorder="1" applyFont="1"/>
    <xf borderId="32" fillId="0" fontId="3" numFmtId="0" xfId="0" applyBorder="1" applyFont="1"/>
    <xf borderId="2" fillId="0" fontId="3" numFmtId="171" xfId="0" applyBorder="1" applyFont="1" applyNumberForma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31" fillId="0" fontId="3" numFmtId="0" xfId="0" applyAlignment="1" applyBorder="1" applyFont="1">
      <alignment readingOrder="0"/>
    </xf>
    <xf borderId="2" fillId="0" fontId="3" numFmtId="0" xfId="0" applyBorder="1" applyFont="1"/>
    <xf borderId="0" fillId="0" fontId="3" numFmtId="174" xfId="0" applyFont="1" applyNumberFormat="1"/>
    <xf borderId="33" fillId="10" fontId="4" numFmtId="0" xfId="0" applyAlignment="1" applyBorder="1" applyFill="1" applyFont="1">
      <alignment horizontal="center" vertical="center"/>
    </xf>
    <xf borderId="33" fillId="11" fontId="4" numFmtId="0" xfId="0" applyAlignment="1" applyBorder="1" applyFill="1" applyFont="1">
      <alignment horizontal="center" vertical="center"/>
    </xf>
    <xf borderId="34" fillId="11" fontId="4" numFmtId="0" xfId="0" applyAlignment="1" applyBorder="1" applyFont="1">
      <alignment horizontal="center" vertical="center"/>
    </xf>
    <xf borderId="27" fillId="0" fontId="5" numFmtId="1" xfId="0" applyAlignment="1" applyBorder="1" applyFont="1" applyNumberFormat="1">
      <alignment horizontal="center" vertical="center"/>
    </xf>
    <xf borderId="27" fillId="0" fontId="5" numFmtId="0" xfId="0" applyAlignment="1" applyBorder="1" applyFont="1">
      <alignment horizontal="center" vertical="center"/>
    </xf>
    <xf borderId="27" fillId="0" fontId="5" numFmtId="164" xfId="0" applyAlignment="1" applyBorder="1" applyFont="1" applyNumberFormat="1">
      <alignment horizontal="center" vertical="center"/>
    </xf>
    <xf borderId="28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0" fillId="0" fontId="5" numFmtId="164" xfId="0" applyAlignment="1" applyBorder="1" applyFont="1" applyNumberFormat="1">
      <alignment horizontal="center"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35" fillId="0" fontId="5" numFmtId="1" xfId="0" applyAlignment="1" applyBorder="1" applyFont="1" applyNumberFormat="1">
      <alignment horizontal="center" vertical="center"/>
    </xf>
    <xf borderId="35" fillId="0" fontId="5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vertical="center"/>
    </xf>
    <xf borderId="37" fillId="0" fontId="5" numFmtId="0" xfId="0" applyAlignment="1" applyBorder="1" applyFont="1">
      <alignment horizontal="center" vertical="center"/>
    </xf>
    <xf borderId="35" fillId="0" fontId="5" numFmtId="164" xfId="0" applyAlignment="1" applyBorder="1" applyFont="1" applyNumberFormat="1">
      <alignment horizontal="center" vertical="center"/>
    </xf>
    <xf borderId="38" fillId="0" fontId="5" numFmtId="0" xfId="0" applyAlignment="1" applyBorder="1" applyFont="1">
      <alignment horizontal="center" vertical="center"/>
    </xf>
    <xf borderId="10" fillId="0" fontId="5" numFmtId="1" xfId="0" applyAlignment="1" applyBorder="1" applyFont="1" applyNumberFormat="1">
      <alignment horizontal="center" vertical="center"/>
    </xf>
    <xf borderId="10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10" fillId="0" fontId="5" numFmtId="164" xfId="0" applyAlignment="1" applyBorder="1" applyFont="1" applyNumberFormat="1">
      <alignment horizontal="center" vertical="center"/>
    </xf>
    <xf borderId="41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43" fillId="0" fontId="5" numFmtId="164" xfId="0" applyAlignment="1" applyBorder="1" applyFont="1" applyNumberFormat="1">
      <alignment horizontal="center" vertical="center"/>
    </xf>
    <xf borderId="44" fillId="0" fontId="5" numFmtId="0" xfId="0" applyAlignment="1" applyBorder="1" applyFont="1">
      <alignment horizontal="center" vertical="center"/>
    </xf>
    <xf borderId="35" fillId="0" fontId="3" numFmtId="0" xfId="0" applyBorder="1" applyFont="1"/>
    <xf borderId="36" fillId="0" fontId="3" numFmtId="0" xfId="0" applyBorder="1" applyFont="1"/>
    <xf borderId="37" fillId="0" fontId="3" numFmtId="0" xfId="0" applyBorder="1" applyFont="1"/>
    <xf borderId="38" fillId="0" fontId="3" numFmtId="171" xfId="0" applyBorder="1" applyFont="1" applyNumberFormat="1"/>
    <xf borderId="10" fillId="0" fontId="3" numFmtId="0" xfId="0" applyBorder="1" applyFont="1"/>
    <xf borderId="39" fillId="0" fontId="3" numFmtId="0" xfId="0" applyBorder="1" applyFont="1"/>
    <xf borderId="40" fillId="0" fontId="3" numFmtId="0" xfId="0" applyBorder="1" applyFont="1"/>
    <xf borderId="41" fillId="0" fontId="3" numFmtId="171" xfId="0" applyBorder="1" applyFont="1" applyNumberFormat="1"/>
    <xf borderId="0" fillId="0" fontId="3" numFmtId="175" xfId="0" applyFont="1" applyNumberFormat="1"/>
    <xf borderId="21" fillId="0" fontId="3" numFmtId="0" xfId="0" applyBorder="1" applyFont="1"/>
    <xf borderId="42" fillId="0" fontId="3" numFmtId="0" xfId="0" applyBorder="1" applyFont="1"/>
    <xf borderId="43" fillId="0" fontId="3" numFmtId="171" xfId="0" applyBorder="1" applyFont="1" applyNumberFormat="1"/>
    <xf borderId="44" fillId="0" fontId="3" numFmtId="0" xfId="0" applyBorder="1" applyFont="1"/>
    <xf borderId="20" fillId="0" fontId="3" numFmtId="0" xfId="0" applyBorder="1" applyFont="1"/>
    <xf borderId="0" fillId="0" fontId="3" numFmtId="176" xfId="0" applyFont="1" applyNumberFormat="1"/>
    <xf borderId="0" fillId="0" fontId="3" numFmtId="17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/>
  </sheetViews>
  <sheetFormatPr customHeight="1" defaultColWidth="14.43" defaultRowHeight="15.0"/>
  <cols>
    <col customWidth="1" min="1" max="1" width="17.0"/>
    <col customWidth="1" min="2" max="2" width="13.71"/>
    <col customWidth="1" min="3" max="3" width="10.57"/>
    <col customWidth="1" min="4" max="4" width="24.71"/>
    <col customWidth="1" min="5" max="5" width="6.0"/>
    <col customWidth="1" min="6" max="6" width="10.71"/>
  </cols>
  <sheetData>
    <row r="1">
      <c r="A1" s="2" t="s">
        <v>1</v>
      </c>
      <c r="B1" s="3"/>
      <c r="C1" s="4"/>
      <c r="D1" s="5"/>
      <c r="E1" s="5"/>
    </row>
    <row r="2">
      <c r="A2" s="7" t="s">
        <v>8</v>
      </c>
      <c r="B2" s="7">
        <v>3.346241997E9</v>
      </c>
      <c r="C2" s="4"/>
      <c r="D2" s="5"/>
      <c r="E2" s="8"/>
    </row>
    <row r="3">
      <c r="A3" s="7" t="s">
        <v>10</v>
      </c>
      <c r="B3" s="7">
        <v>5.69713333E8</v>
      </c>
      <c r="C3" s="4"/>
      <c r="D3" s="5"/>
      <c r="E3" s="5"/>
    </row>
    <row r="4">
      <c r="A4" s="7" t="s">
        <v>11</v>
      </c>
      <c r="B4" s="7">
        <v>6595.0</v>
      </c>
      <c r="C4" s="4"/>
      <c r="D4" s="5"/>
      <c r="E4" s="5"/>
    </row>
    <row r="5">
      <c r="A5" s="4"/>
      <c r="B5" s="4"/>
      <c r="C5" s="4"/>
      <c r="D5" s="5"/>
      <c r="E5" s="5"/>
    </row>
    <row r="6">
      <c r="A6" s="2" t="s">
        <v>12</v>
      </c>
      <c r="B6" s="3"/>
      <c r="C6" s="4"/>
      <c r="D6" s="5"/>
      <c r="E6" s="5"/>
    </row>
    <row r="7">
      <c r="A7" s="2" t="s">
        <v>13</v>
      </c>
      <c r="B7" s="3"/>
      <c r="C7" s="4"/>
      <c r="D7" s="5"/>
      <c r="E7" s="5"/>
    </row>
    <row r="8">
      <c r="A8" s="7" t="s">
        <v>14</v>
      </c>
      <c r="B8" s="7" t="s">
        <v>15</v>
      </c>
      <c r="C8" s="4"/>
      <c r="D8" s="5"/>
      <c r="E8" s="5"/>
    </row>
    <row r="9">
      <c r="A9" s="7" t="s">
        <v>16</v>
      </c>
      <c r="B9" s="7" t="s">
        <v>17</v>
      </c>
      <c r="C9" s="4"/>
      <c r="D9" s="5"/>
      <c r="E9" s="5"/>
    </row>
    <row r="10">
      <c r="A10" s="4"/>
      <c r="B10" s="4"/>
      <c r="C10" s="4"/>
      <c r="D10" s="5"/>
      <c r="E10" s="5"/>
    </row>
    <row r="11">
      <c r="A11" s="4"/>
      <c r="B11" s="4"/>
      <c r="C11" s="4"/>
      <c r="D11" s="5"/>
      <c r="E11" s="5"/>
    </row>
    <row r="12" ht="30.0" customHeight="1">
      <c r="A12" s="2" t="s">
        <v>18</v>
      </c>
      <c r="B12" s="10"/>
      <c r="C12" s="3"/>
      <c r="D12" s="5"/>
      <c r="E12" s="5"/>
    </row>
    <row r="13">
      <c r="A13" s="11" t="s">
        <v>6</v>
      </c>
      <c r="B13" s="11" t="s">
        <v>19</v>
      </c>
      <c r="C13" s="11" t="s">
        <v>16</v>
      </c>
      <c r="D13" s="5"/>
      <c r="E13" s="5"/>
    </row>
    <row r="14">
      <c r="A14" s="7" t="s">
        <v>20</v>
      </c>
      <c r="B14" s="7">
        <v>7.0560781E8</v>
      </c>
      <c r="C14" s="7">
        <v>3.3876303E7</v>
      </c>
      <c r="D14" s="5"/>
      <c r="E14" s="5"/>
    </row>
    <row r="15">
      <c r="A15" s="7" t="s">
        <v>21</v>
      </c>
      <c r="B15" s="7">
        <v>7.05607463E8</v>
      </c>
      <c r="C15" s="7">
        <v>9.6923817E7</v>
      </c>
      <c r="D15" s="5"/>
      <c r="E15" s="5"/>
    </row>
    <row r="16">
      <c r="A16" s="7" t="s">
        <v>22</v>
      </c>
      <c r="B16" s="7">
        <v>7.05604114E8</v>
      </c>
      <c r="C16" s="7">
        <v>2.5265732E7</v>
      </c>
      <c r="D16" s="5"/>
      <c r="E16" s="5"/>
    </row>
    <row r="17">
      <c r="A17" s="5"/>
      <c r="B17" s="5"/>
      <c r="C17" s="5"/>
      <c r="D17" s="5"/>
      <c r="E17" s="5"/>
    </row>
    <row r="18">
      <c r="A18" s="12" t="s">
        <v>23</v>
      </c>
      <c r="B18" s="10"/>
      <c r="C18" s="3"/>
      <c r="D18" s="5"/>
      <c r="E18" s="5"/>
    </row>
    <row r="19">
      <c r="A19" s="13" t="s">
        <v>24</v>
      </c>
      <c r="B19" s="3"/>
      <c r="C19" s="7">
        <v>17359.0</v>
      </c>
      <c r="D19" s="5"/>
      <c r="E19" s="5"/>
    </row>
    <row r="20" ht="15.75" customHeight="1">
      <c r="A20" s="13" t="s">
        <v>25</v>
      </c>
      <c r="B20" s="3"/>
      <c r="C20" s="7">
        <v>500.0</v>
      </c>
      <c r="D20" s="5"/>
      <c r="E20" s="5"/>
    </row>
    <row r="21" ht="15.75" customHeight="1">
      <c r="A21" s="13" t="s">
        <v>26</v>
      </c>
      <c r="B21" s="3"/>
      <c r="C21" s="7">
        <v>5.0</v>
      </c>
      <c r="D21" s="5"/>
      <c r="E21" s="5"/>
    </row>
    <row r="22" ht="15.75" customHeight="1">
      <c r="A22" s="14" t="s">
        <v>27</v>
      </c>
      <c r="B22" s="15"/>
      <c r="C22" s="16">
        <v>1.0</v>
      </c>
      <c r="D22" s="5"/>
      <c r="E22" s="5"/>
    </row>
    <row r="23" ht="27.0" customHeight="1">
      <c r="A23" s="13" t="s">
        <v>28</v>
      </c>
      <c r="B23" s="3"/>
      <c r="C23" s="17" t="s">
        <v>29</v>
      </c>
      <c r="D23" s="10"/>
      <c r="E23" s="3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21:B21"/>
    <mergeCell ref="A22:B22"/>
    <mergeCell ref="A23:B23"/>
    <mergeCell ref="C23:E23"/>
    <mergeCell ref="A1:B1"/>
    <mergeCell ref="A6:B6"/>
    <mergeCell ref="A7:B7"/>
    <mergeCell ref="A12:C12"/>
    <mergeCell ref="A18:C18"/>
    <mergeCell ref="A19:B19"/>
    <mergeCell ref="A20:B20"/>
  </mergeCell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9.43"/>
    <col customWidth="1" min="3" max="3" width="17.0"/>
    <col customWidth="1" min="4" max="4" width="18.14"/>
    <col customWidth="1" min="5" max="5" width="47.71"/>
    <col customWidth="1" min="6" max="6" width="13.0"/>
    <col customWidth="1" min="7" max="7" width="32.0"/>
    <col customWidth="1" min="8" max="8" width="30.86"/>
    <col customWidth="1" min="9" max="9" width="2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6" t="s">
        <v>6</v>
      </c>
      <c r="G1" s="6" t="s">
        <v>7</v>
      </c>
      <c r="H1" s="1" t="s">
        <v>9</v>
      </c>
    </row>
    <row r="2">
      <c r="A2" s="7">
        <v>3.93107996E9</v>
      </c>
      <c r="B2" s="7">
        <v>4.0</v>
      </c>
      <c r="C2" s="9">
        <v>549.0</v>
      </c>
      <c r="D2" s="7">
        <v>22.5</v>
      </c>
      <c r="E2" s="7" t="str">
        <f t="array" ref="E2">XLOOKUP($A2,Números_Asignados,Nombres_Directorio," *** OJO *** ",0)</f>
        <v>Saúl Hernández Becerra</v>
      </c>
      <c r="F2" s="7" t="str">
        <f t="array" ref="F2">XLOOKUP($A2,Números_Asignados,Sucursal_Asignada," *** OJO *** ",0)</f>
        <v>La Barca</v>
      </c>
      <c r="G2" s="7" t="str">
        <f t="array" ref="G2">XLOOKUP($A2,Números_Asignados,Departamento_Asignado," *** OJO *** ",0)</f>
        <v>Corporativo</v>
      </c>
      <c r="H2" s="7" t="str">
        <f t="array" ref="H2">XLOOKUP($A2,Números_Asignados,Puesto_Asignado," *** OJO *** ",0)</f>
        <v>Jefe de Agricultura Inteligente</v>
      </c>
    </row>
    <row r="3">
      <c r="A3" s="7">
        <v>3.931245167E9</v>
      </c>
      <c r="B3" s="7">
        <v>4.0</v>
      </c>
      <c r="C3" s="9">
        <v>549.0</v>
      </c>
      <c r="D3" s="7">
        <v>22.5</v>
      </c>
      <c r="E3" s="7" t="str">
        <f t="array" ref="E3">XLOOKUP($A3,Números_Asignados,Nombres_Directorio," *** OJO *** ",0)</f>
        <v>Luis Donaldo Sánchez Álvarez</v>
      </c>
      <c r="F3" s="7" t="str">
        <f t="array" ref="F3">XLOOKUP($A3,Números_Asignados,Sucursal_Asignada," *** OJO *** ",0)</f>
        <v>La Barca</v>
      </c>
      <c r="G3" s="7" t="str">
        <f t="array" ref="G3">XLOOKUP($A3,Números_Asignados,Departamento_Asignado," *** OJO *** ",0)</f>
        <v>Corporativo</v>
      </c>
      <c r="H3" s="7" t="str">
        <f t="array" ref="H3">XLOOKUP($A3,Números_Asignados,Puesto_Asignado," *** OJO *** ",0)</f>
        <v>Jefe de Capital Humano</v>
      </c>
    </row>
    <row r="4">
      <c r="A4" s="7">
        <v>3.931042392E9</v>
      </c>
      <c r="B4" s="7">
        <v>1.0</v>
      </c>
      <c r="C4" s="9">
        <v>269.0</v>
      </c>
      <c r="D4" s="7">
        <v>9.0</v>
      </c>
      <c r="E4" s="7" t="str">
        <f t="array" ref="E4">XLOOKUP($A4,Números_Asignados,Nombres_Directorio," *** OJO *** ",0)</f>
        <v>Ricardo Durán Ulloa</v>
      </c>
      <c r="F4" s="7" t="str">
        <f t="array" ref="F4">XLOOKUP($A4,Números_Asignados,Sucursal_Asignada," *** OJO *** ",0)</f>
        <v>La Barca</v>
      </c>
      <c r="G4" s="7" t="str">
        <f t="array" ref="G4">XLOOKUP($A4,Números_Asignados,Departamento_Asignado," *** OJO *** ",0)</f>
        <v>Corporativo</v>
      </c>
      <c r="H4" s="7" t="str">
        <f t="array" ref="H4">XLOOKUP($A4,Números_Asignados,Puesto_Asignado," *** OJO *** ",0)</f>
        <v>Jefe de Contabilidad</v>
      </c>
    </row>
    <row r="5">
      <c r="A5" s="7">
        <v>3.316099062E9</v>
      </c>
      <c r="B5" s="7">
        <v>1.0</v>
      </c>
      <c r="C5" s="9">
        <v>319.0</v>
      </c>
      <c r="D5" s="7">
        <v>9.0</v>
      </c>
      <c r="E5" s="7" t="str">
        <f t="array" ref="E5">XLOOKUP($A5,Números_Asignados,Nombres_Directorio," *** OJO *** ",0)</f>
        <v>Magdalena Estrada Gómez</v>
      </c>
      <c r="F5" s="7" t="str">
        <f t="array" ref="F5">XLOOKUP($A5,Números_Asignados,Sucursal_Asignada," *** OJO *** ",0)</f>
        <v>La Barca</v>
      </c>
      <c r="G5" s="7" t="str">
        <f t="array" ref="G5">XLOOKUP($A5,Números_Asignados,Departamento_Asignado," *** OJO *** ",0)</f>
        <v>Corporativo</v>
      </c>
      <c r="H5" s="7" t="str">
        <f t="array" ref="H5">XLOOKUP($A5,Números_Asignados,Puesto_Asignado," *** OJO *** ",0)</f>
        <v>Jefa Crédito y Cobranza</v>
      </c>
    </row>
    <row r="6">
      <c r="A6" s="7">
        <v>3.781868858E9</v>
      </c>
      <c r="B6" s="7">
        <v>4.0</v>
      </c>
      <c r="C6" s="9">
        <v>549.0</v>
      </c>
      <c r="D6" s="7">
        <v>22.5</v>
      </c>
      <c r="E6" s="7" t="str">
        <f t="array" ref="E6">XLOOKUP($A6,Números_Asignados,Nombres_Directorio," *** OJO *** ",0)</f>
        <v>Jesús Mora Pérez</v>
      </c>
      <c r="F6" s="7" t="str">
        <f t="array" ref="F6">XLOOKUP($A6,Números_Asignados,Sucursal_Asignada," *** OJO *** ",0)</f>
        <v>La Barca</v>
      </c>
      <c r="G6" s="7" t="str">
        <f t="array" ref="G6">XLOOKUP($A6,Números_Asignados,Departamento_Asignado," *** OJO *** ",0)</f>
        <v>Corporativo</v>
      </c>
      <c r="H6" s="7" t="str">
        <f t="array" ref="H6">XLOOKUP($A6,Números_Asignados,Puesto_Asignado," *** OJO *** ",0)</f>
        <v>Jefe de Servicio Administrativo</v>
      </c>
    </row>
    <row r="7">
      <c r="A7" s="7">
        <v>3.338561078E9</v>
      </c>
      <c r="B7" s="7">
        <v>5.0</v>
      </c>
      <c r="C7" s="9">
        <v>649.0</v>
      </c>
      <c r="D7" s="7">
        <v>45.0</v>
      </c>
      <c r="E7" s="7" t="s">
        <v>41</v>
      </c>
      <c r="F7" s="7" t="s">
        <v>43</v>
      </c>
      <c r="G7" s="7" t="s">
        <v>45</v>
      </c>
      <c r="H7" s="7" t="s">
        <v>47</v>
      </c>
    </row>
    <row r="8">
      <c r="A8" s="7">
        <v>3.931042394E9</v>
      </c>
      <c r="B8" s="7">
        <v>4.0</v>
      </c>
      <c r="C8" s="9">
        <v>549.0</v>
      </c>
      <c r="D8" s="7">
        <v>22.5</v>
      </c>
      <c r="E8" s="7" t="s">
        <v>49</v>
      </c>
      <c r="F8" s="7" t="s">
        <v>43</v>
      </c>
      <c r="G8" s="7" t="s">
        <v>45</v>
      </c>
      <c r="H8" s="7" t="s">
        <v>47</v>
      </c>
    </row>
    <row r="9">
      <c r="A9" s="7">
        <v>3.931190222E9</v>
      </c>
      <c r="B9" s="7">
        <v>5.0</v>
      </c>
      <c r="C9" s="9">
        <v>649.0</v>
      </c>
      <c r="D9" s="7">
        <v>45.0</v>
      </c>
      <c r="E9" s="7" t="s">
        <v>51</v>
      </c>
      <c r="F9" s="7" t="s">
        <v>43</v>
      </c>
      <c r="G9" s="7" t="s">
        <v>45</v>
      </c>
      <c r="H9" s="7" t="s">
        <v>47</v>
      </c>
      <c r="I9" s="5" t="s">
        <v>53</v>
      </c>
    </row>
    <row r="10">
      <c r="A10" s="7">
        <v>3.316118572E9</v>
      </c>
      <c r="B10" s="7">
        <v>1.0</v>
      </c>
      <c r="C10" s="9">
        <v>319.0</v>
      </c>
      <c r="D10" s="7">
        <v>9.0</v>
      </c>
      <c r="E10" s="7" t="str">
        <f t="array" ref="E10">XLOOKUP($A10,Números_Asignados,Nombres_Directorio," *** OJO *** ",0)</f>
        <v>Kathya Margarita Cerpa Velazco</v>
      </c>
      <c r="F10" s="7" t="str">
        <f t="array" ref="F10">XLOOKUP($A10,Números_Asignados,Sucursal_Asignada," *** OJO *** ",0)</f>
        <v>La Barca</v>
      </c>
      <c r="G10" s="7" t="str">
        <f t="array" ref="G10">XLOOKUP($A10,Números_Asignados,Departamento_Asignado," *** OJO *** ",0)</f>
        <v>Corporativo</v>
      </c>
      <c r="H10" s="7" t="str">
        <f t="array" ref="H10">XLOOKUP($A10,Números_Asignados,Puesto_Asignado," *** OJO *** ",0)</f>
        <v>Jefa de Finanzas</v>
      </c>
    </row>
    <row r="11">
      <c r="A11" s="7">
        <v>3.312846765E9</v>
      </c>
      <c r="B11" s="7">
        <v>4.0</v>
      </c>
      <c r="C11" s="9">
        <v>599.0</v>
      </c>
      <c r="D11" s="7">
        <v>22.5</v>
      </c>
      <c r="E11" s="7" t="str">
        <f t="array" ref="E11">XLOOKUP($A11,Números_Asignados,Nombres_Directorio," *** OJO *** ",0)</f>
        <v>Jorge Humberto Gómez Córdova</v>
      </c>
      <c r="F11" s="7" t="str">
        <f t="array" ref="F11">XLOOKUP($A11,Números_Asignados,Sucursal_Asignada," *** OJO *** ",0)</f>
        <v>La Barca</v>
      </c>
      <c r="G11" s="7" t="str">
        <f t="array" ref="G11">XLOOKUP($A11,Números_Asignados,Departamento_Asignado," *** OJO *** ",0)</f>
        <v>Corporativo</v>
      </c>
      <c r="H11" s="7" t="str">
        <f t="array" ref="H11">XLOOKUP($A11,Números_Asignados,Puesto_Asignado," *** OJO *** ",0)</f>
        <v>Jefe Ventas Agrícola</v>
      </c>
    </row>
    <row r="12">
      <c r="A12" s="7">
        <v>3.337194505E9</v>
      </c>
      <c r="B12" s="7">
        <v>4.0</v>
      </c>
      <c r="C12" s="9">
        <v>549.0</v>
      </c>
      <c r="D12" s="7">
        <v>22.5</v>
      </c>
      <c r="E12" s="7" t="str">
        <f t="array" ref="E12">XLOOKUP($A12,Números_Asignados,Nombres_Directorio," *** OJO *** ",0)</f>
        <v>Adrián Paskinel Hernández Zavala</v>
      </c>
      <c r="F12" s="7" t="str">
        <f t="array" ref="F12">XLOOKUP($A12,Números_Asignados,Sucursal_Asignada," *** OJO *** ",0)</f>
        <v>La Barca</v>
      </c>
      <c r="G12" s="7" t="str">
        <f t="array" ref="G12">XLOOKUP($A12,Números_Asignados,Departamento_Asignado," *** OJO *** ",0)</f>
        <v>Corporativo</v>
      </c>
      <c r="H12" s="7" t="str">
        <f t="array" ref="H12">XLOOKUP($A12,Números_Asignados,Puesto_Asignado," *** OJO *** ",0)</f>
        <v>Jefe de Ventas Construcción</v>
      </c>
    </row>
    <row r="13">
      <c r="A13" s="7">
        <v>3.781868863E9</v>
      </c>
      <c r="B13" s="7">
        <v>4.0</v>
      </c>
      <c r="C13" s="9">
        <v>549.0</v>
      </c>
      <c r="D13" s="7">
        <v>22.5</v>
      </c>
      <c r="E13" s="7" t="str">
        <f t="array" ref="E13">XLOOKUP($A13,Números_Asignados,Nombres_Directorio," *** OJO *** ",0)</f>
        <v>Raúl Óscar Ortega Guillén</v>
      </c>
      <c r="F13" s="7" t="str">
        <f t="array" ref="F13">XLOOKUP($A13,Números_Asignados,Sucursal_Asignada," *** OJO *** ",0)</f>
        <v>La Barca</v>
      </c>
      <c r="G13" s="7" t="str">
        <f t="array" ref="G13">XLOOKUP($A13,Números_Asignados,Departamento_Asignado," *** OJO *** ",0)</f>
        <v>Corporativo</v>
      </c>
      <c r="H13" s="7" t="str">
        <f t="array" ref="H13">XLOOKUP($A13,Números_Asignados,Puesto_Asignado," *** OJO *** ",0)</f>
        <v>Jefe de Marketing</v>
      </c>
    </row>
    <row r="14">
      <c r="A14" s="7">
        <v>3.951428204E9</v>
      </c>
      <c r="B14" s="7">
        <v>4.0</v>
      </c>
      <c r="C14" s="9">
        <v>549.0</v>
      </c>
      <c r="D14" s="7">
        <v>22.5</v>
      </c>
      <c r="E14" s="7" t="str">
        <f t="array" ref="E14">XLOOKUP($A14,Números_Asignados,Nombres_Directorio," *** OJO *** ",0)</f>
        <v>Jesús García Anaya</v>
      </c>
      <c r="F14" s="7" t="str">
        <f t="array" ref="F14">XLOOKUP($A14,Números_Asignados,Sucursal_Asignada," *** OJO *** ",0)</f>
        <v>La Barca</v>
      </c>
      <c r="G14" s="7" t="str">
        <f t="array" ref="G14">XLOOKUP($A14,Números_Asignados,Departamento_Asignado," *** OJO *** ",0)</f>
        <v>Corporativo</v>
      </c>
      <c r="H14" s="7" t="str">
        <f t="array" ref="H14">XLOOKUP($A14,Números_Asignados,Puesto_Asignado," *** OJO *** ",0)</f>
        <v>Jefe Parque Vehicular</v>
      </c>
    </row>
    <row r="15">
      <c r="A15" s="7">
        <v>3.316098529E9</v>
      </c>
      <c r="B15" s="7">
        <v>4.0</v>
      </c>
      <c r="C15" s="9">
        <v>599.0</v>
      </c>
      <c r="D15" s="7">
        <v>22.5</v>
      </c>
      <c r="E15" s="7" t="str">
        <f t="array" ref="E15">XLOOKUP($A15,Números_Asignados,Nombres_Directorio," *** OJO *** ",0)</f>
        <v>Miguel Ángel González Escoto</v>
      </c>
      <c r="F15" s="7" t="str">
        <f t="array" ref="F15">XLOOKUP($A15,Números_Asignados,Sucursal_Asignada," *** OJO *** ",0)</f>
        <v>La Barca</v>
      </c>
      <c r="G15" s="7" t="str">
        <f t="array" ref="G15">XLOOKUP($A15,Números_Asignados,Departamento_Asignado," *** OJO *** ",0)</f>
        <v>Corporativo</v>
      </c>
      <c r="H15" s="7" t="str">
        <f t="array" ref="H15">XLOOKUP($A15,Números_Asignados,Puesto_Asignado," *** OJO *** ",0)</f>
        <v>Jefe Postventa</v>
      </c>
    </row>
    <row r="16">
      <c r="A16" s="7">
        <v>3.93119646E9</v>
      </c>
      <c r="B16" s="7">
        <v>4.0</v>
      </c>
      <c r="C16" s="9">
        <v>549.0</v>
      </c>
      <c r="D16" s="7">
        <v>22.5</v>
      </c>
      <c r="E16" s="7" t="str">
        <f t="array" ref="E16">XLOOKUP($A16,Números_Asignados,Nombres_Directorio," *** OJO *** ",0)</f>
        <v>Abraham Octavio García Sahagún</v>
      </c>
      <c r="F16" s="7" t="str">
        <f t="array" ref="F16">XLOOKUP($A16,Números_Asignados,Sucursal_Asignada," *** OJO *** ",0)</f>
        <v>La Barca</v>
      </c>
      <c r="G16" s="7" t="str">
        <f t="array" ref="G16">XLOOKUP($A16,Números_Asignados,Departamento_Asignado," *** OJO *** ",0)</f>
        <v>Corporativo</v>
      </c>
      <c r="H16" s="7" t="str">
        <f t="array" ref="H16">XLOOKUP($A16,Números_Asignados,Puesto_Asignado," *** OJO *** ",0)</f>
        <v>Jefe de Refacciones</v>
      </c>
    </row>
    <row r="17">
      <c r="A17" s="7">
        <v>3.93106444E9</v>
      </c>
      <c r="B17" s="7">
        <v>4.0</v>
      </c>
      <c r="C17" s="9">
        <v>549.0</v>
      </c>
      <c r="D17" s="7">
        <v>22.5</v>
      </c>
      <c r="E17" s="7" t="str">
        <f t="array" ref="E17">XLOOKUP($A17,Números_Asignados,Nombres_Directorio," *** OJO *** ",0)</f>
        <v>J Jesús Velazco Aviña</v>
      </c>
      <c r="F17" s="7" t="str">
        <f t="array" ref="F17">XLOOKUP($A17,Números_Asignados,Sucursal_Asignada," *** OJO *** ",0)</f>
        <v>La Barca</v>
      </c>
      <c r="G17" s="7" t="str">
        <f t="array" ref="G17">XLOOKUP($A17,Números_Asignados,Departamento_Asignado," *** OJO *** ",0)</f>
        <v>Corporativo</v>
      </c>
      <c r="H17" s="7" t="str">
        <f t="array" ref="H17">XLOOKUP($A17,Números_Asignados,Puesto_Asignado," *** OJO *** ",0)</f>
        <v>Jefe de Servicio Operativo</v>
      </c>
    </row>
    <row r="18">
      <c r="A18" s="7">
        <v>3.939332335E9</v>
      </c>
      <c r="B18" s="7">
        <v>5.0</v>
      </c>
      <c r="C18" s="9">
        <v>649.0</v>
      </c>
      <c r="D18" s="7">
        <v>45.0</v>
      </c>
      <c r="E18" s="7" t="str">
        <f t="array" ref="E18">XLOOKUP($A18,Números_Asignados,Nombres_Directorio," *** OJO *** ",0)</f>
        <v>Pablo Alberto Barocio Valle</v>
      </c>
      <c r="F18" s="7" t="str">
        <f t="array" ref="F18">XLOOKUP($A18,Números_Asignados,Sucursal_Asignada," *** OJO *** ",0)</f>
        <v>La Barca</v>
      </c>
      <c r="G18" s="7" t="str">
        <f t="array" ref="G18">XLOOKUP($A18,Números_Asignados,Departamento_Asignado," *** OJO *** ",0)</f>
        <v>Corporativo</v>
      </c>
      <c r="H18" s="7" t="str">
        <f t="array" ref="H18">XLOOKUP($A18,Números_Asignados,Puesto_Asignado," *** OJO *** ",0)</f>
        <v>Jefe de Sistemas</v>
      </c>
    </row>
    <row r="19">
      <c r="A19" s="7">
        <v>3.931079959E9</v>
      </c>
      <c r="B19" s="7">
        <v>4.0</v>
      </c>
      <c r="C19" s="9">
        <v>549.0</v>
      </c>
      <c r="D19" s="7">
        <v>22.5</v>
      </c>
      <c r="E19" s="7" t="str">
        <f t="array" ref="E19">XLOOKUP($A19,Números_Asignados,Nombres_Directorio," *** OJO *** ",0)</f>
        <v>Yessica Velázquez Villanueva</v>
      </c>
      <c r="F19" s="7" t="str">
        <f t="array" ref="F19">XLOOKUP($A19,Números_Asignados,Sucursal_Asignada," *** OJO *** ",0)</f>
        <v>La Barca</v>
      </c>
      <c r="G19" s="7" t="str">
        <f t="array" ref="G19">XLOOKUP($A19,Números_Asignados,Departamento_Asignado," *** OJO *** ",0)</f>
        <v>Corporativo</v>
      </c>
      <c r="H19" s="7" t="str">
        <f t="array" ref="H19">XLOOKUP($A19,Números_Asignados,Puesto_Asignado," *** OJO *** ",0)</f>
        <v>Jefe de Staff</v>
      </c>
    </row>
    <row r="20">
      <c r="A20" s="7">
        <v>3.316106119E9</v>
      </c>
      <c r="B20" s="7">
        <v>1.0</v>
      </c>
      <c r="C20" s="9">
        <v>319.0</v>
      </c>
      <c r="D20" s="7">
        <v>9.0</v>
      </c>
      <c r="E20" s="7" t="s">
        <v>258</v>
      </c>
      <c r="F20" s="7" t="s">
        <v>259</v>
      </c>
      <c r="G20" s="7" t="s">
        <v>261</v>
      </c>
      <c r="H20" s="7" t="s">
        <v>262</v>
      </c>
    </row>
    <row r="21" ht="15.75" customHeight="1">
      <c r="A21" s="7">
        <v>3.931078006E9</v>
      </c>
      <c r="B21" s="7">
        <v>1.0</v>
      </c>
      <c r="C21" s="9">
        <v>269.0</v>
      </c>
      <c r="D21" s="7">
        <v>9.0</v>
      </c>
      <c r="E21" s="7" t="s">
        <v>265</v>
      </c>
      <c r="F21" s="7" t="s">
        <v>259</v>
      </c>
      <c r="G21" s="7" t="s">
        <v>266</v>
      </c>
      <c r="H21" s="7" t="s">
        <v>262</v>
      </c>
    </row>
    <row r="22" ht="15.75" customHeight="1">
      <c r="A22" s="7">
        <v>3.310431719E9</v>
      </c>
      <c r="B22" s="7">
        <v>5.0</v>
      </c>
      <c r="C22" s="9">
        <v>649.0</v>
      </c>
      <c r="D22" s="7">
        <v>45.0</v>
      </c>
      <c r="E22" s="7" t="s">
        <v>272</v>
      </c>
      <c r="F22" s="7" t="s">
        <v>259</v>
      </c>
      <c r="G22" s="7" t="s">
        <v>275</v>
      </c>
      <c r="H22" s="7" t="s">
        <v>275</v>
      </c>
    </row>
    <row r="23" ht="15.75" customHeight="1">
      <c r="A23" s="7">
        <v>3.939366538E9</v>
      </c>
      <c r="B23" s="7">
        <v>5.0</v>
      </c>
      <c r="C23" s="9">
        <v>649.0</v>
      </c>
      <c r="D23" s="7">
        <v>45.0</v>
      </c>
      <c r="E23" s="7" t="s">
        <v>280</v>
      </c>
      <c r="F23" s="7" t="s">
        <v>259</v>
      </c>
      <c r="G23" s="7" t="s">
        <v>275</v>
      </c>
      <c r="H23" s="7" t="s">
        <v>275</v>
      </c>
    </row>
    <row r="24" ht="15.75" customHeight="1">
      <c r="A24" s="7">
        <v>3.321830554E9</v>
      </c>
      <c r="B24" s="7">
        <v>5.0</v>
      </c>
      <c r="C24" s="9">
        <v>649.0</v>
      </c>
      <c r="D24" s="7">
        <v>45.0</v>
      </c>
      <c r="E24" s="7" t="s">
        <v>286</v>
      </c>
      <c r="F24" s="7" t="s">
        <v>259</v>
      </c>
      <c r="G24" s="7" t="s">
        <v>275</v>
      </c>
      <c r="H24" s="7" t="s">
        <v>275</v>
      </c>
    </row>
    <row r="25" ht="15.75" customHeight="1">
      <c r="A25" s="7">
        <v>4.433765288E9</v>
      </c>
      <c r="B25" s="7">
        <v>5.0</v>
      </c>
      <c r="C25" s="9">
        <v>649.0</v>
      </c>
      <c r="D25" s="7">
        <v>45.0</v>
      </c>
      <c r="E25" s="7" t="s">
        <v>295</v>
      </c>
      <c r="F25" s="7" t="s">
        <v>259</v>
      </c>
      <c r="G25" s="7" t="s">
        <v>275</v>
      </c>
      <c r="H25" s="7" t="s">
        <v>275</v>
      </c>
    </row>
    <row r="26" ht="15.75" customHeight="1">
      <c r="A26" s="7">
        <v>3.316137123E9</v>
      </c>
      <c r="B26" s="7">
        <v>5.0</v>
      </c>
      <c r="C26" s="9">
        <v>699.0</v>
      </c>
      <c r="D26" s="7">
        <v>45.0</v>
      </c>
      <c r="E26" s="7" t="s">
        <v>303</v>
      </c>
      <c r="F26" s="7" t="s">
        <v>259</v>
      </c>
      <c r="G26" s="7" t="s">
        <v>275</v>
      </c>
      <c r="H26" s="7" t="s">
        <v>275</v>
      </c>
    </row>
    <row r="27" ht="15.75" customHeight="1">
      <c r="A27" s="7">
        <v>3.931245174E9</v>
      </c>
      <c r="B27" s="7">
        <v>4.0</v>
      </c>
      <c r="C27" s="9">
        <v>549.0</v>
      </c>
      <c r="D27" s="7">
        <v>22.5</v>
      </c>
      <c r="E27" s="7" t="str">
        <f t="array" ref="E27">XLOOKUP($A27,Números_Asignados,Nombres_Directorio," *** OJO *** ",0)</f>
        <v>Diego Guadalupe Armas Álvarez</v>
      </c>
      <c r="F27" s="7" t="str">
        <f t="array" ref="F27">XLOOKUP($A27,Números_Asignados,Sucursal_Asignada," *** OJO *** ",0)</f>
        <v>La Barca</v>
      </c>
      <c r="G27" s="7" t="str">
        <f t="array" ref="G27">XLOOKUP($A27,Números_Asignados,Departamento_Asignado," *** OJO *** ",0)</f>
        <v>Agricultura Inteligente</v>
      </c>
      <c r="H27" s="7" t="str">
        <f t="array" ref="H27">XLOOKUP($A27,Números_Asignados,Puesto_Asignado," *** OJO *** ",0)</f>
        <v>Asesor de Ventas</v>
      </c>
    </row>
    <row r="28" ht="15.75" customHeight="1">
      <c r="A28" s="7">
        <v>3.931079956E9</v>
      </c>
      <c r="B28" s="7">
        <v>4.0</v>
      </c>
      <c r="C28" s="9">
        <v>549.0</v>
      </c>
      <c r="D28" s="7">
        <v>22.5</v>
      </c>
      <c r="E28" s="7" t="str">
        <f t="array" ref="E28">XLOOKUP($A28,Números_Asignados,Nombres_Directorio," *** OJO *** ",0)</f>
        <v>Abdiel Yahir González Razo</v>
      </c>
      <c r="F28" s="7" t="str">
        <f t="array" ref="F28">XLOOKUP($A28,Números_Asignados,Sucursal_Asignada," *** OJO *** ",0)</f>
        <v>La Barca</v>
      </c>
      <c r="G28" s="7" t="str">
        <f t="array" ref="G28">XLOOKUP($A28,Números_Asignados,Departamento_Asignado," *** OJO *** ",0)</f>
        <v>Agricultura Inteligente</v>
      </c>
      <c r="H28" s="7" t="str">
        <f t="array" ref="H28">XLOOKUP($A28,Números_Asignados,Puesto_Asignado," *** OJO *** ",0)</f>
        <v>Asesor de Ventas</v>
      </c>
    </row>
    <row r="29" ht="15.75" customHeight="1">
      <c r="A29" s="7">
        <v>3.931099049E9</v>
      </c>
      <c r="B29" s="7">
        <v>4.0</v>
      </c>
      <c r="C29" s="9">
        <v>599.0</v>
      </c>
      <c r="D29" s="7">
        <v>22.5</v>
      </c>
      <c r="E29" s="7" t="str">
        <f t="array" ref="E29">XLOOKUP($A29,Números_Asignados,Nombres_Directorio," *** OJO *** ",0)</f>
        <v>Jesus Alberto Zuno Jimenez</v>
      </c>
      <c r="F29" s="7" t="str">
        <f t="array" ref="F29">XLOOKUP($A29,Números_Asignados,Sucursal_Asignada," *** OJO *** ",0)</f>
        <v>La Barca</v>
      </c>
      <c r="G29" s="7" t="str">
        <f t="array" ref="G29">XLOOKUP($A29,Números_Asignados,Departamento_Asignado," *** OJO *** ",0)</f>
        <v>Agricultura Inteligente</v>
      </c>
      <c r="H29" s="7" t="str">
        <f t="array" ref="H29">XLOOKUP($A29,Números_Asignados,Puesto_Asignado," *** OJO *** ",0)</f>
        <v>Asesor de Ventas</v>
      </c>
    </row>
    <row r="30" ht="15.75" customHeight="1">
      <c r="A30" s="7">
        <v>3.931190252E9</v>
      </c>
      <c r="B30" s="7">
        <v>4.0</v>
      </c>
      <c r="C30" s="9">
        <v>549.0</v>
      </c>
      <c r="D30" s="7">
        <v>22.5</v>
      </c>
      <c r="E30" s="7" t="str">
        <f t="array" ref="E30">XLOOKUP($A30,Números_Asignados,Nombres_Directorio," *** OJO *** ",0)</f>
        <v>Pascual Humberto Ramírez Flores</v>
      </c>
      <c r="F30" s="7" t="str">
        <f t="array" ref="F30">XLOOKUP($A30,Números_Asignados,Sucursal_Asignada," *** OJO *** ",0)</f>
        <v>La Barca</v>
      </c>
      <c r="G30" s="7" t="str">
        <f t="array" ref="G30">XLOOKUP($A30,Números_Asignados,Departamento_Asignado," *** OJO *** ",0)</f>
        <v>Agricultura Inteligente</v>
      </c>
      <c r="H30" s="7" t="str">
        <f t="array" ref="H30">XLOOKUP($A30,Números_Asignados,Puesto_Asignado," *** OJO *** ",0)</f>
        <v>Asesor de Ventas</v>
      </c>
    </row>
    <row r="31" ht="15.75" customHeight="1">
      <c r="A31" s="7">
        <v>3.316135759E9</v>
      </c>
      <c r="B31" s="7">
        <v>4.0</v>
      </c>
      <c r="C31" s="9">
        <v>599.0</v>
      </c>
      <c r="D31" s="7">
        <v>22.5</v>
      </c>
      <c r="E31" s="7" t="str">
        <f t="array" ref="E31">XLOOKUP($A31,Números_Asignados,Nombres_Directorio," *** OJO *** ",0)</f>
        <v>Mariana Álvarez Estrada</v>
      </c>
      <c r="F31" s="7" t="str">
        <f t="array" ref="F31">XLOOKUP($A31,Números_Asignados,Sucursal_Asignada," *** OJO *** ",0)</f>
        <v>La Barca</v>
      </c>
      <c r="G31" s="7" t="str">
        <f t="array" ref="G31">XLOOKUP($A31,Números_Asignados,Departamento_Asignado," *** OJO *** ",0)</f>
        <v>Agricultura Inteligente</v>
      </c>
      <c r="H31" s="7" t="str">
        <f t="array" ref="H31">XLOOKUP($A31,Números_Asignados,Puesto_Asignado," *** OJO *** ",0)</f>
        <v>Auxiliar Administrativo</v>
      </c>
    </row>
    <row r="32" ht="15.75" customHeight="1">
      <c r="A32" s="7">
        <v>3.781868862E9</v>
      </c>
      <c r="B32" s="7">
        <v>1.0</v>
      </c>
      <c r="C32" s="9">
        <v>269.0</v>
      </c>
      <c r="D32" s="7">
        <v>9.0</v>
      </c>
      <c r="E32" s="7" t="str">
        <f t="array" ref="E32">XLOOKUP($A32,Números_Asignados,Nombres_Directorio," *** OJO *** ",0)</f>
        <v>José Alejandro Tellez Gómez</v>
      </c>
      <c r="F32" s="7" t="str">
        <f t="array" ref="F32">XLOOKUP($A32,Números_Asignados,Sucursal_Asignada," *** OJO *** ",0)</f>
        <v>La Barca</v>
      </c>
      <c r="G32" s="7" t="str">
        <f t="array" ref="G32">XLOOKUP($A32,Números_Asignados,Departamento_Asignado," *** OJO *** ",0)</f>
        <v>Agricultura Inteligente</v>
      </c>
      <c r="H32" s="7" t="str">
        <f t="array" ref="H32">XLOOKUP($A32,Números_Asignados,Puesto_Asignado," *** OJO *** ",0)</f>
        <v>Técnico</v>
      </c>
    </row>
    <row r="33" ht="15.75" customHeight="1">
      <c r="A33" s="7">
        <v>3.931001237E9</v>
      </c>
      <c r="B33" s="7">
        <v>1.0</v>
      </c>
      <c r="C33" s="9">
        <v>269.0</v>
      </c>
      <c r="D33" s="7">
        <v>9.0</v>
      </c>
      <c r="E33" s="7" t="str">
        <f t="array" ref="E33">XLOOKUP($A33,Números_Asignados,Nombres_Directorio," *** OJO *** ",0)</f>
        <v>Isela María Guadalupe Rodríguez Estrada</v>
      </c>
      <c r="F33" s="7" t="str">
        <f t="array" ref="F33">XLOOKUP($A33,Números_Asignados,Sucursal_Asignada," *** OJO *** ",0)</f>
        <v>La Barca</v>
      </c>
      <c r="G33" s="7" t="str">
        <f t="array" ref="G33">XLOOKUP($A33,Números_Asignados,Departamento_Asignado," *** OJO *** ",0)</f>
        <v>Capital Humano</v>
      </c>
      <c r="H33" s="7" t="str">
        <f t="array" ref="H33">XLOOKUP($A33,Números_Asignados,Puesto_Asignado," *** OJO *** ",0)</f>
        <v>Auxiliar Administrativo</v>
      </c>
    </row>
    <row r="34" ht="15.75" customHeight="1">
      <c r="A34" s="7">
        <v>3.921006351E9</v>
      </c>
      <c r="B34" s="7">
        <v>4.0</v>
      </c>
      <c r="C34" s="9">
        <v>549.0</v>
      </c>
      <c r="D34" s="7">
        <v>22.5</v>
      </c>
      <c r="E34" s="7" t="str">
        <f t="array" ref="E34">XLOOKUP($A34,Números_Asignados,Nombres_Directorio," *** OJO *** ",0)</f>
        <v> *** OJO *** </v>
      </c>
      <c r="F34" s="7" t="str">
        <f t="array" ref="F34">XLOOKUP($A34,Números_Asignados,Sucursal_Asignada," *** OJO *** ",0)</f>
        <v> *** OJO *** </v>
      </c>
      <c r="G34" s="7" t="str">
        <f t="array" ref="G34">XLOOKUP($A34,Números_Asignados,Departamento_Asignado," *** OJO *** ",0)</f>
        <v> *** OJO *** </v>
      </c>
      <c r="H34" s="7" t="str">
        <f t="array" ref="H34">XLOOKUP($A34,Números_Asignados,Puesto_Asignado," *** OJO *** ",0)</f>
        <v> *** OJO *** </v>
      </c>
      <c r="I34" s="35" t="s">
        <v>442</v>
      </c>
    </row>
    <row r="35" ht="15.75" customHeight="1">
      <c r="A35" s="7">
        <v>3.931205198E9</v>
      </c>
      <c r="B35" s="7">
        <v>1.0</v>
      </c>
      <c r="C35" s="9">
        <v>269.0</v>
      </c>
      <c r="D35" s="7">
        <v>9.0</v>
      </c>
      <c r="E35" s="7" t="str">
        <f t="array" ref="E35">XLOOKUP($A35,Números_Asignados,Nombres_Directorio," *** OJO *** ",0)</f>
        <v>María del Cármen Sánchez García</v>
      </c>
      <c r="F35" s="7" t="str">
        <f t="array" ref="F35">XLOOKUP($A35,Números_Asignados,Sucursal_Asignada," *** OJO *** ",0)</f>
        <v>La Barca</v>
      </c>
      <c r="G35" s="7" t="str">
        <f t="array" ref="G35">XLOOKUP($A35,Números_Asignados,Departamento_Asignado," *** OJO *** ",0)</f>
        <v>Compras</v>
      </c>
      <c r="H35" s="7" t="str">
        <f t="array" ref="H35">XLOOKUP($A35,Números_Asignados,Puesto_Asignado," *** OJO *** ",0)</f>
        <v>Auxiliar Administrativo</v>
      </c>
    </row>
    <row r="36" ht="15.75" customHeight="1">
      <c r="A36" s="7">
        <v>3.931245254E9</v>
      </c>
      <c r="B36" s="7">
        <v>4.0</v>
      </c>
      <c r="C36" s="9">
        <v>549.0</v>
      </c>
      <c r="D36" s="7">
        <v>22.5</v>
      </c>
      <c r="E36" s="7" t="str">
        <f t="array" ref="E36">XLOOKUP($A36,Números_Asignados,Nombres_Directorio," *** OJO *** ",0)</f>
        <v>José Alejandro Rosas Oñate</v>
      </c>
      <c r="F36" s="7" t="str">
        <f t="array" ref="F36">XLOOKUP($A36,Números_Asignados,Sucursal_Asignada," *** OJO *** ",0)</f>
        <v>La Barca</v>
      </c>
      <c r="G36" s="7" t="str">
        <f t="array" ref="G36">XLOOKUP($A36,Números_Asignados,Departamento_Asignado," *** OJO *** ",0)</f>
        <v>Compras</v>
      </c>
      <c r="H36" s="7" t="str">
        <f t="array" ref="H36">XLOOKUP($A36,Números_Asignados,Puesto_Asignado," *** OJO *** ",0)</f>
        <v>Chofer</v>
      </c>
    </row>
    <row r="37" ht="15.75" customHeight="1">
      <c r="A37" s="7">
        <v>3.313254527E9</v>
      </c>
      <c r="B37" s="7">
        <v>1.0</v>
      </c>
      <c r="C37" s="9">
        <v>269.0</v>
      </c>
      <c r="D37" s="7">
        <v>9.0</v>
      </c>
      <c r="E37" s="7" t="str">
        <f t="array" ref="E37">XLOOKUP($A37,Números_Asignados,Nombres_Directorio," *** OJO *** ",0)</f>
        <v>Alejandra Guadalupe Munguía Albisio</v>
      </c>
      <c r="F37" s="7" t="str">
        <f t="array" ref="F37">XLOOKUP($A37,Números_Asignados,Sucursal_Asignada," *** OJO *** ",0)</f>
        <v>La Barca</v>
      </c>
      <c r="G37" s="7" t="str">
        <f t="array" ref="G37">XLOOKUP($A37,Números_Asignados,Departamento_Asignado," *** OJO *** ",0)</f>
        <v>Compras Internacionales</v>
      </c>
      <c r="H37" s="7" t="str">
        <f t="array" ref="H37">XLOOKUP($A37,Números_Asignados,Puesto_Asignado," *** OJO *** ",0)</f>
        <v>Auxiliar Administrativo</v>
      </c>
    </row>
    <row r="38" ht="15.75" customHeight="1">
      <c r="A38" s="7">
        <v>3.781868857E9</v>
      </c>
      <c r="B38" s="7">
        <v>1.0</v>
      </c>
      <c r="C38" s="9">
        <v>269.0</v>
      </c>
      <c r="D38" s="7">
        <v>9.0</v>
      </c>
      <c r="E38" s="7" t="str">
        <f t="array" ref="E38">XLOOKUP($A38,Números_Asignados,Nombres_Directorio," *** OJO *** ",0)</f>
        <v>Patricia Lorena Covarrubias Tello</v>
      </c>
      <c r="F38" s="7" t="str">
        <f t="array" ref="F38">XLOOKUP($A38,Números_Asignados,Sucursal_Asignada," *** OJO *** ",0)</f>
        <v>La Barca</v>
      </c>
      <c r="G38" s="7" t="str">
        <f t="array" ref="G38">XLOOKUP($A38,Números_Asignados,Departamento_Asignado," *** OJO *** ",0)</f>
        <v>Crédito y Cobranza</v>
      </c>
      <c r="H38" s="7" t="str">
        <f t="array" ref="H38">XLOOKUP($A38,Números_Asignados,Puesto_Asignado," *** OJO *** ",0)</f>
        <v>Auxiliar Administrativo</v>
      </c>
    </row>
    <row r="39" ht="15.75" customHeight="1">
      <c r="A39" s="7">
        <v>3.939382471E9</v>
      </c>
      <c r="B39" s="7">
        <v>1.0</v>
      </c>
      <c r="C39" s="9">
        <v>269.0</v>
      </c>
      <c r="D39" s="7">
        <v>9.0</v>
      </c>
      <c r="E39" s="7" t="str">
        <f t="array" ref="E39">XLOOKUP($A39,Números_Asignados,Nombres_Directorio," *** OJO *** ",0)</f>
        <v>Jeniffer Paulina Resendiz Bravo</v>
      </c>
      <c r="F39" s="7" t="str">
        <f t="array" ref="F39">XLOOKUP($A39,Números_Asignados,Sucursal_Asignada," *** OJO *** ",0)</f>
        <v>La Barca</v>
      </c>
      <c r="G39" s="7" t="str">
        <f t="array" ref="G39">XLOOKUP($A39,Números_Asignados,Departamento_Asignado," *** OJO *** ",0)</f>
        <v>Finanzas</v>
      </c>
      <c r="H39" s="7" t="str">
        <f t="array" ref="H39">XLOOKUP($A39,Números_Asignados,Puesto_Asignado," *** OJO *** ",0)</f>
        <v>Auxiliar Administrativo</v>
      </c>
    </row>
    <row r="40" ht="15.75" customHeight="1">
      <c r="A40" s="7">
        <v>3.316172428E9</v>
      </c>
      <c r="B40" s="7">
        <v>4.0</v>
      </c>
      <c r="C40" s="9">
        <v>549.0</v>
      </c>
      <c r="D40" s="7">
        <v>22.5</v>
      </c>
      <c r="E40" s="7" t="str">
        <f t="array" ref="E40">XLOOKUP($A40,Números_Asignados,Nombres_Directorio," *** OJO *** ",0)</f>
        <v>Ricardo Moreno Medina</v>
      </c>
      <c r="F40" s="7" t="str">
        <f t="array" ref="F40">XLOOKUP($A40,Números_Asignados,Sucursal_Asignada," *** OJO *** ",0)</f>
        <v>La Barca</v>
      </c>
      <c r="G40" s="7" t="str">
        <f t="array" ref="G40">XLOOKUP($A40,Números_Asignados,Departamento_Asignado," *** OJO *** ",0)</f>
        <v>Finanzas</v>
      </c>
      <c r="H40" s="7" t="str">
        <f t="array" ref="H40">XLOOKUP($A40,Números_Asignados,Puesto_Asignado," *** OJO *** ",0)</f>
        <v>Auxiliar Administrativo</v>
      </c>
    </row>
    <row r="41" ht="15.75" customHeight="1">
      <c r="A41" s="7">
        <v>3.316156385E9</v>
      </c>
      <c r="B41" s="7">
        <v>1.0</v>
      </c>
      <c r="C41" s="9">
        <v>319.0</v>
      </c>
      <c r="D41" s="7">
        <v>9.0</v>
      </c>
      <c r="E41" s="7" t="str">
        <f t="array" ref="E41">XLOOKUP($A41,Números_Asignados,Nombres_Directorio," *** OJO *** ",0)</f>
        <v>Juana Alejandra García Jiménez</v>
      </c>
      <c r="F41" s="7" t="str">
        <f t="array" ref="F41">XLOOKUP($A41,Números_Asignados,Sucursal_Asignada," *** OJO *** ",0)</f>
        <v>La Barca</v>
      </c>
      <c r="G41" s="7" t="str">
        <f t="array" ref="G41">XLOOKUP($A41,Números_Asignados,Departamento_Asignado," *** OJO *** ",0)</f>
        <v>Jurídico</v>
      </c>
      <c r="H41" s="7" t="str">
        <f t="array" ref="H41">XLOOKUP($A41,Números_Asignados,Puesto_Asignado," *** OJO *** ",0)</f>
        <v>Representante Legal</v>
      </c>
    </row>
    <row r="42" ht="15.75" customHeight="1">
      <c r="A42" s="7">
        <v>3.316098501E9</v>
      </c>
      <c r="B42" s="7">
        <v>1.0</v>
      </c>
      <c r="C42" s="9">
        <v>319.0</v>
      </c>
      <c r="D42" s="7">
        <v>9.0</v>
      </c>
      <c r="E42" s="7" t="str">
        <f t="array" ref="E42">XLOOKUP($A42,Números_Asignados,Nombres_Directorio," *** OJO *** ",0)</f>
        <v>José Antonio Gómez Malacara</v>
      </c>
      <c r="F42" s="7" t="str">
        <f t="array" ref="F42">XLOOKUP($A42,Números_Asignados,Sucursal_Asignada," *** OJO *** ",0)</f>
        <v>La Barca</v>
      </c>
      <c r="G42" s="7" t="str">
        <f t="array" ref="G42">XLOOKUP($A42,Números_Asignados,Departamento_Asignado," *** OJO *** ",0)</f>
        <v>Mantenimiento</v>
      </c>
      <c r="H42" s="7" t="str">
        <f t="array" ref="H42">XLOOKUP($A42,Números_Asignados,Puesto_Asignado," *** OJO *** ",0)</f>
        <v>Jefe de Mantenimiento</v>
      </c>
    </row>
    <row r="43" ht="15.75" customHeight="1">
      <c r="A43" s="7">
        <v>3.93119008E9</v>
      </c>
      <c r="B43" s="7">
        <v>1.0</v>
      </c>
      <c r="C43" s="9">
        <v>269.0</v>
      </c>
      <c r="D43" s="7">
        <v>9.0</v>
      </c>
      <c r="E43" s="7" t="str">
        <f t="array" ref="E43">XLOOKUP($A43,Números_Asignados,Nombres_Directorio," *** OJO *** ",0)</f>
        <v>Arleth Paola Martínez Carreón</v>
      </c>
      <c r="F43" s="7" t="str">
        <f t="array" ref="F43">XLOOKUP($A43,Números_Asignados,Sucursal_Asignada," *** OJO *** ",0)</f>
        <v>La Barca</v>
      </c>
      <c r="G43" s="39" t="str">
        <f t="array" ref="G43">XLOOKUP($A43,Números_Asignados,Departamento_Asignado," *** OJO *** ",0)</f>
        <v>Maquinaria Agrícola y Construcción</v>
      </c>
      <c r="H43" s="39" t="str">
        <f t="array" ref="H43">XLOOKUP($A43,Números_Asignados,Puesto_Asignado," *** OJO *** ",0)</f>
        <v>Auxiliar Administrativo</v>
      </c>
    </row>
    <row r="44" ht="15.75" customHeight="1">
      <c r="A44" s="7">
        <v>3.316142992E9</v>
      </c>
      <c r="B44" s="7">
        <v>1.0</v>
      </c>
      <c r="C44" s="9">
        <v>319.0</v>
      </c>
      <c r="D44" s="7">
        <v>9.0</v>
      </c>
      <c r="E44" s="7" t="str">
        <f t="array" ref="E44">XLOOKUP($A44,Números_Asignados,Nombres_Directorio," *** OJO *** ",0)</f>
        <v>David Villaseñor Núñez</v>
      </c>
      <c r="F44" s="7" t="str">
        <f t="array" ref="F44">XLOOKUP($A44,Números_Asignados,Sucursal_Asignada," *** OJO *** ",0)</f>
        <v>La Barca</v>
      </c>
      <c r="G44" s="39" t="str">
        <f t="array" ref="G44">XLOOKUP($A44,Números_Asignados,Departamento_Asignado," *** OJO *** ",0)</f>
        <v>Maquinaria Agrícola</v>
      </c>
      <c r="H44" s="39" t="str">
        <f t="array" ref="H44">XLOOKUP($A44,Números_Asignados,Puesto_Asignado," *** OJO *** ",0)</f>
        <v>Analista Comercial</v>
      </c>
    </row>
    <row r="45" ht="15.75" customHeight="1">
      <c r="A45" s="7">
        <v>3.931073856E9</v>
      </c>
      <c r="B45" s="7">
        <v>4.0</v>
      </c>
      <c r="C45" s="9">
        <v>549.0</v>
      </c>
      <c r="D45" s="7">
        <v>22.5</v>
      </c>
      <c r="E45" s="7" t="str">
        <f t="array" ref="E45">XLOOKUP($A45,Números_Asignados,Nombres_Directorio," *** OJO *** ",0)</f>
        <v>Jesús Bernardo Navarro Estrada</v>
      </c>
      <c r="F45" s="7" t="str">
        <f t="array" ref="F45">XLOOKUP($A45,Números_Asignados,Sucursal_Asignada," *** OJO *** ",0)</f>
        <v>La Barca</v>
      </c>
      <c r="G45" s="39" t="str">
        <f t="array" ref="G45">XLOOKUP($A45,Números_Asignados,Departamento_Asignado," *** OJO *** ",0)</f>
        <v>Maquinaria Agrícola y Construcción</v>
      </c>
      <c r="H45" s="39" t="str">
        <f t="array" ref="H45">XLOOKUP($A45,Números_Asignados,Puesto_Asignado," *** OJO *** ",0)</f>
        <v>Chofer</v>
      </c>
    </row>
    <row r="46" ht="15.75" customHeight="1">
      <c r="A46" s="7">
        <v>3.316160073E9</v>
      </c>
      <c r="B46" s="7">
        <v>4.0</v>
      </c>
      <c r="C46" s="9">
        <v>549.0</v>
      </c>
      <c r="D46" s="7">
        <v>22.5</v>
      </c>
      <c r="E46" s="7" t="str">
        <f t="array" ref="E46">XLOOKUP($A46,Números_Asignados,Nombres_Directorio," *** OJO *** ",0)</f>
        <v>Ricardo Covarrubias García</v>
      </c>
      <c r="F46" s="7" t="str">
        <f t="array" ref="F46">XLOOKUP($A46,Números_Asignados,Sucursal_Asignada," *** OJO *** ",0)</f>
        <v>La Barca</v>
      </c>
      <c r="G46" s="39" t="str">
        <f t="array" ref="G46">XLOOKUP($A46,Números_Asignados,Departamento_Asignado," *** OJO *** ",0)</f>
        <v>Maquinaria Agrícola y Construcción</v>
      </c>
      <c r="H46" s="39" t="str">
        <f t="array" ref="H46">XLOOKUP($A46,Números_Asignados,Puesto_Asignado," *** OJO *** ",0)</f>
        <v>Chofer</v>
      </c>
    </row>
    <row r="47" ht="15.75" customHeight="1">
      <c r="A47" s="7">
        <v>3.339580163E9</v>
      </c>
      <c r="B47" s="7">
        <v>1.0</v>
      </c>
      <c r="C47" s="9">
        <v>319.0</v>
      </c>
      <c r="D47" s="7">
        <v>9.0</v>
      </c>
      <c r="E47" s="7" t="str">
        <f t="array" ref="E47">XLOOKUP($A47,Números_Asignados,Nombres_Directorio," *** OJO *** ",0)</f>
        <v>Eduardo Guadalupe Gutierrez Rodríguez</v>
      </c>
      <c r="F47" s="7" t="str">
        <f t="array" ref="F47">XLOOKUP($A47,Números_Asignados,Sucursal_Asignada," *** OJO *** ",0)</f>
        <v>La Barca</v>
      </c>
      <c r="G47" s="39" t="str">
        <f t="array" ref="G47">XLOOKUP($A47,Números_Asignados,Departamento_Asignado," *** OJO *** ",0)</f>
        <v>Maquinaria Agrícola y Construcción</v>
      </c>
      <c r="H47" s="39" t="str">
        <f t="array" ref="H47">XLOOKUP($A47,Números_Asignados,Puesto_Asignado," *** OJO *** ",0)</f>
        <v>Implementero</v>
      </c>
    </row>
    <row r="48" ht="15.75" customHeight="1">
      <c r="A48" s="7">
        <v>3.316158093E9</v>
      </c>
      <c r="B48" s="7">
        <v>4.0</v>
      </c>
      <c r="C48" s="9">
        <v>549.0</v>
      </c>
      <c r="D48" s="7">
        <v>22.5</v>
      </c>
      <c r="E48" s="7" t="str">
        <f t="array" ref="E48">XLOOKUP($A48,Números_Asignados,Nombres_Directorio," *** OJO *** ",0)</f>
        <v>Daniel Gerardo Aviña Bravo</v>
      </c>
      <c r="F48" s="7" t="str">
        <f t="array" ref="F48">XLOOKUP($A48,Números_Asignados,Sucursal_Asignada," *** OJO *** ",0)</f>
        <v>La Barca</v>
      </c>
      <c r="G48" s="7" t="str">
        <f t="array" ref="G48">XLOOKUP($A48,Números_Asignados,Departamento_Asignado," *** OJO *** ",0)</f>
        <v>Maquinaria Agrícola</v>
      </c>
      <c r="H48" s="7" t="str">
        <f t="array" ref="H48">XLOOKUP($A48,Números_Asignados,Puesto_Asignado," *** OJO *** ",0)</f>
        <v>Asesor de Ventas</v>
      </c>
    </row>
    <row r="49" ht="15.75" customHeight="1">
      <c r="A49" s="7">
        <v>3.318218012E9</v>
      </c>
      <c r="B49" s="7">
        <v>4.0</v>
      </c>
      <c r="C49" s="9">
        <v>549.0</v>
      </c>
      <c r="D49" s="7">
        <v>22.5</v>
      </c>
      <c r="E49" s="7" t="str">
        <f t="array" ref="E49">XLOOKUP($A49,Números_Asignados,Nombres_Directorio," *** OJO *** ",0)</f>
        <v>Luis Felipe Barboza Román</v>
      </c>
      <c r="F49" s="7" t="str">
        <f t="array" ref="F49">XLOOKUP($A49,Números_Asignados,Sucursal_Asignada," *** OJO *** ",0)</f>
        <v>La Barca</v>
      </c>
      <c r="G49" s="7" t="str">
        <f t="array" ref="G49">XLOOKUP($A49,Números_Asignados,Departamento_Asignado," *** OJO *** ",0)</f>
        <v>Maquinaria Agrícola</v>
      </c>
      <c r="H49" s="7" t="str">
        <f t="array" ref="H49">XLOOKUP($A49,Números_Asignados,Puesto_Asignado," *** OJO *** ",0)</f>
        <v>Asesor de Ventas</v>
      </c>
    </row>
    <row r="50" ht="15.75" customHeight="1">
      <c r="A50" s="7">
        <v>3.318621158E9</v>
      </c>
      <c r="B50" s="7">
        <v>4.0</v>
      </c>
      <c r="C50" s="9">
        <v>549.0</v>
      </c>
      <c r="D50" s="7">
        <v>22.5</v>
      </c>
      <c r="E50" s="7" t="str">
        <f t="array" ref="E50">XLOOKUP($A50,Números_Asignados,Nombres_Directorio," *** OJO *** ",0)</f>
        <v>Guillermo Barboza Santiago</v>
      </c>
      <c r="F50" s="7" t="str">
        <f t="array" ref="F50">XLOOKUP($A50,Números_Asignados,Sucursal_Asignada," *** OJO *** ",0)</f>
        <v>La Barca</v>
      </c>
      <c r="G50" s="7" t="str">
        <f t="array" ref="G50">XLOOKUP($A50,Números_Asignados,Departamento_Asignado," *** OJO *** ",0)</f>
        <v>Maquinaria Agrícola</v>
      </c>
      <c r="H50" s="7" t="str">
        <f t="array" ref="H50">XLOOKUP($A50,Números_Asignados,Puesto_Asignado," *** OJO *** ",0)</f>
        <v>Asesor de Ventas</v>
      </c>
    </row>
    <row r="51" ht="15.75" customHeight="1">
      <c r="A51" s="7">
        <v>3.51111143E9</v>
      </c>
      <c r="B51" s="7">
        <v>4.0</v>
      </c>
      <c r="C51" s="9">
        <v>549.0</v>
      </c>
      <c r="D51" s="7">
        <v>22.5</v>
      </c>
      <c r="E51" s="7" t="str">
        <f t="array" ref="E51">XLOOKUP($A51,Números_Asignados,Nombres_Directorio," *** OJO *** ",0)</f>
        <v>Jesús Pérez Pérez</v>
      </c>
      <c r="F51" s="7" t="str">
        <f t="array" ref="F51">XLOOKUP($A51,Números_Asignados,Sucursal_Asignada," *** OJO *** ",0)</f>
        <v>La Barca</v>
      </c>
      <c r="G51" s="7" t="str">
        <f t="array" ref="G51">XLOOKUP($A51,Números_Asignados,Departamento_Asignado," *** OJO *** ",0)</f>
        <v>Maquinaria Agrícola</v>
      </c>
      <c r="H51" s="7" t="str">
        <f t="array" ref="H51">XLOOKUP($A51,Números_Asignados,Puesto_Asignado," *** OJO *** ",0)</f>
        <v>Asesor de Ventas</v>
      </c>
    </row>
    <row r="52" ht="15.75" customHeight="1">
      <c r="A52" s="7">
        <v>3.316091328E9</v>
      </c>
      <c r="B52" s="7">
        <v>4.0</v>
      </c>
      <c r="C52" s="9">
        <v>549.0</v>
      </c>
      <c r="D52" s="7">
        <v>22.5</v>
      </c>
      <c r="E52" s="7" t="str">
        <f t="array" ref="E52">XLOOKUP($A52,Números_Asignados,Nombres_Directorio," *** OJO *** ",0)</f>
        <v>Joaquín de Jesús Hernández Rojas</v>
      </c>
      <c r="F52" s="7" t="str">
        <f t="array" ref="F52">XLOOKUP($A52,Números_Asignados,Sucursal_Asignada," *** OJO *** ",0)</f>
        <v>La Barca</v>
      </c>
      <c r="G52" s="7" t="str">
        <f t="array" ref="G52">XLOOKUP($A52,Números_Asignados,Departamento_Asignado," *** OJO *** ",0)</f>
        <v>Maquinaria Agrícola</v>
      </c>
      <c r="H52" s="7" t="str">
        <f t="array" ref="H52">XLOOKUP($A52,Números_Asignados,Puesto_Asignado," *** OJO *** ",0)</f>
        <v>Asesor de Ventas</v>
      </c>
    </row>
    <row r="53" ht="15.75" customHeight="1">
      <c r="A53" s="7">
        <v>3.316106113E9</v>
      </c>
      <c r="B53" s="7">
        <v>4.0</v>
      </c>
      <c r="C53" s="9">
        <v>599.0</v>
      </c>
      <c r="D53" s="7">
        <v>22.5</v>
      </c>
      <c r="E53" s="7" t="str">
        <f t="array" ref="E53">XLOOKUP($A53,Números_Asignados,Nombres_Directorio," *** OJO *** ",0)</f>
        <v>Damián Zaragoza Hernández</v>
      </c>
      <c r="F53" s="7" t="str">
        <f t="array" ref="F53">XLOOKUP($A53,Números_Asignados,Sucursal_Asignada," *** OJO *** ",0)</f>
        <v>La Barca</v>
      </c>
      <c r="G53" s="7" t="str">
        <f t="array" ref="G53">XLOOKUP($A53,Números_Asignados,Departamento_Asignado," *** OJO *** ",0)</f>
        <v>Refacciones</v>
      </c>
      <c r="H53" s="7" t="str">
        <f t="array" ref="H53">XLOOKUP($A53,Números_Asignados,Puesto_Asignado," *** OJO *** ",0)</f>
        <v>Asesor de Refacciones Mostrador</v>
      </c>
    </row>
    <row r="54" ht="15.75" customHeight="1">
      <c r="A54" s="7">
        <v>3.316135604E9</v>
      </c>
      <c r="B54" s="7">
        <v>4.0</v>
      </c>
      <c r="C54" s="9">
        <v>549.0</v>
      </c>
      <c r="D54" s="7">
        <v>22.5</v>
      </c>
      <c r="E54" s="7" t="str">
        <f t="array" ref="E54">XLOOKUP($A54,Números_Asignados,Nombres_Directorio," *** OJO *** ",0)</f>
        <v>Luis Ernesto Santiago González</v>
      </c>
      <c r="F54" s="7" t="str">
        <f t="array" ref="F54">XLOOKUP($A54,Números_Asignados,Sucursal_Asignada," *** OJO *** ",0)</f>
        <v>La Barca</v>
      </c>
      <c r="G54" s="7" t="str">
        <f t="array" ref="G54">XLOOKUP($A54,Números_Asignados,Departamento_Asignado," *** OJO *** ",0)</f>
        <v>Maquinaria Agrícola</v>
      </c>
      <c r="H54" s="7" t="str">
        <f t="array" ref="H54">XLOOKUP($A54,Números_Asignados,Puesto_Asignado," *** OJO *** ",0)</f>
        <v>Asesor de Ventas</v>
      </c>
    </row>
    <row r="55" ht="15.75" customHeight="1">
      <c r="A55" s="7">
        <v>3.931047948E9</v>
      </c>
      <c r="B55" s="7">
        <v>4.0</v>
      </c>
      <c r="C55" s="9">
        <v>549.0</v>
      </c>
      <c r="D55" s="7">
        <v>22.5</v>
      </c>
      <c r="E55" s="7" t="str">
        <f t="array" ref="E55">XLOOKUP($A55,Números_Asignados,Nombres_Directorio," *** OJO *** ",0)</f>
        <v>María Guadalupe Aviña Cervantes</v>
      </c>
      <c r="F55" s="7" t="str">
        <f t="array" ref="F55">XLOOKUP($A55,Números_Asignados,Sucursal_Asignada," *** OJO *** ",0)</f>
        <v>La Barca</v>
      </c>
      <c r="G55" s="7" t="str">
        <f t="array" ref="G55">XLOOKUP($A55,Números_Asignados,Departamento_Asignado," *** OJO *** ",0)</f>
        <v>Maquinaria Agrícola</v>
      </c>
      <c r="H55" s="7" t="str">
        <f t="array" ref="H55">XLOOKUP($A55,Números_Asignados,Puesto_Asignado," *** OJO *** ",0)</f>
        <v>Asesor de Ventas</v>
      </c>
    </row>
    <row r="56" ht="15.75" customHeight="1">
      <c r="A56" s="7">
        <v>3.481082366E9</v>
      </c>
      <c r="B56" s="7">
        <v>4.0</v>
      </c>
      <c r="C56" s="9">
        <v>549.0</v>
      </c>
      <c r="D56" s="7">
        <v>22.5</v>
      </c>
      <c r="E56" s="7" t="str">
        <f t="array" ref="E56">XLOOKUP($A56,Números_Asignados,Nombres_Directorio," *** OJO *** ",0)</f>
        <v>Francisco Valadez Gaona</v>
      </c>
      <c r="F56" s="7" t="str">
        <f t="array" ref="F56">XLOOKUP($A56,Números_Asignados,Sucursal_Asignada," *** OJO *** ",0)</f>
        <v>La Barca</v>
      </c>
      <c r="G56" s="7" t="str">
        <f t="array" ref="G56">XLOOKUP($A56,Números_Asignados,Departamento_Asignado," *** OJO *** ",0)</f>
        <v>Maquinaria Construcción</v>
      </c>
      <c r="H56" s="7" t="str">
        <f t="array" ref="H56">XLOOKUP($A56,Números_Asignados,Puesto_Asignado," *** OJO *** ",0)</f>
        <v>Asesor de Ventas</v>
      </c>
    </row>
    <row r="57" ht="15.75" customHeight="1">
      <c r="A57" s="7">
        <v>3.781868861E9</v>
      </c>
      <c r="B57" s="7">
        <v>1.0</v>
      </c>
      <c r="C57" s="9">
        <v>269.0</v>
      </c>
      <c r="D57" s="7">
        <v>9.0</v>
      </c>
      <c r="E57" s="7" t="str">
        <f t="array" ref="E57">XLOOKUP($A57,Números_Asignados,Nombres_Directorio," *** OJO *** ",0)</f>
        <v>Andrea Guadalupe Cárdenas Cárdenas</v>
      </c>
      <c r="F57" s="7" t="str">
        <f t="array" ref="F57">XLOOKUP($A57,Números_Asignados,Sucursal_Asignada," *** OJO *** ",0)</f>
        <v>La Barca</v>
      </c>
      <c r="G57" s="7" t="str">
        <f t="array" ref="G57">XLOOKUP($A57,Números_Asignados,Departamento_Asignado," *** OJO *** ",0)</f>
        <v>Marketing</v>
      </c>
      <c r="H57" s="7" t="str">
        <f t="array" ref="H57">XLOOKUP($A57,Números_Asignados,Puesto_Asignado," *** OJO *** ",0)</f>
        <v>Asesor de Ventas en Línea</v>
      </c>
    </row>
    <row r="58" ht="15.75" customHeight="1">
      <c r="A58" s="7">
        <v>3.313697838E9</v>
      </c>
      <c r="B58" s="7">
        <v>1.0</v>
      </c>
      <c r="C58" s="9">
        <v>319.0</v>
      </c>
      <c r="D58" s="7">
        <v>9.0</v>
      </c>
      <c r="E58" s="7" t="str">
        <f t="array" ref="E58">XLOOKUP($A58,Números_Asignados,Nombres_Directorio," *** OJO *** ",0)</f>
        <v>Paola Fernanda Paz Valdez</v>
      </c>
      <c r="F58" s="7" t="str">
        <f t="array" ref="F58">XLOOKUP($A58,Números_Asignados,Sucursal_Asignada," *** OJO *** ",0)</f>
        <v>La Barca</v>
      </c>
      <c r="G58" s="7" t="str">
        <f t="array" ref="G58">XLOOKUP($A58,Números_Asignados,Departamento_Asignado," *** OJO *** ",0)</f>
        <v>Marketing</v>
      </c>
      <c r="H58" s="7" t="str">
        <f t="array" ref="H58">XLOOKUP($A58,Números_Asignados,Puesto_Asignado," *** OJO *** ",0)</f>
        <v>Marketing Digital</v>
      </c>
    </row>
    <row r="59" ht="15.75" customHeight="1">
      <c r="A59" s="7">
        <v>3.931042365E9</v>
      </c>
      <c r="B59" s="7">
        <v>4.0</v>
      </c>
      <c r="C59" s="9">
        <v>549.0</v>
      </c>
      <c r="D59" s="7">
        <v>22.5</v>
      </c>
      <c r="E59" s="7" t="str">
        <f t="array" ref="E59">XLOOKUP($A59,Números_Asignados,Nombres_Directorio," *** OJO *** ",0)</f>
        <v> *** OJO *** </v>
      </c>
      <c r="F59" s="7" t="str">
        <f t="array" ref="F59">XLOOKUP($A59,Números_Asignados,Sucursal_Asignada," *** OJO *** ",0)</f>
        <v> *** OJO *** </v>
      </c>
      <c r="G59" s="7" t="str">
        <f t="array" ref="G59">XLOOKUP($A59,Números_Asignados,Departamento_Asignado," *** OJO *** ",0)</f>
        <v> *** OJO *** </v>
      </c>
      <c r="H59" s="7" t="str">
        <f t="array" ref="H59">XLOOKUP($A59,Números_Asignados,Puesto_Asignado," *** OJO *** ",0)</f>
        <v> *** OJO *** </v>
      </c>
    </row>
    <row r="60" ht="15.75" customHeight="1">
      <c r="A60" s="7">
        <v>3.911750242E9</v>
      </c>
      <c r="B60" s="7">
        <v>1.0</v>
      </c>
      <c r="C60" s="9">
        <v>269.0</v>
      </c>
      <c r="D60" s="7">
        <v>9.0</v>
      </c>
      <c r="E60" s="7" t="str">
        <f t="array" ref="E60">XLOOKUP($A60,Números_Asignados,Nombres_Directorio," *** OJO *** ",0)</f>
        <v>Francisco Javier Ornelas Rosales</v>
      </c>
      <c r="F60" s="7" t="str">
        <f t="array" ref="F60">XLOOKUP($A60,Números_Asignados,Sucursal_Asignada," *** OJO *** ",0)</f>
        <v>La Barca</v>
      </c>
      <c r="G60" s="7" t="str">
        <f t="array" ref="G60">XLOOKUP($A60,Números_Asignados,Departamento_Asignado," *** OJO *** ",0)</f>
        <v>Parque Vehicular</v>
      </c>
      <c r="H60" s="7" t="str">
        <f t="array" ref="H60">XLOOKUP($A60,Números_Asignados,Puesto_Asignado," *** OJO *** ",0)</f>
        <v>Auxiliar Administrativo</v>
      </c>
    </row>
    <row r="61" ht="15.75" customHeight="1">
      <c r="A61" s="7">
        <v>3.931190277E9</v>
      </c>
      <c r="B61" s="7">
        <v>4.0</v>
      </c>
      <c r="C61" s="9">
        <v>549.0</v>
      </c>
      <c r="D61" s="7">
        <v>22.5</v>
      </c>
      <c r="E61" s="7" t="str">
        <f t="array" ref="E61">XLOOKUP($A61,Números_Asignados,Nombres_Directorio," *** OJO *** ",0)</f>
        <v>Michael Alberto Castro García</v>
      </c>
      <c r="F61" s="7" t="str">
        <f t="array" ref="F61">XLOOKUP($A61,Números_Asignados,Sucursal_Asignada," *** OJO *** ",0)</f>
        <v>La Barca</v>
      </c>
      <c r="G61" s="7" t="str">
        <f t="array" ref="G61">XLOOKUP($A61,Números_Asignados,Departamento_Asignado," *** OJO *** ",0)</f>
        <v>Parque Vehicular</v>
      </c>
      <c r="H61" s="7" t="str">
        <f t="array" ref="H61">XLOOKUP($A61,Números_Asignados,Puesto_Asignado," *** OJO *** ",0)</f>
        <v>Logística</v>
      </c>
    </row>
    <row r="62" ht="15.75" customHeight="1">
      <c r="A62" s="7">
        <v>3.316096709E9</v>
      </c>
      <c r="B62" s="7">
        <v>1.0</v>
      </c>
      <c r="C62" s="9">
        <v>269.0</v>
      </c>
      <c r="D62" s="7">
        <v>9.0</v>
      </c>
      <c r="E62" s="7" t="str">
        <f t="array" ref="E62">XLOOKUP($A62,Números_Asignados,Nombres_Directorio," *** OJO *** ",0)</f>
        <v>Juan Antonio Lara Mendoza</v>
      </c>
      <c r="F62" s="7" t="str">
        <f t="array" ref="F62">XLOOKUP($A62,Números_Asignados,Sucursal_Asignada," *** OJO *** ",0)</f>
        <v>La Barca</v>
      </c>
      <c r="G62" s="7" t="str">
        <f t="array" ref="G62">XLOOKUP($A62,Números_Asignados,Departamento_Asignado," *** OJO *** ",0)</f>
        <v>Parque Vehicular</v>
      </c>
      <c r="H62" s="7" t="str">
        <f t="array" ref="H62">XLOOKUP($A62,Números_Asignados,Puesto_Asignado," *** OJO *** ",0)</f>
        <v>Auxiliar Administrativo</v>
      </c>
    </row>
    <row r="63" ht="15.75" customHeight="1">
      <c r="A63" s="7">
        <v>3.316092672E9</v>
      </c>
      <c r="B63" s="7">
        <v>4.0</v>
      </c>
      <c r="C63" s="9">
        <v>549.0</v>
      </c>
      <c r="D63" s="7">
        <v>22.5</v>
      </c>
      <c r="E63" s="7" t="str">
        <f t="array" ref="E63">XLOOKUP($A63,Números_Asignados,Nombres_Directorio," *** OJO *** ",0)</f>
        <v>Pedro Garcia Lara</v>
      </c>
      <c r="F63" s="7" t="str">
        <f t="array" ref="F63">XLOOKUP($A63,Números_Asignados,Sucursal_Asignada," *** OJO *** ",0)</f>
        <v>La Barca</v>
      </c>
      <c r="G63" s="7" t="str">
        <f t="array" ref="G63">XLOOKUP($A63,Números_Asignados,Departamento_Asignado," *** OJO *** ",0)</f>
        <v>Refacciones</v>
      </c>
      <c r="H63" s="7" t="str">
        <f t="array" ref="H63">XLOOKUP($A63,Números_Asignados,Puesto_Asignado," *** OJO *** ",0)</f>
        <v>Asesor de Refacciones Campo</v>
      </c>
    </row>
    <row r="64" ht="15.75" customHeight="1">
      <c r="A64" s="7">
        <v>3.93100141E9</v>
      </c>
      <c r="B64" s="7">
        <v>4.0</v>
      </c>
      <c r="C64" s="9">
        <v>549.0</v>
      </c>
      <c r="D64" s="7">
        <v>22.5</v>
      </c>
      <c r="E64" s="7" t="str">
        <f t="array" ref="E64">XLOOKUP($A64,Números_Asignados,Nombres_Directorio," *** OJO *** ",0)</f>
        <v>Raúl Arzate Ortíz</v>
      </c>
      <c r="F64" s="7" t="str">
        <f t="array" ref="F64">XLOOKUP($A64,Números_Asignados,Sucursal_Asignada," *** OJO *** ",0)</f>
        <v>La Barca</v>
      </c>
      <c r="G64" s="7" t="str">
        <f t="array" ref="G64">XLOOKUP($A64,Números_Asignados,Departamento_Asignado," *** OJO *** ",0)</f>
        <v>Refacciones</v>
      </c>
      <c r="H64" s="7" t="str">
        <f t="array" ref="H64">XLOOKUP($A64,Números_Asignados,Puesto_Asignado," *** OJO *** ",0)</f>
        <v>Asesor de Refacciones Campo</v>
      </c>
    </row>
    <row r="65" ht="15.75" customHeight="1">
      <c r="A65" s="7">
        <v>3.316117782E9</v>
      </c>
      <c r="B65" s="7">
        <v>4.0</v>
      </c>
      <c r="C65" s="9">
        <v>549.0</v>
      </c>
      <c r="D65" s="7">
        <v>22.5</v>
      </c>
      <c r="E65" s="7" t="str">
        <f t="array" ref="E65">XLOOKUP($A65,Números_Asignados,Nombres_Directorio," *** OJO *** ",0)</f>
        <v>Carlos Eduardo Ortega Herrera</v>
      </c>
      <c r="F65" s="7" t="str">
        <f t="array" ref="F65">XLOOKUP($A65,Números_Asignados,Sucursal_Asignada," *** OJO *** ",0)</f>
        <v>La Barca</v>
      </c>
      <c r="G65" s="7" t="str">
        <f t="array" ref="G65">XLOOKUP($A65,Números_Asignados,Departamento_Asignado," *** OJO *** ",0)</f>
        <v>Refacciones</v>
      </c>
      <c r="H65" s="7" t="str">
        <f t="array" ref="H65">XLOOKUP($A65,Números_Asignados,Puesto_Asignado," *** OJO *** ",0)</f>
        <v>Asesor de Refacciones Campo</v>
      </c>
    </row>
    <row r="66" ht="15.75" customHeight="1">
      <c r="A66" s="7">
        <v>7.531200508E9</v>
      </c>
      <c r="B66" s="7">
        <v>1.0</v>
      </c>
      <c r="C66" s="9">
        <v>269.0</v>
      </c>
      <c r="D66" s="7">
        <v>9.0</v>
      </c>
      <c r="E66" s="7" t="str">
        <f t="array" ref="E66">XLOOKUP($A66,Números_Asignados,Nombres_Directorio," *** OJO *** ",0)</f>
        <v>Félix Antonio Román Becerra</v>
      </c>
      <c r="F66" s="7" t="str">
        <f t="array" ref="F66">XLOOKUP($A66,Números_Asignados,Sucursal_Asignada," *** OJO *** ",0)</f>
        <v>La Barca</v>
      </c>
      <c r="G66" s="7" t="str">
        <f t="array" ref="G66">XLOOKUP($A66,Números_Asignados,Departamento_Asignado," *** OJO *** ",0)</f>
        <v>Refacciones</v>
      </c>
      <c r="H66" s="7" t="str">
        <f t="array" ref="H66">XLOOKUP($A66,Números_Asignados,Puesto_Asignado," *** OJO *** ",0)</f>
        <v>Encargado de Refacciones Sucursal</v>
      </c>
    </row>
    <row r="67" ht="15.75" customHeight="1">
      <c r="A67" s="7">
        <v>3.316094471E9</v>
      </c>
      <c r="B67" s="7">
        <v>1.0</v>
      </c>
      <c r="C67" s="9">
        <v>319.0</v>
      </c>
      <c r="D67" s="7">
        <v>9.0</v>
      </c>
      <c r="E67" s="7" t="str">
        <f t="array" ref="E67">XLOOKUP($A67,Números_Asignados,Nombres_Directorio," *** OJO *** ",0)</f>
        <v>Andrea Becerra Cisneros</v>
      </c>
      <c r="F67" s="7" t="str">
        <f t="array" ref="F67">XLOOKUP($A67,Números_Asignados,Sucursal_Asignada," *** OJO *** ",0)</f>
        <v>La Barca</v>
      </c>
      <c r="G67" s="7" t="str">
        <f t="array" ref="G67">XLOOKUP($A67,Números_Asignados,Departamento_Asignado," *** OJO *** ",0)</f>
        <v>Servicio</v>
      </c>
      <c r="H67" s="7" t="str">
        <f t="array" ref="H67">XLOOKUP($A67,Números_Asignados,Puesto_Asignado," *** OJO *** ",0)</f>
        <v>Auxiliar Administrativo</v>
      </c>
    </row>
    <row r="68" ht="15.75" customHeight="1">
      <c r="A68" s="7">
        <v>3.931078005E9</v>
      </c>
      <c r="B68" s="7">
        <v>4.0</v>
      </c>
      <c r="C68" s="9">
        <v>549.0</v>
      </c>
      <c r="D68" s="7">
        <v>22.5</v>
      </c>
      <c r="E68" s="7" t="str">
        <f t="array" ref="E68">XLOOKUP($A68,Números_Asignados,Nombres_Directorio," *** OJO *** ",0)</f>
        <v>Luis Enrique Nuñez Nuñez</v>
      </c>
      <c r="F68" s="7" t="str">
        <f t="array" ref="F68">XLOOKUP($A68,Números_Asignados,Sucursal_Asignada," *** OJO *** ",0)</f>
        <v>La Barca</v>
      </c>
      <c r="G68" s="7" t="str">
        <f t="array" ref="G68">XLOOKUP($A68,Números_Asignados,Departamento_Asignado," *** OJO *** ",0)</f>
        <v>Servicio</v>
      </c>
      <c r="H68" s="7" t="str">
        <f t="array" ref="H68">XLOOKUP($A68,Números_Asignados,Puesto_Asignado," *** OJO *** ",0)</f>
        <v>Jefe de Taller</v>
      </c>
    </row>
    <row r="69" ht="15.75" customHeight="1">
      <c r="A69" s="7">
        <v>3.31609388E9</v>
      </c>
      <c r="B69" s="7">
        <v>4.0</v>
      </c>
      <c r="C69" s="9">
        <v>599.0</v>
      </c>
      <c r="D69" s="7">
        <v>22.5</v>
      </c>
      <c r="E69" s="7" t="str">
        <f t="array" ref="E69">XLOOKUP($A69,Números_Asignados,Nombres_Directorio," *** OJO *** ",0)</f>
        <v>Jaime García García</v>
      </c>
      <c r="F69" s="7" t="str">
        <f t="array" ref="F69">XLOOKUP($A69,Números_Asignados,Sucursal_Asignada," *** OJO *** ",0)</f>
        <v>La Barca</v>
      </c>
      <c r="G69" s="7" t="str">
        <f t="array" ref="G69">XLOOKUP($A69,Números_Asignados,Departamento_Asignado," *** OJO *** ",0)</f>
        <v>Servicio</v>
      </c>
      <c r="H69" s="7" t="str">
        <f t="array" ref="H69">XLOOKUP($A69,Números_Asignados,Puesto_Asignado," *** OJO *** ",0)</f>
        <v>Jefe de Técnicos</v>
      </c>
    </row>
    <row r="70" ht="15.75" customHeight="1">
      <c r="A70" s="7">
        <v>3.337194504E9</v>
      </c>
      <c r="B70" s="7">
        <v>4.0</v>
      </c>
      <c r="C70" s="9">
        <v>549.0</v>
      </c>
      <c r="D70" s="7">
        <v>22.5</v>
      </c>
      <c r="E70" s="7" t="str">
        <f t="array" ref="E70">XLOOKUP($A70,Números_Asignados,Nombres_Directorio," *** OJO *** ",0)</f>
        <v>Antonio López Silva</v>
      </c>
      <c r="F70" s="7" t="str">
        <f t="array" ref="F70">XLOOKUP($A70,Números_Asignados,Sucursal_Asignada," *** OJO *** ",0)</f>
        <v>La Barca</v>
      </c>
      <c r="G70" s="7" t="str">
        <f t="array" ref="G70">XLOOKUP($A70,Números_Asignados,Departamento_Asignado," *** OJO *** ",0)</f>
        <v>Servicio</v>
      </c>
      <c r="H70" s="7" t="str">
        <f t="array" ref="H70">XLOOKUP($A70,Números_Asignados,Puesto_Asignado," *** OJO *** ",0)</f>
        <v>Jefe de Técnicos Gama Alta</v>
      </c>
    </row>
    <row r="71" ht="15.75" customHeight="1">
      <c r="A71" s="27">
        <v>3.93100134E9</v>
      </c>
      <c r="B71" s="27">
        <v>4.0</v>
      </c>
      <c r="C71" s="45">
        <v>549.0</v>
      </c>
      <c r="D71" s="27">
        <v>22.5</v>
      </c>
      <c r="E71" s="27" t="str">
        <f t="array" ref="E71">XLOOKUP($A71,Números_Asignados,Nombres_Directorio," *** OJO *** ",0)</f>
        <v> *** OJO *** </v>
      </c>
      <c r="F71" s="27" t="str">
        <f t="array" ref="F71">XLOOKUP($A71,Números_Asignados,Sucursal_Asignada," *** OJO *** ",0)</f>
        <v> *** OJO *** </v>
      </c>
      <c r="G71" s="27" t="str">
        <f t="array" ref="G71">XLOOKUP($A71,Números_Asignados,Departamento_Asignado," *** OJO *** ",0)</f>
        <v> *** OJO *** </v>
      </c>
      <c r="H71" s="27" t="str">
        <f t="array" ref="H71">XLOOKUP($A71,Números_Asignados,Puesto_Asignado," *** OJO *** ",0)</f>
        <v> *** OJO *** </v>
      </c>
      <c r="I71" s="35" t="s">
        <v>880</v>
      </c>
    </row>
    <row r="72" ht="15.75" customHeight="1">
      <c r="A72" s="7">
        <v>3.931079811E9</v>
      </c>
      <c r="B72" s="7">
        <v>4.0</v>
      </c>
      <c r="C72" s="9">
        <v>549.0</v>
      </c>
      <c r="D72" s="7">
        <v>22.5</v>
      </c>
      <c r="E72" s="7" t="str">
        <f t="array" ref="E72">XLOOKUP($A72,Números_Asignados,Nombres_Directorio," *** OJO *** ",0)</f>
        <v>Andrés García García</v>
      </c>
      <c r="F72" s="7" t="str">
        <f t="array" ref="F72">XLOOKUP($A72,Números_Asignados,Sucursal_Asignada," *** OJO *** ",0)</f>
        <v>La Barca</v>
      </c>
      <c r="G72" s="7" t="str">
        <f t="array" ref="G72">XLOOKUP($A72,Números_Asignados,Departamento_Asignado," *** OJO *** ",0)</f>
        <v>Servicio</v>
      </c>
      <c r="H72" s="7" t="str">
        <f t="array" ref="H72">XLOOKUP($A72,Números_Asignados,Puesto_Asignado," *** OJO *** ",0)</f>
        <v>Técnico</v>
      </c>
    </row>
    <row r="73" ht="15.75" customHeight="1">
      <c r="A73" s="7">
        <v>3.931073736E9</v>
      </c>
      <c r="B73" s="7">
        <v>4.0</v>
      </c>
      <c r="C73" s="9">
        <v>549.0</v>
      </c>
      <c r="D73" s="7">
        <v>22.5</v>
      </c>
      <c r="E73" s="7" t="str">
        <f t="array" ref="E73">XLOOKUP($A73,Números_Asignados,Nombres_Directorio," *** OJO *** ",0)</f>
        <v>Jesús Eduardo Guerrero Zuñiga</v>
      </c>
      <c r="F73" s="7" t="str">
        <f t="array" ref="F73">XLOOKUP($A73,Números_Asignados,Sucursal_Asignada," *** OJO *** ",0)</f>
        <v>La Barca</v>
      </c>
      <c r="G73" s="7" t="str">
        <f t="array" ref="G73">XLOOKUP($A73,Números_Asignados,Departamento_Asignado," *** OJO *** ",0)</f>
        <v>Servicio</v>
      </c>
      <c r="H73" s="7" t="str">
        <f t="array" ref="H73">XLOOKUP($A73,Números_Asignados,Puesto_Asignado," *** OJO *** ",0)</f>
        <v>Técnico</v>
      </c>
    </row>
    <row r="74" ht="15.75" customHeight="1">
      <c r="A74" s="7">
        <v>3.931078067E9</v>
      </c>
      <c r="B74" s="7">
        <v>1.0</v>
      </c>
      <c r="C74" s="9">
        <v>269.0</v>
      </c>
      <c r="D74" s="7">
        <v>9.0</v>
      </c>
      <c r="E74" s="7" t="str">
        <f t="array" ref="E74">XLOOKUP($A74,Números_Asignados,Nombres_Directorio," *** OJO *** ",0)</f>
        <v>Félix Eugenio Ávalos Hernández</v>
      </c>
      <c r="F74" s="7" t="str">
        <f t="array" ref="F74">XLOOKUP($A74,Números_Asignados,Sucursal_Asignada," *** OJO *** ",0)</f>
        <v>La Barca</v>
      </c>
      <c r="G74" s="7" t="str">
        <f t="array" ref="G74">XLOOKUP($A74,Números_Asignados,Departamento_Asignado," *** OJO *** ",0)</f>
        <v>Servicio</v>
      </c>
      <c r="H74" s="7" t="str">
        <f t="array" ref="H74">XLOOKUP($A74,Números_Asignados,Puesto_Asignado," *** OJO *** ",0)</f>
        <v>Telemetría</v>
      </c>
    </row>
    <row r="75" ht="15.75" customHeight="1">
      <c r="A75" s="7">
        <v>3.781868859E9</v>
      </c>
      <c r="B75" s="7">
        <v>4.0</v>
      </c>
      <c r="C75" s="9">
        <v>549.0</v>
      </c>
      <c r="D75" s="7">
        <v>22.5</v>
      </c>
      <c r="E75" s="7" t="str">
        <f t="array" ref="E75">XLOOKUP($A75,Números_Asignados,Nombres_Directorio," *** OJO *** ",0)</f>
        <v>Lucia Guadalupe Trujillo Rodríguez</v>
      </c>
      <c r="F75" s="7" t="str">
        <f t="array" ref="F75">XLOOKUP($A75,Números_Asignados,Sucursal_Asignada," *** OJO *** ",0)</f>
        <v>La Barca</v>
      </c>
      <c r="G75" s="7" t="str">
        <f t="array" ref="G75">XLOOKUP($A75,Números_Asignados,Departamento_Asignado," *** OJO *** ",0)</f>
        <v>Sistemas</v>
      </c>
      <c r="H75" s="7" t="str">
        <f t="array" ref="H75">XLOOKUP($A75,Números_Asignados,Puesto_Asignado," *** OJO *** ",0)</f>
        <v>Auxiliar de Sistemas</v>
      </c>
    </row>
    <row r="76" ht="15.75" customHeight="1">
      <c r="A76" s="7">
        <v>3.911039008E9</v>
      </c>
      <c r="B76" s="7">
        <v>1.0</v>
      </c>
      <c r="C76" s="9">
        <v>269.0</v>
      </c>
      <c r="D76" s="7">
        <v>9.0</v>
      </c>
      <c r="E76" s="7" t="str">
        <f t="array" ref="E76">XLOOKUP($A76,Números_Asignados,Nombres_Directorio," *** OJO *** ",0)</f>
        <v>Juan Martín Campos Rodríguez</v>
      </c>
      <c r="F76" s="7" t="str">
        <f t="array" ref="F76">XLOOKUP($A76,Números_Asignados,Sucursal_Asignada," *** OJO *** ",0)</f>
        <v>La Barca</v>
      </c>
      <c r="G76" s="7" t="str">
        <f t="array" ref="G76">XLOOKUP($A76,Números_Asignados,Departamento_Asignado," *** OJO *** ",0)</f>
        <v>Vigilancia</v>
      </c>
      <c r="H76" s="7" t="str">
        <f t="array" ref="H76">XLOOKUP($A76,Números_Asignados,Puesto_Asignado," *** OJO *** ",0)</f>
        <v>Guardia</v>
      </c>
    </row>
    <row r="77" ht="15.75" customHeight="1">
      <c r="A77" s="7">
        <v>3.931196104E9</v>
      </c>
      <c r="B77" s="7">
        <v>4.0</v>
      </c>
      <c r="C77" s="9">
        <v>549.0</v>
      </c>
      <c r="D77" s="7">
        <v>22.5</v>
      </c>
      <c r="E77" s="7" t="str">
        <f t="array" ref="E77">XLOOKUP($A77,Números_Asignados,Nombres_Directorio," *** OJO *** ",0)</f>
        <v>José Luis Flores Barragán </v>
      </c>
      <c r="F77" s="7" t="str">
        <f t="array" ref="F77">XLOOKUP($A77,Números_Asignados,Sucursal_Asignada," *** OJO *** ",0)</f>
        <v>La Barca</v>
      </c>
      <c r="G77" s="7" t="str">
        <f t="array" ref="G77">XLOOKUP($A77,Números_Asignados,Departamento_Asignado," *** OJO *** ",0)</f>
        <v>Maquinaria Agrícola</v>
      </c>
      <c r="H77" s="7" t="str">
        <f t="array" ref="H77">XLOOKUP($A77,Números_Asignados,Puesto_Asignado," *** OJO *** ",0)</f>
        <v>Asesor de Ventas</v>
      </c>
    </row>
    <row r="78" ht="15.75" customHeight="1">
      <c r="A78" s="7">
        <v>3.52138702E9</v>
      </c>
      <c r="B78" s="7">
        <v>4.0</v>
      </c>
      <c r="C78" s="9">
        <v>549.0</v>
      </c>
      <c r="D78" s="7">
        <v>22.5</v>
      </c>
      <c r="E78" s="7" t="str">
        <f t="array" ref="E78">XLOOKUP($A78,Números_Asignados,Nombres_Directorio," *** OJO *** ",0)</f>
        <v>Diego Alejandro Núñez Fuentes</v>
      </c>
      <c r="F78" s="7" t="str">
        <f t="array" ref="F78">XLOOKUP($A78,Números_Asignados,Sucursal_Asignada," *** OJO *** ",0)</f>
        <v>La Piedad</v>
      </c>
      <c r="G78" s="7" t="str">
        <f t="array" ref="G78">XLOOKUP($A78,Números_Asignados,Departamento_Asignado," *** OJO *** ",0)</f>
        <v>Agricultura Inteligente</v>
      </c>
      <c r="H78" s="7" t="str">
        <f t="array" ref="H78">XLOOKUP($A78,Números_Asignados,Puesto_Asignado," *** OJO *** ",0)</f>
        <v>Asesor de Ventas</v>
      </c>
    </row>
    <row r="79" ht="15.75" customHeight="1">
      <c r="A79" s="7">
        <v>3.931190074E9</v>
      </c>
      <c r="B79" s="7">
        <v>4.0</v>
      </c>
      <c r="C79" s="9">
        <v>549.0</v>
      </c>
      <c r="D79" s="7">
        <v>22.5</v>
      </c>
      <c r="E79" s="7" t="str">
        <f t="array" ref="E79">XLOOKUP($A79,Números_Asignados,Nombres_Directorio," *** OJO *** ",0)</f>
        <v>Francisco Villalobos Sánchez</v>
      </c>
      <c r="F79" s="7" t="str">
        <f t="array" ref="F79">XLOOKUP($A79,Números_Asignados,Sucursal_Asignada," *** OJO *** ",0)</f>
        <v>La Piedad</v>
      </c>
      <c r="G79" s="7" t="str">
        <f t="array" ref="G79">XLOOKUP($A79,Números_Asignados,Departamento_Asignado," *** OJO *** ",0)</f>
        <v>Agricultura Inteligente</v>
      </c>
      <c r="H79" s="7" t="str">
        <f t="array" ref="H79">XLOOKUP($A79,Números_Asignados,Puesto_Asignado," *** OJO *** ",0)</f>
        <v>Asesor de Ventas</v>
      </c>
    </row>
    <row r="80" ht="15.75" customHeight="1">
      <c r="A80" s="7">
        <v>3.931001477E9</v>
      </c>
      <c r="B80" s="7">
        <v>1.0</v>
      </c>
      <c r="C80" s="9">
        <v>269.0</v>
      </c>
      <c r="D80" s="7">
        <v>9.0</v>
      </c>
      <c r="E80" s="7" t="str">
        <f t="array" ref="E80">XLOOKUP($A80,Números_Asignados,Nombres_Directorio," *** OJO *** ",0)</f>
        <v>Alicia Viridiana Rodríguez Paredes</v>
      </c>
      <c r="F80" s="7" t="str">
        <f t="array" ref="F80">XLOOKUP($A80,Números_Asignados,Sucursal_Asignada," *** OJO *** ",0)</f>
        <v>La Piedad</v>
      </c>
      <c r="G80" s="7" t="str">
        <f t="array" ref="G80">XLOOKUP($A80,Números_Asignados,Departamento_Asignado," *** OJO *** ",0)</f>
        <v>Maquinaria Agrícola y Construcción</v>
      </c>
      <c r="H80" s="7" t="str">
        <f t="array" ref="H80">XLOOKUP($A80,Números_Asignados,Puesto_Asignado," *** OJO *** ",0)</f>
        <v>Auxiliar Administrativo</v>
      </c>
    </row>
    <row r="81" ht="15.75" customHeight="1">
      <c r="A81" s="7">
        <v>3.316094916E9</v>
      </c>
      <c r="B81" s="7">
        <v>4.0</v>
      </c>
      <c r="C81" s="9">
        <v>549.0</v>
      </c>
      <c r="D81" s="7">
        <v>22.5</v>
      </c>
      <c r="E81" s="7" t="str">
        <f t="array" ref="E81">XLOOKUP($A81,Números_Asignados,Nombres_Directorio," *** OJO *** ",0)</f>
        <v>Juan Carlos Morales Hernández</v>
      </c>
      <c r="F81" s="7" t="str">
        <f t="array" ref="F81">XLOOKUP($A81,Números_Asignados,Sucursal_Asignada," *** OJO *** ",0)</f>
        <v>La Piedad</v>
      </c>
      <c r="G81" s="7" t="str">
        <f t="array" ref="G81">XLOOKUP($A81,Números_Asignados,Departamento_Asignado," *** OJO *** ",0)</f>
        <v>Maquinaria Agrícola y Construcción</v>
      </c>
      <c r="H81" s="7" t="str">
        <f t="array" ref="H81">XLOOKUP($A81,Números_Asignados,Puesto_Asignado," *** OJO *** ",0)</f>
        <v>Chofer</v>
      </c>
    </row>
    <row r="82" ht="15.75" customHeight="1">
      <c r="A82" s="7">
        <v>3.315684816E9</v>
      </c>
      <c r="B82" s="7">
        <v>4.0</v>
      </c>
      <c r="C82" s="9">
        <v>599.0</v>
      </c>
      <c r="D82" s="7">
        <v>22.5</v>
      </c>
      <c r="E82" s="7" t="str">
        <f t="array" ref="E82">XLOOKUP($A82,Números_Asignados,Nombres_Directorio," *** OJO *** ",0)</f>
        <v>Fernando Barboza Román</v>
      </c>
      <c r="F82" s="7" t="str">
        <f t="array" ref="F82">XLOOKUP($A82,Números_Asignados,Sucursal_Asignada," *** OJO *** ",0)</f>
        <v>La Piedad</v>
      </c>
      <c r="G82" s="7" t="str">
        <f t="array" ref="G82">XLOOKUP($A82,Números_Asignados,Departamento_Asignado," *** OJO *** ",0)</f>
        <v>Maquinaria Agrícola y Construcción</v>
      </c>
      <c r="H82" s="7" t="str">
        <f t="array" ref="H82">XLOOKUP($A82,Números_Asignados,Puesto_Asignado," *** OJO *** ",0)</f>
        <v>Gerente de Sucursal</v>
      </c>
    </row>
    <row r="83" ht="15.75" customHeight="1">
      <c r="A83" s="7">
        <v>3.316133712E9</v>
      </c>
      <c r="B83" s="7">
        <v>4.0</v>
      </c>
      <c r="C83" s="9">
        <v>549.0</v>
      </c>
      <c r="D83" s="7">
        <v>22.5</v>
      </c>
      <c r="E83" s="7" t="str">
        <f t="array" ref="E83">XLOOKUP($A83,Números_Asignados,Nombres_Directorio," *** OJO *** ",0)</f>
        <v>Guillermo Sahagún Cervantes</v>
      </c>
      <c r="F83" s="7" t="str">
        <f t="array" ref="F83">XLOOKUP($A83,Números_Asignados,Sucursal_Asignada," *** OJO *** ",0)</f>
        <v>La Piedad</v>
      </c>
      <c r="G83" s="7" t="str">
        <f t="array" ref="G83">XLOOKUP($A83,Números_Asignados,Departamento_Asignado," *** OJO *** ",0)</f>
        <v>Maquinaria Agrícola</v>
      </c>
      <c r="H83" s="7" t="str">
        <f t="array" ref="H83">XLOOKUP($A83,Números_Asignados,Puesto_Asignado," *** OJO *** ",0)</f>
        <v>Asesor de Ventas</v>
      </c>
    </row>
    <row r="84" ht="15.75" customHeight="1">
      <c r="A84" s="7">
        <v>3.338560241E9</v>
      </c>
      <c r="B84" s="7">
        <v>4.0</v>
      </c>
      <c r="C84" s="9">
        <v>549.0</v>
      </c>
      <c r="D84" s="7">
        <v>22.5</v>
      </c>
      <c r="E84" s="7" t="str">
        <f t="array" ref="E84">XLOOKUP($A84,Números_Asignados,Nombres_Directorio," *** OJO *** ",0)</f>
        <v>Marco Dario Martínez Álvarez</v>
      </c>
      <c r="F84" s="7" t="str">
        <f t="array" ref="F84">XLOOKUP($A84,Números_Asignados,Sucursal_Asignada," *** OJO *** ",0)</f>
        <v>La Piedad</v>
      </c>
      <c r="G84" s="7" t="str">
        <f t="array" ref="G84">XLOOKUP($A84,Números_Asignados,Departamento_Asignado," *** OJO *** ",0)</f>
        <v>Maquinaria Agrícola</v>
      </c>
      <c r="H84" s="7" t="str">
        <f t="array" ref="H84">XLOOKUP($A84,Números_Asignados,Puesto_Asignado," *** OJO *** ",0)</f>
        <v>Asesor de Ventas</v>
      </c>
    </row>
    <row r="85" ht="15.75" customHeight="1">
      <c r="A85" s="27">
        <v>3.931190275E9</v>
      </c>
      <c r="B85" s="27">
        <v>4.0</v>
      </c>
      <c r="C85" s="45">
        <v>549.0</v>
      </c>
      <c r="D85" s="27">
        <v>22.5</v>
      </c>
      <c r="E85" s="27" t="str">
        <f t="array" ref="E85">XLOOKUP($A85,Números_Asignados,Nombres_Directorio," *** OJO *** ",0)</f>
        <v> *** OJO *** </v>
      </c>
      <c r="F85" s="27" t="str">
        <f t="array" ref="F85">XLOOKUP($A85,Números_Asignados,Sucursal_Asignada," *** OJO *** ",0)</f>
        <v> *** OJO *** </v>
      </c>
      <c r="G85" s="27" t="str">
        <f t="array" ref="G85">XLOOKUP($A85,Números_Asignados,Departamento_Asignado," *** OJO *** ",0)</f>
        <v> *** OJO *** </v>
      </c>
      <c r="H85" s="27" t="str">
        <f t="array" ref="H85">XLOOKUP($A85,Números_Asignados,Puesto_Asignado," *** OJO *** ",0)</f>
        <v> *** OJO *** </v>
      </c>
      <c r="I85" s="35" t="s">
        <v>880</v>
      </c>
    </row>
    <row r="86" ht="15.75" customHeight="1">
      <c r="A86" s="7">
        <v>3.316129046E9</v>
      </c>
      <c r="B86" s="7">
        <v>4.0</v>
      </c>
      <c r="C86" s="9">
        <v>549.0</v>
      </c>
      <c r="D86" s="7">
        <v>22.5</v>
      </c>
      <c r="E86" s="7" t="str">
        <f t="array" ref="E86">XLOOKUP($A86,Números_Asignados,Nombres_Directorio," *** OJO *** ",0)</f>
        <v>Rafael Godínez Ramirez</v>
      </c>
      <c r="F86" s="7" t="str">
        <f t="array" ref="F86">XLOOKUP($A86,Números_Asignados,Sucursal_Asignada," *** OJO *** ",0)</f>
        <v>La Piedad</v>
      </c>
      <c r="G86" s="7" t="str">
        <f t="array" ref="G86">XLOOKUP($A86,Números_Asignados,Departamento_Asignado," *** OJO *** ",0)</f>
        <v>Maquinaria Agrícola</v>
      </c>
      <c r="H86" s="7" t="str">
        <f t="array" ref="H86">XLOOKUP($A86,Números_Asignados,Puesto_Asignado," *** OJO *** ",0)</f>
        <v>Asesor de Ventas</v>
      </c>
    </row>
    <row r="87" ht="15.75" customHeight="1">
      <c r="A87" s="7">
        <v>3.316147399E9</v>
      </c>
      <c r="B87" s="7">
        <v>4.0</v>
      </c>
      <c r="C87" s="9">
        <v>549.0</v>
      </c>
      <c r="D87" s="7">
        <v>22.5</v>
      </c>
      <c r="E87" s="7" t="str">
        <f t="array" ref="E87">XLOOKUP($A87,Números_Asignados,Nombres_Directorio," *** OJO *** ",0)</f>
        <v>Marco Antonio Falcón Ramirez</v>
      </c>
      <c r="F87" s="7" t="str">
        <f t="array" ref="F87">XLOOKUP($A87,Números_Asignados,Sucursal_Asignada," *** OJO *** ",0)</f>
        <v>La Piedad</v>
      </c>
      <c r="G87" s="7" t="str">
        <f t="array" ref="G87">XLOOKUP($A87,Números_Asignados,Departamento_Asignado," *** OJO *** ",0)</f>
        <v>Maquinaria Construcción</v>
      </c>
      <c r="H87" s="7" t="str">
        <f t="array" ref="H87">XLOOKUP($A87,Números_Asignados,Puesto_Asignado," *** OJO *** ",0)</f>
        <v>Asesor de Ventas</v>
      </c>
    </row>
    <row r="88" ht="15.75" customHeight="1">
      <c r="A88" s="7">
        <v>3.338560382E9</v>
      </c>
      <c r="B88" s="7">
        <v>4.0</v>
      </c>
      <c r="C88" s="9">
        <v>549.0</v>
      </c>
      <c r="D88" s="7">
        <v>22.5</v>
      </c>
      <c r="E88" s="7" t="str">
        <f t="array" ref="E88">XLOOKUP($A88,Números_Asignados,Nombres_Directorio," *** OJO *** ",0)</f>
        <v>Manuel Martínez Rizo</v>
      </c>
      <c r="F88" s="7" t="str">
        <f t="array" ref="F88">XLOOKUP($A88,Números_Asignados,Sucursal_Asignada," *** OJO *** ",0)</f>
        <v>La Piedad</v>
      </c>
      <c r="G88" s="7" t="str">
        <f t="array" ref="G88">XLOOKUP($A88,Números_Asignados,Departamento_Asignado," *** OJO *** ",0)</f>
        <v>Refacciones</v>
      </c>
      <c r="H88" s="7" t="str">
        <f t="array" ref="H88">XLOOKUP($A88,Números_Asignados,Puesto_Asignado," *** OJO *** ",0)</f>
        <v>Asesor de Refacciones Campo</v>
      </c>
    </row>
    <row r="89" ht="15.75" customHeight="1">
      <c r="A89" s="7">
        <v>3.521471232E9</v>
      </c>
      <c r="B89" s="7">
        <v>4.0</v>
      </c>
      <c r="C89" s="9">
        <v>549.0</v>
      </c>
      <c r="D89" s="7">
        <v>22.5</v>
      </c>
      <c r="E89" s="7" t="str">
        <f t="array" ref="E89">XLOOKUP($A89,Números_Asignados,Nombres_Directorio," *** OJO *** ",0)</f>
        <v>Uziel Sánchez Martínez</v>
      </c>
      <c r="F89" s="7" t="str">
        <f t="array" ref="F89">XLOOKUP($A89,Números_Asignados,Sucursal_Asignada," *** OJO *** ",0)</f>
        <v>La Piedad</v>
      </c>
      <c r="G89" s="7" t="str">
        <f t="array" ref="G89">XLOOKUP($A89,Números_Asignados,Departamento_Asignado," *** OJO *** ",0)</f>
        <v>Refacciones</v>
      </c>
      <c r="H89" s="7" t="str">
        <f t="array" ref="H89">XLOOKUP($A89,Números_Asignados,Puesto_Asignado," *** OJO *** ",0)</f>
        <v>Asesor de Refacciones Campo</v>
      </c>
    </row>
    <row r="90" ht="15.75" customHeight="1">
      <c r="A90" s="7">
        <v>3.31613378E9</v>
      </c>
      <c r="B90" s="7">
        <v>4.0</v>
      </c>
      <c r="C90" s="9">
        <v>599.0</v>
      </c>
      <c r="D90" s="7">
        <v>22.5</v>
      </c>
      <c r="E90" s="7" t="str">
        <f t="array" ref="E90">XLOOKUP($A90,Números_Asignados,Nombres_Directorio," *** OJO *** ",0)</f>
        <v>Elsa Guadalupe Ramírez López</v>
      </c>
      <c r="F90" s="7" t="str">
        <f t="array" ref="F90">XLOOKUP($A90,Números_Asignados,Sucursal_Asignada," *** OJO *** ",0)</f>
        <v>La Piedad</v>
      </c>
      <c r="G90" s="7" t="str">
        <f t="array" ref="G90">XLOOKUP($A90,Números_Asignados,Departamento_Asignado," *** OJO *** ",0)</f>
        <v>Refacciones</v>
      </c>
      <c r="H90" s="7" t="str">
        <f t="array" ref="H90">XLOOKUP($A90,Números_Asignados,Puesto_Asignado," *** OJO *** ",0)</f>
        <v>Encargado de Refacciones Sucursal</v>
      </c>
    </row>
    <row r="91" ht="15.75" customHeight="1">
      <c r="A91" s="7">
        <v>3.316114768E9</v>
      </c>
      <c r="B91" s="7">
        <v>1.0</v>
      </c>
      <c r="C91" s="9">
        <v>269.0</v>
      </c>
      <c r="D91" s="7">
        <v>9.0</v>
      </c>
      <c r="E91" s="7" t="str">
        <f t="array" ref="E91">XLOOKUP($A91,Números_Asignados,Nombres_Directorio," *** OJO *** ",0)</f>
        <v>Abraham Rodríguez Mendoza</v>
      </c>
      <c r="F91" s="7" t="str">
        <f t="array" ref="F91">XLOOKUP($A91,Números_Asignados,Sucursal_Asignada," *** OJO *** ",0)</f>
        <v>La Piedad</v>
      </c>
      <c r="G91" s="7" t="str">
        <f t="array" ref="G91">XLOOKUP($A91,Números_Asignados,Departamento_Asignado," *** OJO *** ",0)</f>
        <v>Servicio</v>
      </c>
      <c r="H91" s="7" t="str">
        <f t="array" ref="H91">XLOOKUP($A91,Números_Asignados,Puesto_Asignado," *** OJO *** ",0)</f>
        <v>Jefe de Taller</v>
      </c>
    </row>
    <row r="92" ht="15.75" customHeight="1">
      <c r="A92" s="7">
        <v>3.318629135E9</v>
      </c>
      <c r="B92" s="7">
        <v>4.0</v>
      </c>
      <c r="C92" s="9">
        <v>549.0</v>
      </c>
      <c r="D92" s="7">
        <v>22.5</v>
      </c>
      <c r="E92" s="7" t="str">
        <f t="array" ref="E92">XLOOKUP($A92,Números_Asignados,Nombres_Directorio," *** OJO *** ",0)</f>
        <v>María Fernanda Navarro Salazar</v>
      </c>
      <c r="F92" s="7" t="str">
        <f t="array" ref="F92">XLOOKUP($A92,Números_Asignados,Sucursal_Asignada," *** OJO *** ",0)</f>
        <v>La Piedad</v>
      </c>
      <c r="G92" s="7" t="str">
        <f t="array" ref="G92">XLOOKUP($A92,Números_Asignados,Departamento_Asignado," *** OJO *** ",0)</f>
        <v>Servicio</v>
      </c>
      <c r="H92" s="7" t="str">
        <f t="array" ref="H92">XLOOKUP($A92,Números_Asignados,Puesto_Asignado," *** OJO *** ",0)</f>
        <v>Auxiliar Administrativo</v>
      </c>
    </row>
    <row r="93" ht="15.75" customHeight="1">
      <c r="A93" s="7">
        <v>4.432078351E9</v>
      </c>
      <c r="B93" s="7">
        <v>1.0</v>
      </c>
      <c r="C93" s="9">
        <v>269.0</v>
      </c>
      <c r="D93" s="7">
        <v>9.0</v>
      </c>
      <c r="E93" s="7" t="str">
        <f t="array" ref="E93">XLOOKUP($A93,Números_Asignados,Nombres_Directorio," *** OJO *** ",0)</f>
        <v>Karla Edith Escalante Rodríguez</v>
      </c>
      <c r="F93" s="7" t="str">
        <f t="array" ref="F93">XLOOKUP($A93,Números_Asignados,Sucursal_Asignada," *** OJO *** ",0)</f>
        <v>Morelia</v>
      </c>
      <c r="G93" s="7" t="str">
        <f t="array" ref="G93">XLOOKUP($A93,Números_Asignados,Departamento_Asignado," *** OJO *** ",0)</f>
        <v>Maquinaria Agrícola y Construcción</v>
      </c>
      <c r="H93" s="7" t="str">
        <f t="array" ref="H93">XLOOKUP($A93,Números_Asignados,Puesto_Asignado," *** OJO *** ",0)</f>
        <v>Auxiliar Administrativo</v>
      </c>
    </row>
    <row r="94" ht="15.75" customHeight="1">
      <c r="A94" s="7">
        <v>3.321842313E9</v>
      </c>
      <c r="B94" s="7">
        <v>4.0</v>
      </c>
      <c r="C94" s="9">
        <v>549.0</v>
      </c>
      <c r="D94" s="7">
        <v>22.5</v>
      </c>
      <c r="E94" s="7" t="str">
        <f t="array" ref="E94">XLOOKUP($A94,Números_Asignados,Nombres_Directorio," *** OJO *** ",0)</f>
        <v>Silvia Janeth Meza Segura</v>
      </c>
      <c r="F94" s="7" t="str">
        <f t="array" ref="F94">XLOOKUP($A94,Números_Asignados,Sucursal_Asignada," *** OJO *** ",0)</f>
        <v>Morelia</v>
      </c>
      <c r="G94" s="7" t="str">
        <f t="array" ref="G94">XLOOKUP($A94,Números_Asignados,Departamento_Asignado," *** OJO *** ",0)</f>
        <v>Maquinaria Agrícola y Construcción</v>
      </c>
      <c r="H94" s="7" t="str">
        <f t="array" ref="H94">XLOOKUP($A94,Números_Asignados,Puesto_Asignado," *** OJO *** ",0)</f>
        <v>Gerente de Sucursal</v>
      </c>
    </row>
    <row r="95" ht="15.75" customHeight="1">
      <c r="A95" s="7">
        <v>4.434913907E9</v>
      </c>
      <c r="B95" s="7">
        <v>4.0</v>
      </c>
      <c r="C95" s="9">
        <v>549.0</v>
      </c>
      <c r="D95" s="7">
        <v>22.5</v>
      </c>
      <c r="E95" s="7" t="str">
        <f t="array" ref="E95">XLOOKUP($A95,Números_Asignados,Nombres_Directorio," *** OJO *** ",0)</f>
        <v>Ana Gabriela Trejo Loza</v>
      </c>
      <c r="F95" s="7" t="str">
        <f t="array" ref="F95">XLOOKUP($A95,Números_Asignados,Sucursal_Asignada," *** OJO *** ",0)</f>
        <v>Morelia</v>
      </c>
      <c r="G95" s="7" t="str">
        <f t="array" ref="G95">XLOOKUP($A95,Números_Asignados,Departamento_Asignado," *** OJO *** ",0)</f>
        <v>Maquinaria Agrícola</v>
      </c>
      <c r="H95" s="7" t="str">
        <f t="array" ref="H95">XLOOKUP($A95,Números_Asignados,Puesto_Asignado," *** OJO *** ",0)</f>
        <v>Asesor de Ventas</v>
      </c>
    </row>
    <row r="96" ht="15.75" customHeight="1">
      <c r="A96" s="7">
        <v>7.531153361E9</v>
      </c>
      <c r="B96" s="7">
        <v>4.0</v>
      </c>
      <c r="C96" s="9">
        <v>549.0</v>
      </c>
      <c r="D96" s="7">
        <v>22.5</v>
      </c>
      <c r="E96" s="7" t="str">
        <f t="array" ref="E96">XLOOKUP($A96,Números_Asignados,Nombres_Directorio," *** OJO *** ",0)</f>
        <v>Hugo César Bucio López</v>
      </c>
      <c r="F96" s="7" t="str">
        <f t="array" ref="F96">XLOOKUP($A96,Números_Asignados,Sucursal_Asignada," *** OJO *** ",0)</f>
        <v>Morelia</v>
      </c>
      <c r="G96" s="7" t="str">
        <f t="array" ref="G96">XLOOKUP($A96,Números_Asignados,Departamento_Asignado," *** OJO *** ",0)</f>
        <v>Maquinaria Agrícola</v>
      </c>
      <c r="H96" s="7" t="str">
        <f t="array" ref="H96">XLOOKUP($A96,Números_Asignados,Puesto_Asignado," *** OJO *** ",0)</f>
        <v>Asesor de Ventas</v>
      </c>
    </row>
    <row r="97" ht="15.75" customHeight="1">
      <c r="A97" s="7">
        <v>4.431415536E9</v>
      </c>
      <c r="B97" s="7">
        <v>4.0</v>
      </c>
      <c r="C97" s="9">
        <v>549.0</v>
      </c>
      <c r="D97" s="7">
        <v>22.5</v>
      </c>
      <c r="E97" s="7" t="str">
        <f t="array" ref="E97">XLOOKUP($A97,Números_Asignados,Nombres_Directorio," *** OJO *** ",0)</f>
        <v>Jaime Salazar Guzmán</v>
      </c>
      <c r="F97" s="7" t="str">
        <f t="array" ref="F97">XLOOKUP($A97,Números_Asignados,Sucursal_Asignada," *** OJO *** ",0)</f>
        <v>Morelia</v>
      </c>
      <c r="G97" s="7" t="str">
        <f t="array" ref="G97">XLOOKUP($A97,Números_Asignados,Departamento_Asignado," *** OJO *** ",0)</f>
        <v>Refacciones</v>
      </c>
      <c r="H97" s="7" t="str">
        <f t="array" ref="H97">XLOOKUP($A97,Números_Asignados,Puesto_Asignado," *** OJO *** ",0)</f>
        <v>Asesor de Refacciones Campo</v>
      </c>
    </row>
    <row r="98" ht="15.75" customHeight="1">
      <c r="A98" s="7">
        <v>4.432276388E9</v>
      </c>
      <c r="B98" s="7">
        <v>4.0</v>
      </c>
      <c r="C98" s="9">
        <v>549.0</v>
      </c>
      <c r="D98" s="7">
        <v>22.5</v>
      </c>
      <c r="E98" s="7" t="str">
        <f t="array" ref="E98">XLOOKUP($A98,Números_Asignados,Nombres_Directorio," *** OJO *** ",0)</f>
        <v>Juan Pablo Tapia García</v>
      </c>
      <c r="F98" s="7" t="str">
        <f t="array" ref="F98">XLOOKUP($A98,Números_Asignados,Sucursal_Asignada," *** OJO *** ",0)</f>
        <v>Morelia</v>
      </c>
      <c r="G98" s="7" t="str">
        <f t="array" ref="G98">XLOOKUP($A98,Números_Asignados,Departamento_Asignado," *** OJO *** ",0)</f>
        <v>Maquinaria Agrícola</v>
      </c>
      <c r="H98" s="7" t="str">
        <f t="array" ref="H98">XLOOKUP($A98,Números_Asignados,Puesto_Asignado," *** OJO *** ",0)</f>
        <v>Asesor de Ventas</v>
      </c>
    </row>
    <row r="99" ht="15.75" customHeight="1">
      <c r="A99" s="7">
        <v>4.431281396E9</v>
      </c>
      <c r="B99" s="7">
        <v>4.0</v>
      </c>
      <c r="C99" s="9">
        <v>549.0</v>
      </c>
      <c r="D99" s="7">
        <v>22.5</v>
      </c>
      <c r="E99" s="7" t="str">
        <f t="array" ref="E99">XLOOKUP($A99,Números_Asignados,Nombres_Directorio," *** OJO *** ",0)</f>
        <v> *** OJO *** </v>
      </c>
      <c r="F99" s="7" t="str">
        <f t="array" ref="F99">XLOOKUP($A99,Números_Asignados,Sucursal_Asignada," *** OJO *** ",0)</f>
        <v> *** OJO *** </v>
      </c>
      <c r="G99" s="7" t="str">
        <f t="array" ref="G99">XLOOKUP($A99,Números_Asignados,Departamento_Asignado," *** OJO *** ",0)</f>
        <v> *** OJO *** </v>
      </c>
      <c r="H99" s="7" t="str">
        <f t="array" ref="H99">XLOOKUP($A99,Números_Asignados,Puesto_Asignado," *** OJO *** ",0)</f>
        <v> *** OJO *** </v>
      </c>
    </row>
    <row r="100" ht="15.75" customHeight="1">
      <c r="A100" s="7">
        <v>3.316135271E9</v>
      </c>
      <c r="B100" s="7">
        <v>4.0</v>
      </c>
      <c r="C100" s="9">
        <v>549.0</v>
      </c>
      <c r="D100" s="7">
        <v>22.5</v>
      </c>
      <c r="E100" s="7" t="str">
        <f t="array" ref="E100">XLOOKUP($A100,Números_Asignados,Nombres_Directorio," *** OJO *** ",0)</f>
        <v>Roberto Adrián Ferreira Muñiz</v>
      </c>
      <c r="F100" s="7" t="str">
        <f t="array" ref="F100">XLOOKUP($A100,Números_Asignados,Sucursal_Asignada," *** OJO *** ",0)</f>
        <v>Morelia</v>
      </c>
      <c r="G100" s="7" t="str">
        <f t="array" ref="G100">XLOOKUP($A100,Números_Asignados,Departamento_Asignado," *** OJO *** ",0)</f>
        <v>Maquinaria Agrícola</v>
      </c>
      <c r="H100" s="7" t="str">
        <f t="array" ref="H100">XLOOKUP($A100,Números_Asignados,Puesto_Asignado," *** OJO *** ",0)</f>
        <v>Asesor de Ventas</v>
      </c>
    </row>
    <row r="101" ht="15.75" customHeight="1">
      <c r="A101" s="7">
        <v>4.434913915E9</v>
      </c>
      <c r="B101" s="7">
        <v>4.0</v>
      </c>
      <c r="C101" s="9">
        <v>549.0</v>
      </c>
      <c r="D101" s="7">
        <v>22.5</v>
      </c>
      <c r="E101" s="7" t="str">
        <f t="array" ref="E101">XLOOKUP($A101,Números_Asignados,Nombres_Directorio," *** OJO *** ",0)</f>
        <v>José Juan Hernández Zavala </v>
      </c>
      <c r="F101" s="7" t="str">
        <f t="array" ref="F101">XLOOKUP($A101,Números_Asignados,Sucursal_Asignada," *** OJO *** ",0)</f>
        <v>Morelia</v>
      </c>
      <c r="G101" s="7" t="str">
        <f t="array" ref="G101">XLOOKUP($A101,Números_Asignados,Departamento_Asignado," *** OJO *** ",0)</f>
        <v>Maquinaria Construcción</v>
      </c>
      <c r="H101" s="7" t="str">
        <f t="array" ref="H101">XLOOKUP($A101,Números_Asignados,Puesto_Asignado," *** OJO *** ",0)</f>
        <v>Asesor de Ventas</v>
      </c>
    </row>
    <row r="102" ht="15.75" customHeight="1">
      <c r="A102" s="7">
        <v>4.434108665E9</v>
      </c>
      <c r="B102" s="7">
        <v>1.0</v>
      </c>
      <c r="C102" s="9">
        <v>269.0</v>
      </c>
      <c r="D102" s="7">
        <v>9.0</v>
      </c>
      <c r="E102" s="7" t="str">
        <f t="array" ref="E102">XLOOKUP($A102,Números_Asignados,Nombres_Directorio," *** OJO *** ",0)</f>
        <v>Vacante</v>
      </c>
      <c r="F102" s="7" t="str">
        <f t="array" ref="F102">XLOOKUP($A102,Números_Asignados,Sucursal_Asignada," *** OJO *** ",0)</f>
        <v>Morelia</v>
      </c>
      <c r="G102" s="7" t="str">
        <f t="array" ref="G102">XLOOKUP($A102,Números_Asignados,Departamento_Asignado," *** OJO *** ",0)</f>
        <v>Refacciones</v>
      </c>
      <c r="H102" s="7" t="str">
        <f t="array" ref="H102">XLOOKUP($A102,Números_Asignados,Puesto_Asignado," *** OJO *** ",0)</f>
        <v>Asesor de Refacciones Campo</v>
      </c>
    </row>
    <row r="103" ht="15.75" customHeight="1">
      <c r="A103" s="7">
        <v>4.434913911E9</v>
      </c>
      <c r="B103" s="7">
        <v>4.0</v>
      </c>
      <c r="C103" s="9">
        <v>549.0</v>
      </c>
      <c r="D103" s="7">
        <v>22.5</v>
      </c>
      <c r="E103" s="7" t="str">
        <f t="array" ref="E103">XLOOKUP($A103,Números_Asignados,Nombres_Directorio," *** OJO *** ",0)</f>
        <v> *** OJO *** </v>
      </c>
      <c r="F103" s="7" t="str">
        <f t="array" ref="F103">XLOOKUP($A103,Números_Asignados,Sucursal_Asignada," *** OJO *** ",0)</f>
        <v> *** OJO *** </v>
      </c>
      <c r="G103" s="7" t="str">
        <f t="array" ref="G103">XLOOKUP($A103,Números_Asignados,Departamento_Asignado," *** OJO *** ",0)</f>
        <v> *** OJO *** </v>
      </c>
      <c r="H103" s="7" t="str">
        <f t="array" ref="H103">XLOOKUP($A103,Números_Asignados,Puesto_Asignado," *** OJO *** ",0)</f>
        <v> *** OJO *** </v>
      </c>
    </row>
    <row r="104" ht="15.75" customHeight="1">
      <c r="A104" s="7">
        <v>3.93104207E9</v>
      </c>
      <c r="B104" s="7">
        <v>4.0</v>
      </c>
      <c r="C104" s="9">
        <v>549.0</v>
      </c>
      <c r="D104" s="7">
        <v>22.5</v>
      </c>
      <c r="E104" s="7" t="s">
        <v>1006</v>
      </c>
      <c r="F104" s="7" t="str">
        <f t="array" ref="F104">XLOOKUP($A104,Números_Asignados,Sucursal_Asignada," *** OJO *** ",0)</f>
        <v> *** OJO *** </v>
      </c>
      <c r="G104" s="7" t="str">
        <f t="array" ref="G104">XLOOKUP($A104,Números_Asignados,Departamento_Asignado," *** OJO *** ",0)</f>
        <v> *** OJO *** </v>
      </c>
      <c r="H104" s="7" t="str">
        <f t="array" ref="H104">XLOOKUP($A104,Números_Asignados,Puesto_Asignado," *** OJO *** ",0)</f>
        <v> *** OJO *** </v>
      </c>
    </row>
    <row r="105" ht="15.75" customHeight="1">
      <c r="A105" s="7">
        <v>4.431677121E9</v>
      </c>
      <c r="B105" s="7">
        <v>4.0</v>
      </c>
      <c r="C105" s="9">
        <v>549.0</v>
      </c>
      <c r="D105" s="7">
        <v>22.5</v>
      </c>
      <c r="E105" s="7" t="str">
        <f t="array" ref="E105">XLOOKUP($A105,Números_Asignados,Nombres_Directorio," *** OJO *** ",0)</f>
        <v>Yadira Torres Barajas</v>
      </c>
      <c r="F105" s="7" t="str">
        <f t="array" ref="F105">XLOOKUP($A105,Números_Asignados,Sucursal_Asignada," *** OJO *** ",0)</f>
        <v>Morelia</v>
      </c>
      <c r="G105" s="7" t="str">
        <f t="array" ref="G105">XLOOKUP($A105,Números_Asignados,Departamento_Asignado," *** OJO *** ",0)</f>
        <v>Refacciones</v>
      </c>
      <c r="H105" s="7" t="str">
        <f t="array" ref="H105">XLOOKUP($A105,Números_Asignados,Puesto_Asignado," *** OJO *** ",0)</f>
        <v>Encargado de Refacciones Sucursal</v>
      </c>
    </row>
    <row r="106" ht="15.75" customHeight="1">
      <c r="A106" s="7">
        <v>4.434913913E9</v>
      </c>
      <c r="B106" s="7">
        <v>1.0</v>
      </c>
      <c r="C106" s="9">
        <v>269.0</v>
      </c>
      <c r="D106" s="7">
        <v>9.0</v>
      </c>
      <c r="E106" s="7" t="str">
        <f t="array" ref="E106">XLOOKUP($A106,Números_Asignados,Nombres_Directorio," *** OJO *** ",0)</f>
        <v>Gabriela González Hinojosa</v>
      </c>
      <c r="F106" s="7" t="str">
        <f t="array" ref="F106">XLOOKUP($A106,Números_Asignados,Sucursal_Asignada," *** OJO *** ",0)</f>
        <v>Morelia</v>
      </c>
      <c r="G106" s="7" t="str">
        <f t="array" ref="G106">XLOOKUP($A106,Números_Asignados,Departamento_Asignado," *** OJO *** ",0)</f>
        <v>Servicio</v>
      </c>
      <c r="H106" s="7" t="str">
        <f t="array" ref="H106">XLOOKUP($A106,Números_Asignados,Puesto_Asignado," *** OJO *** ",0)</f>
        <v>Auxiliar Administrativo</v>
      </c>
    </row>
    <row r="107" ht="15.75" customHeight="1">
      <c r="A107" s="7">
        <v>4.434108329E9</v>
      </c>
      <c r="B107" s="7">
        <v>4.0</v>
      </c>
      <c r="C107" s="9">
        <v>549.0</v>
      </c>
      <c r="D107" s="7">
        <v>22.5</v>
      </c>
      <c r="E107" s="7" t="str">
        <f t="array" ref="E107">XLOOKUP($A107,Números_Asignados,Nombres_Directorio," *** OJO *** ",0)</f>
        <v>Vacante Jefe de Taller Morelia</v>
      </c>
      <c r="F107" s="7" t="str">
        <f t="array" ref="F107">XLOOKUP($A107,Números_Asignados,Sucursal_Asignada," *** OJO *** ",0)</f>
        <v>Morelia</v>
      </c>
      <c r="G107" s="7" t="str">
        <f t="array" ref="G107">XLOOKUP($A107,Números_Asignados,Departamento_Asignado," *** OJO *** ",0)</f>
        <v>Servicio</v>
      </c>
      <c r="H107" s="7" t="str">
        <f t="array" ref="H107">XLOOKUP($A107,Números_Asignados,Puesto_Asignado," *** OJO *** ",0)</f>
        <v>Jefe de Taller</v>
      </c>
    </row>
    <row r="108" ht="15.75" customHeight="1">
      <c r="A108" s="7">
        <v>3.931073664E9</v>
      </c>
      <c r="B108" s="7">
        <v>1.0</v>
      </c>
      <c r="C108" s="9">
        <v>269.0</v>
      </c>
      <c r="D108" s="7">
        <v>9.0</v>
      </c>
      <c r="E108" s="7" t="str">
        <f t="array" ref="E108">XLOOKUP($A108,Números_Asignados,Nombres_Directorio," *** OJO *** ",0)</f>
        <v>Nancy Yaneth Arroyo Cabello</v>
      </c>
      <c r="F108" s="7" t="str">
        <f t="array" ref="F108">XLOOKUP($A108,Números_Asignados,Sucursal_Asignada," *** OJO *** ",0)</f>
        <v>Pénjamo</v>
      </c>
      <c r="G108" s="7" t="str">
        <f t="array" ref="G108">XLOOKUP($A108,Números_Asignados,Departamento_Asignado," *** OJO *** ",0)</f>
        <v>Maquinaria Agrícola y Construcción</v>
      </c>
      <c r="H108" s="7" t="str">
        <f t="array" ref="H108">XLOOKUP($A108,Números_Asignados,Puesto_Asignado," *** OJO *** ",0)</f>
        <v>Auxiliar Administrativo</v>
      </c>
    </row>
    <row r="109" ht="15.75" customHeight="1">
      <c r="A109" s="7">
        <v>3.931196086E9</v>
      </c>
      <c r="B109" s="7">
        <v>4.0</v>
      </c>
      <c r="C109" s="9">
        <v>549.0</v>
      </c>
      <c r="D109" s="7">
        <v>22.5</v>
      </c>
      <c r="E109" s="7" t="str">
        <f t="array" ref="E109">XLOOKUP($A109,Números_Asignados,Nombres_Directorio," *** OJO *** ",0)</f>
        <v>Vacante Chofer</v>
      </c>
      <c r="F109" s="7" t="str">
        <f t="array" ref="F109">XLOOKUP($A109,Números_Asignados,Sucursal_Asignada," *** OJO *** ",0)</f>
        <v>Pénjamo</v>
      </c>
      <c r="G109" s="7" t="str">
        <f t="array" ref="G109">XLOOKUP($A109,Números_Asignados,Departamento_Asignado," *** OJO *** ",0)</f>
        <v>Maquinaria Agrícola y Construcción</v>
      </c>
      <c r="H109" s="7" t="str">
        <f t="array" ref="H109">XLOOKUP($A109,Números_Asignados,Puesto_Asignado," *** OJO *** ",0)</f>
        <v>Chofer</v>
      </c>
    </row>
    <row r="110" ht="15.75" customHeight="1">
      <c r="A110" s="7">
        <v>3.33152505E9</v>
      </c>
      <c r="B110" s="7">
        <v>4.0</v>
      </c>
      <c r="C110" s="9">
        <v>599.0</v>
      </c>
      <c r="D110" s="7">
        <v>22.5</v>
      </c>
      <c r="E110" s="7" t="str">
        <f t="array" ref="E110">XLOOKUP($A110,Números_Asignados,Nombres_Directorio," *** OJO *** ",0)</f>
        <v>Gerardo Damián Contreras Aguilar</v>
      </c>
      <c r="F110" s="7" t="str">
        <f t="array" ref="F110">XLOOKUP($A110,Números_Asignados,Sucursal_Asignada," *** OJO *** ",0)</f>
        <v>Pénjamo</v>
      </c>
      <c r="G110" s="7" t="str">
        <f t="array" ref="G110">XLOOKUP($A110,Números_Asignados,Departamento_Asignado," *** OJO *** ",0)</f>
        <v>Maquinaria Agrícola y Construcción</v>
      </c>
      <c r="H110" s="7" t="str">
        <f t="array" ref="H110">XLOOKUP($A110,Números_Asignados,Puesto_Asignado," *** OJO *** ",0)</f>
        <v>Gerente de Sucursal</v>
      </c>
    </row>
    <row r="111" ht="15.75" customHeight="1">
      <c r="A111" s="7">
        <v>3.931171122E9</v>
      </c>
      <c r="B111" s="7">
        <v>4.0</v>
      </c>
      <c r="C111" s="9">
        <v>549.0</v>
      </c>
      <c r="D111" s="7">
        <v>22.5</v>
      </c>
      <c r="E111" s="7" t="str">
        <f t="array" ref="E111">XLOOKUP($A111,Números_Asignados,Nombres_Directorio," *** OJO *** ",0)</f>
        <v>Isidro Navarro Ibarra</v>
      </c>
      <c r="F111" s="7" t="str">
        <f t="array" ref="F111">XLOOKUP($A111,Números_Asignados,Sucursal_Asignada," *** OJO *** ",0)</f>
        <v>Pénjamo</v>
      </c>
      <c r="G111" s="7" t="str">
        <f t="array" ref="G111">XLOOKUP($A111,Números_Asignados,Departamento_Asignado," *** OJO *** ",0)</f>
        <v>Maquinaria Agrícola y Construcción</v>
      </c>
      <c r="H111" s="7" t="str">
        <f t="array" ref="H111">XLOOKUP($A111,Números_Asignados,Puesto_Asignado," *** OJO *** ",0)</f>
        <v>Implementero</v>
      </c>
    </row>
    <row r="112" ht="15.75" customHeight="1">
      <c r="A112" s="7">
        <v>3.316097328E9</v>
      </c>
      <c r="B112" s="7">
        <v>4.0</v>
      </c>
      <c r="C112" s="9">
        <v>549.0</v>
      </c>
      <c r="D112" s="7">
        <v>22.5</v>
      </c>
      <c r="E112" s="7" t="str">
        <f t="array" ref="E112">XLOOKUP($A112,Números_Asignados,Nombres_Directorio," *** OJO *** ",0)</f>
        <v>Irving Josue Vega Ibarra</v>
      </c>
      <c r="F112" s="7" t="str">
        <f t="array" ref="F112">XLOOKUP($A112,Números_Asignados,Sucursal_Asignada," *** OJO *** ",0)</f>
        <v>Pénjamo</v>
      </c>
      <c r="G112" s="7" t="str">
        <f t="array" ref="G112">XLOOKUP($A112,Números_Asignados,Departamento_Asignado," *** OJO *** ",0)</f>
        <v>Maquinaria Agrícola</v>
      </c>
      <c r="H112" s="7" t="str">
        <f t="array" ref="H112">XLOOKUP($A112,Números_Asignados,Puesto_Asignado," *** OJO *** ",0)</f>
        <v>Asesor de Ventas</v>
      </c>
    </row>
    <row r="113" ht="15.75" customHeight="1">
      <c r="A113" s="7">
        <v>4.433031171E9</v>
      </c>
      <c r="B113" s="7">
        <v>4.0</v>
      </c>
      <c r="C113" s="9">
        <v>599.0</v>
      </c>
      <c r="D113" s="7">
        <v>22.5</v>
      </c>
      <c r="E113" s="7" t="str">
        <f t="array" ref="E113">XLOOKUP($A113,Números_Asignados,Nombres_Directorio," *** OJO *** ",0)</f>
        <v>Rodolfo Rico Uribe</v>
      </c>
      <c r="F113" s="7" t="str">
        <f t="array" ref="F113">XLOOKUP($A113,Números_Asignados,Sucursal_Asignada," *** OJO *** ",0)</f>
        <v>Pénjamo</v>
      </c>
      <c r="G113" s="7" t="str">
        <f t="array" ref="G113">XLOOKUP($A113,Números_Asignados,Departamento_Asignado," *** OJO *** ",0)</f>
        <v>Maquinaria Agrícola</v>
      </c>
      <c r="H113" s="7" t="str">
        <f t="array" ref="H113">XLOOKUP($A113,Números_Asignados,Puesto_Asignado," *** OJO *** ",0)</f>
        <v>Asesor de Ventas</v>
      </c>
    </row>
    <row r="114" ht="15.75" customHeight="1">
      <c r="A114" s="7">
        <v>3.316106051E9</v>
      </c>
      <c r="B114" s="7">
        <v>4.0</v>
      </c>
      <c r="C114" s="9">
        <v>549.0</v>
      </c>
      <c r="D114" s="7">
        <v>22.5</v>
      </c>
      <c r="E114" s="7" t="str">
        <f t="array" ref="E114">XLOOKUP($A114,Números_Asignados,Nombres_Directorio," *** OJO *** ",0)</f>
        <v>Santiago Cruz Elizarraras</v>
      </c>
      <c r="F114" s="7" t="str">
        <f t="array" ref="F114">XLOOKUP($A114,Números_Asignados,Sucursal_Asignada," *** OJO *** ",0)</f>
        <v>Pénjamo</v>
      </c>
      <c r="G114" s="7" t="str">
        <f t="array" ref="G114">XLOOKUP($A114,Números_Asignados,Departamento_Asignado," *** OJO *** ",0)</f>
        <v>Maquinaria Agrícola</v>
      </c>
      <c r="H114" s="7" t="str">
        <f t="array" ref="H114">XLOOKUP($A114,Números_Asignados,Puesto_Asignado," *** OJO *** ",0)</f>
        <v>Asesor de Ventas</v>
      </c>
    </row>
    <row r="115" ht="15.75" customHeight="1">
      <c r="A115" s="7">
        <v>4.691215969E9</v>
      </c>
      <c r="B115" s="7">
        <v>4.0</v>
      </c>
      <c r="C115" s="9">
        <v>549.0</v>
      </c>
      <c r="D115" s="7">
        <v>22.5</v>
      </c>
      <c r="E115" s="7" t="str">
        <f t="array" ref="E115">XLOOKUP($A115,Números_Asignados,Nombres_Directorio," *** OJO *** ",0)</f>
        <v>Alan Ricardo Estrada Duarte</v>
      </c>
      <c r="F115" s="7" t="str">
        <f t="array" ref="F115">XLOOKUP($A115,Números_Asignados,Sucursal_Asignada," *** OJO *** ",0)</f>
        <v>Pénjamo</v>
      </c>
      <c r="G115" s="7" t="str">
        <f t="array" ref="G115">XLOOKUP($A115,Números_Asignados,Departamento_Asignado," *** OJO *** ",0)</f>
        <v>Maquinaria Construcción</v>
      </c>
      <c r="H115" s="7" t="str">
        <f t="array" ref="H115">XLOOKUP($A115,Números_Asignados,Puesto_Asignado," *** OJO *** ",0)</f>
        <v>Asesor de Ventas</v>
      </c>
    </row>
    <row r="116" ht="15.75" customHeight="1">
      <c r="A116" s="7">
        <v>3.921057608E9</v>
      </c>
      <c r="B116" s="7">
        <v>4.0</v>
      </c>
      <c r="C116" s="9">
        <v>549.0</v>
      </c>
      <c r="D116" s="7">
        <v>22.5</v>
      </c>
      <c r="E116" s="7" t="str">
        <f t="array" ref="E116">XLOOKUP($A116,Números_Asignados,Nombres_Directorio," *** OJO *** ",0)</f>
        <v>Juan Pablo Frausto Cervantes</v>
      </c>
      <c r="F116" s="7" t="str">
        <f t="array" ref="F116">XLOOKUP($A116,Números_Asignados,Sucursal_Asignada," *** OJO *** ",0)</f>
        <v>Pénjamo</v>
      </c>
      <c r="G116" s="7" t="str">
        <f t="array" ref="G116">XLOOKUP($A116,Números_Asignados,Departamento_Asignado," *** OJO *** ",0)</f>
        <v>Maquinaria Construcción</v>
      </c>
      <c r="H116" s="7" t="str">
        <f t="array" ref="H116">XLOOKUP($A116,Números_Asignados,Puesto_Asignado," *** OJO *** ",0)</f>
        <v>Asesor de Ventas</v>
      </c>
    </row>
    <row r="117" ht="15.75" customHeight="1">
      <c r="A117" s="7">
        <v>3.931245173E9</v>
      </c>
      <c r="B117" s="7">
        <v>4.0</v>
      </c>
      <c r="C117" s="9">
        <v>549.0</v>
      </c>
      <c r="D117" s="7">
        <v>22.5</v>
      </c>
      <c r="E117" s="7" t="str">
        <f t="array" ref="E117">XLOOKUP($A117,Números_Asignados,Nombres_Directorio," *** OJO *** ",0)</f>
        <v>Ángel Manuel Delgado Vázquez</v>
      </c>
      <c r="F117" s="7" t="str">
        <f t="array" ref="F117">XLOOKUP($A117,Números_Asignados,Sucursal_Asignada," *** OJO *** ",0)</f>
        <v>Pénjamo</v>
      </c>
      <c r="G117" s="7" t="str">
        <f t="array" ref="G117">XLOOKUP($A117,Números_Asignados,Departamento_Asignado," *** OJO *** ",0)</f>
        <v>Refacciones</v>
      </c>
      <c r="H117" s="7" t="str">
        <f t="array" ref="H117">XLOOKUP($A117,Números_Asignados,Puesto_Asignado," *** OJO *** ",0)</f>
        <v>Asesor de Refacciones Campo</v>
      </c>
    </row>
    <row r="118" ht="15.75" customHeight="1">
      <c r="A118" s="7">
        <v>3.331523332E9</v>
      </c>
      <c r="B118" s="7">
        <v>4.0</v>
      </c>
      <c r="C118" s="9">
        <v>549.0</v>
      </c>
      <c r="D118" s="7">
        <v>22.5</v>
      </c>
      <c r="E118" s="7" t="str">
        <f t="array" ref="E118">XLOOKUP($A118,Números_Asignados,Nombres_Directorio," *** OJO *** ",0)</f>
        <v>Vacante Asesor de Refacciones Campo</v>
      </c>
      <c r="F118" s="7" t="str">
        <f t="array" ref="F118">XLOOKUP($A118,Números_Asignados,Sucursal_Asignada," *** OJO *** ",0)</f>
        <v>Pénjamo</v>
      </c>
      <c r="G118" s="7" t="str">
        <f t="array" ref="G118">XLOOKUP($A118,Números_Asignados,Departamento_Asignado," *** OJO *** ",0)</f>
        <v>Refacciones</v>
      </c>
      <c r="H118" s="7" t="str">
        <f t="array" ref="H118">XLOOKUP($A118,Números_Asignados,Puesto_Asignado," *** OJO *** ",0)</f>
        <v>Asesor de Refacciones Campo</v>
      </c>
    </row>
    <row r="119" ht="15.75" customHeight="1">
      <c r="A119" s="7">
        <v>3.328358335E9</v>
      </c>
      <c r="B119" s="7">
        <v>1.0</v>
      </c>
      <c r="C119" s="9">
        <v>269.0</v>
      </c>
      <c r="D119" s="7">
        <v>9.0</v>
      </c>
      <c r="E119" s="7" t="str">
        <f t="array" ref="E119">XLOOKUP($A119,Números_Asignados,Nombres_Directorio," *** OJO *** ",0)</f>
        <v>Brenda Alcocer Alcocer</v>
      </c>
      <c r="F119" s="7" t="str">
        <f t="array" ref="F119">XLOOKUP($A119,Números_Asignados,Sucursal_Asignada," *** OJO *** ",0)</f>
        <v>Pénjamo</v>
      </c>
      <c r="G119" s="7" t="str">
        <f t="array" ref="G119">XLOOKUP($A119,Números_Asignados,Departamento_Asignado," *** OJO *** ",0)</f>
        <v>Refacciones</v>
      </c>
      <c r="H119" s="7" t="str">
        <f t="array" ref="H119">XLOOKUP($A119,Números_Asignados,Puesto_Asignado," *** OJO *** ",0)</f>
        <v>Asesor de Refacciones Mostrador</v>
      </c>
    </row>
    <row r="120" ht="15.75" customHeight="1">
      <c r="A120" s="7">
        <v>3.337194517E9</v>
      </c>
      <c r="B120" s="7">
        <v>4.0</v>
      </c>
      <c r="C120" s="9">
        <v>599.0</v>
      </c>
      <c r="D120" s="7">
        <v>22.5</v>
      </c>
      <c r="E120" s="7" t="str">
        <f t="array" ref="E120">XLOOKUP($A120,Números_Asignados,Nombres_Directorio," *** OJO *** ",0)</f>
        <v>Pedro Castañeda Vázquez</v>
      </c>
      <c r="F120" s="7" t="str">
        <f t="array" ref="F120">XLOOKUP($A120,Números_Asignados,Sucursal_Asignada," *** OJO *** ",0)</f>
        <v>Pénjamo</v>
      </c>
      <c r="G120" s="7" t="str">
        <f t="array" ref="G120">XLOOKUP($A120,Números_Asignados,Departamento_Asignado," *** OJO *** ",0)</f>
        <v>Refacciones</v>
      </c>
      <c r="H120" s="7" t="str">
        <f t="array" ref="H120">XLOOKUP($A120,Números_Asignados,Puesto_Asignado," *** OJO *** ",0)</f>
        <v>Encargado de Refacciones Sucursal</v>
      </c>
    </row>
    <row r="121" ht="15.75" customHeight="1">
      <c r="A121" s="7">
        <v>3.316097918E9</v>
      </c>
      <c r="B121" s="7">
        <v>1.0</v>
      </c>
      <c r="C121" s="9">
        <v>319.0</v>
      </c>
      <c r="D121" s="7">
        <v>9.0</v>
      </c>
      <c r="E121" s="7" t="str">
        <f t="array" ref="E121">XLOOKUP($A121,Números_Asignados,Nombres_Directorio," *** OJO *** ",0)</f>
        <v>Lorena González Macías</v>
      </c>
      <c r="F121" s="7" t="str">
        <f t="array" ref="F121">XLOOKUP($A121,Números_Asignados,Sucursal_Asignada," *** OJO *** ",0)</f>
        <v>Pénjamo</v>
      </c>
      <c r="G121" s="7" t="str">
        <f t="array" ref="G121">XLOOKUP($A121,Números_Asignados,Departamento_Asignado," *** OJO *** ",0)</f>
        <v>Servicio</v>
      </c>
      <c r="H121" s="7" t="str">
        <f t="array" ref="H121">XLOOKUP($A121,Números_Asignados,Puesto_Asignado," *** OJO *** ",0)</f>
        <v>Auxiliar Administrativo</v>
      </c>
    </row>
    <row r="122" ht="15.75" customHeight="1">
      <c r="A122" s="7">
        <v>3.481044349E9</v>
      </c>
      <c r="B122" s="7">
        <v>4.0</v>
      </c>
      <c r="C122" s="9">
        <v>549.0</v>
      </c>
      <c r="D122" s="7">
        <v>22.5</v>
      </c>
      <c r="E122" s="7" t="str">
        <f t="array" ref="E122">XLOOKUP($A122,Números_Asignados,Nombres_Directorio," *** OJO *** ",0)</f>
        <v>Martín Ceballos Castillo</v>
      </c>
      <c r="F122" s="7" t="str">
        <f t="array" ref="F122">XLOOKUP($A122,Números_Asignados,Sucursal_Asignada," *** OJO *** ",0)</f>
        <v>Pénjamo</v>
      </c>
      <c r="G122" s="7" t="str">
        <f t="array" ref="G122">XLOOKUP($A122,Números_Asignados,Departamento_Asignado," *** OJO *** ",0)</f>
        <v>Servicio</v>
      </c>
      <c r="H122" s="7" t="str">
        <f t="array" ref="H122">XLOOKUP($A122,Números_Asignados,Puesto_Asignado," *** OJO *** ",0)</f>
        <v>Jefe de Taller</v>
      </c>
    </row>
    <row r="123" ht="15.75" customHeight="1">
      <c r="A123" s="7">
        <v>3.316092786E9</v>
      </c>
      <c r="B123" s="7">
        <v>4.0</v>
      </c>
      <c r="C123" s="9">
        <v>599.0</v>
      </c>
      <c r="D123" s="7">
        <v>22.5</v>
      </c>
      <c r="E123" s="7" t="str">
        <f t="array" ref="E123">XLOOKUP($A123,Números_Asignados,Nombres_Directorio," *** OJO *** ",0)</f>
        <v>Natanael Bravo Gallardo</v>
      </c>
      <c r="F123" s="7" t="str">
        <f t="array" ref="F123">XLOOKUP($A123,Números_Asignados,Sucursal_Asignada," *** OJO *** ",0)</f>
        <v>Pénjamo</v>
      </c>
      <c r="G123" s="7" t="str">
        <f t="array" ref="G123">XLOOKUP($A123,Números_Asignados,Departamento_Asignado," *** OJO *** ",0)</f>
        <v>Servicio</v>
      </c>
      <c r="H123" s="7" t="str">
        <f t="array" ref="H123">XLOOKUP($A123,Números_Asignados,Puesto_Asignado," *** OJO *** ",0)</f>
        <v>Promotor de Servicio</v>
      </c>
    </row>
    <row r="124" ht="15.75" customHeight="1">
      <c r="A124" s="7">
        <v>3.931196103E9</v>
      </c>
      <c r="B124" s="7">
        <v>1.0</v>
      </c>
      <c r="C124" s="9">
        <v>269.0</v>
      </c>
      <c r="D124" s="7">
        <v>9.0</v>
      </c>
      <c r="E124" s="7" t="str">
        <f t="array" ref="E124">XLOOKUP($A124,Números_Asignados,Nombres_Directorio," *** OJO *** ",0)</f>
        <v>Airam Monserrat Vázquez Segura</v>
      </c>
      <c r="F124" s="7" t="str">
        <f t="array" ref="F124">XLOOKUP($A124,Números_Asignados,Sucursal_Asignada," *** OJO *** ",0)</f>
        <v>Poncitlán</v>
      </c>
      <c r="G124" s="7" t="str">
        <f t="array" ref="G124">XLOOKUP($A124,Números_Asignados,Departamento_Asignado," *** OJO *** ",0)</f>
        <v>Maquinaria Agrícola y Construcción</v>
      </c>
      <c r="H124" s="7" t="str">
        <f t="array" ref="H124">XLOOKUP($A124,Números_Asignados,Puesto_Asignado," *** OJO *** ",0)</f>
        <v>Auxiliar Administrativo</v>
      </c>
    </row>
    <row r="125" ht="15.75" customHeight="1">
      <c r="A125" s="7">
        <v>3.931073857E9</v>
      </c>
      <c r="B125" s="7">
        <v>4.0</v>
      </c>
      <c r="C125" s="9">
        <v>549.0</v>
      </c>
      <c r="D125" s="7">
        <v>22.5</v>
      </c>
      <c r="E125" s="7" t="str">
        <f t="array" ref="E125">XLOOKUP($A125,Números_Asignados,Nombres_Directorio," *** OJO *** ",0)</f>
        <v>Moisés Alberto González Mendoza</v>
      </c>
      <c r="F125" s="7" t="str">
        <f t="array" ref="F125">XLOOKUP($A125,Números_Asignados,Sucursal_Asignada," *** OJO *** ",0)</f>
        <v>Poncitlán</v>
      </c>
      <c r="G125" s="7" t="str">
        <f t="array" ref="G125">XLOOKUP($A125,Números_Asignados,Departamento_Asignado," *** OJO *** ",0)</f>
        <v>Maquinaria Agrícola y Construcción</v>
      </c>
      <c r="H125" s="7" t="str">
        <f t="array" ref="H125">XLOOKUP($A125,Números_Asignados,Puesto_Asignado," *** OJO *** ",0)</f>
        <v>Gerente de Sucursal</v>
      </c>
    </row>
    <row r="126" ht="15.75" customHeight="1">
      <c r="A126" s="7">
        <v>3.316098052E9</v>
      </c>
      <c r="B126" s="7">
        <v>4.0</v>
      </c>
      <c r="C126" s="9">
        <v>549.0</v>
      </c>
      <c r="D126" s="7">
        <v>22.5</v>
      </c>
      <c r="E126" s="7" t="str">
        <f t="array" ref="E126">XLOOKUP($A126,Números_Asignados,Nombres_Directorio," *** OJO *** ",0)</f>
        <v>José Alfredo Macías Plascencia</v>
      </c>
      <c r="F126" s="7" t="str">
        <f t="array" ref="F126">XLOOKUP($A126,Números_Asignados,Sucursal_Asignada," *** OJO *** ",0)</f>
        <v>Poncitlán</v>
      </c>
      <c r="G126" s="7" t="str">
        <f t="array" ref="G126">XLOOKUP($A126,Números_Asignados,Departamento_Asignado," *** OJO *** ",0)</f>
        <v>Maquinaria Agrícola</v>
      </c>
      <c r="H126" s="7" t="str">
        <f t="array" ref="H126">XLOOKUP($A126,Números_Asignados,Puesto_Asignado," *** OJO *** ",0)</f>
        <v>Asesor de Ventas</v>
      </c>
    </row>
    <row r="127" ht="15.75" customHeight="1">
      <c r="A127" s="7">
        <v>3.316097179E9</v>
      </c>
      <c r="B127" s="7">
        <v>4.0</v>
      </c>
      <c r="C127" s="9">
        <v>549.0</v>
      </c>
      <c r="D127" s="7">
        <v>22.5</v>
      </c>
      <c r="E127" s="7" t="str">
        <f t="array" ref="E127">XLOOKUP($A127,Números_Asignados,Nombres_Directorio," *** OJO *** ",0)</f>
        <v>Luis Felipe Tinoco Solorzano</v>
      </c>
      <c r="F127" s="7" t="str">
        <f t="array" ref="F127">XLOOKUP($A127,Números_Asignados,Sucursal_Asignada," *** OJO *** ",0)</f>
        <v>Poncitlán</v>
      </c>
      <c r="G127" s="7" t="str">
        <f t="array" ref="G127">XLOOKUP($A127,Números_Asignados,Departamento_Asignado," *** OJO *** ",0)</f>
        <v>Maquinaria Agrícola</v>
      </c>
      <c r="H127" s="7" t="str">
        <f t="array" ref="H127">XLOOKUP($A127,Números_Asignados,Puesto_Asignado," *** OJO *** ",0)</f>
        <v>Asesor de Ventas</v>
      </c>
    </row>
    <row r="128" ht="15.75" customHeight="1">
      <c r="A128" s="7">
        <v>3.318934914E9</v>
      </c>
      <c r="B128" s="7">
        <v>4.0</v>
      </c>
      <c r="C128" s="9">
        <v>549.0</v>
      </c>
      <c r="D128" s="7">
        <v>22.5</v>
      </c>
      <c r="E128" s="7" t="str">
        <f t="array" ref="E128">XLOOKUP($A128,Números_Asignados,Nombres_Directorio," *** OJO *** ",0)</f>
        <v>Luis Gustavo Soto Ibarra</v>
      </c>
      <c r="F128" s="7" t="str">
        <f t="array" ref="F128">XLOOKUP($A128,Números_Asignados,Sucursal_Asignada," *** OJO *** ",0)</f>
        <v>Poncitlán</v>
      </c>
      <c r="G128" s="7" t="str">
        <f t="array" ref="G128">XLOOKUP($A128,Números_Asignados,Departamento_Asignado," *** OJO *** ",0)</f>
        <v>Maquinaria Construcción</v>
      </c>
      <c r="H128" s="7" t="str">
        <f t="array" ref="H128">XLOOKUP($A128,Números_Asignados,Puesto_Asignado," *** OJO *** ",0)</f>
        <v>Asesor de Ventas</v>
      </c>
    </row>
    <row r="129" ht="15.75" customHeight="1">
      <c r="A129" s="7">
        <v>3.931196087E9</v>
      </c>
      <c r="B129" s="7">
        <v>4.0</v>
      </c>
      <c r="C129" s="9">
        <v>549.0</v>
      </c>
      <c r="D129" s="7">
        <v>22.5</v>
      </c>
      <c r="E129" s="7" t="str">
        <f t="array" ref="E129">XLOOKUP($A129,Números_Asignados,Nombres_Directorio," *** OJO *** ",0)</f>
        <v>Vacante</v>
      </c>
      <c r="F129" s="7" t="str">
        <f t="array" ref="F129">XLOOKUP($A129,Números_Asignados,Sucursal_Asignada," *** OJO *** ",0)</f>
        <v>Poncitlán</v>
      </c>
      <c r="G129" s="7" t="str">
        <f t="array" ref="G129">XLOOKUP($A129,Números_Asignados,Departamento_Asignado," *** OJO *** ",0)</f>
        <v>Maquinaria Agrícola</v>
      </c>
      <c r="H129" s="7" t="str">
        <f t="array" ref="H129">XLOOKUP($A129,Números_Asignados,Puesto_Asignado," *** OJO *** ",0)</f>
        <v>Asesor de Ventas</v>
      </c>
    </row>
    <row r="130" ht="15.75" customHeight="1">
      <c r="A130" s="7">
        <v>3.931245176E9</v>
      </c>
      <c r="B130" s="7">
        <v>4.0</v>
      </c>
      <c r="C130" s="9">
        <v>549.0</v>
      </c>
      <c r="D130" s="7">
        <v>22.5</v>
      </c>
      <c r="E130" s="7" t="str">
        <f t="array" ref="E130">XLOOKUP($A130,Números_Asignados,Nombres_Directorio," *** OJO *** ",0)</f>
        <v>Bryan Arturo Ramírez Alonso</v>
      </c>
      <c r="F130" s="7" t="str">
        <f t="array" ref="F130">XLOOKUP($A130,Números_Asignados,Sucursal_Asignada," *** OJO *** ",0)</f>
        <v>Poncitlán</v>
      </c>
      <c r="G130" s="7" t="str">
        <f t="array" ref="G130">XLOOKUP($A130,Números_Asignados,Departamento_Asignado," *** OJO *** ",0)</f>
        <v>Refacciones</v>
      </c>
      <c r="H130" s="7" t="str">
        <f t="array" ref="H130">XLOOKUP($A130,Números_Asignados,Puesto_Asignado," *** OJO *** ",0)</f>
        <v>Asesor de Refacciones Campo</v>
      </c>
    </row>
    <row r="131" ht="15.75" customHeight="1">
      <c r="A131" s="7">
        <v>3.781868864E9</v>
      </c>
      <c r="B131" s="7">
        <v>4.0</v>
      </c>
      <c r="C131" s="9">
        <v>549.0</v>
      </c>
      <c r="D131" s="7">
        <v>22.5</v>
      </c>
      <c r="E131" s="7" t="str">
        <f t="array" ref="E131">XLOOKUP($A131,Números_Asignados,Nombres_Directorio," *** OJO *** ",0)</f>
        <v>Orlando Yael Ceja Briseño</v>
      </c>
      <c r="F131" s="7" t="str">
        <f t="array" ref="F131">XLOOKUP($A131,Números_Asignados,Sucursal_Asignada," *** OJO *** ",0)</f>
        <v>Poncitlán</v>
      </c>
      <c r="G131" s="7" t="str">
        <f t="array" ref="G131">XLOOKUP($A131,Números_Asignados,Departamento_Asignado," *** OJO *** ",0)</f>
        <v>Refacciones</v>
      </c>
      <c r="H131" s="7" t="str">
        <f t="array" ref="H131">XLOOKUP($A131,Números_Asignados,Puesto_Asignado," *** OJO *** ",0)</f>
        <v>Encargado de Refacciones Sucursal</v>
      </c>
    </row>
    <row r="132" ht="15.75" customHeight="1">
      <c r="A132" s="7">
        <v>3.316091879E9</v>
      </c>
      <c r="B132" s="7">
        <v>1.0</v>
      </c>
      <c r="C132" s="9">
        <v>319.0</v>
      </c>
      <c r="D132" s="7">
        <v>9.0</v>
      </c>
      <c r="E132" s="7" t="str">
        <f t="array" ref="E132">XLOOKUP($A132,Números_Asignados,Nombres_Directorio," *** OJO *** ",0)</f>
        <v>Patricia Yunuen Vázquez Villa </v>
      </c>
      <c r="F132" s="7" t="str">
        <f t="array" ref="F132">XLOOKUP($A132,Números_Asignados,Sucursal_Asignada," *** OJO *** ",0)</f>
        <v>Poncitlán</v>
      </c>
      <c r="G132" s="7" t="str">
        <f t="array" ref="G132">XLOOKUP($A132,Números_Asignados,Departamento_Asignado," *** OJO *** ",0)</f>
        <v>Servicio</v>
      </c>
      <c r="H132" s="7" t="str">
        <f t="array" ref="H132">XLOOKUP($A132,Números_Asignados,Puesto_Asignado," *** OJO *** ",0)</f>
        <v>Auxiliar Administrativo</v>
      </c>
    </row>
    <row r="133" ht="15.75" customHeight="1">
      <c r="A133" s="7">
        <v>3.931001479E9</v>
      </c>
      <c r="B133" s="7">
        <v>4.0</v>
      </c>
      <c r="C133" s="9">
        <v>549.0</v>
      </c>
      <c r="D133" s="7">
        <v>22.5</v>
      </c>
      <c r="E133" s="7" t="str">
        <f t="array" ref="E133">XLOOKUP($A133,Números_Asignados,Nombres_Directorio," *** OJO *** ",0)</f>
        <v>César Enrique Flores Franco</v>
      </c>
      <c r="F133" s="7" t="str">
        <f t="array" ref="F133">XLOOKUP($A133,Números_Asignados,Sucursal_Asignada," *** OJO *** ",0)</f>
        <v>Poncitlán</v>
      </c>
      <c r="G133" s="7" t="str">
        <f t="array" ref="G133">XLOOKUP($A133,Números_Asignados,Departamento_Asignado," *** OJO *** ",0)</f>
        <v>Servicio</v>
      </c>
      <c r="H133" s="7" t="str">
        <f t="array" ref="H133">XLOOKUP($A133,Números_Asignados,Puesto_Asignado," *** OJO *** ",0)</f>
        <v>Jefe de Taller</v>
      </c>
    </row>
    <row r="134" ht="15.75" customHeight="1">
      <c r="A134" s="7">
        <v>3.316132351E9</v>
      </c>
      <c r="B134" s="7">
        <v>4.0</v>
      </c>
      <c r="C134" s="9">
        <v>599.0</v>
      </c>
      <c r="D134" s="7">
        <v>22.5</v>
      </c>
      <c r="E134" s="7" t="str">
        <f t="array" ref="E134">XLOOKUP($A134,Números_Asignados,Nombres_Directorio," *** OJO *** ",0)</f>
        <v>Martín Salcedo Vargas</v>
      </c>
      <c r="F134" s="7" t="str">
        <f t="array" ref="F134">XLOOKUP($A134,Números_Asignados,Sucursal_Asignada," *** OJO *** ",0)</f>
        <v>Zona Altos</v>
      </c>
      <c r="G134" s="7" t="str">
        <f t="array" ref="G134">XLOOKUP($A134,Números_Asignados,Departamento_Asignado," *** OJO *** ",0)</f>
        <v>Maquinaria Agrícola y Construcción</v>
      </c>
      <c r="H134" s="7" t="str">
        <f t="array" ref="H134">XLOOKUP($A134,Números_Asignados,Puesto_Asignado," *** OJO *** ",0)</f>
        <v>Gerente de Sucursal</v>
      </c>
    </row>
    <row r="135" ht="15.75" customHeight="1">
      <c r="A135" s="7">
        <v>3.78186886E9</v>
      </c>
      <c r="B135" s="7">
        <v>4.0</v>
      </c>
      <c r="C135" s="9">
        <v>549.0</v>
      </c>
      <c r="D135" s="7">
        <v>22.5</v>
      </c>
      <c r="E135" s="7" t="str">
        <f t="array" ref="E135">XLOOKUP($A135,Números_Asignados,Nombres_Directorio," *** OJO *** ",0)</f>
        <v>María Guadalupe Díaz Hernández</v>
      </c>
      <c r="F135" s="7" t="str">
        <f t="array" ref="F135">XLOOKUP($A135,Números_Asignados,Sucursal_Asignada," *** OJO *** ",0)</f>
        <v>Zona Altos</v>
      </c>
      <c r="G135" s="7" t="str">
        <f t="array" ref="G135">XLOOKUP($A135,Números_Asignados,Departamento_Asignado," *** OJO *** ",0)</f>
        <v>Maquinaria Agrícola y Construcción</v>
      </c>
      <c r="H135" s="7" t="str">
        <f t="array" ref="H135">XLOOKUP($A135,Números_Asignados,Puesto_Asignado," *** OJO *** ",0)</f>
        <v>Asesor de Ventas</v>
      </c>
    </row>
    <row r="136" ht="15.75" customHeight="1">
      <c r="A136" s="7">
        <v>3.952680842E9</v>
      </c>
      <c r="B136" s="7">
        <v>4.0</v>
      </c>
      <c r="C136" s="9">
        <v>549.0</v>
      </c>
      <c r="D136" s="7">
        <v>22.5</v>
      </c>
      <c r="E136" s="7" t="str">
        <f t="array" ref="E136">XLOOKUP($A136,Números_Asignados,Nombres_Directorio," *** OJO *** ",0)</f>
        <v>Vacante</v>
      </c>
      <c r="F136" s="7" t="str">
        <f t="array" ref="F136">XLOOKUP($A136,Números_Asignados,Sucursal_Asignada," *** OJO *** ",0)</f>
        <v>Zona Altos</v>
      </c>
      <c r="G136" s="7" t="str">
        <f t="array" ref="G136">XLOOKUP($A136,Números_Asignados,Departamento_Asignado," *** OJO *** ",0)</f>
        <v>Maquinaria Agrícola y Construcción</v>
      </c>
      <c r="H136" s="7" t="str">
        <f t="array" ref="H136">XLOOKUP($A136,Números_Asignados,Puesto_Asignado," *** OJO *** ",0)</f>
        <v>Asesor de Ventas</v>
      </c>
    </row>
    <row r="137" ht="15.75" customHeight="1">
      <c r="A137" s="7">
        <v>3.9315832E9</v>
      </c>
      <c r="B137" s="7" t="s">
        <v>713</v>
      </c>
      <c r="C137" s="9">
        <v>229.0</v>
      </c>
      <c r="D137" s="7">
        <v>4.5</v>
      </c>
      <c r="E137" s="7" t="str">
        <f t="array" ref="E137">XLOOKUP($A137,Números_Asignados,Nombres_Directorio," *** OJO *** ",0)</f>
        <v> *** OJO *** </v>
      </c>
      <c r="F137" s="7" t="str">
        <f t="array" ref="F137">XLOOKUP($A137,Números_Asignados,Sucursal_Asignada," *** OJO *** ",0)</f>
        <v> *** OJO *** </v>
      </c>
      <c r="G137" s="7" t="str">
        <f t="array" ref="G137">XLOOKUP($A137,Números_Asignados,Departamento_Asignado," *** OJO *** ",0)</f>
        <v> *** OJO *** </v>
      </c>
      <c r="H137" s="7" t="str">
        <f t="array" ref="H137">XLOOKUP($A137,Números_Asignados,Puesto_Asignado," *** OJO *** ",0)</f>
        <v> *** OJO *** </v>
      </c>
    </row>
    <row r="138" ht="15.75" customHeight="1">
      <c r="A138" s="7">
        <v>3.521421218E9</v>
      </c>
      <c r="B138" s="7">
        <v>1.0</v>
      </c>
      <c r="C138" s="9">
        <v>269.0</v>
      </c>
      <c r="D138" s="7">
        <v>6.0</v>
      </c>
      <c r="E138" s="7" t="str">
        <f t="array" ref="E138">XLOOKUP($A138,Números_Asignados,Nombres_Directorio," *** OJO *** ",0)</f>
        <v>Juan Pablo Mendez Guzmán</v>
      </c>
      <c r="F138" s="7" t="str">
        <f t="array" ref="F138">XLOOKUP($A138,Números_Asignados,Sucursal_Asignada," *** OJO *** ",0)</f>
        <v>La Piedad</v>
      </c>
      <c r="G138" s="7" t="str">
        <f t="array" ref="G138">XLOOKUP($A138,Números_Asignados,Departamento_Asignado," *** OJO *** ",0)</f>
        <v>Maquinaria Agrícola</v>
      </c>
      <c r="H138" s="7" t="str">
        <f t="array" ref="H138">XLOOKUP($A138,Números_Asignados,Puesto_Asignado," *** OJO *** ",0)</f>
        <v>Asesor de Ventas</v>
      </c>
    </row>
    <row r="139" ht="15.75" customHeight="1">
      <c r="A139" s="19">
        <v>3.921369057E9</v>
      </c>
      <c r="B139" s="19">
        <v>1.0</v>
      </c>
      <c r="C139" s="9">
        <v>269.0</v>
      </c>
      <c r="D139" s="19">
        <v>6.0</v>
      </c>
      <c r="E139" s="7" t="str">
        <f t="array" ref="E139">XLOOKUP($A139,Números_Asignados,Nombres_Directorio," *** OJO *** ",0)</f>
        <v>Ricardo Emmanuel Chávez Lumbreras</v>
      </c>
      <c r="F139" s="7" t="str">
        <f t="array" ref="F139">XLOOKUP($A139,Números_Asignados,Sucursal_Asignada," *** OJO *** ",0)</f>
        <v>Poncitlán</v>
      </c>
      <c r="G139" s="7" t="str">
        <f t="array" ref="G139">XLOOKUP($A139,Números_Asignados,Departamento_Asignado," *** OJO *** ",0)</f>
        <v>Refacciones</v>
      </c>
      <c r="H139" s="7" t="str">
        <f t="array" ref="H139">XLOOKUP($A139,Números_Asignados,Puesto_Asignado," *** OJO *** ",0)</f>
        <v>Asesor de Refacciones Campo</v>
      </c>
    </row>
    <row r="140" ht="15.75" customHeight="1">
      <c r="A140" s="7">
        <v>3.921580546E9</v>
      </c>
      <c r="B140" s="7">
        <v>1.0</v>
      </c>
      <c r="C140" s="9">
        <v>269.0</v>
      </c>
      <c r="D140" s="7">
        <v>6.0</v>
      </c>
      <c r="E140" s="7" t="str">
        <f t="array" ref="E140">XLOOKUP($A140,Números_Asignados,Nombres_Directorio," *** OJO *** ",0)</f>
        <v> *** OJO *** </v>
      </c>
      <c r="F140" s="7" t="str">
        <f t="array" ref="F140">XLOOKUP($A140,Números_Asignados,Sucursal_Asignada," *** OJO *** ",0)</f>
        <v> *** OJO *** </v>
      </c>
      <c r="G140" s="7" t="str">
        <f t="array" ref="G140">XLOOKUP($A140,Números_Asignados,Departamento_Asignado," *** OJO *** ",0)</f>
        <v> *** OJO *** </v>
      </c>
      <c r="H140" s="7" t="str">
        <f t="array" ref="H140">XLOOKUP($A140,Números_Asignados,Puesto_Asignado," *** OJO *** ",0)</f>
        <v> *** OJO *** </v>
      </c>
    </row>
    <row r="141" ht="15.75" customHeight="1">
      <c r="A141" s="7">
        <v>3.911035841E9</v>
      </c>
      <c r="B141" s="7">
        <v>1.0</v>
      </c>
      <c r="C141" s="9">
        <v>269.0</v>
      </c>
      <c r="D141" s="7">
        <v>6.0</v>
      </c>
      <c r="E141" s="7" t="str">
        <f t="array" ref="E141">XLOOKUP($A141,Números_Asignados,Nombres_Directorio," *** OJO *** ",0)</f>
        <v> *** OJO *** </v>
      </c>
      <c r="F141" s="7" t="str">
        <f t="array" ref="F141">XLOOKUP($A141,Números_Asignados,Sucursal_Asignada," *** OJO *** ",0)</f>
        <v> *** OJO *** </v>
      </c>
      <c r="G141" s="7" t="str">
        <f t="array" ref="G141">XLOOKUP($A141,Números_Asignados,Departamento_Asignado," *** OJO *** ",0)</f>
        <v> *** OJO *** </v>
      </c>
      <c r="H141" s="7" t="str">
        <f t="array" ref="H141">XLOOKUP($A141,Números_Asignados,Puesto_Asignado," *** OJO *** ",0)</f>
        <v> *** OJO *** </v>
      </c>
    </row>
    <row r="142" ht="15.75" customHeight="1">
      <c r="A142" s="7">
        <v>4.691214431E9</v>
      </c>
      <c r="B142" s="7">
        <v>1.0</v>
      </c>
      <c r="C142" s="9">
        <v>269.0</v>
      </c>
      <c r="D142" s="7">
        <v>6.0</v>
      </c>
      <c r="E142" s="7" t="str">
        <f t="array" ref="E142">XLOOKUP($A142,Números_Asignados,Nombres_Directorio," *** OJO *** ",0)</f>
        <v> *** OJO *** </v>
      </c>
      <c r="F142" s="7" t="str">
        <f t="array" ref="F142">XLOOKUP($A142,Números_Asignados,Sucursal_Asignada," *** OJO *** ",0)</f>
        <v> *** OJO *** </v>
      </c>
      <c r="G142" s="7" t="str">
        <f t="array" ref="G142">XLOOKUP($A142,Números_Asignados,Departamento_Asignado," *** OJO *** ",0)</f>
        <v> *** OJO *** </v>
      </c>
      <c r="H142" s="7" t="str">
        <f t="array" ref="H142">XLOOKUP($A142,Números_Asignados,Puesto_Asignado," *** OJO *** ",0)</f>
        <v> *** OJO *** </v>
      </c>
    </row>
    <row r="143" ht="15.75" customHeight="1">
      <c r="A143" s="7">
        <v>3.931583367E9</v>
      </c>
      <c r="B143" s="7" t="s">
        <v>713</v>
      </c>
      <c r="C143" s="9">
        <v>229.0</v>
      </c>
      <c r="D143" s="7">
        <v>4.5</v>
      </c>
      <c r="E143" s="7" t="str">
        <f t="array" ref="E143">XLOOKUP($A143,Números_Asignados,Nombres_Directorio," *** OJO *** ",0)</f>
        <v> *** OJO *** </v>
      </c>
      <c r="F143" s="7" t="str">
        <f t="array" ref="F143">XLOOKUP($A143,Números_Asignados,Sucursal_Asignada," *** OJO *** ",0)</f>
        <v> *** OJO *** </v>
      </c>
      <c r="G143" s="7" t="str">
        <f t="array" ref="G143">XLOOKUP($A143,Números_Asignados,Departamento_Asignado," *** OJO *** ",0)</f>
        <v> *** OJO *** </v>
      </c>
      <c r="H143" s="7" t="str">
        <f t="array" ref="H143">XLOOKUP($A143,Números_Asignados,Puesto_Asignado," *** OJO *** ",0)</f>
        <v> *** OJO *** </v>
      </c>
    </row>
    <row r="144" ht="15.75" customHeight="1">
      <c r="A144" s="7">
        <v>4.691215361E9</v>
      </c>
      <c r="B144" s="7">
        <v>1.0</v>
      </c>
      <c r="C144" s="9">
        <v>269.0</v>
      </c>
      <c r="D144" s="7">
        <v>6.0</v>
      </c>
      <c r="E144" s="7" t="str">
        <f t="array" ref="E144">XLOOKUP($A144,Números_Asignados,Nombres_Directorio," *** OJO *** ",0)</f>
        <v> *** OJO *** </v>
      </c>
      <c r="F144" s="7" t="str">
        <f t="array" ref="F144">XLOOKUP($A144,Números_Asignados,Sucursal_Asignada," *** OJO *** ",0)</f>
        <v> *** OJO *** </v>
      </c>
      <c r="G144" s="7" t="str">
        <f t="array" ref="G144">XLOOKUP($A144,Números_Asignados,Departamento_Asignado," *** OJO *** ",0)</f>
        <v> *** OJO *** </v>
      </c>
      <c r="H144" s="7" t="str">
        <f t="array" ref="H144">XLOOKUP($A144,Números_Asignados,Puesto_Asignado," *** OJO *** ",0)</f>
        <v> *** OJO *** </v>
      </c>
    </row>
    <row r="145" ht="15.75" customHeight="1">
      <c r="A145" s="7">
        <v>4.691214464E9</v>
      </c>
      <c r="B145" s="7">
        <v>1.0</v>
      </c>
      <c r="C145" s="9">
        <v>269.0</v>
      </c>
      <c r="D145" s="7">
        <v>6.0</v>
      </c>
      <c r="E145" s="7" t="str">
        <f t="array" ref="E145">XLOOKUP($A145,Números_Asignados,Nombres_Directorio," *** OJO *** ",0)</f>
        <v> *** OJO *** </v>
      </c>
      <c r="F145" s="7" t="str">
        <f t="array" ref="F145">XLOOKUP($A145,Números_Asignados,Sucursal_Asignada," *** OJO *** ",0)</f>
        <v> *** OJO *** </v>
      </c>
      <c r="G145" s="7" t="str">
        <f t="array" ref="G145">XLOOKUP($A145,Números_Asignados,Departamento_Asignado," *** OJO *** ",0)</f>
        <v> *** OJO *** </v>
      </c>
      <c r="H145" s="7" t="str">
        <f t="array" ref="H145">XLOOKUP($A145,Números_Asignados,Puesto_Asignado," *** OJO *** ",0)</f>
        <v> *** OJO *** </v>
      </c>
    </row>
    <row r="146" ht="15.75" customHeight="1">
      <c r="A146" s="7">
        <v>3.921368749E9</v>
      </c>
      <c r="B146" s="7">
        <v>2.0</v>
      </c>
      <c r="C146" s="9">
        <v>329.0</v>
      </c>
      <c r="D146" s="7">
        <v>7.5</v>
      </c>
      <c r="E146" s="7" t="str">
        <f t="array" ref="E146">XLOOKUP($A146,Números_Asignados,Nombres_Directorio," *** OJO *** ",0)</f>
        <v>Luis Eduardo Gutierrez Infante</v>
      </c>
      <c r="F146" s="7" t="str">
        <f t="array" ref="F146">XLOOKUP($A146,Números_Asignados,Sucursal_Asignada," *** OJO *** ",0)</f>
        <v>La Barca</v>
      </c>
      <c r="G146" s="7" t="str">
        <f t="array" ref="G146">XLOOKUP($A146,Números_Asignados,Departamento_Asignado," *** OJO *** ",0)</f>
        <v>Servicio</v>
      </c>
      <c r="H146" s="7" t="str">
        <f t="array" ref="H146">XLOOKUP($A146,Números_Asignados,Puesto_Asignado," *** OJO *** ",0)</f>
        <v>Promotor de Servicio</v>
      </c>
    </row>
    <row r="147" ht="15.75" customHeight="1">
      <c r="A147" s="7">
        <v>3.921368208E9</v>
      </c>
      <c r="B147" s="7">
        <v>2.0</v>
      </c>
      <c r="C147" s="9">
        <v>329.0</v>
      </c>
      <c r="D147" s="7">
        <v>7.5</v>
      </c>
      <c r="E147" s="7" t="str">
        <f t="array" ref="E147">XLOOKUP($A147,Números_Asignados,Nombres_Directorio," *** OJO *** ",0)</f>
        <v> *** OJO *** </v>
      </c>
      <c r="F147" s="7" t="str">
        <f t="array" ref="F147">XLOOKUP($A147,Números_Asignados,Sucursal_Asignada," *** OJO *** ",0)</f>
        <v> *** OJO *** </v>
      </c>
      <c r="G147" s="7" t="str">
        <f t="array" ref="G147">XLOOKUP($A147,Números_Asignados,Departamento_Asignado," *** OJO *** ",0)</f>
        <v> *** OJO *** </v>
      </c>
      <c r="H147" s="7" t="str">
        <f t="array" ref="H147">XLOOKUP($A147,Números_Asignados,Puesto_Asignado," *** OJO *** ",0)</f>
        <v> *** OJO *** </v>
      </c>
    </row>
    <row r="148" ht="15.75" customHeight="1">
      <c r="A148" s="7">
        <v>3.781155312E9</v>
      </c>
      <c r="B148" s="7">
        <v>2.0</v>
      </c>
      <c r="C148" s="9">
        <v>329.0</v>
      </c>
      <c r="D148" s="7">
        <v>7.5</v>
      </c>
      <c r="E148" s="7" t="str">
        <f t="array" ref="E148">XLOOKUP($A148,Números_Asignados,Nombres_Directorio," *** OJO *** ",0)</f>
        <v> *** OJO *** </v>
      </c>
      <c r="F148" s="7" t="str">
        <f t="array" ref="F148">XLOOKUP($A148,Números_Asignados,Sucursal_Asignada," *** OJO *** ",0)</f>
        <v> *** OJO *** </v>
      </c>
      <c r="G148" s="7" t="str">
        <f t="array" ref="G148">XLOOKUP($A148,Números_Asignados,Departamento_Asignado," *** OJO *** ",0)</f>
        <v> *** OJO *** </v>
      </c>
      <c r="H148" s="7" t="str">
        <f t="array" ref="H148">XLOOKUP($A148,Números_Asignados,Puesto_Asignado," *** OJO *** ",0)</f>
        <v> *** OJO *** </v>
      </c>
    </row>
    <row r="149" ht="15.75" customHeight="1">
      <c r="A149" s="7">
        <v>3.951198072E9</v>
      </c>
      <c r="B149" s="7">
        <v>2.0</v>
      </c>
      <c r="C149" s="9">
        <v>329.0</v>
      </c>
      <c r="D149" s="7">
        <v>7.5</v>
      </c>
      <c r="E149" s="7" t="str">
        <f t="array" ref="E149">XLOOKUP($A149,Números_Asignados,Nombres_Directorio," *** OJO *** ",0)</f>
        <v> *** OJO *** </v>
      </c>
      <c r="F149" s="7" t="str">
        <f t="array" ref="F149">XLOOKUP($A149,Números_Asignados,Sucursal_Asignada," *** OJO *** ",0)</f>
        <v> *** OJO *** </v>
      </c>
      <c r="G149" s="7" t="str">
        <f t="array" ref="G149">XLOOKUP($A149,Números_Asignados,Departamento_Asignado," *** OJO *** ",0)</f>
        <v> *** OJO *** </v>
      </c>
      <c r="H149" s="7" t="str">
        <f t="array" ref="H149">XLOOKUP($A149,Números_Asignados,Puesto_Asignado," *** OJO *** ",0)</f>
        <v> *** OJO *** </v>
      </c>
    </row>
    <row r="150" ht="15.75" customHeight="1">
      <c r="A150" s="7">
        <v>3.521423189E9</v>
      </c>
      <c r="B150" s="7">
        <v>1.0</v>
      </c>
      <c r="C150" s="9">
        <v>269.0</v>
      </c>
      <c r="D150" s="7">
        <v>6.0</v>
      </c>
      <c r="E150" s="7" t="str">
        <f t="array" ref="E150">XLOOKUP($A150,Números_Asignados,Nombres_Directorio," *** OJO *** ",0)</f>
        <v> *** OJO *** </v>
      </c>
      <c r="F150" s="7" t="str">
        <f t="array" ref="F150">XLOOKUP($A150,Números_Asignados,Sucursal_Asignada," *** OJO *** ",0)</f>
        <v> *** OJO *** </v>
      </c>
      <c r="G150" s="7" t="str">
        <f t="array" ref="G150">XLOOKUP($A150,Números_Asignados,Departamento_Asignado," *** OJO *** ",0)</f>
        <v> *** OJO *** </v>
      </c>
      <c r="H150" s="7" t="str">
        <f t="array" ref="H150">XLOOKUP($A150,Números_Asignados,Puesto_Asignado," *** OJO *** ",0)</f>
        <v> *** OJO *** </v>
      </c>
    </row>
    <row r="151" ht="15.75" customHeight="1">
      <c r="A151" s="7">
        <v>3.521949987E9</v>
      </c>
      <c r="B151" s="7">
        <v>1.0</v>
      </c>
      <c r="C151" s="9">
        <v>269.0</v>
      </c>
      <c r="D151" s="7">
        <v>6.0</v>
      </c>
      <c r="E151" s="7" t="str">
        <f t="array" ref="E151">XLOOKUP($A151,Números_Asignados,Nombres_Directorio," *** OJO *** ",0)</f>
        <v> *** OJO *** </v>
      </c>
      <c r="F151" s="7" t="str">
        <f t="array" ref="F151">XLOOKUP($A151,Números_Asignados,Sucursal_Asignada," *** OJO *** ",0)</f>
        <v> *** OJO *** </v>
      </c>
      <c r="G151" s="7" t="str">
        <f t="array" ref="G151">XLOOKUP($A151,Números_Asignados,Departamento_Asignado," *** OJO *** ",0)</f>
        <v> *** OJO *** </v>
      </c>
      <c r="H151" s="7" t="str">
        <f t="array" ref="H151">XLOOKUP($A151,Números_Asignados,Puesto_Asignado," *** OJO *** ",0)</f>
        <v> *** OJO *** </v>
      </c>
    </row>
    <row r="152" ht="15.75" customHeight="1">
      <c r="A152" s="7">
        <v>3.931583234E9</v>
      </c>
      <c r="B152" s="7">
        <v>1.0</v>
      </c>
      <c r="C152" s="9">
        <v>269.0</v>
      </c>
      <c r="D152" s="7">
        <v>6.0</v>
      </c>
      <c r="E152" s="7" t="str">
        <f t="array" ref="E152">XLOOKUP($A152,Números_Asignados,Nombres_Directorio," *** OJO *** ",0)</f>
        <v> *** OJO *** </v>
      </c>
      <c r="F152" s="7" t="str">
        <f t="array" ref="F152">XLOOKUP($A152,Números_Asignados,Sucursal_Asignada," *** OJO *** ",0)</f>
        <v> *** OJO *** </v>
      </c>
      <c r="G152" s="7" t="str">
        <f t="array" ref="G152">XLOOKUP($A152,Números_Asignados,Departamento_Asignado," *** OJO *** ",0)</f>
        <v> *** OJO *** </v>
      </c>
      <c r="H152" s="7" t="str">
        <f t="array" ref="H152">XLOOKUP($A152,Números_Asignados,Puesto_Asignado," *** OJO *** ",0)</f>
        <v> *** OJO *** </v>
      </c>
    </row>
    <row r="153" ht="15.75" customHeight="1">
      <c r="A153" s="7">
        <v>3.931583046E9</v>
      </c>
      <c r="B153" s="7">
        <v>1.0</v>
      </c>
      <c r="C153" s="9">
        <v>269.0</v>
      </c>
      <c r="D153" s="7">
        <v>6.0</v>
      </c>
      <c r="E153" s="7" t="str">
        <f t="array" ref="E153">XLOOKUP($A153,Números_Asignados,Nombres_Directorio," *** OJO *** ",0)</f>
        <v> *** OJO *** </v>
      </c>
      <c r="F153" s="7" t="str">
        <f t="array" ref="F153">XLOOKUP($A153,Números_Asignados,Sucursal_Asignada," *** OJO *** ",0)</f>
        <v> *** OJO *** </v>
      </c>
      <c r="G153" s="7" t="str">
        <f t="array" ref="G153">XLOOKUP($A153,Números_Asignados,Departamento_Asignado," *** OJO *** ",0)</f>
        <v> *** OJO *** </v>
      </c>
      <c r="H153" s="7" t="str">
        <f t="array" ref="H153">XLOOKUP($A153,Números_Asignados,Puesto_Asignado," *** OJO *** ",0)</f>
        <v> *** OJO *** </v>
      </c>
    </row>
    <row r="154" ht="15.75" customHeight="1">
      <c r="A154" s="7">
        <v>3.931583232E9</v>
      </c>
      <c r="B154" s="7">
        <v>1.0</v>
      </c>
      <c r="C154" s="9">
        <v>269.0</v>
      </c>
      <c r="D154" s="7">
        <v>6.0</v>
      </c>
      <c r="E154" s="7" t="str">
        <f t="array" ref="E154">XLOOKUP($A154,Números_Asignados,Nombres_Directorio," *** OJO *** ",0)</f>
        <v> *** OJO *** </v>
      </c>
      <c r="F154" s="7" t="str">
        <f t="array" ref="F154">XLOOKUP($A154,Números_Asignados,Sucursal_Asignada," *** OJO *** ",0)</f>
        <v> *** OJO *** </v>
      </c>
      <c r="G154" s="7" t="str">
        <f t="array" ref="G154">XLOOKUP($A154,Números_Asignados,Departamento_Asignado," *** OJO *** ",0)</f>
        <v> *** OJO *** </v>
      </c>
      <c r="H154" s="7" t="str">
        <f t="array" ref="H154">XLOOKUP($A154,Números_Asignados,Puesto_Asignado," *** OJO *** ",0)</f>
        <v> *** OJO *** </v>
      </c>
    </row>
    <row r="155" ht="15.75" customHeight="1">
      <c r="A155" s="7">
        <v>3.91125726E9</v>
      </c>
      <c r="B155" s="7">
        <v>1.0</v>
      </c>
      <c r="C155" s="9">
        <v>269.0</v>
      </c>
      <c r="D155" s="7">
        <v>6.0</v>
      </c>
      <c r="E155" s="7" t="str">
        <f t="array" ref="E155">XLOOKUP($A155,Números_Asignados,Nombres_Directorio," *** OJO *** ",0)</f>
        <v> *** OJO *** </v>
      </c>
      <c r="F155" s="7" t="str">
        <f t="array" ref="F155">XLOOKUP($A155,Números_Asignados,Sucursal_Asignada," *** OJO *** ",0)</f>
        <v> *** OJO *** </v>
      </c>
      <c r="G155" s="7" t="str">
        <f t="array" ref="G155">XLOOKUP($A155,Números_Asignados,Departamento_Asignado," *** OJO *** ",0)</f>
        <v> *** OJO *** </v>
      </c>
      <c r="H155" s="7" t="str">
        <f t="array" ref="H155">XLOOKUP($A155,Números_Asignados,Puesto_Asignado," *** OJO *** ",0)</f>
        <v> *** OJO *** </v>
      </c>
    </row>
    <row r="156" ht="15.75" customHeight="1">
      <c r="A156" s="7">
        <v>3.911257736E9</v>
      </c>
      <c r="B156" s="7">
        <v>1.0</v>
      </c>
      <c r="C156" s="9">
        <v>269.0</v>
      </c>
      <c r="D156" s="7">
        <v>6.0</v>
      </c>
      <c r="E156" s="7" t="str">
        <f t="array" ref="E156">XLOOKUP($A156,Números_Asignados,Nombres_Directorio," *** OJO *** ",0)</f>
        <v> *** OJO *** </v>
      </c>
      <c r="F156" s="7" t="str">
        <f t="array" ref="F156">XLOOKUP($A156,Números_Asignados,Sucursal_Asignada," *** OJO *** ",0)</f>
        <v> *** OJO *** </v>
      </c>
      <c r="G156" s="7" t="str">
        <f t="array" ref="G156">XLOOKUP($A156,Números_Asignados,Departamento_Asignado," *** OJO *** ",0)</f>
        <v> *** OJO *** </v>
      </c>
      <c r="H156" s="7" t="str">
        <f t="array" ref="H156">XLOOKUP($A156,Números_Asignados,Puesto_Asignado," *** OJO *** ",0)</f>
        <v> *** OJO *** </v>
      </c>
    </row>
    <row r="157" ht="15.75" customHeight="1">
      <c r="A157" s="7">
        <v>3.522060309E9</v>
      </c>
      <c r="B157" s="7">
        <v>2.0</v>
      </c>
      <c r="C157" s="9">
        <v>329.0</v>
      </c>
      <c r="D157" s="7">
        <v>7.5</v>
      </c>
      <c r="E157" s="7" t="str">
        <f t="array" ref="E157">XLOOKUP($A157,Números_Asignados,Nombres_Directorio," *** OJO *** ",0)</f>
        <v> *** OJO *** </v>
      </c>
      <c r="F157" s="7" t="str">
        <f t="array" ref="F157">XLOOKUP($A157,Números_Asignados,Sucursal_Asignada," *** OJO *** ",0)</f>
        <v> *** OJO *** </v>
      </c>
      <c r="G157" s="7" t="str">
        <f t="array" ref="G157">XLOOKUP($A157,Números_Asignados,Departamento_Asignado," *** OJO *** ",0)</f>
        <v> *** OJO *** </v>
      </c>
      <c r="H157" s="7" t="str">
        <f t="array" ref="H157">XLOOKUP($A157,Números_Asignados,Puesto_Asignado," *** OJO *** ",0)</f>
        <v> *** OJO *** </v>
      </c>
    </row>
    <row r="158" ht="15.75" customHeight="1">
      <c r="A158" s="7">
        <v>3.521420398E9</v>
      </c>
      <c r="B158" s="7">
        <v>2.0</v>
      </c>
      <c r="C158" s="9">
        <v>329.0</v>
      </c>
      <c r="D158" s="7">
        <v>7.5</v>
      </c>
      <c r="E158" s="7" t="str">
        <f t="array" ref="E158">XLOOKUP($A158,Números_Asignados,Nombres_Directorio," *** OJO *** ",0)</f>
        <v> *** OJO *** </v>
      </c>
      <c r="F158" s="7" t="str">
        <f t="array" ref="F158">XLOOKUP($A158,Números_Asignados,Sucursal_Asignada," *** OJO *** ",0)</f>
        <v> *** OJO *** </v>
      </c>
      <c r="G158" s="7" t="str">
        <f t="array" ref="G158">XLOOKUP($A158,Números_Asignados,Departamento_Asignado," *** OJO *** ",0)</f>
        <v> *** OJO *** </v>
      </c>
      <c r="H158" s="7" t="str">
        <f t="array" ref="H158">XLOOKUP($A158,Números_Asignados,Puesto_Asignado," *** OJO *** ",0)</f>
        <v> *** OJO *** </v>
      </c>
    </row>
    <row r="159" ht="15.75" customHeight="1">
      <c r="A159" s="7">
        <v>3.521399533E9</v>
      </c>
      <c r="B159" s="7">
        <v>2.0</v>
      </c>
      <c r="C159" s="9">
        <v>329.0</v>
      </c>
      <c r="D159" s="7">
        <v>7.5</v>
      </c>
      <c r="E159" s="7" t="str">
        <f t="array" ref="E159">XLOOKUP($A159,Números_Asignados,Nombres_Directorio," *** OJO *** ",0)</f>
        <v> *** OJO *** </v>
      </c>
      <c r="F159" s="7" t="str">
        <f t="array" ref="F159">XLOOKUP($A159,Números_Asignados,Sucursal_Asignada," *** OJO *** ",0)</f>
        <v> *** OJO *** </v>
      </c>
      <c r="G159" s="7" t="str">
        <f t="array" ref="G159">XLOOKUP($A159,Números_Asignados,Departamento_Asignado," *** OJO *** ",0)</f>
        <v> *** OJO *** </v>
      </c>
      <c r="H159" s="7" t="str">
        <f t="array" ref="H159">XLOOKUP($A159,Números_Asignados,Puesto_Asignado," *** OJO *** ",0)</f>
        <v> *** OJO *** </v>
      </c>
    </row>
    <row r="160" ht="15.75" customHeight="1">
      <c r="A160" s="7">
        <v>4.43264681E9</v>
      </c>
      <c r="B160" s="7">
        <v>2.0</v>
      </c>
      <c r="C160" s="9">
        <v>329.0</v>
      </c>
      <c r="D160" s="7">
        <v>7.5</v>
      </c>
      <c r="E160" s="7" t="str">
        <f t="array" ref="E160">XLOOKUP($A160,Números_Asignados,Nombres_Directorio," *** OJO *** ",0)</f>
        <v>Vacante</v>
      </c>
      <c r="F160" s="7" t="str">
        <f t="array" ref="F160">XLOOKUP($A160,Números_Asignados,Sucursal_Asignada," *** OJO *** ",0)</f>
        <v>Morelia</v>
      </c>
      <c r="G160" s="7" t="str">
        <f t="array" ref="G160">XLOOKUP($A160,Números_Asignados,Departamento_Asignado," *** OJO *** ",0)</f>
        <v>Maquinaria Construcción</v>
      </c>
      <c r="H160" s="7" t="str">
        <f t="array" ref="H160">XLOOKUP($A160,Números_Asignados,Puesto_Asignado," *** OJO *** ",0)</f>
        <v>Asesor de Ventas</v>
      </c>
    </row>
    <row r="161" ht="15.75" customHeight="1">
      <c r="A161" s="7">
        <v>4.432725034E9</v>
      </c>
      <c r="B161" s="7">
        <v>2.0</v>
      </c>
      <c r="C161" s="9">
        <v>329.0</v>
      </c>
      <c r="D161" s="7">
        <v>7.5</v>
      </c>
      <c r="E161" s="7" t="str">
        <f t="array" ref="E161">XLOOKUP($A161,Números_Asignados,Nombres_Directorio," *** OJO *** ",0)</f>
        <v>Joel Velázquez Jaime</v>
      </c>
      <c r="F161" s="7" t="str">
        <f t="array" ref="F161">XLOOKUP($A161,Números_Asignados,Sucursal_Asignada," *** OJO *** ",0)</f>
        <v>Morelia</v>
      </c>
      <c r="G161" s="7" t="str">
        <f t="array" ref="G161">XLOOKUP($A161,Números_Asignados,Departamento_Asignado," *** OJO *** ",0)</f>
        <v>Maquinaria Agrícola</v>
      </c>
      <c r="H161" s="7" t="str">
        <f t="array" ref="H161">XLOOKUP($A161,Números_Asignados,Puesto_Asignado," *** OJO *** ",0)</f>
        <v>Asesor de Ventas</v>
      </c>
    </row>
    <row r="162" ht="15.75" customHeight="1">
      <c r="A162" s="7">
        <v>3.521250804E9</v>
      </c>
      <c r="B162" s="7">
        <v>2.0</v>
      </c>
      <c r="C162" s="9">
        <v>329.0</v>
      </c>
      <c r="D162" s="7">
        <v>7.5</v>
      </c>
      <c r="E162" s="7" t="str">
        <f t="array" ref="E162">XLOOKUP($A162,Números_Asignados,Nombres_Directorio," *** OJO *** ",0)</f>
        <v> *** OJO *** </v>
      </c>
      <c r="F162" s="7" t="str">
        <f t="array" ref="F162">XLOOKUP($A162,Números_Asignados,Sucursal_Asignada," *** OJO *** ",0)</f>
        <v> *** OJO *** </v>
      </c>
      <c r="G162" s="7" t="str">
        <f t="array" ref="G162">XLOOKUP($A162,Números_Asignados,Departamento_Asignado," *** OJO *** ",0)</f>
        <v> *** OJO *** </v>
      </c>
      <c r="H162" s="7" t="str">
        <f t="array" ref="H162">XLOOKUP($A162,Números_Asignados,Puesto_Asignado," *** OJO *** ",0)</f>
        <v> *** OJO *** </v>
      </c>
    </row>
    <row r="163" ht="15.75" customHeight="1">
      <c r="A163" s="7">
        <v>3.93119711E9</v>
      </c>
      <c r="B163" s="7" t="s">
        <v>713</v>
      </c>
      <c r="C163" s="9">
        <v>229.0</v>
      </c>
      <c r="D163" s="7">
        <v>4.5</v>
      </c>
      <c r="E163" s="7" t="str">
        <f t="array" ref="E163">XLOOKUP($A163,Números_Asignados,Nombres_Directorio," *** OJO *** ",0)</f>
        <v> *** OJO *** </v>
      </c>
      <c r="F163" s="7" t="str">
        <f t="array" ref="F163">XLOOKUP($A163,Números_Asignados,Sucursal_Asignada," *** OJO *** ",0)</f>
        <v> *** OJO *** </v>
      </c>
      <c r="G163" s="7" t="str">
        <f t="array" ref="G163">XLOOKUP($A163,Números_Asignados,Departamento_Asignado," *** OJO *** ",0)</f>
        <v> *** OJO *** </v>
      </c>
      <c r="H163" s="7" t="str">
        <f t="array" ref="H163">XLOOKUP($A163,Números_Asignados,Puesto_Asignado," *** OJO *** ",0)</f>
        <v> *** OJO *** </v>
      </c>
    </row>
    <row r="164" ht="15.75" customHeight="1">
      <c r="A164" s="7">
        <v>4.696211513E9</v>
      </c>
      <c r="B164" s="7" t="s">
        <v>713</v>
      </c>
      <c r="C164" s="9">
        <v>229.0</v>
      </c>
      <c r="D164" s="7">
        <v>4.5</v>
      </c>
      <c r="E164" s="7" t="str">
        <f t="array" ref="E164">XLOOKUP($A164,Números_Asignados,Nombres_Directorio," *** OJO *** ",0)</f>
        <v> *** OJO *** </v>
      </c>
      <c r="F164" s="7" t="str">
        <f t="array" ref="F164">XLOOKUP($A164,Números_Asignados,Sucursal_Asignada," *** OJO *** ",0)</f>
        <v> *** OJO *** </v>
      </c>
      <c r="G164" s="7" t="str">
        <f t="array" ref="G164">XLOOKUP($A164,Números_Asignados,Departamento_Asignado," *** OJO *** ",0)</f>
        <v> *** OJO *** </v>
      </c>
      <c r="H164" s="7" t="str">
        <f t="array" ref="H164">XLOOKUP($A164,Números_Asignados,Puesto_Asignado," *** OJO *** ",0)</f>
        <v> *** OJO *** </v>
      </c>
    </row>
    <row r="165" ht="15.75" customHeight="1">
      <c r="A165" s="7">
        <v>3.921237762E9</v>
      </c>
      <c r="B165" s="7" t="s">
        <v>713</v>
      </c>
      <c r="C165" s="9">
        <v>229.0</v>
      </c>
      <c r="D165" s="7">
        <v>4.5</v>
      </c>
      <c r="E165" s="7" t="str">
        <f t="array" ref="E165">XLOOKUP($A165,Números_Asignados,Nombres_Directorio," *** OJO *** ",0)</f>
        <v> *** OJO *** </v>
      </c>
      <c r="F165" s="7" t="str">
        <f t="array" ref="F165">XLOOKUP($A165,Números_Asignados,Sucursal_Asignada," *** OJO *** ",0)</f>
        <v> *** OJO *** </v>
      </c>
      <c r="G165" s="7" t="str">
        <f t="array" ref="G165">XLOOKUP($A165,Números_Asignados,Departamento_Asignado," *** OJO *** ",0)</f>
        <v> *** OJO *** </v>
      </c>
      <c r="H165" s="7" t="str">
        <f t="array" ref="H165">XLOOKUP($A165,Números_Asignados,Puesto_Asignado," *** OJO *** ",0)</f>
        <v> *** OJO *** </v>
      </c>
    </row>
    <row r="166" ht="15.75" customHeight="1">
      <c r="A166" s="7">
        <v>4.431358405E9</v>
      </c>
      <c r="B166" s="7" t="s">
        <v>713</v>
      </c>
      <c r="C166" s="9">
        <v>229.0</v>
      </c>
      <c r="D166" s="7">
        <v>4.5</v>
      </c>
      <c r="E166" s="7" t="str">
        <f t="array" ref="E166">XLOOKUP($A166,Números_Asignados,Nombres_Directorio," *** OJO *** ",0)</f>
        <v> *** OJO *** </v>
      </c>
      <c r="F166" s="7" t="str">
        <f t="array" ref="F166">XLOOKUP($A166,Números_Asignados,Sucursal_Asignada," *** OJO *** ",0)</f>
        <v> *** OJO *** </v>
      </c>
      <c r="G166" s="7" t="str">
        <f t="array" ref="G166">XLOOKUP($A166,Números_Asignados,Departamento_Asignado," *** OJO *** ",0)</f>
        <v> *** OJO *** </v>
      </c>
      <c r="H166" s="7" t="str">
        <f t="array" ref="H166">XLOOKUP($A166,Números_Asignados,Puesto_Asignado," *** OJO *** ",0)</f>
        <v> *** OJO *** </v>
      </c>
    </row>
    <row r="167" ht="15.75" customHeight="1">
      <c r="A167" s="7">
        <v>3.939385641E9</v>
      </c>
      <c r="B167" s="7">
        <v>2.0</v>
      </c>
      <c r="C167" s="9">
        <v>329.0</v>
      </c>
      <c r="D167" s="7">
        <v>105.0</v>
      </c>
      <c r="E167" s="7" t="s">
        <v>1200</v>
      </c>
      <c r="F167" s="7" t="s">
        <v>40</v>
      </c>
      <c r="G167" s="7" t="s">
        <v>1201</v>
      </c>
      <c r="H167" s="7" t="s">
        <v>1201</v>
      </c>
    </row>
    <row r="168" ht="15.75" customHeight="1">
      <c r="A168" s="7">
        <v>3.931091335E9</v>
      </c>
      <c r="B168" s="7">
        <v>2.0</v>
      </c>
      <c r="C168" s="9">
        <v>329.0</v>
      </c>
      <c r="D168" s="7">
        <v>105.0</v>
      </c>
      <c r="E168" s="7" t="s">
        <v>1200</v>
      </c>
      <c r="F168" s="7" t="s">
        <v>40</v>
      </c>
      <c r="G168" s="7" t="s">
        <v>1201</v>
      </c>
      <c r="H168" s="7" t="s">
        <v>1201</v>
      </c>
    </row>
    <row r="169" ht="15.75" customHeight="1">
      <c r="A169" s="7">
        <v>3.931090656E9</v>
      </c>
      <c r="B169" s="7">
        <v>2.0</v>
      </c>
      <c r="C169" s="9">
        <v>329.0</v>
      </c>
      <c r="D169" s="7">
        <v>105.0</v>
      </c>
      <c r="E169" s="7" t="s">
        <v>1202</v>
      </c>
      <c r="F169" s="7" t="s">
        <v>40</v>
      </c>
      <c r="G169" s="7" t="s">
        <v>1201</v>
      </c>
      <c r="H169" s="7" t="s">
        <v>1201</v>
      </c>
    </row>
    <row r="170" ht="15.75" customHeight="1">
      <c r="A170" s="7">
        <v>3.931245288E9</v>
      </c>
      <c r="B170" s="7">
        <v>2.0</v>
      </c>
      <c r="C170" s="9">
        <v>329.0</v>
      </c>
      <c r="D170" s="7">
        <v>105.0</v>
      </c>
      <c r="E170" s="7" t="s">
        <v>1203</v>
      </c>
      <c r="F170" s="7" t="s">
        <v>40</v>
      </c>
      <c r="G170" s="7" t="s">
        <v>1201</v>
      </c>
      <c r="H170" s="7" t="s">
        <v>1201</v>
      </c>
    </row>
    <row r="171" ht="15.75" customHeight="1">
      <c r="A171" s="7">
        <v>3.93117983E9</v>
      </c>
      <c r="B171" s="7">
        <v>2.0</v>
      </c>
      <c r="C171" s="9">
        <v>329.0</v>
      </c>
      <c r="D171" s="7">
        <v>105.0</v>
      </c>
      <c r="E171" s="7" t="s">
        <v>1204</v>
      </c>
      <c r="F171" s="7" t="s">
        <v>40</v>
      </c>
      <c r="G171" s="7" t="s">
        <v>1201</v>
      </c>
      <c r="H171" s="7" t="s">
        <v>1201</v>
      </c>
    </row>
    <row r="172" ht="15.75" customHeight="1">
      <c r="A172" s="7">
        <v>3.939336334E9</v>
      </c>
      <c r="B172" s="7">
        <v>2.0</v>
      </c>
      <c r="C172" s="9">
        <v>329.0</v>
      </c>
      <c r="D172" s="7">
        <v>105.0</v>
      </c>
      <c r="E172" s="7" t="s">
        <v>1205</v>
      </c>
      <c r="F172" s="7" t="s">
        <v>40</v>
      </c>
      <c r="G172" s="7" t="s">
        <v>1201</v>
      </c>
      <c r="H172" s="7" t="s">
        <v>1201</v>
      </c>
    </row>
    <row r="173" ht="15.75" customHeight="1">
      <c r="A173" s="43"/>
      <c r="B173" s="43"/>
      <c r="C173" s="43"/>
      <c r="D173" s="43"/>
      <c r="E173" s="43"/>
      <c r="F173" s="43"/>
      <c r="G173" s="43"/>
      <c r="H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</row>
    <row r="340" ht="15.75" customHeight="1">
      <c r="A340" s="43"/>
      <c r="B340" s="43"/>
      <c r="C340" s="43"/>
      <c r="D340" s="43"/>
      <c r="E340" s="43"/>
      <c r="F340" s="43"/>
      <c r="G340" s="43"/>
      <c r="H340" s="43"/>
    </row>
    <row r="341" ht="15.75" customHeight="1">
      <c r="A341" s="43"/>
      <c r="B341" s="43"/>
      <c r="C341" s="43"/>
      <c r="D341" s="43"/>
      <c r="E341" s="43"/>
      <c r="F341" s="43"/>
      <c r="G341" s="43"/>
      <c r="H341" s="43"/>
    </row>
    <row r="342" ht="15.75" customHeight="1">
      <c r="A342" s="43"/>
      <c r="B342" s="43"/>
      <c r="C342" s="43"/>
      <c r="D342" s="43"/>
      <c r="E342" s="43"/>
      <c r="F342" s="43"/>
      <c r="G342" s="43"/>
      <c r="H342" s="43"/>
    </row>
    <row r="343" ht="15.75" customHeight="1">
      <c r="A343" s="43"/>
      <c r="B343" s="43"/>
      <c r="C343" s="43"/>
      <c r="D343" s="43"/>
      <c r="E343" s="43"/>
      <c r="F343" s="43"/>
      <c r="G343" s="43"/>
      <c r="H343" s="43"/>
    </row>
    <row r="344" ht="15.75" customHeight="1">
      <c r="A344" s="43"/>
      <c r="B344" s="43"/>
      <c r="C344" s="43"/>
      <c r="D344" s="43"/>
      <c r="E344" s="43"/>
      <c r="F344" s="43"/>
      <c r="G344" s="43"/>
      <c r="H344" s="43"/>
    </row>
    <row r="345" ht="15.75" customHeight="1">
      <c r="A345" s="43"/>
      <c r="B345" s="43"/>
      <c r="C345" s="43"/>
      <c r="D345" s="43"/>
      <c r="E345" s="43"/>
      <c r="F345" s="43"/>
      <c r="G345" s="43"/>
      <c r="H345" s="43"/>
    </row>
    <row r="346" ht="15.75" customHeight="1">
      <c r="A346" s="43"/>
      <c r="B346" s="43"/>
      <c r="C346" s="43"/>
      <c r="D346" s="43"/>
      <c r="E346" s="43"/>
      <c r="F346" s="43"/>
      <c r="G346" s="43"/>
      <c r="H346" s="43"/>
    </row>
    <row r="347" ht="15.75" customHeight="1">
      <c r="A347" s="43"/>
      <c r="B347" s="43"/>
      <c r="C347" s="43"/>
      <c r="D347" s="43"/>
      <c r="E347" s="43"/>
      <c r="F347" s="43"/>
      <c r="G347" s="43"/>
      <c r="H347" s="43"/>
    </row>
    <row r="348" ht="15.75" customHeight="1">
      <c r="A348" s="43"/>
      <c r="B348" s="43"/>
      <c r="C348" s="43"/>
      <c r="D348" s="43"/>
      <c r="E348" s="43"/>
      <c r="F348" s="43"/>
      <c r="G348" s="43"/>
      <c r="H348" s="43"/>
    </row>
    <row r="349" ht="15.75" customHeight="1">
      <c r="A349" s="43"/>
      <c r="B349" s="43"/>
      <c r="C349" s="43"/>
      <c r="D349" s="43"/>
      <c r="E349" s="43"/>
      <c r="F349" s="43"/>
      <c r="G349" s="43"/>
      <c r="H349" s="43"/>
    </row>
    <row r="350" ht="15.75" customHeight="1">
      <c r="A350" s="43"/>
      <c r="B350" s="43"/>
      <c r="C350" s="43"/>
      <c r="D350" s="43"/>
      <c r="E350" s="43"/>
      <c r="F350" s="43"/>
      <c r="G350" s="43"/>
      <c r="H350" s="43"/>
    </row>
    <row r="351" ht="15.75" customHeight="1">
      <c r="A351" s="43"/>
      <c r="B351" s="43"/>
      <c r="C351" s="43"/>
      <c r="D351" s="43"/>
      <c r="E351" s="43"/>
      <c r="F351" s="43"/>
      <c r="G351" s="43"/>
      <c r="H351" s="43"/>
    </row>
    <row r="352" ht="15.75" customHeight="1">
      <c r="A352" s="43"/>
      <c r="B352" s="43"/>
      <c r="C352" s="43"/>
      <c r="D352" s="43"/>
      <c r="E352" s="43"/>
      <c r="F352" s="43"/>
      <c r="G352" s="43"/>
      <c r="H352" s="43"/>
    </row>
    <row r="353" ht="15.75" customHeight="1">
      <c r="A353" s="43"/>
      <c r="B353" s="43"/>
      <c r="C353" s="43"/>
      <c r="D353" s="43"/>
      <c r="E353" s="43"/>
      <c r="F353" s="43"/>
      <c r="G353" s="43"/>
      <c r="H353" s="43"/>
    </row>
    <row r="354" ht="15.75" customHeight="1">
      <c r="A354" s="43"/>
      <c r="B354" s="43"/>
      <c r="C354" s="43"/>
      <c r="D354" s="43"/>
      <c r="E354" s="43"/>
      <c r="F354" s="43"/>
      <c r="G354" s="43"/>
      <c r="H354" s="43"/>
    </row>
    <row r="355" ht="15.75" customHeight="1">
      <c r="A355" s="43"/>
      <c r="B355" s="43"/>
      <c r="C355" s="43"/>
      <c r="D355" s="43"/>
      <c r="E355" s="43"/>
      <c r="F355" s="43"/>
      <c r="G355" s="43"/>
      <c r="H355" s="43"/>
    </row>
    <row r="356" ht="15.75" customHeight="1">
      <c r="A356" s="43"/>
      <c r="B356" s="43"/>
      <c r="C356" s="43"/>
      <c r="D356" s="43"/>
      <c r="E356" s="43"/>
      <c r="F356" s="43"/>
      <c r="G356" s="43"/>
      <c r="H356" s="43"/>
    </row>
    <row r="357" ht="15.75" customHeight="1">
      <c r="A357" s="43"/>
      <c r="B357" s="43"/>
      <c r="C357" s="43"/>
      <c r="D357" s="43"/>
      <c r="E357" s="43"/>
      <c r="F357" s="43"/>
      <c r="G357" s="43"/>
      <c r="H357" s="43"/>
    </row>
    <row r="358" ht="15.75" customHeight="1">
      <c r="A358" s="43"/>
      <c r="B358" s="43"/>
      <c r="C358" s="43"/>
      <c r="D358" s="43"/>
      <c r="E358" s="43"/>
      <c r="F358" s="43"/>
      <c r="G358" s="43"/>
      <c r="H358" s="43"/>
    </row>
    <row r="359" ht="15.75" customHeight="1">
      <c r="A359" s="43"/>
      <c r="B359" s="43"/>
      <c r="C359" s="43"/>
      <c r="D359" s="43"/>
      <c r="E359" s="43"/>
      <c r="F359" s="43"/>
      <c r="G359" s="43"/>
      <c r="H359" s="43"/>
    </row>
    <row r="360" ht="15.75" customHeight="1">
      <c r="A360" s="43"/>
      <c r="B360" s="43"/>
      <c r="C360" s="43"/>
      <c r="D360" s="43"/>
      <c r="E360" s="43"/>
      <c r="F360" s="43"/>
      <c r="G360" s="43"/>
      <c r="H360" s="43"/>
    </row>
    <row r="361" ht="15.75" customHeight="1">
      <c r="A361" s="43"/>
      <c r="B361" s="43"/>
      <c r="C361" s="43"/>
      <c r="D361" s="43"/>
      <c r="E361" s="43"/>
      <c r="F361" s="43"/>
      <c r="G361" s="43"/>
      <c r="H361" s="43"/>
    </row>
    <row r="362" ht="15.75" customHeight="1">
      <c r="A362" s="43"/>
      <c r="B362" s="43"/>
      <c r="C362" s="43"/>
      <c r="D362" s="43"/>
      <c r="E362" s="43"/>
      <c r="F362" s="43"/>
      <c r="G362" s="43"/>
      <c r="H362" s="43"/>
    </row>
    <row r="363" ht="15.75" customHeight="1">
      <c r="A363" s="43"/>
      <c r="B363" s="43"/>
      <c r="C363" s="43"/>
      <c r="D363" s="43"/>
      <c r="E363" s="43"/>
      <c r="F363" s="43"/>
      <c r="G363" s="43"/>
      <c r="H363" s="43"/>
    </row>
    <row r="364" ht="15.75" customHeight="1">
      <c r="A364" s="43"/>
      <c r="B364" s="43"/>
      <c r="C364" s="43"/>
      <c r="D364" s="43"/>
      <c r="E364" s="43"/>
      <c r="F364" s="43"/>
      <c r="G364" s="43"/>
      <c r="H364" s="43"/>
    </row>
    <row r="365" ht="15.75" customHeight="1">
      <c r="A365" s="43"/>
      <c r="B365" s="43"/>
      <c r="C365" s="43"/>
      <c r="D365" s="43"/>
      <c r="E365" s="43"/>
      <c r="F365" s="43"/>
      <c r="G365" s="43"/>
      <c r="H365" s="43"/>
    </row>
    <row r="366" ht="15.75" customHeight="1">
      <c r="A366" s="43"/>
      <c r="B366" s="43"/>
      <c r="C366" s="43"/>
      <c r="D366" s="43"/>
      <c r="E366" s="43"/>
      <c r="F366" s="43"/>
      <c r="G366" s="43"/>
      <c r="H366" s="43"/>
    </row>
    <row r="367" ht="15.75" customHeight="1">
      <c r="A367" s="43"/>
      <c r="B367" s="43"/>
      <c r="C367" s="43"/>
      <c r="D367" s="43"/>
      <c r="E367" s="43"/>
      <c r="F367" s="43"/>
      <c r="G367" s="43"/>
      <c r="H367" s="43"/>
    </row>
    <row r="368" ht="15.75" customHeight="1">
      <c r="A368" s="43"/>
      <c r="B368" s="43"/>
      <c r="C368" s="43"/>
      <c r="D368" s="43"/>
      <c r="E368" s="43"/>
      <c r="F368" s="43"/>
      <c r="G368" s="43"/>
      <c r="H368" s="43"/>
    </row>
    <row r="369" ht="15.75" customHeight="1">
      <c r="A369" s="43"/>
      <c r="B369" s="43"/>
      <c r="C369" s="43"/>
      <c r="D369" s="43"/>
      <c r="E369" s="43"/>
      <c r="F369" s="43"/>
      <c r="G369" s="43"/>
      <c r="H369" s="43"/>
    </row>
    <row r="370" ht="15.75" customHeight="1">
      <c r="A370" s="43"/>
      <c r="B370" s="43"/>
      <c r="C370" s="43"/>
      <c r="D370" s="43"/>
      <c r="E370" s="43"/>
      <c r="F370" s="43"/>
      <c r="G370" s="43"/>
      <c r="H370" s="43"/>
    </row>
    <row r="371" ht="15.75" customHeight="1">
      <c r="A371" s="43"/>
      <c r="B371" s="43"/>
      <c r="C371" s="43"/>
      <c r="D371" s="43"/>
      <c r="E371" s="43"/>
      <c r="F371" s="43"/>
      <c r="G371" s="43"/>
      <c r="H371" s="43"/>
    </row>
    <row r="372" ht="15.75" customHeight="1">
      <c r="A372" s="43"/>
      <c r="B372" s="43"/>
      <c r="C372" s="43"/>
      <c r="D372" s="43"/>
      <c r="E372" s="43"/>
      <c r="F372" s="43"/>
      <c r="G372" s="43"/>
      <c r="H372" s="43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H$172"/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13.29"/>
    <col customWidth="1" min="3" max="3" width="34.71"/>
    <col customWidth="1" min="4" max="4" width="33.57"/>
    <col customWidth="1" min="5" max="5" width="36.86"/>
    <col customWidth="1" min="6" max="6" width="20.71"/>
    <col customWidth="1" min="7" max="7" width="36.86"/>
    <col customWidth="1" min="8" max="8" width="21.29"/>
    <col customWidth="1" min="9" max="9" width="13.57"/>
    <col customWidth="1" min="10" max="10" width="26.29"/>
    <col customWidth="1" min="11" max="11" width="23.71"/>
    <col customWidth="1" min="12" max="12" width="22.57"/>
    <col customWidth="1" min="13" max="13" width="9.57"/>
    <col customWidth="1" min="14" max="15" width="27.71"/>
  </cols>
  <sheetData>
    <row r="1">
      <c r="A1" s="11" t="s">
        <v>5</v>
      </c>
      <c r="B1" s="1" t="s">
        <v>6</v>
      </c>
      <c r="C1" s="1" t="s">
        <v>7</v>
      </c>
      <c r="D1" s="1" t="s">
        <v>9</v>
      </c>
      <c r="E1" s="1" t="s">
        <v>30</v>
      </c>
      <c r="F1" s="1" t="s">
        <v>16</v>
      </c>
      <c r="G1" s="1" t="s">
        <v>31</v>
      </c>
      <c r="H1" s="1" t="s">
        <v>16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8" t="s">
        <v>38</v>
      </c>
    </row>
    <row r="2">
      <c r="A2" s="7" t="s">
        <v>39</v>
      </c>
      <c r="B2" s="7" t="s">
        <v>40</v>
      </c>
      <c r="C2" s="7" t="s">
        <v>42</v>
      </c>
      <c r="D2" s="7" t="s">
        <v>44</v>
      </c>
      <c r="E2" s="7" t="s">
        <v>46</v>
      </c>
      <c r="F2" s="7" t="s">
        <v>48</v>
      </c>
      <c r="G2" s="7" t="s">
        <v>46</v>
      </c>
      <c r="H2" s="19" t="s">
        <v>48</v>
      </c>
      <c r="I2" s="19">
        <v>3.931079956E9</v>
      </c>
      <c r="J2" s="7" t="s">
        <v>50</v>
      </c>
      <c r="K2" s="7"/>
      <c r="L2" s="7"/>
      <c r="M2" s="7"/>
      <c r="N2" s="7"/>
      <c r="O2" s="7"/>
    </row>
    <row r="3">
      <c r="A3" s="7" t="s">
        <v>52</v>
      </c>
      <c r="B3" s="7" t="s">
        <v>40</v>
      </c>
      <c r="C3" s="7" t="s">
        <v>42</v>
      </c>
      <c r="D3" s="7" t="s">
        <v>44</v>
      </c>
      <c r="E3" s="7" t="s">
        <v>54</v>
      </c>
      <c r="F3" s="7" t="s">
        <v>48</v>
      </c>
      <c r="G3" s="7" t="s">
        <v>54</v>
      </c>
      <c r="H3" s="19" t="s">
        <v>55</v>
      </c>
      <c r="I3" s="19">
        <v>3.931245174E9</v>
      </c>
      <c r="J3" s="7" t="s">
        <v>56</v>
      </c>
      <c r="K3" s="7"/>
      <c r="L3" s="7"/>
      <c r="M3" s="7"/>
      <c r="N3" s="7"/>
      <c r="O3" s="7"/>
    </row>
    <row r="4">
      <c r="A4" s="7" t="s">
        <v>57</v>
      </c>
      <c r="B4" s="7" t="s">
        <v>40</v>
      </c>
      <c r="C4" s="7" t="s">
        <v>42</v>
      </c>
      <c r="D4" s="7" t="s">
        <v>44</v>
      </c>
      <c r="E4" s="7" t="s">
        <v>58</v>
      </c>
      <c r="F4" s="7" t="s">
        <v>59</v>
      </c>
      <c r="G4" s="7" t="s">
        <v>58</v>
      </c>
      <c r="H4" s="19" t="s">
        <v>59</v>
      </c>
      <c r="I4" s="19">
        <v>3.931099049E9</v>
      </c>
      <c r="J4" s="7"/>
      <c r="K4" s="7"/>
      <c r="L4" s="7"/>
      <c r="M4" s="7"/>
      <c r="N4" s="7"/>
      <c r="O4" s="7"/>
    </row>
    <row r="5">
      <c r="A5" s="7" t="s">
        <v>60</v>
      </c>
      <c r="B5" s="7" t="s">
        <v>40</v>
      </c>
      <c r="C5" s="7" t="s">
        <v>42</v>
      </c>
      <c r="D5" s="7" t="s">
        <v>44</v>
      </c>
      <c r="E5" s="20" t="s">
        <v>61</v>
      </c>
      <c r="F5" s="7" t="s">
        <v>62</v>
      </c>
      <c r="G5" s="7" t="s">
        <v>63</v>
      </c>
      <c r="H5" s="19" t="s">
        <v>62</v>
      </c>
      <c r="I5" s="19">
        <v>3.931190252E9</v>
      </c>
      <c r="J5" s="7" t="s">
        <v>64</v>
      </c>
      <c r="K5" s="7"/>
      <c r="L5" s="7"/>
      <c r="M5" s="7"/>
      <c r="N5" s="7" t="s">
        <v>65</v>
      </c>
      <c r="O5" s="7"/>
    </row>
    <row r="6">
      <c r="A6" s="7" t="s">
        <v>66</v>
      </c>
      <c r="B6" s="7" t="s">
        <v>40</v>
      </c>
      <c r="C6" s="7" t="s">
        <v>42</v>
      </c>
      <c r="D6" s="7" t="s">
        <v>67</v>
      </c>
      <c r="E6" s="7" t="s">
        <v>68</v>
      </c>
      <c r="F6" s="7" t="s">
        <v>48</v>
      </c>
      <c r="G6" s="7" t="s">
        <v>68</v>
      </c>
      <c r="H6" s="19" t="s">
        <v>48</v>
      </c>
      <c r="I6" s="19">
        <v>3.316135759E9</v>
      </c>
      <c r="J6" s="7"/>
      <c r="K6" s="7" t="s">
        <v>69</v>
      </c>
      <c r="L6" s="7"/>
      <c r="M6" s="7"/>
      <c r="N6" s="7"/>
      <c r="O6" s="7"/>
    </row>
    <row r="7">
      <c r="A7" s="7" t="s">
        <v>70</v>
      </c>
      <c r="B7" s="7" t="s">
        <v>40</v>
      </c>
      <c r="C7" s="7" t="s">
        <v>42</v>
      </c>
      <c r="D7" s="7" t="s">
        <v>71</v>
      </c>
      <c r="E7" s="7" t="s">
        <v>72</v>
      </c>
      <c r="F7" s="7" t="s">
        <v>48</v>
      </c>
      <c r="G7" s="7" t="s">
        <v>72</v>
      </c>
      <c r="H7" s="19" t="s">
        <v>48</v>
      </c>
      <c r="I7" s="19">
        <v>3.781868862E9</v>
      </c>
      <c r="J7" s="7" t="s">
        <v>73</v>
      </c>
      <c r="K7" s="7"/>
      <c r="L7" s="7"/>
      <c r="M7" s="7">
        <v>16.0</v>
      </c>
      <c r="N7" s="7"/>
      <c r="O7" s="7"/>
    </row>
    <row r="8">
      <c r="A8" s="7" t="s">
        <v>74</v>
      </c>
      <c r="B8" s="7" t="s">
        <v>40</v>
      </c>
      <c r="C8" s="7" t="s">
        <v>75</v>
      </c>
      <c r="D8" s="7" t="s">
        <v>67</v>
      </c>
      <c r="E8" s="20" t="s">
        <v>76</v>
      </c>
      <c r="F8" s="7" t="s">
        <v>77</v>
      </c>
      <c r="G8" s="7" t="s">
        <v>78</v>
      </c>
      <c r="H8" s="19" t="s">
        <v>55</v>
      </c>
      <c r="I8" s="19">
        <v>3.931001237E9</v>
      </c>
      <c r="J8" s="7"/>
      <c r="K8" s="7" t="s">
        <v>79</v>
      </c>
      <c r="L8" s="7" t="s">
        <v>79</v>
      </c>
      <c r="M8" s="7"/>
      <c r="N8" s="7"/>
      <c r="O8" s="7"/>
    </row>
    <row r="9">
      <c r="A9" s="7" t="s">
        <v>80</v>
      </c>
      <c r="B9" s="7" t="s">
        <v>40</v>
      </c>
      <c r="C9" s="7" t="s">
        <v>75</v>
      </c>
      <c r="D9" s="7" t="s">
        <v>81</v>
      </c>
      <c r="E9" s="7" t="s">
        <v>82</v>
      </c>
      <c r="F9" s="7" t="s">
        <v>59</v>
      </c>
      <c r="G9" s="7" t="s">
        <v>82</v>
      </c>
      <c r="H9" s="19" t="s">
        <v>59</v>
      </c>
      <c r="I9" s="19"/>
      <c r="J9" s="7" t="s">
        <v>83</v>
      </c>
      <c r="K9" s="7"/>
      <c r="L9" s="7"/>
      <c r="M9" s="7"/>
      <c r="N9" s="7"/>
      <c r="O9" s="7"/>
    </row>
    <row r="10">
      <c r="A10" s="7" t="s">
        <v>84</v>
      </c>
      <c r="B10" s="7" t="s">
        <v>40</v>
      </c>
      <c r="C10" s="7" t="s">
        <v>85</v>
      </c>
      <c r="D10" s="7" t="s">
        <v>67</v>
      </c>
      <c r="E10" s="20" t="s">
        <v>86</v>
      </c>
      <c r="F10" s="7" t="s">
        <v>87</v>
      </c>
      <c r="G10" s="7" t="s">
        <v>88</v>
      </c>
      <c r="H10" s="19" t="s">
        <v>87</v>
      </c>
      <c r="I10" s="19">
        <v>3.931205198E9</v>
      </c>
      <c r="J10" s="7" t="s">
        <v>89</v>
      </c>
      <c r="K10" s="7"/>
      <c r="L10" s="7"/>
      <c r="M10" s="7"/>
      <c r="N10" s="7"/>
      <c r="O10" s="7"/>
    </row>
    <row r="11">
      <c r="A11" s="7" t="s">
        <v>90</v>
      </c>
      <c r="B11" s="7" t="s">
        <v>40</v>
      </c>
      <c r="C11" s="7" t="s">
        <v>85</v>
      </c>
      <c r="D11" s="7" t="s">
        <v>91</v>
      </c>
      <c r="E11" s="7" t="s">
        <v>92</v>
      </c>
      <c r="F11" s="7" t="s">
        <v>87</v>
      </c>
      <c r="G11" s="7" t="s">
        <v>92</v>
      </c>
      <c r="H11" s="19" t="s">
        <v>87</v>
      </c>
      <c r="I11" s="19">
        <v>3.931245254E9</v>
      </c>
      <c r="J11" s="7"/>
      <c r="K11" s="7"/>
      <c r="L11" s="7"/>
      <c r="M11" s="7"/>
      <c r="N11" s="7"/>
      <c r="O11" s="7"/>
    </row>
    <row r="12">
      <c r="A12" s="7" t="s">
        <v>93</v>
      </c>
      <c r="B12" s="7" t="s">
        <v>40</v>
      </c>
      <c r="C12" s="7" t="s">
        <v>94</v>
      </c>
      <c r="D12" s="7" t="s">
        <v>67</v>
      </c>
      <c r="E12" s="7" t="s">
        <v>95</v>
      </c>
      <c r="F12" s="7" t="s">
        <v>59</v>
      </c>
      <c r="G12" s="7" t="s">
        <v>95</v>
      </c>
      <c r="H12" s="19" t="s">
        <v>87</v>
      </c>
      <c r="I12" s="19">
        <v>3.313254527E9</v>
      </c>
      <c r="J12" s="7" t="s">
        <v>96</v>
      </c>
      <c r="K12" s="7"/>
      <c r="L12" s="7"/>
      <c r="M12" s="7"/>
      <c r="N12" s="7"/>
      <c r="O12" s="7"/>
    </row>
    <row r="13">
      <c r="A13" s="7" t="s">
        <v>97</v>
      </c>
      <c r="B13" s="7" t="s">
        <v>40</v>
      </c>
      <c r="C13" s="7" t="s">
        <v>98</v>
      </c>
      <c r="D13" s="7" t="s">
        <v>67</v>
      </c>
      <c r="E13" s="7"/>
      <c r="F13" s="7"/>
      <c r="G13" s="7" t="s">
        <v>99</v>
      </c>
      <c r="H13" s="19" t="s">
        <v>100</v>
      </c>
      <c r="I13" s="19"/>
      <c r="J13" s="7"/>
      <c r="K13" s="7" t="s">
        <v>101</v>
      </c>
      <c r="L13" s="7" t="s">
        <v>101</v>
      </c>
      <c r="M13" s="7"/>
      <c r="N13" s="7"/>
      <c r="O13" s="7"/>
    </row>
    <row r="14">
      <c r="A14" s="7" t="s">
        <v>102</v>
      </c>
      <c r="B14" s="7" t="s">
        <v>40</v>
      </c>
      <c r="C14" s="7" t="s">
        <v>98</v>
      </c>
      <c r="D14" s="7" t="s">
        <v>67</v>
      </c>
      <c r="E14" s="20" t="s">
        <v>103</v>
      </c>
      <c r="F14" s="7" t="s">
        <v>100</v>
      </c>
      <c r="G14" s="7" t="s">
        <v>104</v>
      </c>
      <c r="H14" s="19" t="s">
        <v>100</v>
      </c>
      <c r="I14" s="19"/>
      <c r="J14" s="7"/>
      <c r="K14" s="7" t="s">
        <v>105</v>
      </c>
      <c r="L14" s="7" t="s">
        <v>105</v>
      </c>
      <c r="M14" s="7"/>
      <c r="N14" s="7"/>
      <c r="O14" s="7"/>
    </row>
    <row r="15">
      <c r="A15" s="7" t="s">
        <v>106</v>
      </c>
      <c r="B15" s="7" t="s">
        <v>40</v>
      </c>
      <c r="C15" s="7" t="s">
        <v>98</v>
      </c>
      <c r="D15" s="7" t="s">
        <v>67</v>
      </c>
      <c r="E15" s="20" t="s">
        <v>107</v>
      </c>
      <c r="F15" s="7" t="s">
        <v>108</v>
      </c>
      <c r="G15" s="7" t="s">
        <v>109</v>
      </c>
      <c r="H15" s="19" t="s">
        <v>55</v>
      </c>
      <c r="I15" s="19"/>
      <c r="J15" s="7"/>
      <c r="K15" s="7" t="s">
        <v>110</v>
      </c>
      <c r="L15" s="7" t="s">
        <v>110</v>
      </c>
      <c r="M15" s="7"/>
      <c r="N15" s="7"/>
      <c r="O15" s="7"/>
    </row>
    <row r="16">
      <c r="A16" s="7" t="s">
        <v>111</v>
      </c>
      <c r="B16" s="7" t="s">
        <v>40</v>
      </c>
      <c r="C16" s="7" t="s">
        <v>98</v>
      </c>
      <c r="D16" s="7" t="s">
        <v>67</v>
      </c>
      <c r="E16" s="20" t="s">
        <v>112</v>
      </c>
      <c r="F16" s="7" t="s">
        <v>113</v>
      </c>
      <c r="G16" s="7" t="s">
        <v>114</v>
      </c>
      <c r="H16" s="19" t="s">
        <v>55</v>
      </c>
      <c r="I16" s="19"/>
      <c r="J16" s="7"/>
      <c r="K16" s="7" t="s">
        <v>115</v>
      </c>
      <c r="L16" s="7" t="s">
        <v>115</v>
      </c>
      <c r="M16" s="7"/>
      <c r="N16" s="7"/>
      <c r="O16" s="7"/>
    </row>
    <row r="17">
      <c r="A17" s="7" t="s">
        <v>116</v>
      </c>
      <c r="B17" s="7" t="s">
        <v>40</v>
      </c>
      <c r="C17" s="7" t="s">
        <v>43</v>
      </c>
      <c r="D17" s="7" t="s">
        <v>117</v>
      </c>
      <c r="E17" s="7" t="s">
        <v>118</v>
      </c>
      <c r="F17" s="7" t="s">
        <v>119</v>
      </c>
      <c r="G17" s="7" t="s">
        <v>120</v>
      </c>
      <c r="H17" s="19" t="s">
        <v>55</v>
      </c>
      <c r="I17" s="19">
        <v>3.316099062E9</v>
      </c>
      <c r="J17" s="7" t="s">
        <v>121</v>
      </c>
      <c r="K17" s="7"/>
      <c r="L17" s="7"/>
      <c r="M17" s="7"/>
      <c r="N17" s="7"/>
      <c r="O17" s="7"/>
    </row>
    <row r="18">
      <c r="A18" s="7" t="s">
        <v>122</v>
      </c>
      <c r="B18" s="7" t="s">
        <v>40</v>
      </c>
      <c r="C18" s="7" t="s">
        <v>43</v>
      </c>
      <c r="D18" s="7" t="s">
        <v>123</v>
      </c>
      <c r="E18" s="7" t="s">
        <v>124</v>
      </c>
      <c r="F18" s="7" t="s">
        <v>125</v>
      </c>
      <c r="G18" s="7" t="s">
        <v>126</v>
      </c>
      <c r="H18" s="19" t="s">
        <v>127</v>
      </c>
      <c r="I18" s="19">
        <v>3.316118572E9</v>
      </c>
      <c r="J18" s="7"/>
      <c r="K18" s="7" t="s">
        <v>128</v>
      </c>
      <c r="L18" s="7" t="s">
        <v>128</v>
      </c>
      <c r="M18" s="7"/>
      <c r="N18" s="7"/>
      <c r="O18" s="7"/>
    </row>
    <row r="19">
      <c r="A19" s="7" t="s">
        <v>129</v>
      </c>
      <c r="B19" s="7" t="s">
        <v>40</v>
      </c>
      <c r="C19" s="7" t="s">
        <v>43</v>
      </c>
      <c r="D19" s="7" t="s">
        <v>130</v>
      </c>
      <c r="E19" s="7" t="s">
        <v>131</v>
      </c>
      <c r="F19" s="7" t="s">
        <v>59</v>
      </c>
      <c r="G19" s="7" t="s">
        <v>131</v>
      </c>
      <c r="H19" s="19" t="s">
        <v>55</v>
      </c>
      <c r="I19" s="19">
        <v>3.93107996E9</v>
      </c>
      <c r="J19" s="7" t="s">
        <v>132</v>
      </c>
      <c r="K19" s="7"/>
      <c r="L19" s="7"/>
      <c r="M19" s="7"/>
      <c r="N19" s="7"/>
      <c r="O19" s="7"/>
    </row>
    <row r="20">
      <c r="A20" s="7" t="s">
        <v>133</v>
      </c>
      <c r="B20" s="7" t="s">
        <v>40</v>
      </c>
      <c r="C20" s="7" t="s">
        <v>43</v>
      </c>
      <c r="D20" s="7" t="s">
        <v>134</v>
      </c>
      <c r="E20" s="20" t="s">
        <v>135</v>
      </c>
      <c r="F20" s="7" t="s">
        <v>59</v>
      </c>
      <c r="G20" s="7" t="s">
        <v>136</v>
      </c>
      <c r="H20" s="19" t="s">
        <v>137</v>
      </c>
      <c r="I20" s="19">
        <v>3.931245167E9</v>
      </c>
      <c r="J20" s="7" t="s">
        <v>138</v>
      </c>
      <c r="K20" s="7"/>
      <c r="L20" s="7"/>
      <c r="M20" s="7"/>
      <c r="N20" s="7"/>
      <c r="O20" s="7"/>
    </row>
    <row r="21" ht="15.75" customHeight="1">
      <c r="A21" s="7" t="s">
        <v>139</v>
      </c>
      <c r="B21" s="7" t="s">
        <v>40</v>
      </c>
      <c r="C21" s="7" t="s">
        <v>43</v>
      </c>
      <c r="D21" s="7" t="s">
        <v>140</v>
      </c>
      <c r="E21" s="7" t="s">
        <v>141</v>
      </c>
      <c r="F21" s="7" t="s">
        <v>87</v>
      </c>
      <c r="G21" s="7" t="s">
        <v>142</v>
      </c>
      <c r="H21" s="19" t="s">
        <v>87</v>
      </c>
      <c r="I21" s="19"/>
      <c r="J21" s="7" t="s">
        <v>143</v>
      </c>
      <c r="K21" s="7"/>
      <c r="L21" s="7"/>
      <c r="M21" s="7"/>
      <c r="N21" s="7"/>
      <c r="O21" s="7"/>
    </row>
    <row r="22" ht="15.75" customHeight="1">
      <c r="A22" s="7" t="s">
        <v>144</v>
      </c>
      <c r="B22" s="7" t="s">
        <v>40</v>
      </c>
      <c r="C22" s="7" t="s">
        <v>43</v>
      </c>
      <c r="D22" s="7" t="s">
        <v>145</v>
      </c>
      <c r="E22" s="7" t="s">
        <v>146</v>
      </c>
      <c r="F22" s="7" t="s">
        <v>147</v>
      </c>
      <c r="G22" s="7" t="s">
        <v>149</v>
      </c>
      <c r="H22" s="19" t="s">
        <v>100</v>
      </c>
      <c r="I22" s="19">
        <v>3.931042392E9</v>
      </c>
      <c r="J22" s="7"/>
      <c r="K22" s="7" t="s">
        <v>150</v>
      </c>
      <c r="L22" s="7" t="s">
        <v>150</v>
      </c>
      <c r="M22" s="7"/>
      <c r="N22" s="7"/>
      <c r="O22" s="7"/>
    </row>
    <row r="23" ht="15.75" customHeight="1">
      <c r="A23" s="7" t="s">
        <v>152</v>
      </c>
      <c r="B23" s="7" t="s">
        <v>40</v>
      </c>
      <c r="C23" s="7" t="s">
        <v>43</v>
      </c>
      <c r="D23" s="7" t="s">
        <v>155</v>
      </c>
      <c r="E23" s="7" t="s">
        <v>156</v>
      </c>
      <c r="F23" s="7" t="s">
        <v>158</v>
      </c>
      <c r="G23" s="7" t="s">
        <v>159</v>
      </c>
      <c r="H23" s="19" t="s">
        <v>161</v>
      </c>
      <c r="I23" s="19">
        <v>3.781868863E9</v>
      </c>
      <c r="J23" s="7" t="s">
        <v>163</v>
      </c>
      <c r="K23" s="7"/>
      <c r="L23" s="7" t="s">
        <v>163</v>
      </c>
      <c r="M23" s="7"/>
      <c r="N23" s="7"/>
      <c r="O23" s="7"/>
    </row>
    <row r="24" ht="15.75" customHeight="1">
      <c r="A24" s="7" t="s">
        <v>169</v>
      </c>
      <c r="B24" s="7" t="s">
        <v>40</v>
      </c>
      <c r="C24" s="7" t="s">
        <v>43</v>
      </c>
      <c r="D24" s="7" t="s">
        <v>173</v>
      </c>
      <c r="E24" s="20" t="s">
        <v>175</v>
      </c>
      <c r="F24" s="7" t="s">
        <v>178</v>
      </c>
      <c r="G24" s="7" t="s">
        <v>179</v>
      </c>
      <c r="H24" s="19" t="s">
        <v>55</v>
      </c>
      <c r="I24" s="19">
        <v>3.93119646E9</v>
      </c>
      <c r="J24" s="7" t="s">
        <v>181</v>
      </c>
      <c r="K24" s="7"/>
      <c r="L24" s="7"/>
      <c r="M24" s="7"/>
      <c r="N24" s="7"/>
      <c r="O24" s="7"/>
    </row>
    <row r="25" ht="15.75" customHeight="1">
      <c r="A25" s="7" t="s">
        <v>182</v>
      </c>
      <c r="B25" s="7" t="s">
        <v>40</v>
      </c>
      <c r="C25" s="7" t="s">
        <v>43</v>
      </c>
      <c r="D25" s="7" t="s">
        <v>183</v>
      </c>
      <c r="E25" s="7" t="s">
        <v>184</v>
      </c>
      <c r="F25" s="7" t="s">
        <v>185</v>
      </c>
      <c r="G25" s="7" t="s">
        <v>186</v>
      </c>
      <c r="H25" s="7" t="s">
        <v>59</v>
      </c>
      <c r="I25" s="19">
        <v>3.781868858E9</v>
      </c>
      <c r="J25" s="7" t="s">
        <v>187</v>
      </c>
      <c r="K25" s="7"/>
      <c r="L25" s="7"/>
      <c r="M25" s="7"/>
      <c r="N25" s="7"/>
      <c r="O25" s="7"/>
    </row>
    <row r="26" ht="15.75" customHeight="1">
      <c r="A26" s="24" t="s">
        <v>189</v>
      </c>
      <c r="B26" s="7" t="s">
        <v>40</v>
      </c>
      <c r="C26" s="7" t="s">
        <v>43</v>
      </c>
      <c r="D26" s="7" t="s">
        <v>193</v>
      </c>
      <c r="E26" s="20" t="s">
        <v>195</v>
      </c>
      <c r="F26" s="7" t="s">
        <v>59</v>
      </c>
      <c r="G26" s="7" t="s">
        <v>197</v>
      </c>
      <c r="H26" s="19" t="s">
        <v>59</v>
      </c>
      <c r="I26" s="19">
        <v>3.93106444E9</v>
      </c>
      <c r="J26" s="7" t="s">
        <v>199</v>
      </c>
      <c r="K26" s="7"/>
      <c r="L26" s="7"/>
      <c r="M26" s="7"/>
      <c r="N26" s="7"/>
      <c r="O26" s="7"/>
    </row>
    <row r="27" ht="15.75" customHeight="1">
      <c r="A27" s="7" t="s">
        <v>202</v>
      </c>
      <c r="B27" s="7" t="s">
        <v>40</v>
      </c>
      <c r="C27" s="7" t="s">
        <v>43</v>
      </c>
      <c r="D27" s="7" t="s">
        <v>203</v>
      </c>
      <c r="E27" s="7" t="s">
        <v>204</v>
      </c>
      <c r="F27" s="7" t="s">
        <v>205</v>
      </c>
      <c r="G27" s="7" t="s">
        <v>206</v>
      </c>
      <c r="H27" s="19" t="s">
        <v>207</v>
      </c>
      <c r="I27" s="19">
        <v>3.939332335E9</v>
      </c>
      <c r="J27" s="7" t="s">
        <v>208</v>
      </c>
      <c r="K27" s="7"/>
      <c r="L27" s="7"/>
      <c r="M27" s="7"/>
      <c r="N27" s="7"/>
      <c r="O27" s="7"/>
    </row>
    <row r="28" ht="15.75" customHeight="1">
      <c r="A28" s="7" t="s">
        <v>209</v>
      </c>
      <c r="B28" s="7" t="s">
        <v>40</v>
      </c>
      <c r="C28" s="7" t="s">
        <v>43</v>
      </c>
      <c r="D28" s="7" t="s">
        <v>210</v>
      </c>
      <c r="E28" s="20" t="s">
        <v>211</v>
      </c>
      <c r="F28" s="7" t="s">
        <v>212</v>
      </c>
      <c r="G28" s="7" t="s">
        <v>213</v>
      </c>
      <c r="H28" s="19" t="s">
        <v>55</v>
      </c>
      <c r="I28" s="19">
        <v>3.931079959E9</v>
      </c>
      <c r="J28" s="7" t="s">
        <v>214</v>
      </c>
      <c r="K28" s="7"/>
      <c r="L28" s="7"/>
      <c r="M28" s="7"/>
      <c r="N28" s="7"/>
      <c r="O28" s="7"/>
    </row>
    <row r="29" ht="15.75" customHeight="1">
      <c r="A29" s="7" t="s">
        <v>215</v>
      </c>
      <c r="B29" s="7" t="s">
        <v>40</v>
      </c>
      <c r="C29" s="7" t="s">
        <v>43</v>
      </c>
      <c r="D29" s="7" t="s">
        <v>217</v>
      </c>
      <c r="E29" s="7" t="s">
        <v>218</v>
      </c>
      <c r="F29" s="7" t="s">
        <v>59</v>
      </c>
      <c r="G29" s="7" t="s">
        <v>218</v>
      </c>
      <c r="H29" s="19" t="s">
        <v>55</v>
      </c>
      <c r="I29" s="19">
        <v>3.337194505E9</v>
      </c>
      <c r="J29" s="7" t="s">
        <v>220</v>
      </c>
      <c r="K29" s="7"/>
      <c r="L29" s="7"/>
      <c r="M29" s="7">
        <v>14.0</v>
      </c>
      <c r="N29" s="7"/>
      <c r="O29" s="7"/>
    </row>
    <row r="30" ht="15.75" customHeight="1">
      <c r="A30" s="7" t="s">
        <v>222</v>
      </c>
      <c r="B30" s="7" t="s">
        <v>40</v>
      </c>
      <c r="C30" s="7" t="s">
        <v>43</v>
      </c>
      <c r="D30" s="7" t="s">
        <v>223</v>
      </c>
      <c r="E30" s="20" t="s">
        <v>224</v>
      </c>
      <c r="F30" s="7" t="s">
        <v>225</v>
      </c>
      <c r="G30" s="7" t="s">
        <v>230</v>
      </c>
      <c r="H30" s="19" t="s">
        <v>55</v>
      </c>
      <c r="I30" s="19">
        <v>3.951428204E9</v>
      </c>
      <c r="J30" s="7" t="s">
        <v>231</v>
      </c>
      <c r="K30" s="7"/>
      <c r="L30" s="7"/>
      <c r="M30" s="7"/>
      <c r="N30" s="7"/>
      <c r="O30" s="7"/>
    </row>
    <row r="31" ht="15.75" customHeight="1">
      <c r="A31" s="7" t="s">
        <v>233</v>
      </c>
      <c r="B31" s="7" t="s">
        <v>40</v>
      </c>
      <c r="C31" s="7" t="s">
        <v>43</v>
      </c>
      <c r="D31" s="7" t="s">
        <v>235</v>
      </c>
      <c r="E31" s="20" t="s">
        <v>236</v>
      </c>
      <c r="F31" s="7" t="s">
        <v>55</v>
      </c>
      <c r="G31" s="7" t="s">
        <v>238</v>
      </c>
      <c r="H31" s="19" t="s">
        <v>59</v>
      </c>
      <c r="I31" s="19">
        <v>3.316098529E9</v>
      </c>
      <c r="J31" s="7" t="s">
        <v>239</v>
      </c>
      <c r="K31" s="7"/>
      <c r="L31" s="7"/>
      <c r="M31" s="7"/>
      <c r="N31" s="7"/>
      <c r="O31" s="7" t="s">
        <v>242</v>
      </c>
    </row>
    <row r="32" ht="15.75" customHeight="1">
      <c r="A32" s="7" t="s">
        <v>244</v>
      </c>
      <c r="B32" s="7" t="s">
        <v>40</v>
      </c>
      <c r="C32" s="7" t="s">
        <v>43</v>
      </c>
      <c r="D32" s="7" t="s">
        <v>247</v>
      </c>
      <c r="E32" s="20" t="s">
        <v>248</v>
      </c>
      <c r="F32" s="7" t="s">
        <v>249</v>
      </c>
      <c r="G32" s="7" t="s">
        <v>250</v>
      </c>
      <c r="H32" s="19" t="s">
        <v>55</v>
      </c>
      <c r="I32" s="19">
        <v>3.312846765E9</v>
      </c>
      <c r="J32" s="7" t="s">
        <v>251</v>
      </c>
      <c r="K32" s="7"/>
      <c r="L32" s="7"/>
      <c r="M32" s="7">
        <v>15.0</v>
      </c>
      <c r="N32" s="7"/>
      <c r="O32" s="7" t="s">
        <v>242</v>
      </c>
    </row>
    <row r="33" ht="15.75" customHeight="1">
      <c r="A33" s="7" t="s">
        <v>252</v>
      </c>
      <c r="B33" s="7" t="s">
        <v>40</v>
      </c>
      <c r="C33" s="7" t="s">
        <v>254</v>
      </c>
      <c r="D33" s="7" t="s">
        <v>67</v>
      </c>
      <c r="E33" s="7" t="s">
        <v>255</v>
      </c>
      <c r="F33" s="7" t="s">
        <v>256</v>
      </c>
      <c r="G33" s="7" t="s">
        <v>255</v>
      </c>
      <c r="H33" s="19" t="s">
        <v>256</v>
      </c>
      <c r="I33" s="19"/>
      <c r="J33" s="7"/>
      <c r="K33" s="7" t="s">
        <v>260</v>
      </c>
      <c r="L33" s="7" t="s">
        <v>260</v>
      </c>
      <c r="M33" s="7"/>
      <c r="N33" s="7"/>
      <c r="O33" s="7"/>
    </row>
    <row r="34" ht="15.75" customHeight="1">
      <c r="A34" s="24" t="s">
        <v>264</v>
      </c>
      <c r="B34" s="7" t="s">
        <v>40</v>
      </c>
      <c r="C34" s="7" t="s">
        <v>254</v>
      </c>
      <c r="D34" s="7" t="s">
        <v>67</v>
      </c>
      <c r="E34" s="20" t="s">
        <v>267</v>
      </c>
      <c r="F34" s="7" t="s">
        <v>269</v>
      </c>
      <c r="G34" s="7" t="s">
        <v>270</v>
      </c>
      <c r="H34" s="19" t="s">
        <v>269</v>
      </c>
      <c r="I34" s="19"/>
      <c r="J34" s="7"/>
      <c r="K34" s="7" t="s">
        <v>273</v>
      </c>
      <c r="L34" s="7" t="s">
        <v>273</v>
      </c>
      <c r="M34" s="7"/>
      <c r="N34" s="7"/>
      <c r="O34" s="7"/>
    </row>
    <row r="35" ht="15.75" customHeight="1">
      <c r="A35" s="7" t="s">
        <v>276</v>
      </c>
      <c r="B35" s="7" t="s">
        <v>40</v>
      </c>
      <c r="C35" s="7" t="s">
        <v>254</v>
      </c>
      <c r="D35" s="7" t="s">
        <v>67</v>
      </c>
      <c r="E35" s="20" t="s">
        <v>279</v>
      </c>
      <c r="F35" s="7" t="s">
        <v>59</v>
      </c>
      <c r="G35" s="7" t="s">
        <v>281</v>
      </c>
      <c r="H35" s="19" t="s">
        <v>59</v>
      </c>
      <c r="I35" s="19">
        <v>3.781868857E9</v>
      </c>
      <c r="J35" s="7"/>
      <c r="K35" s="7" t="s">
        <v>282</v>
      </c>
      <c r="L35" s="7" t="s">
        <v>282</v>
      </c>
      <c r="M35" s="7"/>
      <c r="N35" s="7"/>
      <c r="O35" s="7"/>
    </row>
    <row r="36" ht="15.75" customHeight="1">
      <c r="A36" s="7" t="s">
        <v>285</v>
      </c>
      <c r="B36" s="7" t="s">
        <v>40</v>
      </c>
      <c r="C36" s="7" t="s">
        <v>254</v>
      </c>
      <c r="D36" s="7" t="s">
        <v>287</v>
      </c>
      <c r="E36" s="20" t="s">
        <v>289</v>
      </c>
      <c r="F36" s="7" t="s">
        <v>290</v>
      </c>
      <c r="G36" s="7" t="s">
        <v>291</v>
      </c>
      <c r="H36" s="19" t="s">
        <v>59</v>
      </c>
      <c r="I36" s="19"/>
      <c r="J36" s="7"/>
      <c r="K36" s="7" t="s">
        <v>293</v>
      </c>
      <c r="L36" s="7" t="s">
        <v>293</v>
      </c>
      <c r="M36" s="7"/>
      <c r="N36" s="7"/>
      <c r="O36" s="7"/>
    </row>
    <row r="37" ht="15.75" customHeight="1">
      <c r="A37" s="7" t="s">
        <v>297</v>
      </c>
      <c r="B37" s="7" t="s">
        <v>40</v>
      </c>
      <c r="C37" s="7" t="s">
        <v>299</v>
      </c>
      <c r="D37" s="7" t="s">
        <v>300</v>
      </c>
      <c r="E37" s="7" t="s">
        <v>301</v>
      </c>
      <c r="F37" s="7" t="s">
        <v>302</v>
      </c>
      <c r="G37" s="7" t="s">
        <v>301</v>
      </c>
      <c r="H37" s="19" t="s">
        <v>302</v>
      </c>
      <c r="I37" s="19"/>
      <c r="J37" s="7"/>
      <c r="K37" s="7"/>
      <c r="L37" s="7"/>
      <c r="M37" s="7"/>
      <c r="N37" s="7"/>
      <c r="O37" s="7"/>
    </row>
    <row r="38" ht="15.75" customHeight="1">
      <c r="A38" s="7" t="s">
        <v>41</v>
      </c>
      <c r="B38" s="7" t="s">
        <v>40</v>
      </c>
      <c r="C38" s="7" t="s">
        <v>45</v>
      </c>
      <c r="D38" s="7" t="s">
        <v>47</v>
      </c>
      <c r="E38" s="7" t="s">
        <v>304</v>
      </c>
      <c r="F38" s="7"/>
      <c r="G38" s="7" t="s">
        <v>305</v>
      </c>
      <c r="H38" s="19" t="s">
        <v>306</v>
      </c>
      <c r="I38" s="19">
        <v>3.338561078E9</v>
      </c>
      <c r="J38" s="7"/>
      <c r="K38" s="7"/>
      <c r="L38" s="7"/>
      <c r="M38" s="7"/>
      <c r="N38" s="7"/>
      <c r="O38" s="7"/>
    </row>
    <row r="39" ht="15.75" customHeight="1">
      <c r="A39" s="7" t="s">
        <v>51</v>
      </c>
      <c r="B39" s="7" t="s">
        <v>40</v>
      </c>
      <c r="C39" s="7" t="s">
        <v>45</v>
      </c>
      <c r="D39" s="7" t="s">
        <v>47</v>
      </c>
      <c r="E39" s="7"/>
      <c r="F39" s="7"/>
      <c r="G39" s="7" t="s">
        <v>307</v>
      </c>
      <c r="H39" s="19" t="s">
        <v>306</v>
      </c>
      <c r="I39" s="19">
        <v>3.931190222E9</v>
      </c>
      <c r="J39" s="7"/>
      <c r="K39" s="7"/>
      <c r="L39" s="7"/>
      <c r="M39" s="7"/>
      <c r="N39" s="7"/>
      <c r="O39" s="7"/>
    </row>
    <row r="40" ht="15.75" customHeight="1">
      <c r="A40" s="24" t="s">
        <v>308</v>
      </c>
      <c r="B40" s="7" t="s">
        <v>40</v>
      </c>
      <c r="C40" s="7" t="s">
        <v>309</v>
      </c>
      <c r="D40" s="7" t="s">
        <v>67</v>
      </c>
      <c r="E40" s="20" t="s">
        <v>310</v>
      </c>
      <c r="F40" s="7" t="s">
        <v>311</v>
      </c>
      <c r="G40" s="7" t="s">
        <v>312</v>
      </c>
      <c r="H40" s="19" t="s">
        <v>55</v>
      </c>
      <c r="I40" s="19">
        <v>3.939382471E9</v>
      </c>
      <c r="J40" s="7" t="s">
        <v>313</v>
      </c>
      <c r="K40" s="7"/>
      <c r="L40" s="7"/>
      <c r="M40" s="7"/>
      <c r="N40" s="7"/>
      <c r="O40" s="7"/>
    </row>
    <row r="41" ht="15.75" customHeight="1">
      <c r="A41" s="7" t="s">
        <v>314</v>
      </c>
      <c r="B41" s="7" t="s">
        <v>40</v>
      </c>
      <c r="C41" s="7" t="s">
        <v>309</v>
      </c>
      <c r="D41" s="7" t="s">
        <v>67</v>
      </c>
      <c r="E41" s="20" t="s">
        <v>315</v>
      </c>
      <c r="F41" s="7" t="s">
        <v>316</v>
      </c>
      <c r="G41" s="7" t="s">
        <v>317</v>
      </c>
      <c r="H41" s="19" t="s">
        <v>55</v>
      </c>
      <c r="I41" s="19">
        <v>3.316172428E9</v>
      </c>
      <c r="J41" s="7"/>
      <c r="K41" s="7"/>
      <c r="L41" s="7"/>
      <c r="M41" s="7"/>
      <c r="N41" s="7"/>
      <c r="O41" s="7"/>
    </row>
    <row r="42" ht="15.75" customHeight="1">
      <c r="A42" s="7" t="s">
        <v>318</v>
      </c>
      <c r="B42" s="7" t="s">
        <v>40</v>
      </c>
      <c r="C42" s="7" t="s">
        <v>319</v>
      </c>
      <c r="D42" s="7" t="s">
        <v>320</v>
      </c>
      <c r="E42" s="20" t="s">
        <v>321</v>
      </c>
      <c r="F42" s="7" t="s">
        <v>322</v>
      </c>
      <c r="G42" s="7" t="s">
        <v>323</v>
      </c>
      <c r="H42" s="19" t="s">
        <v>55</v>
      </c>
      <c r="I42" s="19">
        <v>3.316156385E9</v>
      </c>
      <c r="J42" s="7" t="s">
        <v>324</v>
      </c>
      <c r="K42" s="7"/>
      <c r="L42" s="7"/>
      <c r="M42" s="7"/>
      <c r="N42" s="7"/>
      <c r="O42" s="7"/>
    </row>
    <row r="43" ht="15.75" customHeight="1">
      <c r="A43" s="7" t="s">
        <v>325</v>
      </c>
      <c r="B43" s="7" t="s">
        <v>40</v>
      </c>
      <c r="C43" s="24" t="s">
        <v>326</v>
      </c>
      <c r="D43" s="7" t="s">
        <v>327</v>
      </c>
      <c r="E43" s="20" t="s">
        <v>328</v>
      </c>
      <c r="F43" s="7" t="s">
        <v>316</v>
      </c>
      <c r="G43" s="7" t="s">
        <v>329</v>
      </c>
      <c r="H43" s="19" t="s">
        <v>59</v>
      </c>
      <c r="I43" s="19">
        <v>3.316098501E9</v>
      </c>
      <c r="J43" s="7"/>
      <c r="K43" s="7"/>
      <c r="L43" s="7"/>
      <c r="M43" s="7"/>
      <c r="N43" s="7"/>
      <c r="O43" s="7" t="s">
        <v>242</v>
      </c>
    </row>
    <row r="44" ht="15.75" customHeight="1">
      <c r="A44" s="7" t="s">
        <v>330</v>
      </c>
      <c r="B44" s="7" t="s">
        <v>40</v>
      </c>
      <c r="C44" s="7" t="s">
        <v>227</v>
      </c>
      <c r="D44" s="7" t="s">
        <v>331</v>
      </c>
      <c r="E44" s="7" t="s">
        <v>332</v>
      </c>
      <c r="F44" s="7" t="s">
        <v>59</v>
      </c>
      <c r="G44" s="7" t="s">
        <v>333</v>
      </c>
      <c r="H44" s="19" t="s">
        <v>59</v>
      </c>
      <c r="I44" s="19">
        <v>3.316142992E9</v>
      </c>
      <c r="J44" s="7" t="s">
        <v>334</v>
      </c>
      <c r="K44" s="7"/>
      <c r="L44" s="7"/>
      <c r="M44" s="7"/>
      <c r="N44" s="7"/>
      <c r="O44" s="7"/>
    </row>
    <row r="45" ht="15.75" customHeight="1">
      <c r="A45" s="7" t="s">
        <v>335</v>
      </c>
      <c r="B45" s="7" t="s">
        <v>40</v>
      </c>
      <c r="C45" s="7" t="s">
        <v>227</v>
      </c>
      <c r="D45" s="7" t="s">
        <v>44</v>
      </c>
      <c r="E45" s="7" t="s">
        <v>336</v>
      </c>
      <c r="F45" s="7" t="s">
        <v>59</v>
      </c>
      <c r="G45" s="7" t="s">
        <v>336</v>
      </c>
      <c r="H45" s="19" t="s">
        <v>55</v>
      </c>
      <c r="I45" s="19">
        <v>3.316158093E9</v>
      </c>
      <c r="J45" s="7" t="s">
        <v>337</v>
      </c>
      <c r="K45" s="7"/>
      <c r="L45" s="7"/>
      <c r="M45" s="7"/>
      <c r="N45" s="7" t="s">
        <v>338</v>
      </c>
      <c r="O45" s="7"/>
    </row>
    <row r="46" ht="15.75" customHeight="1">
      <c r="A46" s="7" t="s">
        <v>339</v>
      </c>
      <c r="B46" s="7" t="s">
        <v>40</v>
      </c>
      <c r="C46" s="7" t="s">
        <v>227</v>
      </c>
      <c r="D46" s="7" t="s">
        <v>44</v>
      </c>
      <c r="E46" s="20" t="s">
        <v>340</v>
      </c>
      <c r="F46" s="7" t="s">
        <v>341</v>
      </c>
      <c r="G46" s="7" t="s">
        <v>342</v>
      </c>
      <c r="H46" s="19" t="s">
        <v>55</v>
      </c>
      <c r="I46" s="19">
        <v>3.318621158E9</v>
      </c>
      <c r="J46" s="7"/>
      <c r="K46" s="7"/>
      <c r="L46" s="7"/>
      <c r="M46" s="7"/>
      <c r="N46" s="7" t="s">
        <v>343</v>
      </c>
      <c r="O46" s="7"/>
    </row>
    <row r="47" ht="15.75" customHeight="1">
      <c r="A47" s="7" t="s">
        <v>344</v>
      </c>
      <c r="B47" s="7" t="s">
        <v>40</v>
      </c>
      <c r="C47" s="7" t="s">
        <v>227</v>
      </c>
      <c r="D47" s="7" t="s">
        <v>44</v>
      </c>
      <c r="E47" s="20" t="s">
        <v>345</v>
      </c>
      <c r="F47" s="7" t="s">
        <v>55</v>
      </c>
      <c r="G47" s="7" t="s">
        <v>346</v>
      </c>
      <c r="H47" s="19" t="s">
        <v>55</v>
      </c>
      <c r="I47" s="19">
        <v>3.51111143E9</v>
      </c>
      <c r="J47" s="7" t="s">
        <v>349</v>
      </c>
      <c r="K47" s="7"/>
      <c r="L47" s="7"/>
      <c r="M47" s="7"/>
      <c r="N47" s="7" t="s">
        <v>350</v>
      </c>
      <c r="O47" s="7"/>
    </row>
    <row r="48" ht="15.75" customHeight="1">
      <c r="A48" s="24" t="s">
        <v>351</v>
      </c>
      <c r="B48" s="7" t="s">
        <v>40</v>
      </c>
      <c r="C48" s="7" t="s">
        <v>227</v>
      </c>
      <c r="D48" s="7" t="s">
        <v>44</v>
      </c>
      <c r="E48" s="20" t="s">
        <v>352</v>
      </c>
      <c r="F48" s="7" t="s">
        <v>353</v>
      </c>
      <c r="G48" s="7" t="s">
        <v>354</v>
      </c>
      <c r="H48" s="19" t="s">
        <v>316</v>
      </c>
      <c r="I48" s="19">
        <v>3.316091328E9</v>
      </c>
      <c r="J48" s="7"/>
      <c r="K48" s="7"/>
      <c r="L48" s="7"/>
      <c r="M48" s="7"/>
      <c r="N48" s="7" t="s">
        <v>355</v>
      </c>
      <c r="O48" s="7" t="s">
        <v>242</v>
      </c>
    </row>
    <row r="49" ht="15.75" customHeight="1">
      <c r="A49" s="7" t="s">
        <v>356</v>
      </c>
      <c r="B49" s="7" t="s">
        <v>40</v>
      </c>
      <c r="C49" s="7" t="s">
        <v>227</v>
      </c>
      <c r="D49" s="7" t="s">
        <v>44</v>
      </c>
      <c r="E49" s="20" t="s">
        <v>357</v>
      </c>
      <c r="F49" s="7" t="s">
        <v>59</v>
      </c>
      <c r="G49" s="7" t="s">
        <v>358</v>
      </c>
      <c r="H49" s="19" t="s">
        <v>59</v>
      </c>
      <c r="I49" s="19">
        <v>3.931196104E9</v>
      </c>
      <c r="J49" s="7" t="s">
        <v>359</v>
      </c>
      <c r="K49" s="7"/>
      <c r="L49" s="7"/>
      <c r="M49" s="7"/>
      <c r="N49" s="7"/>
      <c r="O49" s="7"/>
    </row>
    <row r="50" ht="15.75" customHeight="1">
      <c r="A50" s="7" t="s">
        <v>360</v>
      </c>
      <c r="B50" s="7" t="s">
        <v>40</v>
      </c>
      <c r="C50" s="7" t="s">
        <v>227</v>
      </c>
      <c r="D50" s="7" t="s">
        <v>44</v>
      </c>
      <c r="E50" s="20" t="s">
        <v>361</v>
      </c>
      <c r="F50" s="7" t="s">
        <v>362</v>
      </c>
      <c r="G50" s="7" t="s">
        <v>363</v>
      </c>
      <c r="H50" s="19" t="s">
        <v>55</v>
      </c>
      <c r="I50" s="19">
        <v>3.316135604E9</v>
      </c>
      <c r="J50" s="7" t="s">
        <v>364</v>
      </c>
      <c r="K50" s="7"/>
      <c r="L50" s="7"/>
      <c r="M50" s="7"/>
      <c r="N50" s="7" t="s">
        <v>365</v>
      </c>
      <c r="O50" s="7"/>
    </row>
    <row r="51" ht="15.75" customHeight="1">
      <c r="A51" s="7" t="s">
        <v>366</v>
      </c>
      <c r="B51" s="7" t="s">
        <v>40</v>
      </c>
      <c r="C51" s="7" t="s">
        <v>227</v>
      </c>
      <c r="D51" s="7" t="s">
        <v>44</v>
      </c>
      <c r="E51" s="7" t="s">
        <v>367</v>
      </c>
      <c r="F51" s="7" t="s">
        <v>59</v>
      </c>
      <c r="G51" s="7" t="s">
        <v>367</v>
      </c>
      <c r="H51" s="19" t="s">
        <v>59</v>
      </c>
      <c r="I51" s="19">
        <v>3.318218012E9</v>
      </c>
      <c r="J51" s="7"/>
      <c r="K51" s="7"/>
      <c r="L51" s="7"/>
      <c r="M51" s="7"/>
      <c r="N51" s="7" t="s">
        <v>368</v>
      </c>
      <c r="O51" s="7"/>
    </row>
    <row r="52" ht="15.75" customHeight="1">
      <c r="A52" s="7" t="s">
        <v>369</v>
      </c>
      <c r="B52" s="7" t="s">
        <v>40</v>
      </c>
      <c r="C52" s="7" t="s">
        <v>227</v>
      </c>
      <c r="D52" s="7" t="s">
        <v>44</v>
      </c>
      <c r="E52" s="20" t="s">
        <v>370</v>
      </c>
      <c r="F52" s="7" t="s">
        <v>371</v>
      </c>
      <c r="G52" s="7" t="s">
        <v>372</v>
      </c>
      <c r="H52" s="19" t="s">
        <v>59</v>
      </c>
      <c r="I52" s="19">
        <v>3.931047948E9</v>
      </c>
      <c r="J52" s="7" t="s">
        <v>373</v>
      </c>
      <c r="K52" s="7"/>
      <c r="L52" s="7"/>
      <c r="M52" s="7"/>
      <c r="N52" s="7" t="s">
        <v>368</v>
      </c>
      <c r="O52" s="7"/>
    </row>
    <row r="53" ht="15.75" customHeight="1">
      <c r="A53" s="7" t="s">
        <v>374</v>
      </c>
      <c r="B53" s="7" t="s">
        <v>40</v>
      </c>
      <c r="C53" s="7" t="s">
        <v>227</v>
      </c>
      <c r="D53" s="7" t="s">
        <v>67</v>
      </c>
      <c r="E53" s="7" t="s">
        <v>375</v>
      </c>
      <c r="F53" s="7" t="s">
        <v>59</v>
      </c>
      <c r="G53" s="7" t="s">
        <v>375</v>
      </c>
      <c r="H53" s="19" t="s">
        <v>59</v>
      </c>
      <c r="I53" s="19"/>
      <c r="J53" s="7"/>
      <c r="K53" s="7" t="s">
        <v>376</v>
      </c>
      <c r="L53" s="7"/>
      <c r="M53" s="7"/>
      <c r="N53" s="7"/>
      <c r="O53" s="7"/>
    </row>
    <row r="54" ht="15.75" customHeight="1">
      <c r="A54" s="7" t="s">
        <v>377</v>
      </c>
      <c r="B54" s="7" t="s">
        <v>40</v>
      </c>
      <c r="C54" s="7" t="s">
        <v>378</v>
      </c>
      <c r="D54" s="7" t="s">
        <v>44</v>
      </c>
      <c r="E54" s="7" t="s">
        <v>379</v>
      </c>
      <c r="F54" s="7" t="s">
        <v>55</v>
      </c>
      <c r="G54" s="7" t="s">
        <v>380</v>
      </c>
      <c r="H54" s="19" t="s">
        <v>55</v>
      </c>
      <c r="I54" s="19"/>
      <c r="J54" s="7"/>
      <c r="K54" s="7"/>
      <c r="L54" s="7"/>
      <c r="M54" s="7"/>
      <c r="N54" s="7"/>
      <c r="O54" s="7"/>
    </row>
    <row r="55" ht="15.75" customHeight="1">
      <c r="A55" s="7" t="s">
        <v>384</v>
      </c>
      <c r="B55" s="7" t="s">
        <v>40</v>
      </c>
      <c r="C55" s="7" t="s">
        <v>378</v>
      </c>
      <c r="D55" s="7" t="s">
        <v>67</v>
      </c>
      <c r="E55" s="7" t="s">
        <v>390</v>
      </c>
      <c r="F55" s="7" t="s">
        <v>59</v>
      </c>
      <c r="G55" s="7" t="s">
        <v>390</v>
      </c>
      <c r="H55" s="19" t="s">
        <v>59</v>
      </c>
      <c r="I55" s="19">
        <v>3.93119008E9</v>
      </c>
      <c r="J55" s="7"/>
      <c r="K55" s="7" t="s">
        <v>397</v>
      </c>
      <c r="L55" s="7" t="s">
        <v>397</v>
      </c>
      <c r="M55" s="7"/>
      <c r="N55" s="7"/>
      <c r="O55" s="7"/>
    </row>
    <row r="56" ht="15.75" customHeight="1">
      <c r="A56" s="7" t="s">
        <v>398</v>
      </c>
      <c r="B56" s="7" t="s">
        <v>40</v>
      </c>
      <c r="C56" s="7" t="s">
        <v>378</v>
      </c>
      <c r="D56" s="7" t="s">
        <v>91</v>
      </c>
      <c r="E56" s="20" t="s">
        <v>399</v>
      </c>
      <c r="F56" s="7" t="s">
        <v>316</v>
      </c>
      <c r="G56" s="7" t="s">
        <v>400</v>
      </c>
      <c r="H56" s="19" t="s">
        <v>59</v>
      </c>
      <c r="I56" s="19">
        <v>3.931073856E9</v>
      </c>
      <c r="J56" s="7"/>
      <c r="K56" s="7"/>
      <c r="L56" s="7"/>
      <c r="M56" s="7"/>
      <c r="N56" s="7"/>
      <c r="O56" s="7"/>
    </row>
    <row r="57" ht="15.75" customHeight="1">
      <c r="A57" s="24" t="s">
        <v>403</v>
      </c>
      <c r="B57" s="7" t="s">
        <v>40</v>
      </c>
      <c r="C57" s="7" t="s">
        <v>378</v>
      </c>
      <c r="D57" s="7" t="s">
        <v>91</v>
      </c>
      <c r="E57" s="20" t="s">
        <v>405</v>
      </c>
      <c r="F57" s="7"/>
      <c r="G57" s="7" t="s">
        <v>406</v>
      </c>
      <c r="H57" s="19" t="s">
        <v>59</v>
      </c>
      <c r="I57" s="19">
        <v>3.316160073E9</v>
      </c>
      <c r="J57" s="7"/>
      <c r="K57" s="7"/>
      <c r="L57" s="7"/>
      <c r="M57" s="7"/>
      <c r="N57" s="7"/>
      <c r="O57" s="7"/>
    </row>
    <row r="58" ht="15.75" customHeight="1">
      <c r="A58" s="7" t="s">
        <v>407</v>
      </c>
      <c r="B58" s="7" t="s">
        <v>40</v>
      </c>
      <c r="C58" s="7" t="s">
        <v>378</v>
      </c>
      <c r="D58" s="7" t="s">
        <v>408</v>
      </c>
      <c r="E58" s="20" t="s">
        <v>409</v>
      </c>
      <c r="F58" s="7" t="s">
        <v>410</v>
      </c>
      <c r="G58" s="7" t="s">
        <v>411</v>
      </c>
      <c r="H58" s="19" t="s">
        <v>55</v>
      </c>
      <c r="I58" s="19">
        <v>3.339580163E9</v>
      </c>
      <c r="J58" s="7"/>
      <c r="K58" s="7"/>
      <c r="L58" s="7"/>
      <c r="M58" s="7"/>
      <c r="N58" s="7"/>
      <c r="O58" s="7"/>
    </row>
    <row r="59" ht="15.75" customHeight="1">
      <c r="A59" s="7" t="s">
        <v>412</v>
      </c>
      <c r="B59" s="7" t="s">
        <v>40</v>
      </c>
      <c r="C59" s="7" t="s">
        <v>271</v>
      </c>
      <c r="D59" s="7" t="s">
        <v>44</v>
      </c>
      <c r="E59" s="7" t="s">
        <v>416</v>
      </c>
      <c r="F59" s="7" t="s">
        <v>256</v>
      </c>
      <c r="G59" s="7" t="s">
        <v>416</v>
      </c>
      <c r="H59" s="19" t="s">
        <v>59</v>
      </c>
      <c r="I59" s="19">
        <v>3.481082366E9</v>
      </c>
      <c r="J59" s="7" t="s">
        <v>417</v>
      </c>
      <c r="K59" s="7"/>
      <c r="L59" s="7"/>
      <c r="M59" s="7"/>
      <c r="N59" s="7" t="s">
        <v>418</v>
      </c>
      <c r="O59" s="7"/>
    </row>
    <row r="60" ht="15.75" customHeight="1">
      <c r="A60" s="7" t="s">
        <v>419</v>
      </c>
      <c r="B60" s="7" t="s">
        <v>40</v>
      </c>
      <c r="C60" s="7" t="s">
        <v>171</v>
      </c>
      <c r="D60" s="7" t="s">
        <v>420</v>
      </c>
      <c r="E60" s="7" t="s">
        <v>421</v>
      </c>
      <c r="F60" s="7" t="s">
        <v>59</v>
      </c>
      <c r="G60" s="7" t="s">
        <v>421</v>
      </c>
      <c r="H60" s="19" t="s">
        <v>161</v>
      </c>
      <c r="I60" s="19">
        <v>3.781868861E9</v>
      </c>
      <c r="J60" s="7"/>
      <c r="K60" s="7"/>
      <c r="L60" s="7"/>
      <c r="M60" s="7"/>
      <c r="N60" s="7"/>
      <c r="O60" s="7"/>
    </row>
    <row r="61" ht="15.75" customHeight="1">
      <c r="A61" s="24" t="s">
        <v>422</v>
      </c>
      <c r="B61" s="7" t="s">
        <v>40</v>
      </c>
      <c r="C61" s="7" t="s">
        <v>171</v>
      </c>
      <c r="D61" s="7" t="s">
        <v>423</v>
      </c>
      <c r="E61" s="7"/>
      <c r="F61" s="7"/>
      <c r="G61" s="7" t="s">
        <v>424</v>
      </c>
      <c r="H61" s="19" t="s">
        <v>161</v>
      </c>
      <c r="I61" s="19"/>
      <c r="J61" s="7"/>
      <c r="K61" s="7"/>
      <c r="L61" s="7"/>
      <c r="M61" s="7"/>
      <c r="N61" s="7"/>
      <c r="O61" s="7"/>
    </row>
    <row r="62" ht="15.75" customHeight="1">
      <c r="A62" s="7" t="s">
        <v>425</v>
      </c>
      <c r="B62" s="7" t="s">
        <v>40</v>
      </c>
      <c r="C62" s="7" t="s">
        <v>171</v>
      </c>
      <c r="D62" s="7" t="s">
        <v>426</v>
      </c>
      <c r="E62" s="7" t="s">
        <v>427</v>
      </c>
      <c r="F62" s="7" t="s">
        <v>428</v>
      </c>
      <c r="G62" s="7" t="s">
        <v>156</v>
      </c>
      <c r="H62" s="19" t="s">
        <v>429</v>
      </c>
      <c r="I62" s="19">
        <v>3.313697838E9</v>
      </c>
      <c r="J62" s="7"/>
      <c r="K62" s="7"/>
      <c r="L62" s="7"/>
      <c r="M62" s="7"/>
      <c r="N62" s="7"/>
      <c r="O62" s="7"/>
    </row>
    <row r="63" ht="15.75" customHeight="1">
      <c r="A63" s="24" t="s">
        <v>430</v>
      </c>
      <c r="B63" s="7" t="s">
        <v>40</v>
      </c>
      <c r="C63" s="7" t="s">
        <v>431</v>
      </c>
      <c r="D63" s="7" t="s">
        <v>67</v>
      </c>
      <c r="E63" s="20" t="s">
        <v>432</v>
      </c>
      <c r="F63" s="7" t="s">
        <v>59</v>
      </c>
      <c r="G63" s="7" t="s">
        <v>433</v>
      </c>
      <c r="H63" s="19" t="s">
        <v>59</v>
      </c>
      <c r="I63" s="19">
        <v>3.911750242E9</v>
      </c>
      <c r="J63" s="7" t="s">
        <v>434</v>
      </c>
      <c r="K63" s="7"/>
      <c r="L63" s="7"/>
      <c r="M63" s="7"/>
      <c r="N63" s="7"/>
      <c r="O63" s="7"/>
    </row>
    <row r="64" ht="15.75" customHeight="1">
      <c r="A64" s="7" t="s">
        <v>435</v>
      </c>
      <c r="B64" s="7" t="s">
        <v>40</v>
      </c>
      <c r="C64" s="7" t="s">
        <v>431</v>
      </c>
      <c r="D64" s="7" t="s">
        <v>67</v>
      </c>
      <c r="E64" s="7" t="s">
        <v>436</v>
      </c>
      <c r="F64" s="7" t="s">
        <v>100</v>
      </c>
      <c r="G64" s="7" t="s">
        <v>437</v>
      </c>
      <c r="H64" s="19" t="s">
        <v>100</v>
      </c>
      <c r="I64" s="7">
        <v>3.316096709E9</v>
      </c>
      <c r="J64" s="7" t="s">
        <v>438</v>
      </c>
      <c r="K64" s="7"/>
      <c r="L64" s="7"/>
      <c r="M64" s="7"/>
      <c r="N64" s="7"/>
      <c r="O64" s="7"/>
    </row>
    <row r="65" ht="15.75" customHeight="1">
      <c r="A65" s="7" t="s">
        <v>439</v>
      </c>
      <c r="B65" s="7" t="s">
        <v>40</v>
      </c>
      <c r="C65" s="7" t="s">
        <v>431</v>
      </c>
      <c r="D65" s="7" t="s">
        <v>440</v>
      </c>
      <c r="E65" s="34" t="s">
        <v>441</v>
      </c>
      <c r="F65" s="7" t="s">
        <v>59</v>
      </c>
      <c r="G65" s="7" t="s">
        <v>441</v>
      </c>
      <c r="H65" s="19" t="s">
        <v>59</v>
      </c>
      <c r="I65" s="19">
        <v>3.931190277E9</v>
      </c>
      <c r="J65" s="7" t="s">
        <v>443</v>
      </c>
      <c r="K65" s="7"/>
      <c r="L65" s="7"/>
      <c r="M65" s="7"/>
      <c r="N65" s="7"/>
      <c r="O65" s="7"/>
    </row>
    <row r="66" ht="15.75" customHeight="1">
      <c r="A66" s="24" t="s">
        <v>446</v>
      </c>
      <c r="B66" s="7" t="s">
        <v>40</v>
      </c>
      <c r="C66" s="7" t="s">
        <v>450</v>
      </c>
      <c r="D66" s="7" t="s">
        <v>452</v>
      </c>
      <c r="E66" s="7" t="s">
        <v>453</v>
      </c>
      <c r="F66" s="7" t="s">
        <v>59</v>
      </c>
      <c r="G66" s="7" t="s">
        <v>453</v>
      </c>
      <c r="H66" s="19" t="s">
        <v>59</v>
      </c>
      <c r="I66" s="19"/>
      <c r="J66" s="7"/>
      <c r="K66" s="7"/>
      <c r="L66" s="7"/>
      <c r="M66" s="7"/>
      <c r="N66" s="7"/>
      <c r="O66" s="7"/>
    </row>
    <row r="67" ht="15.75" customHeight="1">
      <c r="A67" s="7" t="s">
        <v>459</v>
      </c>
      <c r="B67" s="7" t="s">
        <v>40</v>
      </c>
      <c r="C67" s="7" t="s">
        <v>450</v>
      </c>
      <c r="D67" s="7" t="s">
        <v>460</v>
      </c>
      <c r="E67" s="20" t="s">
        <v>461</v>
      </c>
      <c r="F67" s="7" t="s">
        <v>59</v>
      </c>
      <c r="G67" s="7" t="s">
        <v>462</v>
      </c>
      <c r="H67" s="19" t="s">
        <v>59</v>
      </c>
      <c r="I67" s="19"/>
      <c r="J67" s="7" t="s">
        <v>463</v>
      </c>
      <c r="K67" s="7"/>
      <c r="L67" s="7"/>
      <c r="M67" s="7"/>
      <c r="N67" s="7"/>
      <c r="O67" s="7" t="s">
        <v>242</v>
      </c>
    </row>
    <row r="68" ht="15.75" customHeight="1">
      <c r="A68" s="7" t="s">
        <v>464</v>
      </c>
      <c r="B68" s="7" t="s">
        <v>40</v>
      </c>
      <c r="C68" s="7" t="s">
        <v>450</v>
      </c>
      <c r="D68" s="7" t="s">
        <v>465</v>
      </c>
      <c r="E68" s="7" t="s">
        <v>466</v>
      </c>
      <c r="F68" s="7" t="s">
        <v>59</v>
      </c>
      <c r="G68" s="7" t="s">
        <v>467</v>
      </c>
      <c r="H68" s="19" t="s">
        <v>59</v>
      </c>
      <c r="I68" s="19">
        <v>3.316117782E9</v>
      </c>
      <c r="J68" s="7"/>
      <c r="K68" s="7"/>
      <c r="L68" s="7"/>
      <c r="M68" s="7"/>
      <c r="N68" s="7" t="s">
        <v>470</v>
      </c>
      <c r="O68" s="7"/>
    </row>
    <row r="69" ht="15.75" customHeight="1">
      <c r="A69" s="7" t="s">
        <v>471</v>
      </c>
      <c r="B69" s="7" t="s">
        <v>40</v>
      </c>
      <c r="C69" s="7" t="s">
        <v>450</v>
      </c>
      <c r="D69" s="7" t="s">
        <v>465</v>
      </c>
      <c r="E69" s="20" t="s">
        <v>472</v>
      </c>
      <c r="F69" s="7" t="s">
        <v>473</v>
      </c>
      <c r="G69" s="7" t="s">
        <v>474</v>
      </c>
      <c r="H69" s="19" t="s">
        <v>55</v>
      </c>
      <c r="I69" s="19">
        <v>3.316092672E9</v>
      </c>
      <c r="J69" s="7"/>
      <c r="K69" s="7"/>
      <c r="L69" s="7"/>
      <c r="M69" s="7"/>
      <c r="N69" s="7" t="s">
        <v>475</v>
      </c>
      <c r="O69" s="7" t="s">
        <v>242</v>
      </c>
    </row>
    <row r="70" ht="15.75" customHeight="1">
      <c r="A70" s="7" t="s">
        <v>476</v>
      </c>
      <c r="B70" s="7" t="s">
        <v>40</v>
      </c>
      <c r="C70" s="7" t="s">
        <v>450</v>
      </c>
      <c r="D70" s="7" t="s">
        <v>465</v>
      </c>
      <c r="E70" s="20" t="s">
        <v>477</v>
      </c>
      <c r="F70" s="7" t="s">
        <v>478</v>
      </c>
      <c r="G70" s="7" t="s">
        <v>479</v>
      </c>
      <c r="H70" s="19" t="s">
        <v>55</v>
      </c>
      <c r="I70" s="19">
        <v>3.93100141E9</v>
      </c>
      <c r="J70" s="7"/>
      <c r="K70" s="7"/>
      <c r="L70" s="7"/>
      <c r="M70" s="7"/>
      <c r="N70" s="7" t="s">
        <v>480</v>
      </c>
      <c r="O70" s="7"/>
    </row>
    <row r="71" ht="15.75" customHeight="1">
      <c r="A71" s="7" t="s">
        <v>481</v>
      </c>
      <c r="B71" s="7" t="s">
        <v>40</v>
      </c>
      <c r="C71" s="7" t="s">
        <v>450</v>
      </c>
      <c r="D71" s="7" t="s">
        <v>482</v>
      </c>
      <c r="E71" s="20" t="s">
        <v>483</v>
      </c>
      <c r="F71" s="7" t="s">
        <v>59</v>
      </c>
      <c r="G71" s="7" t="s">
        <v>483</v>
      </c>
      <c r="H71" s="19" t="s">
        <v>484</v>
      </c>
      <c r="I71" s="7">
        <v>3.316106113E9</v>
      </c>
      <c r="J71" s="7"/>
      <c r="K71" s="7" t="s">
        <v>485</v>
      </c>
      <c r="L71" s="7" t="s">
        <v>485</v>
      </c>
      <c r="M71" s="7"/>
      <c r="N71" s="7"/>
      <c r="O71" s="7"/>
    </row>
    <row r="72" ht="15.75" customHeight="1">
      <c r="A72" s="7" t="s">
        <v>486</v>
      </c>
      <c r="B72" s="7" t="s">
        <v>40</v>
      </c>
      <c r="C72" s="7" t="s">
        <v>450</v>
      </c>
      <c r="D72" s="7" t="s">
        <v>487</v>
      </c>
      <c r="E72" s="7" t="s">
        <v>488</v>
      </c>
      <c r="F72" s="7" t="s">
        <v>59</v>
      </c>
      <c r="G72" s="7" t="s">
        <v>488</v>
      </c>
      <c r="H72" s="19" t="s">
        <v>55</v>
      </c>
      <c r="I72" s="19">
        <v>7.531200508E9</v>
      </c>
      <c r="J72" s="7"/>
      <c r="K72" s="7" t="s">
        <v>489</v>
      </c>
      <c r="L72" s="7" t="s">
        <v>489</v>
      </c>
      <c r="M72" s="7"/>
      <c r="N72" s="7"/>
      <c r="O72" s="7"/>
    </row>
    <row r="73" ht="15.75" customHeight="1">
      <c r="A73" s="7" t="s">
        <v>490</v>
      </c>
      <c r="B73" s="7" t="s">
        <v>40</v>
      </c>
      <c r="C73" s="7" t="s">
        <v>450</v>
      </c>
      <c r="D73" s="7"/>
      <c r="E73" s="7"/>
      <c r="F73" s="7"/>
      <c r="G73" s="7" t="s">
        <v>491</v>
      </c>
      <c r="H73" s="19" t="s">
        <v>59</v>
      </c>
      <c r="I73" s="19"/>
      <c r="J73" s="7"/>
      <c r="K73" s="7"/>
      <c r="L73" s="7"/>
      <c r="M73" s="7"/>
      <c r="N73" s="7"/>
      <c r="O73" s="7"/>
    </row>
    <row r="74" ht="15.75" customHeight="1">
      <c r="A74" s="7" t="s">
        <v>493</v>
      </c>
      <c r="B74" s="7" t="s">
        <v>40</v>
      </c>
      <c r="C74" s="7" t="s">
        <v>240</v>
      </c>
      <c r="D74" s="7" t="s">
        <v>67</v>
      </c>
      <c r="E74" s="7" t="s">
        <v>498</v>
      </c>
      <c r="F74" s="7" t="s">
        <v>185</v>
      </c>
      <c r="G74" s="7" t="s">
        <v>498</v>
      </c>
      <c r="H74" s="19" t="s">
        <v>185</v>
      </c>
      <c r="I74" s="19">
        <v>3.316094471E9</v>
      </c>
      <c r="J74" s="7"/>
      <c r="K74" s="7" t="s">
        <v>502</v>
      </c>
      <c r="L74" s="7" t="s">
        <v>502</v>
      </c>
      <c r="M74" s="7"/>
      <c r="N74" s="7"/>
      <c r="O74" s="7" t="s">
        <v>242</v>
      </c>
    </row>
    <row r="75" ht="15.75" customHeight="1">
      <c r="A75" s="7" t="s">
        <v>504</v>
      </c>
      <c r="B75" s="7" t="s">
        <v>40</v>
      </c>
      <c r="C75" s="7" t="s">
        <v>240</v>
      </c>
      <c r="D75" s="7" t="s">
        <v>67</v>
      </c>
      <c r="E75" s="7" t="s">
        <v>505</v>
      </c>
      <c r="F75" s="7" t="s">
        <v>185</v>
      </c>
      <c r="G75" s="7" t="s">
        <v>506</v>
      </c>
      <c r="H75" s="19" t="s">
        <v>507</v>
      </c>
      <c r="I75" s="19"/>
      <c r="J75" s="7"/>
      <c r="K75" s="7" t="s">
        <v>508</v>
      </c>
      <c r="L75" s="7" t="s">
        <v>508</v>
      </c>
      <c r="M75" s="7"/>
      <c r="N75" s="7"/>
      <c r="O75" s="7"/>
    </row>
    <row r="76" ht="15.75" customHeight="1">
      <c r="A76" s="24" t="s">
        <v>509</v>
      </c>
      <c r="B76" s="7" t="s">
        <v>40</v>
      </c>
      <c r="C76" s="7" t="s">
        <v>240</v>
      </c>
      <c r="D76" s="24" t="s">
        <v>510</v>
      </c>
      <c r="E76" s="7" t="s">
        <v>511</v>
      </c>
      <c r="F76" s="7" t="s">
        <v>512</v>
      </c>
      <c r="G76" s="7" t="s">
        <v>511</v>
      </c>
      <c r="H76" s="19" t="s">
        <v>512</v>
      </c>
      <c r="I76" s="19"/>
      <c r="J76" s="7" t="s">
        <v>513</v>
      </c>
      <c r="K76" s="7"/>
      <c r="L76" s="7"/>
      <c r="M76" s="7"/>
      <c r="N76" s="7"/>
      <c r="O76" s="7"/>
    </row>
    <row r="77" ht="15.75" customHeight="1">
      <c r="A77" s="7" t="s">
        <v>514</v>
      </c>
      <c r="B77" s="7" t="s">
        <v>40</v>
      </c>
      <c r="C77" s="7" t="s">
        <v>240</v>
      </c>
      <c r="D77" s="7" t="s">
        <v>517</v>
      </c>
      <c r="E77" s="20" t="s">
        <v>518</v>
      </c>
      <c r="F77" s="7" t="s">
        <v>59</v>
      </c>
      <c r="G77" s="7" t="s">
        <v>519</v>
      </c>
      <c r="H77" s="19" t="s">
        <v>185</v>
      </c>
      <c r="I77" s="19">
        <v>3.931078005E9</v>
      </c>
      <c r="J77" s="7"/>
      <c r="K77" s="7"/>
      <c r="L77" s="7"/>
      <c r="M77" s="7"/>
      <c r="N77" s="7"/>
      <c r="O77" s="7"/>
    </row>
    <row r="78" ht="15.75" customHeight="1">
      <c r="A78" s="7" t="s">
        <v>520</v>
      </c>
      <c r="B78" s="7" t="s">
        <v>40</v>
      </c>
      <c r="C78" s="24" t="s">
        <v>240</v>
      </c>
      <c r="D78" s="7" t="s">
        <v>521</v>
      </c>
      <c r="E78" s="20" t="s">
        <v>522</v>
      </c>
      <c r="F78" s="7" t="s">
        <v>523</v>
      </c>
      <c r="G78" s="7"/>
      <c r="H78" s="19"/>
      <c r="I78" s="19">
        <v>3.31609388E9</v>
      </c>
      <c r="J78" s="7"/>
      <c r="K78" s="7"/>
      <c r="L78" s="7"/>
      <c r="M78" s="7"/>
      <c r="N78" s="7"/>
      <c r="O78" s="7" t="s">
        <v>242</v>
      </c>
    </row>
    <row r="79" ht="15.75" customHeight="1">
      <c r="A79" s="7" t="s">
        <v>524</v>
      </c>
      <c r="B79" s="7" t="s">
        <v>40</v>
      </c>
      <c r="C79" s="7" t="s">
        <v>240</v>
      </c>
      <c r="D79" s="24" t="s">
        <v>525</v>
      </c>
      <c r="E79" s="20" t="s">
        <v>526</v>
      </c>
      <c r="F79" s="7" t="s">
        <v>527</v>
      </c>
      <c r="G79" s="7" t="s">
        <v>528</v>
      </c>
      <c r="H79" s="19" t="s">
        <v>59</v>
      </c>
      <c r="I79" s="19">
        <v>3.337194504E9</v>
      </c>
      <c r="J79" s="7"/>
      <c r="K79" s="7"/>
      <c r="L79" s="7"/>
      <c r="M79" s="7"/>
      <c r="N79" s="7"/>
      <c r="O79" s="7"/>
    </row>
    <row r="80" ht="15.75" customHeight="1">
      <c r="A80" s="7" t="s">
        <v>529</v>
      </c>
      <c r="B80" s="7" t="s">
        <v>40</v>
      </c>
      <c r="C80" s="7" t="s">
        <v>240</v>
      </c>
      <c r="D80" s="7" t="s">
        <v>241</v>
      </c>
      <c r="E80" s="7" t="s">
        <v>530</v>
      </c>
      <c r="F80" s="7" t="s">
        <v>59</v>
      </c>
      <c r="G80" s="7" t="s">
        <v>531</v>
      </c>
      <c r="H80" s="19" t="s">
        <v>59</v>
      </c>
      <c r="I80" s="19">
        <v>3.921368749E9</v>
      </c>
      <c r="J80" s="7" t="s">
        <v>532</v>
      </c>
      <c r="K80" s="7"/>
      <c r="L80" s="7"/>
      <c r="M80" s="7"/>
      <c r="N80" s="7"/>
      <c r="O80" s="7"/>
    </row>
    <row r="81" ht="15.75" customHeight="1">
      <c r="A81" s="7" t="s">
        <v>533</v>
      </c>
      <c r="B81" s="7" t="s">
        <v>40</v>
      </c>
      <c r="C81" s="7" t="s">
        <v>240</v>
      </c>
      <c r="D81" s="7" t="s">
        <v>71</v>
      </c>
      <c r="E81" s="20" t="s">
        <v>534</v>
      </c>
      <c r="F81" s="7" t="s">
        <v>59</v>
      </c>
      <c r="G81" s="7" t="s">
        <v>535</v>
      </c>
      <c r="H81" s="19" t="s">
        <v>185</v>
      </c>
      <c r="I81" s="19">
        <v>3.931079811E9</v>
      </c>
      <c r="J81" s="7" t="s">
        <v>536</v>
      </c>
      <c r="K81" s="7"/>
      <c r="L81" s="7"/>
      <c r="M81" s="7"/>
      <c r="N81" s="7"/>
      <c r="O81" s="7"/>
    </row>
    <row r="82" ht="15.75" customHeight="1">
      <c r="A82" s="7" t="s">
        <v>538</v>
      </c>
      <c r="B82" s="7" t="s">
        <v>40</v>
      </c>
      <c r="C82" s="7" t="s">
        <v>240</v>
      </c>
      <c r="D82" s="7" t="s">
        <v>71</v>
      </c>
      <c r="E82" s="20" t="s">
        <v>543</v>
      </c>
      <c r="F82" s="7" t="s">
        <v>59</v>
      </c>
      <c r="G82" s="7" t="s">
        <v>545</v>
      </c>
      <c r="H82" s="19" t="s">
        <v>59</v>
      </c>
      <c r="I82" s="19">
        <v>3.931073736E9</v>
      </c>
      <c r="J82" s="7"/>
      <c r="K82" s="7"/>
      <c r="L82" s="7"/>
      <c r="M82" s="7"/>
      <c r="N82" s="7"/>
      <c r="O82" s="7"/>
    </row>
    <row r="83" ht="15.75" customHeight="1">
      <c r="A83" s="7" t="s">
        <v>548</v>
      </c>
      <c r="B83" s="7" t="s">
        <v>40</v>
      </c>
      <c r="C83" s="7" t="s">
        <v>240</v>
      </c>
      <c r="D83" s="7" t="s">
        <v>549</v>
      </c>
      <c r="E83" s="20" t="s">
        <v>550</v>
      </c>
      <c r="F83" s="7" t="s">
        <v>185</v>
      </c>
      <c r="G83" s="7" t="s">
        <v>551</v>
      </c>
      <c r="H83" s="19" t="s">
        <v>185</v>
      </c>
      <c r="I83" s="19">
        <v>3.931078067E9</v>
      </c>
      <c r="J83" s="7"/>
      <c r="K83" s="7" t="s">
        <v>552</v>
      </c>
      <c r="L83" s="7" t="s">
        <v>553</v>
      </c>
      <c r="M83" s="7"/>
      <c r="N83" s="7"/>
      <c r="O83" s="7"/>
    </row>
    <row r="84" ht="15.75" customHeight="1">
      <c r="A84" s="7" t="s">
        <v>554</v>
      </c>
      <c r="B84" s="7" t="s">
        <v>40</v>
      </c>
      <c r="C84" s="7" t="s">
        <v>555</v>
      </c>
      <c r="D84" s="7" t="s">
        <v>556</v>
      </c>
      <c r="E84" s="7" t="s">
        <v>204</v>
      </c>
      <c r="F84" s="7" t="s">
        <v>205</v>
      </c>
      <c r="G84" s="7" t="s">
        <v>206</v>
      </c>
      <c r="H84" s="19" t="s">
        <v>207</v>
      </c>
      <c r="I84" s="19">
        <v>3.781868859E9</v>
      </c>
      <c r="J84" s="7" t="s">
        <v>557</v>
      </c>
      <c r="K84" s="7"/>
      <c r="L84" s="7"/>
      <c r="M84" s="7"/>
      <c r="N84" s="7"/>
      <c r="O84" s="7"/>
    </row>
    <row r="85" ht="15.75" customHeight="1">
      <c r="A85" s="7" t="s">
        <v>558</v>
      </c>
      <c r="B85" s="7" t="s">
        <v>40</v>
      </c>
      <c r="C85" s="7" t="s">
        <v>559</v>
      </c>
      <c r="D85" s="7" t="s">
        <v>560</v>
      </c>
      <c r="E85" s="20" t="s">
        <v>561</v>
      </c>
      <c r="F85" s="7" t="s">
        <v>59</v>
      </c>
      <c r="G85" s="7" t="s">
        <v>562</v>
      </c>
      <c r="H85" s="19" t="s">
        <v>59</v>
      </c>
      <c r="I85" s="19">
        <v>3.911039008E9</v>
      </c>
      <c r="J85" s="7"/>
      <c r="K85" s="7"/>
      <c r="L85" s="7"/>
      <c r="M85" s="7"/>
      <c r="N85" s="7"/>
      <c r="O85" s="7"/>
    </row>
    <row r="86" ht="15.75" customHeight="1">
      <c r="A86" s="24" t="s">
        <v>565</v>
      </c>
      <c r="B86" s="7" t="s">
        <v>22</v>
      </c>
      <c r="C86" s="7" t="s">
        <v>42</v>
      </c>
      <c r="D86" s="7" t="s">
        <v>44</v>
      </c>
      <c r="E86" s="7" t="s">
        <v>566</v>
      </c>
      <c r="F86" s="7" t="s">
        <v>567</v>
      </c>
      <c r="G86" s="7" t="s">
        <v>566</v>
      </c>
      <c r="H86" s="19" t="s">
        <v>245</v>
      </c>
      <c r="I86" s="19">
        <v>3.52138702E9</v>
      </c>
      <c r="J86" s="7" t="s">
        <v>568</v>
      </c>
      <c r="K86" s="7"/>
      <c r="L86" s="7"/>
      <c r="M86" s="7"/>
      <c r="N86" s="7" t="s">
        <v>569</v>
      </c>
      <c r="O86" s="7"/>
    </row>
    <row r="87" ht="15.75" customHeight="1">
      <c r="A87" s="7" t="s">
        <v>570</v>
      </c>
      <c r="B87" s="7" t="s">
        <v>22</v>
      </c>
      <c r="C87" s="7" t="s">
        <v>42</v>
      </c>
      <c r="D87" s="7" t="s">
        <v>44</v>
      </c>
      <c r="E87" s="7" t="s">
        <v>571</v>
      </c>
      <c r="F87" s="7" t="s">
        <v>245</v>
      </c>
      <c r="G87" s="7" t="s">
        <v>572</v>
      </c>
      <c r="H87" s="19" t="s">
        <v>245</v>
      </c>
      <c r="I87" s="19">
        <v>3.931190074E9</v>
      </c>
      <c r="J87" s="7" t="s">
        <v>573</v>
      </c>
      <c r="K87" s="7"/>
      <c r="L87" s="7"/>
      <c r="M87" s="7"/>
      <c r="N87" s="7"/>
      <c r="O87" s="7"/>
    </row>
    <row r="88" ht="15.75" customHeight="1">
      <c r="A88" s="24" t="s">
        <v>226</v>
      </c>
      <c r="B88" s="7" t="s">
        <v>22</v>
      </c>
      <c r="C88" s="7" t="s">
        <v>42</v>
      </c>
      <c r="D88" s="7" t="s">
        <v>71</v>
      </c>
      <c r="E88" s="20" t="s">
        <v>574</v>
      </c>
      <c r="F88" s="7" t="s">
        <v>245</v>
      </c>
      <c r="G88" s="7"/>
      <c r="H88" s="19"/>
      <c r="I88" s="19"/>
      <c r="J88" s="7"/>
      <c r="K88" s="7"/>
      <c r="L88" s="7"/>
      <c r="M88" s="7"/>
      <c r="N88" s="7"/>
      <c r="O88" s="7"/>
    </row>
    <row r="89" ht="15.75" customHeight="1">
      <c r="A89" s="24" t="s">
        <v>575</v>
      </c>
      <c r="B89" s="7" t="s">
        <v>22</v>
      </c>
      <c r="C89" s="7" t="s">
        <v>254</v>
      </c>
      <c r="D89" s="7" t="s">
        <v>287</v>
      </c>
      <c r="E89" s="7" t="s">
        <v>576</v>
      </c>
      <c r="F89" s="7"/>
      <c r="G89" s="7" t="s">
        <v>577</v>
      </c>
      <c r="H89" s="19" t="s">
        <v>245</v>
      </c>
      <c r="I89" s="19"/>
      <c r="J89" s="7"/>
      <c r="K89" s="7" t="s">
        <v>578</v>
      </c>
      <c r="L89" s="7" t="s">
        <v>578</v>
      </c>
      <c r="M89" s="7"/>
      <c r="N89" s="7"/>
      <c r="O89" s="7"/>
    </row>
    <row r="90" ht="15.75" customHeight="1">
      <c r="A90" s="7" t="s">
        <v>579</v>
      </c>
      <c r="B90" s="7" t="s">
        <v>22</v>
      </c>
      <c r="C90" s="7" t="s">
        <v>227</v>
      </c>
      <c r="D90" s="7" t="s">
        <v>44</v>
      </c>
      <c r="E90" s="20" t="s">
        <v>583</v>
      </c>
      <c r="F90" s="7" t="s">
        <v>584</v>
      </c>
      <c r="G90" s="7" t="s">
        <v>585</v>
      </c>
      <c r="H90" s="19" t="s">
        <v>584</v>
      </c>
      <c r="I90" s="19">
        <v>3.316133712E9</v>
      </c>
      <c r="J90" s="7"/>
      <c r="K90" s="7"/>
      <c r="L90" s="7"/>
      <c r="M90" s="7"/>
      <c r="N90" s="7" t="s">
        <v>588</v>
      </c>
      <c r="O90" s="7"/>
    </row>
    <row r="91" ht="15.75" customHeight="1">
      <c r="A91" s="7" t="s">
        <v>589</v>
      </c>
      <c r="B91" s="7" t="s">
        <v>22</v>
      </c>
      <c r="C91" s="7" t="s">
        <v>227</v>
      </c>
      <c r="D91" s="7" t="s">
        <v>44</v>
      </c>
      <c r="E91" s="20" t="s">
        <v>228</v>
      </c>
      <c r="F91" s="7" t="s">
        <v>55</v>
      </c>
      <c r="G91" s="7" t="s">
        <v>246</v>
      </c>
      <c r="H91" s="19" t="s">
        <v>245</v>
      </c>
      <c r="I91" s="7">
        <v>3.521421218E9</v>
      </c>
      <c r="J91" s="7"/>
      <c r="K91" s="7" t="s">
        <v>232</v>
      </c>
      <c r="L91" s="7" t="s">
        <v>232</v>
      </c>
      <c r="M91" s="7"/>
      <c r="N91" s="7" t="s">
        <v>234</v>
      </c>
      <c r="O91" s="7"/>
    </row>
    <row r="92" ht="15.75" customHeight="1">
      <c r="A92" s="7" t="s">
        <v>590</v>
      </c>
      <c r="B92" s="7" t="s">
        <v>22</v>
      </c>
      <c r="C92" s="7" t="s">
        <v>227</v>
      </c>
      <c r="D92" s="7" t="s">
        <v>44</v>
      </c>
      <c r="E92" s="20" t="s">
        <v>591</v>
      </c>
      <c r="F92" s="7" t="s">
        <v>592</v>
      </c>
      <c r="G92" s="7" t="s">
        <v>593</v>
      </c>
      <c r="H92" s="19" t="s">
        <v>55</v>
      </c>
      <c r="I92" s="19">
        <v>3.338560241E9</v>
      </c>
      <c r="J92" s="7"/>
      <c r="K92" s="7"/>
      <c r="L92" s="7"/>
      <c r="M92" s="7"/>
      <c r="N92" s="7" t="s">
        <v>594</v>
      </c>
      <c r="O92" s="7"/>
    </row>
    <row r="93" ht="15.75" customHeight="1">
      <c r="A93" s="7" t="s">
        <v>595</v>
      </c>
      <c r="B93" s="7" t="s">
        <v>22</v>
      </c>
      <c r="C93" s="7" t="s">
        <v>227</v>
      </c>
      <c r="D93" s="7" t="s">
        <v>44</v>
      </c>
      <c r="E93" s="7" t="s">
        <v>596</v>
      </c>
      <c r="F93" s="7" t="s">
        <v>245</v>
      </c>
      <c r="G93" s="7" t="s">
        <v>596</v>
      </c>
      <c r="H93" s="19" t="s">
        <v>245</v>
      </c>
      <c r="I93" s="19">
        <v>3.316129046E9</v>
      </c>
      <c r="J93" s="7"/>
      <c r="K93" s="7" t="s">
        <v>597</v>
      </c>
      <c r="L93" s="7" t="s">
        <v>597</v>
      </c>
      <c r="M93" s="7"/>
      <c r="N93" s="7" t="s">
        <v>598</v>
      </c>
      <c r="O93" s="7"/>
    </row>
    <row r="94" ht="15.75" customHeight="1">
      <c r="A94" s="7" t="s">
        <v>599</v>
      </c>
      <c r="B94" s="7" t="s">
        <v>22</v>
      </c>
      <c r="C94" s="7" t="s">
        <v>378</v>
      </c>
      <c r="D94" s="7" t="s">
        <v>67</v>
      </c>
      <c r="E94" s="20" t="s">
        <v>600</v>
      </c>
      <c r="F94" s="7" t="s">
        <v>245</v>
      </c>
      <c r="G94" s="7" t="s">
        <v>601</v>
      </c>
      <c r="H94" s="19" t="s">
        <v>245</v>
      </c>
      <c r="I94" s="19">
        <v>3.931001477E9</v>
      </c>
      <c r="J94" s="7"/>
      <c r="K94" s="7" t="s">
        <v>602</v>
      </c>
      <c r="L94" s="7" t="s">
        <v>602</v>
      </c>
      <c r="M94" s="7"/>
      <c r="N94" s="7"/>
      <c r="O94" s="7"/>
    </row>
    <row r="95" ht="15.75" customHeight="1">
      <c r="A95" s="7" t="s">
        <v>603</v>
      </c>
      <c r="B95" s="7" t="s">
        <v>22</v>
      </c>
      <c r="C95" s="7" t="s">
        <v>378</v>
      </c>
      <c r="D95" s="7" t="s">
        <v>91</v>
      </c>
      <c r="E95" s="20" t="s">
        <v>604</v>
      </c>
      <c r="F95" s="7" t="s">
        <v>245</v>
      </c>
      <c r="G95" s="7" t="s">
        <v>605</v>
      </c>
      <c r="H95" s="19" t="s">
        <v>245</v>
      </c>
      <c r="I95" s="19">
        <v>3.316094916E9</v>
      </c>
      <c r="J95" s="7"/>
      <c r="K95" s="7"/>
      <c r="L95" s="7"/>
      <c r="M95" s="7"/>
      <c r="N95" s="7"/>
      <c r="O95" s="7" t="s">
        <v>242</v>
      </c>
    </row>
    <row r="96" ht="15.75" customHeight="1">
      <c r="A96" s="7" t="s">
        <v>608</v>
      </c>
      <c r="B96" s="7" t="s">
        <v>22</v>
      </c>
      <c r="C96" s="7" t="s">
        <v>378</v>
      </c>
      <c r="D96" s="7" t="s">
        <v>609</v>
      </c>
      <c r="E96" s="20" t="s">
        <v>610</v>
      </c>
      <c r="F96" s="7" t="s">
        <v>612</v>
      </c>
      <c r="G96" s="7" t="s">
        <v>613</v>
      </c>
      <c r="H96" s="19" t="s">
        <v>55</v>
      </c>
      <c r="I96" s="19">
        <v>3.315684816E9</v>
      </c>
      <c r="J96" s="7" t="s">
        <v>614</v>
      </c>
      <c r="K96" s="7"/>
      <c r="L96" s="7"/>
      <c r="M96" s="7"/>
      <c r="N96" s="7"/>
      <c r="O96" s="7" t="s">
        <v>242</v>
      </c>
    </row>
    <row r="97" ht="15.75" customHeight="1">
      <c r="A97" s="7" t="s">
        <v>615</v>
      </c>
      <c r="B97" s="7" t="s">
        <v>22</v>
      </c>
      <c r="C97" s="7" t="s">
        <v>271</v>
      </c>
      <c r="D97" s="7" t="s">
        <v>44</v>
      </c>
      <c r="E97" s="7" t="s">
        <v>616</v>
      </c>
      <c r="F97" s="7" t="s">
        <v>245</v>
      </c>
      <c r="G97" s="7" t="s">
        <v>616</v>
      </c>
      <c r="H97" s="19" t="s">
        <v>245</v>
      </c>
      <c r="I97" s="19">
        <v>3.316147399E9</v>
      </c>
      <c r="J97" s="7"/>
      <c r="K97" s="7" t="s">
        <v>617</v>
      </c>
      <c r="L97" s="7" t="s">
        <v>617</v>
      </c>
      <c r="M97" s="7"/>
      <c r="N97" s="7" t="s">
        <v>618</v>
      </c>
      <c r="O97" s="7"/>
    </row>
    <row r="98" ht="15.75" customHeight="1">
      <c r="A98" s="7" t="s">
        <v>620</v>
      </c>
      <c r="B98" s="7" t="s">
        <v>22</v>
      </c>
      <c r="C98" s="7" t="s">
        <v>450</v>
      </c>
      <c r="D98" s="7" t="s">
        <v>465</v>
      </c>
      <c r="E98" s="7" t="s">
        <v>622</v>
      </c>
      <c r="F98" s="7" t="s">
        <v>245</v>
      </c>
      <c r="G98" s="7" t="s">
        <v>623</v>
      </c>
      <c r="H98" s="19" t="s">
        <v>245</v>
      </c>
      <c r="I98" s="19">
        <v>3.338560382E9</v>
      </c>
      <c r="J98" s="7"/>
      <c r="K98" s="7" t="s">
        <v>626</v>
      </c>
      <c r="L98" s="7" t="s">
        <v>626</v>
      </c>
      <c r="M98" s="7"/>
      <c r="N98" s="7" t="s">
        <v>627</v>
      </c>
      <c r="O98" s="7"/>
    </row>
    <row r="99" ht="15.75" customHeight="1">
      <c r="A99" s="7" t="s">
        <v>628</v>
      </c>
      <c r="B99" s="7" t="s">
        <v>22</v>
      </c>
      <c r="C99" s="7" t="s">
        <v>450</v>
      </c>
      <c r="D99" s="7" t="s">
        <v>465</v>
      </c>
      <c r="E99" s="20" t="s">
        <v>629</v>
      </c>
      <c r="F99" s="7" t="s">
        <v>630</v>
      </c>
      <c r="G99" s="7" t="s">
        <v>631</v>
      </c>
      <c r="H99" s="19" t="s">
        <v>55</v>
      </c>
      <c r="I99" s="19">
        <v>3.521471232E9</v>
      </c>
      <c r="J99" s="7"/>
      <c r="K99" s="7" t="s">
        <v>632</v>
      </c>
      <c r="L99" s="7" t="s">
        <v>632</v>
      </c>
      <c r="M99" s="7"/>
      <c r="N99" s="7" t="s">
        <v>633</v>
      </c>
      <c r="O99" s="7"/>
    </row>
    <row r="100" ht="15.75" customHeight="1">
      <c r="A100" s="7" t="s">
        <v>634</v>
      </c>
      <c r="B100" s="7" t="s">
        <v>22</v>
      </c>
      <c r="C100" s="7" t="s">
        <v>450</v>
      </c>
      <c r="D100" s="7" t="s">
        <v>487</v>
      </c>
      <c r="E100" s="7" t="s">
        <v>635</v>
      </c>
      <c r="F100" s="7" t="s">
        <v>245</v>
      </c>
      <c r="G100" s="7" t="s">
        <v>636</v>
      </c>
      <c r="H100" s="19" t="s">
        <v>637</v>
      </c>
      <c r="I100" s="19">
        <v>3.31613378E9</v>
      </c>
      <c r="J100" s="7"/>
      <c r="K100" s="7" t="s">
        <v>638</v>
      </c>
      <c r="L100" s="7" t="s">
        <v>638</v>
      </c>
      <c r="M100" s="7"/>
      <c r="N100" s="7"/>
      <c r="O100" s="7"/>
    </row>
    <row r="101" ht="15.75" customHeight="1">
      <c r="A101" s="7" t="s">
        <v>639</v>
      </c>
      <c r="B101" s="7" t="s">
        <v>22</v>
      </c>
      <c r="C101" s="7" t="s">
        <v>240</v>
      </c>
      <c r="D101" s="7" t="s">
        <v>67</v>
      </c>
      <c r="E101" s="20" t="s">
        <v>640</v>
      </c>
      <c r="F101" s="7" t="s">
        <v>55</v>
      </c>
      <c r="G101" s="7" t="s">
        <v>641</v>
      </c>
      <c r="H101" s="19" t="s">
        <v>642</v>
      </c>
      <c r="I101" s="19">
        <v>3.318629135E9</v>
      </c>
      <c r="J101" s="7"/>
      <c r="K101" s="7" t="s">
        <v>643</v>
      </c>
      <c r="L101" s="7" t="s">
        <v>643</v>
      </c>
      <c r="M101" s="7"/>
      <c r="N101" s="7"/>
      <c r="O101" s="7"/>
    </row>
    <row r="102" ht="15.75" customHeight="1">
      <c r="A102" s="7" t="s">
        <v>644</v>
      </c>
      <c r="B102" s="7" t="s">
        <v>22</v>
      </c>
      <c r="C102" s="7" t="s">
        <v>240</v>
      </c>
      <c r="D102" s="7" t="s">
        <v>517</v>
      </c>
      <c r="E102" s="7" t="s">
        <v>645</v>
      </c>
      <c r="F102" s="7" t="s">
        <v>646</v>
      </c>
      <c r="G102" s="7" t="s">
        <v>645</v>
      </c>
      <c r="H102" s="19" t="s">
        <v>245</v>
      </c>
      <c r="I102" s="7">
        <v>3.316114768E9</v>
      </c>
      <c r="J102" s="7"/>
      <c r="K102" s="7" t="s">
        <v>647</v>
      </c>
      <c r="L102" s="7" t="s">
        <v>647</v>
      </c>
      <c r="M102" s="7"/>
      <c r="N102" s="7"/>
      <c r="O102" s="7"/>
    </row>
    <row r="103" ht="15.75" customHeight="1">
      <c r="A103" s="7" t="s">
        <v>648</v>
      </c>
      <c r="B103" s="7" t="s">
        <v>168</v>
      </c>
      <c r="C103" s="7" t="s">
        <v>254</v>
      </c>
      <c r="D103" s="7" t="s">
        <v>287</v>
      </c>
      <c r="E103" s="7" t="s">
        <v>649</v>
      </c>
      <c r="F103" s="7" t="s">
        <v>55</v>
      </c>
      <c r="G103" s="7" t="s">
        <v>649</v>
      </c>
      <c r="H103" s="19" t="s">
        <v>277</v>
      </c>
      <c r="I103" s="19"/>
      <c r="J103" s="7"/>
      <c r="K103" s="7" t="s">
        <v>650</v>
      </c>
      <c r="L103" s="7" t="s">
        <v>650</v>
      </c>
      <c r="M103" s="7"/>
      <c r="N103" s="7"/>
      <c r="O103" s="7"/>
    </row>
    <row r="104" ht="15.75" customHeight="1">
      <c r="A104" s="7" t="s">
        <v>165</v>
      </c>
      <c r="B104" s="7" t="s">
        <v>168</v>
      </c>
      <c r="C104" s="24" t="s">
        <v>378</v>
      </c>
      <c r="D104" s="7" t="s">
        <v>609</v>
      </c>
      <c r="E104" s="20" t="s">
        <v>651</v>
      </c>
      <c r="F104" s="7" t="s">
        <v>277</v>
      </c>
      <c r="G104" s="7" t="s">
        <v>652</v>
      </c>
      <c r="H104" s="19" t="s">
        <v>653</v>
      </c>
      <c r="I104" s="19">
        <v>3.321842313E9</v>
      </c>
      <c r="J104" s="7" t="s">
        <v>654</v>
      </c>
      <c r="K104" s="7"/>
      <c r="L104" s="7"/>
      <c r="M104" s="7"/>
      <c r="N104" s="7"/>
      <c r="O104" s="7"/>
    </row>
    <row r="105" ht="15.75" customHeight="1">
      <c r="A105" s="7" t="s">
        <v>655</v>
      </c>
      <c r="B105" s="7" t="s">
        <v>168</v>
      </c>
      <c r="C105" s="7" t="s">
        <v>227</v>
      </c>
      <c r="D105" s="7" t="s">
        <v>44</v>
      </c>
      <c r="E105" s="20" t="s">
        <v>658</v>
      </c>
      <c r="F105" s="7" t="s">
        <v>277</v>
      </c>
      <c r="G105" s="7" t="s">
        <v>659</v>
      </c>
      <c r="H105" s="19" t="s">
        <v>55</v>
      </c>
      <c r="I105" s="19">
        <v>4.434913907E9</v>
      </c>
      <c r="J105" s="7" t="s">
        <v>660</v>
      </c>
      <c r="K105" s="7"/>
      <c r="L105" s="7"/>
      <c r="M105" s="7"/>
      <c r="N105" s="7" t="s">
        <v>661</v>
      </c>
      <c r="O105" s="7"/>
    </row>
    <row r="106" ht="15.75" customHeight="1">
      <c r="A106" s="7" t="s">
        <v>662</v>
      </c>
      <c r="B106" s="7" t="s">
        <v>168</v>
      </c>
      <c r="C106" s="7" t="s">
        <v>227</v>
      </c>
      <c r="D106" s="7" t="s">
        <v>44</v>
      </c>
      <c r="E106" s="20" t="s">
        <v>664</v>
      </c>
      <c r="F106" s="7" t="s">
        <v>277</v>
      </c>
      <c r="G106" s="7" t="s">
        <v>665</v>
      </c>
      <c r="H106" s="19" t="s">
        <v>277</v>
      </c>
      <c r="I106" s="19">
        <v>7.531153361E9</v>
      </c>
      <c r="J106" s="7"/>
      <c r="K106" s="7"/>
      <c r="L106" s="7"/>
      <c r="M106" s="7"/>
      <c r="N106" s="7" t="s">
        <v>666</v>
      </c>
      <c r="O106" s="7"/>
    </row>
    <row r="107" ht="15.75" customHeight="1">
      <c r="A107" s="7" t="s">
        <v>668</v>
      </c>
      <c r="B107" s="7" t="s">
        <v>168</v>
      </c>
      <c r="C107" s="7" t="s">
        <v>227</v>
      </c>
      <c r="D107" s="7" t="s">
        <v>44</v>
      </c>
      <c r="E107" s="7" t="s">
        <v>670</v>
      </c>
      <c r="F107" s="7" t="s">
        <v>277</v>
      </c>
      <c r="G107" s="7" t="s">
        <v>670</v>
      </c>
      <c r="H107" s="19" t="s">
        <v>277</v>
      </c>
      <c r="I107" s="7">
        <v>4.432725034E9</v>
      </c>
      <c r="J107" s="7" t="s">
        <v>671</v>
      </c>
      <c r="K107" s="7"/>
      <c r="L107" s="7"/>
      <c r="M107" s="7"/>
      <c r="N107" s="7"/>
      <c r="O107" s="7"/>
    </row>
    <row r="108" ht="15.75" customHeight="1">
      <c r="A108" s="7" t="s">
        <v>675</v>
      </c>
      <c r="B108" s="7" t="s">
        <v>168</v>
      </c>
      <c r="C108" s="7" t="s">
        <v>227</v>
      </c>
      <c r="D108" s="7" t="s">
        <v>44</v>
      </c>
      <c r="E108" s="20" t="s">
        <v>676</v>
      </c>
      <c r="F108" s="7" t="s">
        <v>277</v>
      </c>
      <c r="G108" s="7" t="s">
        <v>677</v>
      </c>
      <c r="H108" s="19" t="s">
        <v>277</v>
      </c>
      <c r="I108" s="19">
        <v>4.432276388E9</v>
      </c>
      <c r="J108" s="7"/>
      <c r="K108" s="7"/>
      <c r="L108" s="7"/>
      <c r="M108" s="7"/>
      <c r="N108" s="7" t="s">
        <v>678</v>
      </c>
      <c r="O108" s="7"/>
    </row>
    <row r="109" ht="15.75" customHeight="1">
      <c r="A109" s="7" t="s">
        <v>679</v>
      </c>
      <c r="B109" s="7" t="s">
        <v>168</v>
      </c>
      <c r="C109" s="7" t="s">
        <v>227</v>
      </c>
      <c r="D109" s="7" t="s">
        <v>44</v>
      </c>
      <c r="E109" s="20" t="s">
        <v>680</v>
      </c>
      <c r="F109" s="7" t="s">
        <v>277</v>
      </c>
      <c r="G109" s="7" t="s">
        <v>681</v>
      </c>
      <c r="H109" s="19" t="s">
        <v>277</v>
      </c>
      <c r="I109" s="19">
        <v>3.316135271E9</v>
      </c>
      <c r="J109" s="7" t="s">
        <v>682</v>
      </c>
      <c r="K109" s="7"/>
      <c r="L109" s="7"/>
      <c r="M109" s="7"/>
      <c r="N109" s="7" t="s">
        <v>683</v>
      </c>
      <c r="O109" s="7"/>
    </row>
    <row r="110" ht="15.75" customHeight="1">
      <c r="A110" s="7" t="s">
        <v>684</v>
      </c>
      <c r="B110" s="7" t="s">
        <v>168</v>
      </c>
      <c r="C110" s="7" t="s">
        <v>378</v>
      </c>
      <c r="D110" s="7" t="s">
        <v>67</v>
      </c>
      <c r="E110" s="20" t="s">
        <v>685</v>
      </c>
      <c r="F110" s="7" t="s">
        <v>277</v>
      </c>
      <c r="G110" s="7" t="s">
        <v>686</v>
      </c>
      <c r="H110" s="19" t="s">
        <v>687</v>
      </c>
      <c r="I110" s="19">
        <v>4.432078351E9</v>
      </c>
      <c r="J110" s="7"/>
      <c r="K110" s="7" t="s">
        <v>688</v>
      </c>
      <c r="L110" s="7" t="s">
        <v>688</v>
      </c>
      <c r="M110" s="7"/>
      <c r="N110" s="7"/>
      <c r="O110" s="7"/>
    </row>
    <row r="111" ht="15.75" customHeight="1">
      <c r="A111" s="7" t="s">
        <v>689</v>
      </c>
      <c r="B111" s="7" t="s">
        <v>168</v>
      </c>
      <c r="C111" s="7" t="s">
        <v>271</v>
      </c>
      <c r="D111" s="7" t="s">
        <v>44</v>
      </c>
      <c r="E111" s="20" t="s">
        <v>690</v>
      </c>
      <c r="F111" s="7" t="s">
        <v>691</v>
      </c>
      <c r="G111" s="7" t="s">
        <v>692</v>
      </c>
      <c r="H111" s="19" t="s">
        <v>691</v>
      </c>
      <c r="I111" s="19">
        <v>4.434913915E9</v>
      </c>
      <c r="J111" s="7"/>
      <c r="K111" s="7"/>
      <c r="L111" s="7"/>
      <c r="M111" s="7"/>
      <c r="N111" s="7" t="s">
        <v>693</v>
      </c>
      <c r="O111" s="7"/>
    </row>
    <row r="112" ht="15.75" customHeight="1">
      <c r="A112" s="24" t="s">
        <v>226</v>
      </c>
      <c r="B112" s="7" t="s">
        <v>168</v>
      </c>
      <c r="C112" s="7" t="s">
        <v>271</v>
      </c>
      <c r="D112" s="7" t="s">
        <v>44</v>
      </c>
      <c r="E112" s="7" t="s">
        <v>694</v>
      </c>
      <c r="F112" s="7" t="s">
        <v>277</v>
      </c>
      <c r="G112" s="7" t="s">
        <v>695</v>
      </c>
      <c r="H112" s="19" t="s">
        <v>277</v>
      </c>
      <c r="I112" s="19">
        <v>4.43264681E9</v>
      </c>
      <c r="J112" s="7"/>
      <c r="K112" s="7"/>
      <c r="L112" s="7"/>
      <c r="M112" s="7"/>
      <c r="N112" s="7"/>
      <c r="O112" s="7"/>
    </row>
    <row r="113" ht="15.75" customHeight="1">
      <c r="A113" s="7" t="s">
        <v>696</v>
      </c>
      <c r="B113" s="7" t="s">
        <v>168</v>
      </c>
      <c r="C113" s="7" t="s">
        <v>450</v>
      </c>
      <c r="D113" s="7" t="s">
        <v>452</v>
      </c>
      <c r="E113" s="7" t="s">
        <v>697</v>
      </c>
      <c r="F113" s="7" t="s">
        <v>277</v>
      </c>
      <c r="G113" s="7" t="s">
        <v>697</v>
      </c>
      <c r="H113" s="19" t="s">
        <v>277</v>
      </c>
      <c r="I113" s="19"/>
      <c r="J113" s="7"/>
      <c r="K113" s="7" t="s">
        <v>698</v>
      </c>
      <c r="L113" s="7" t="s">
        <v>699</v>
      </c>
      <c r="M113" s="7"/>
      <c r="N113" s="7"/>
      <c r="O113" s="7"/>
    </row>
    <row r="114" ht="15.75" customHeight="1">
      <c r="A114" s="7" t="s">
        <v>700</v>
      </c>
      <c r="B114" s="7" t="s">
        <v>168</v>
      </c>
      <c r="C114" s="7" t="s">
        <v>450</v>
      </c>
      <c r="D114" s="7" t="s">
        <v>465</v>
      </c>
      <c r="E114" s="7" t="s">
        <v>701</v>
      </c>
      <c r="F114" s="7" t="s">
        <v>277</v>
      </c>
      <c r="G114" s="7" t="s">
        <v>702</v>
      </c>
      <c r="H114" s="19" t="s">
        <v>277</v>
      </c>
      <c r="I114" s="19">
        <v>4.431415536E9</v>
      </c>
      <c r="J114" s="7"/>
      <c r="K114" s="7" t="s">
        <v>703</v>
      </c>
      <c r="L114" s="7" t="s">
        <v>703</v>
      </c>
      <c r="M114" s="7"/>
      <c r="N114" s="7" t="s">
        <v>704</v>
      </c>
      <c r="O114" s="7"/>
    </row>
    <row r="115" ht="15.75" customHeight="1">
      <c r="A115" s="24" t="s">
        <v>226</v>
      </c>
      <c r="B115" s="7" t="s">
        <v>168</v>
      </c>
      <c r="C115" s="7" t="s">
        <v>450</v>
      </c>
      <c r="D115" s="7" t="s">
        <v>465</v>
      </c>
      <c r="E115" s="7" t="s">
        <v>705</v>
      </c>
      <c r="F115" s="7" t="s">
        <v>277</v>
      </c>
      <c r="G115" s="7" t="s">
        <v>706</v>
      </c>
      <c r="H115" s="19" t="s">
        <v>277</v>
      </c>
      <c r="I115" s="19">
        <v>4.434108665E9</v>
      </c>
      <c r="J115" s="7"/>
      <c r="K115" s="7" t="s">
        <v>707</v>
      </c>
      <c r="L115" s="7" t="s">
        <v>707</v>
      </c>
      <c r="M115" s="7"/>
      <c r="N115" s="7" t="s">
        <v>708</v>
      </c>
      <c r="O115" s="7"/>
    </row>
    <row r="116" ht="15.75" customHeight="1">
      <c r="A116" s="7" t="s">
        <v>709</v>
      </c>
      <c r="B116" s="7" t="s">
        <v>168</v>
      </c>
      <c r="C116" s="7" t="s">
        <v>450</v>
      </c>
      <c r="D116" s="7" t="s">
        <v>487</v>
      </c>
      <c r="E116" s="20" t="s">
        <v>710</v>
      </c>
      <c r="F116" s="7" t="s">
        <v>277</v>
      </c>
      <c r="G116" s="7" t="s">
        <v>711</v>
      </c>
      <c r="H116" s="19" t="s">
        <v>277</v>
      </c>
      <c r="I116" s="19">
        <v>4.431677121E9</v>
      </c>
      <c r="J116" s="7"/>
      <c r="K116" s="7" t="s">
        <v>712</v>
      </c>
      <c r="L116" s="7" t="s">
        <v>712</v>
      </c>
      <c r="M116" s="7"/>
      <c r="N116" s="7"/>
      <c r="O116" s="7"/>
    </row>
    <row r="117" ht="15.75" customHeight="1">
      <c r="A117" s="7" t="s">
        <v>715</v>
      </c>
      <c r="B117" s="7" t="s">
        <v>168</v>
      </c>
      <c r="C117" s="7" t="s">
        <v>240</v>
      </c>
      <c r="D117" s="7" t="s">
        <v>67</v>
      </c>
      <c r="E117" s="20" t="s">
        <v>718</v>
      </c>
      <c r="F117" s="7" t="s">
        <v>277</v>
      </c>
      <c r="G117" s="7" t="s">
        <v>719</v>
      </c>
      <c r="H117" s="19" t="s">
        <v>277</v>
      </c>
      <c r="I117" s="19">
        <v>4.434913913E9</v>
      </c>
      <c r="J117" s="7"/>
      <c r="K117" s="7" t="s">
        <v>720</v>
      </c>
      <c r="L117" s="7" t="s">
        <v>720</v>
      </c>
      <c r="M117" s="7"/>
      <c r="N117" s="7"/>
      <c r="O117" s="7"/>
    </row>
    <row r="118" ht="15.75" customHeight="1">
      <c r="A118" s="7" t="s">
        <v>722</v>
      </c>
      <c r="B118" s="7" t="s">
        <v>168</v>
      </c>
      <c r="C118" s="7" t="s">
        <v>240</v>
      </c>
      <c r="D118" s="7" t="s">
        <v>517</v>
      </c>
      <c r="E118" s="20" t="s">
        <v>724</v>
      </c>
      <c r="F118" s="7" t="s">
        <v>725</v>
      </c>
      <c r="G118" s="7" t="s">
        <v>726</v>
      </c>
      <c r="H118" s="19" t="s">
        <v>277</v>
      </c>
      <c r="I118" s="19">
        <v>4.434108329E9</v>
      </c>
      <c r="J118" s="7"/>
      <c r="K118" s="7" t="s">
        <v>728</v>
      </c>
      <c r="L118" s="7" t="s">
        <v>728</v>
      </c>
      <c r="M118" s="7"/>
      <c r="N118" s="7"/>
      <c r="O118" s="7"/>
    </row>
    <row r="119" ht="15.75" customHeight="1">
      <c r="A119" s="24" t="s">
        <v>226</v>
      </c>
      <c r="B119" s="7" t="s">
        <v>21</v>
      </c>
      <c r="C119" s="7" t="s">
        <v>42</v>
      </c>
      <c r="D119" s="7" t="s">
        <v>71</v>
      </c>
      <c r="E119" s="20" t="s">
        <v>730</v>
      </c>
      <c r="F119" s="7" t="s">
        <v>731</v>
      </c>
      <c r="G119" s="7"/>
      <c r="H119" s="19"/>
      <c r="I119" s="19"/>
      <c r="J119" s="7"/>
      <c r="K119" s="7"/>
      <c r="L119" s="7"/>
      <c r="M119" s="7"/>
      <c r="N119" s="7"/>
      <c r="O119" s="7"/>
    </row>
    <row r="120" ht="15.75" customHeight="1">
      <c r="A120" s="7" t="s">
        <v>732</v>
      </c>
      <c r="B120" s="7" t="s">
        <v>21</v>
      </c>
      <c r="C120" s="7" t="s">
        <v>254</v>
      </c>
      <c r="D120" s="7" t="s">
        <v>287</v>
      </c>
      <c r="E120" s="20" t="s">
        <v>733</v>
      </c>
      <c r="F120" s="7" t="s">
        <v>734</v>
      </c>
      <c r="G120" s="7" t="s">
        <v>735</v>
      </c>
      <c r="H120" s="19" t="s">
        <v>725</v>
      </c>
      <c r="I120" s="19"/>
      <c r="J120" s="7"/>
      <c r="K120" s="7" t="s">
        <v>736</v>
      </c>
      <c r="L120" s="7" t="s">
        <v>736</v>
      </c>
      <c r="M120" s="7"/>
      <c r="N120" s="7"/>
      <c r="O120" s="7"/>
    </row>
    <row r="121" ht="15.75" customHeight="1">
      <c r="A121" s="7" t="s">
        <v>737</v>
      </c>
      <c r="B121" s="7" t="s">
        <v>21</v>
      </c>
      <c r="C121" s="24" t="s">
        <v>378</v>
      </c>
      <c r="D121" s="7" t="s">
        <v>67</v>
      </c>
      <c r="E121" s="7" t="s">
        <v>738</v>
      </c>
      <c r="F121" s="7" t="s">
        <v>731</v>
      </c>
      <c r="G121" s="7" t="s">
        <v>738</v>
      </c>
      <c r="H121" s="19" t="s">
        <v>731</v>
      </c>
      <c r="I121" s="19">
        <v>3.931073664E9</v>
      </c>
      <c r="J121" s="7"/>
      <c r="K121" s="7" t="s">
        <v>739</v>
      </c>
      <c r="L121" s="7" t="s">
        <v>739</v>
      </c>
      <c r="M121" s="7"/>
      <c r="N121" s="7"/>
      <c r="O121" s="7"/>
    </row>
    <row r="122" ht="15.75" customHeight="1">
      <c r="A122" s="24" t="s">
        <v>740</v>
      </c>
      <c r="B122" s="7" t="s">
        <v>21</v>
      </c>
      <c r="C122" s="24" t="s">
        <v>378</v>
      </c>
      <c r="D122" s="7" t="s">
        <v>91</v>
      </c>
      <c r="E122" s="7" t="s">
        <v>741</v>
      </c>
      <c r="F122" s="7" t="s">
        <v>731</v>
      </c>
      <c r="G122" s="7" t="s">
        <v>741</v>
      </c>
      <c r="H122" s="19" t="s">
        <v>731</v>
      </c>
      <c r="I122" s="19">
        <v>3.931196086E9</v>
      </c>
      <c r="J122" s="7"/>
      <c r="K122" s="7"/>
      <c r="L122" s="7"/>
      <c r="M122" s="7"/>
      <c r="N122" s="7"/>
      <c r="O122" s="7"/>
    </row>
    <row r="123" ht="15.75" customHeight="1">
      <c r="A123" s="7" t="s">
        <v>742</v>
      </c>
      <c r="B123" s="7" t="s">
        <v>21</v>
      </c>
      <c r="C123" s="7" t="s">
        <v>227</v>
      </c>
      <c r="D123" s="7" t="s">
        <v>44</v>
      </c>
      <c r="E123" s="7" t="s">
        <v>743</v>
      </c>
      <c r="F123" s="7" t="s">
        <v>731</v>
      </c>
      <c r="G123" s="7" t="s">
        <v>743</v>
      </c>
      <c r="H123" s="19" t="s">
        <v>731</v>
      </c>
      <c r="I123" s="19">
        <v>3.316097328E9</v>
      </c>
      <c r="J123" s="7"/>
      <c r="K123" s="7"/>
      <c r="L123" s="7"/>
      <c r="M123" s="7"/>
      <c r="N123" s="7" t="s">
        <v>744</v>
      </c>
      <c r="O123" s="7" t="s">
        <v>242</v>
      </c>
    </row>
    <row r="124" ht="15.75" customHeight="1">
      <c r="A124" s="7" t="s">
        <v>745</v>
      </c>
      <c r="B124" s="7" t="s">
        <v>21</v>
      </c>
      <c r="C124" s="7" t="s">
        <v>227</v>
      </c>
      <c r="D124" s="7" t="s">
        <v>44</v>
      </c>
      <c r="E124" s="7" t="s">
        <v>746</v>
      </c>
      <c r="F124" s="7" t="s">
        <v>731</v>
      </c>
      <c r="G124" s="7" t="s">
        <v>747</v>
      </c>
      <c r="H124" s="19" t="s">
        <v>731</v>
      </c>
      <c r="I124" s="19">
        <v>4.433031171E9</v>
      </c>
      <c r="J124" s="7"/>
      <c r="K124" s="7"/>
      <c r="L124" s="7"/>
      <c r="M124" s="7"/>
      <c r="N124" s="7" t="s">
        <v>748</v>
      </c>
      <c r="O124" s="7"/>
    </row>
    <row r="125" ht="15.75" customHeight="1">
      <c r="A125" s="24" t="s">
        <v>749</v>
      </c>
      <c r="B125" s="7" t="s">
        <v>21</v>
      </c>
      <c r="C125" s="7" t="s">
        <v>227</v>
      </c>
      <c r="D125" s="7" t="s">
        <v>44</v>
      </c>
      <c r="E125" s="20" t="s">
        <v>750</v>
      </c>
      <c r="F125" s="7" t="s">
        <v>751</v>
      </c>
      <c r="G125" s="7" t="s">
        <v>752</v>
      </c>
      <c r="H125" s="19" t="s">
        <v>55</v>
      </c>
      <c r="I125" s="19">
        <v>3.316106051E9</v>
      </c>
      <c r="J125" s="7"/>
      <c r="K125" s="7"/>
      <c r="L125" s="7"/>
      <c r="M125" s="7"/>
      <c r="N125" s="7" t="s">
        <v>753</v>
      </c>
      <c r="O125" s="7" t="s">
        <v>242</v>
      </c>
    </row>
    <row r="126" ht="15.75" customHeight="1">
      <c r="A126" s="7" t="s">
        <v>754</v>
      </c>
      <c r="B126" s="7" t="s">
        <v>21</v>
      </c>
      <c r="C126" s="7" t="s">
        <v>378</v>
      </c>
      <c r="D126" s="7" t="s">
        <v>609</v>
      </c>
      <c r="E126" s="20" t="s">
        <v>755</v>
      </c>
      <c r="F126" s="7" t="s">
        <v>756</v>
      </c>
      <c r="G126" s="7" t="s">
        <v>757</v>
      </c>
      <c r="H126" s="19" t="s">
        <v>55</v>
      </c>
      <c r="I126" s="19">
        <v>3.33152505E9</v>
      </c>
      <c r="J126" s="7" t="s">
        <v>758</v>
      </c>
      <c r="K126" s="7"/>
      <c r="L126" s="7"/>
      <c r="M126" s="7"/>
      <c r="N126" s="7"/>
      <c r="O126" s="7"/>
    </row>
    <row r="127" ht="15.75" customHeight="1">
      <c r="A127" s="7" t="s">
        <v>761</v>
      </c>
      <c r="B127" s="7" t="s">
        <v>21</v>
      </c>
      <c r="C127" s="7" t="s">
        <v>378</v>
      </c>
      <c r="D127" s="7" t="s">
        <v>408</v>
      </c>
      <c r="E127" s="20" t="s">
        <v>763</v>
      </c>
      <c r="F127" s="7" t="s">
        <v>731</v>
      </c>
      <c r="G127" s="7"/>
      <c r="H127" s="19"/>
      <c r="I127" s="19">
        <v>3.931171122E9</v>
      </c>
      <c r="J127" s="7"/>
      <c r="K127" s="7"/>
      <c r="L127" s="7"/>
      <c r="M127" s="7"/>
      <c r="N127" s="7"/>
      <c r="O127" s="7"/>
    </row>
    <row r="128" ht="15.75" customHeight="1">
      <c r="A128" s="7" t="s">
        <v>764</v>
      </c>
      <c r="B128" s="7" t="s">
        <v>21</v>
      </c>
      <c r="C128" s="7" t="s">
        <v>271</v>
      </c>
      <c r="D128" s="7" t="s">
        <v>44</v>
      </c>
      <c r="E128" s="20" t="s">
        <v>765</v>
      </c>
      <c r="F128" s="7" t="s">
        <v>731</v>
      </c>
      <c r="G128" s="7" t="s">
        <v>766</v>
      </c>
      <c r="H128" s="19" t="s">
        <v>731</v>
      </c>
      <c r="I128" s="19">
        <v>4.691215969E9</v>
      </c>
      <c r="J128" s="7"/>
      <c r="K128" s="7"/>
      <c r="L128" s="7"/>
      <c r="M128" s="7"/>
      <c r="N128" s="7" t="s">
        <v>767</v>
      </c>
      <c r="O128" s="7"/>
    </row>
    <row r="129" ht="15.75" customHeight="1">
      <c r="A129" s="7" t="s">
        <v>768</v>
      </c>
      <c r="B129" s="7" t="s">
        <v>21</v>
      </c>
      <c r="C129" s="7" t="s">
        <v>271</v>
      </c>
      <c r="D129" s="7" t="s">
        <v>44</v>
      </c>
      <c r="E129" s="7" t="s">
        <v>769</v>
      </c>
      <c r="F129" s="7" t="s">
        <v>731</v>
      </c>
      <c r="G129" s="7" t="s">
        <v>769</v>
      </c>
      <c r="H129" s="19" t="s">
        <v>731</v>
      </c>
      <c r="I129" s="19">
        <v>3.921057608E9</v>
      </c>
      <c r="J129" s="7"/>
      <c r="K129" s="7"/>
      <c r="L129" s="7"/>
      <c r="M129" s="7"/>
      <c r="N129" s="7"/>
      <c r="O129" s="7"/>
    </row>
    <row r="130" ht="15.75" customHeight="1">
      <c r="A130" s="24" t="s">
        <v>770</v>
      </c>
      <c r="B130" s="7" t="s">
        <v>21</v>
      </c>
      <c r="C130" s="7" t="s">
        <v>450</v>
      </c>
      <c r="D130" s="7" t="s">
        <v>465</v>
      </c>
      <c r="E130" s="20" t="s">
        <v>771</v>
      </c>
      <c r="F130" s="7" t="s">
        <v>731</v>
      </c>
      <c r="G130" s="7" t="s">
        <v>772</v>
      </c>
      <c r="H130" s="19" t="s">
        <v>55</v>
      </c>
      <c r="I130" s="19">
        <v>3.931245173E9</v>
      </c>
      <c r="J130" s="7"/>
      <c r="K130" s="7"/>
      <c r="L130" s="7"/>
      <c r="M130" s="7"/>
      <c r="N130" s="7" t="s">
        <v>773</v>
      </c>
      <c r="O130" s="7"/>
    </row>
    <row r="131" ht="15.75" customHeight="1">
      <c r="A131" s="24" t="s">
        <v>774</v>
      </c>
      <c r="B131" s="7" t="s">
        <v>21</v>
      </c>
      <c r="C131" s="7" t="s">
        <v>450</v>
      </c>
      <c r="D131" s="7" t="s">
        <v>465</v>
      </c>
      <c r="E131" s="7" t="s">
        <v>775</v>
      </c>
      <c r="F131" s="7" t="s">
        <v>731</v>
      </c>
      <c r="G131" s="7" t="s">
        <v>775</v>
      </c>
      <c r="H131" s="19" t="s">
        <v>731</v>
      </c>
      <c r="I131" s="19">
        <v>3.331523332E9</v>
      </c>
      <c r="J131" s="7"/>
      <c r="K131" s="7" t="s">
        <v>776</v>
      </c>
      <c r="L131" s="7" t="s">
        <v>776</v>
      </c>
      <c r="M131" s="7"/>
      <c r="N131" s="7" t="s">
        <v>777</v>
      </c>
      <c r="O131" s="7"/>
    </row>
    <row r="132" ht="15.75" customHeight="1">
      <c r="A132" s="7" t="s">
        <v>778</v>
      </c>
      <c r="B132" s="7" t="s">
        <v>21</v>
      </c>
      <c r="C132" s="7" t="s">
        <v>450</v>
      </c>
      <c r="D132" s="7" t="s">
        <v>482</v>
      </c>
      <c r="E132" s="20" t="s">
        <v>779</v>
      </c>
      <c r="F132" s="7" t="s">
        <v>731</v>
      </c>
      <c r="G132" s="7" t="s">
        <v>780</v>
      </c>
      <c r="H132" s="19" t="s">
        <v>55</v>
      </c>
      <c r="I132" s="19">
        <v>3.328358335E9</v>
      </c>
      <c r="J132" s="7"/>
      <c r="K132" s="7" t="s">
        <v>781</v>
      </c>
      <c r="L132" s="7" t="s">
        <v>781</v>
      </c>
      <c r="M132" s="7"/>
      <c r="N132" s="7"/>
      <c r="O132" s="7"/>
    </row>
    <row r="133" ht="15.75" customHeight="1">
      <c r="A133" s="7" t="s">
        <v>782</v>
      </c>
      <c r="B133" s="7" t="s">
        <v>21</v>
      </c>
      <c r="C133" s="7" t="s">
        <v>450</v>
      </c>
      <c r="D133" s="7" t="s">
        <v>487</v>
      </c>
      <c r="E133" s="20" t="s">
        <v>785</v>
      </c>
      <c r="F133" s="7" t="s">
        <v>55</v>
      </c>
      <c r="G133" s="7" t="s">
        <v>786</v>
      </c>
      <c r="H133" s="19" t="s">
        <v>55</v>
      </c>
      <c r="I133" s="19">
        <v>3.337194517E9</v>
      </c>
      <c r="J133" s="7"/>
      <c r="K133" s="7" t="s">
        <v>787</v>
      </c>
      <c r="L133" s="7" t="s">
        <v>787</v>
      </c>
      <c r="M133" s="7"/>
      <c r="N133" s="7"/>
      <c r="O133" s="7"/>
    </row>
    <row r="134" ht="15.75" customHeight="1">
      <c r="A134" s="7" t="s">
        <v>789</v>
      </c>
      <c r="B134" s="7" t="s">
        <v>21</v>
      </c>
      <c r="C134" s="7" t="s">
        <v>240</v>
      </c>
      <c r="D134" s="7" t="s">
        <v>67</v>
      </c>
      <c r="E134" s="20" t="s">
        <v>790</v>
      </c>
      <c r="F134" s="7" t="s">
        <v>731</v>
      </c>
      <c r="G134" s="7" t="s">
        <v>792</v>
      </c>
      <c r="H134" s="19" t="s">
        <v>731</v>
      </c>
      <c r="I134" s="19">
        <v>3.316097918E9</v>
      </c>
      <c r="J134" s="7"/>
      <c r="K134" s="7" t="s">
        <v>793</v>
      </c>
      <c r="L134" s="7" t="s">
        <v>793</v>
      </c>
      <c r="M134" s="7"/>
      <c r="N134" s="7"/>
      <c r="O134" s="7"/>
    </row>
    <row r="135" ht="15.75" customHeight="1">
      <c r="A135" s="7" t="s">
        <v>795</v>
      </c>
      <c r="B135" s="7" t="s">
        <v>21</v>
      </c>
      <c r="C135" s="7" t="s">
        <v>240</v>
      </c>
      <c r="D135" s="7" t="s">
        <v>517</v>
      </c>
      <c r="E135" s="20" t="s">
        <v>796</v>
      </c>
      <c r="F135" s="7" t="s">
        <v>731</v>
      </c>
      <c r="G135" s="7" t="s">
        <v>797</v>
      </c>
      <c r="H135" s="19" t="s">
        <v>731</v>
      </c>
      <c r="I135" s="19">
        <v>3.481044349E9</v>
      </c>
      <c r="J135" s="7" t="s">
        <v>798</v>
      </c>
      <c r="K135" s="7"/>
      <c r="L135" s="7"/>
      <c r="M135" s="7"/>
      <c r="N135" s="7"/>
      <c r="O135" s="7"/>
    </row>
    <row r="136" ht="15.75" customHeight="1">
      <c r="A136" s="7" t="s">
        <v>799</v>
      </c>
      <c r="B136" s="7" t="s">
        <v>21</v>
      </c>
      <c r="C136" s="7" t="s">
        <v>240</v>
      </c>
      <c r="D136" s="7" t="s">
        <v>241</v>
      </c>
      <c r="E136" s="7" t="s">
        <v>800</v>
      </c>
      <c r="F136" s="7" t="s">
        <v>731</v>
      </c>
      <c r="G136" s="7" t="s">
        <v>800</v>
      </c>
      <c r="H136" s="19" t="s">
        <v>731</v>
      </c>
      <c r="I136" s="19">
        <v>3.316092786E9</v>
      </c>
      <c r="J136" s="7"/>
      <c r="K136" s="7"/>
      <c r="L136" s="7"/>
      <c r="M136" s="7"/>
      <c r="N136" s="7"/>
      <c r="O136" s="7" t="s">
        <v>242</v>
      </c>
    </row>
    <row r="137" ht="15.75" customHeight="1">
      <c r="A137" s="24" t="s">
        <v>226</v>
      </c>
      <c r="B137" s="7" t="s">
        <v>284</v>
      </c>
      <c r="C137" s="7" t="s">
        <v>42</v>
      </c>
      <c r="D137" s="7" t="s">
        <v>71</v>
      </c>
      <c r="E137" s="20" t="s">
        <v>801</v>
      </c>
      <c r="F137" s="7" t="s">
        <v>802</v>
      </c>
      <c r="G137" s="7"/>
      <c r="H137" s="19"/>
      <c r="I137" s="19"/>
      <c r="J137" s="7"/>
      <c r="K137" s="7"/>
      <c r="L137" s="7"/>
      <c r="M137" s="7"/>
      <c r="N137" s="7"/>
      <c r="O137" s="7"/>
    </row>
    <row r="138" ht="15.75" customHeight="1">
      <c r="A138" s="7" t="s">
        <v>803</v>
      </c>
      <c r="B138" s="7" t="s">
        <v>284</v>
      </c>
      <c r="C138" s="7" t="s">
        <v>254</v>
      </c>
      <c r="D138" s="7" t="s">
        <v>287</v>
      </c>
      <c r="E138" s="20" t="s">
        <v>804</v>
      </c>
      <c r="F138" s="7" t="s">
        <v>316</v>
      </c>
      <c r="G138" s="7" t="s">
        <v>804</v>
      </c>
      <c r="H138" s="19" t="s">
        <v>805</v>
      </c>
      <c r="I138" s="19"/>
      <c r="J138" s="7"/>
      <c r="K138" s="7" t="s">
        <v>806</v>
      </c>
      <c r="L138" s="7" t="s">
        <v>806</v>
      </c>
      <c r="M138" s="7"/>
      <c r="N138" s="7"/>
      <c r="O138" s="7"/>
    </row>
    <row r="139" ht="15.75" customHeight="1">
      <c r="A139" s="24" t="s">
        <v>226</v>
      </c>
      <c r="B139" s="7" t="s">
        <v>284</v>
      </c>
      <c r="C139" s="7" t="s">
        <v>227</v>
      </c>
      <c r="D139" s="7" t="s">
        <v>44</v>
      </c>
      <c r="E139" s="20" t="s">
        <v>809</v>
      </c>
      <c r="F139" s="7" t="s">
        <v>292</v>
      </c>
      <c r="G139" s="7" t="s">
        <v>810</v>
      </c>
      <c r="H139" s="19" t="s">
        <v>292</v>
      </c>
      <c r="I139" s="19">
        <v>3.931196087E9</v>
      </c>
      <c r="J139" s="7"/>
      <c r="K139" s="7"/>
      <c r="L139" s="7"/>
      <c r="M139" s="7"/>
      <c r="N139" s="7" t="s">
        <v>811</v>
      </c>
      <c r="O139" s="7"/>
    </row>
    <row r="140" ht="15.75" customHeight="1">
      <c r="A140" s="7" t="s">
        <v>812</v>
      </c>
      <c r="B140" s="7" t="s">
        <v>284</v>
      </c>
      <c r="C140" s="7" t="s">
        <v>227</v>
      </c>
      <c r="D140" s="7" t="s">
        <v>44</v>
      </c>
      <c r="E140" s="20" t="s">
        <v>813</v>
      </c>
      <c r="F140" s="7" t="s">
        <v>55</v>
      </c>
      <c r="G140" s="7" t="s">
        <v>814</v>
      </c>
      <c r="H140" s="19" t="s">
        <v>55</v>
      </c>
      <c r="I140" s="19">
        <v>3.316098052E9</v>
      </c>
      <c r="J140" s="7"/>
      <c r="K140" s="7"/>
      <c r="L140" s="7"/>
      <c r="M140" s="7"/>
      <c r="N140" s="7" t="s">
        <v>811</v>
      </c>
      <c r="O140" s="7" t="s">
        <v>242</v>
      </c>
    </row>
    <row r="141" ht="15.75" customHeight="1">
      <c r="A141" s="7" t="s">
        <v>815</v>
      </c>
      <c r="B141" s="7" t="s">
        <v>284</v>
      </c>
      <c r="C141" s="7" t="s">
        <v>227</v>
      </c>
      <c r="D141" s="7" t="s">
        <v>44</v>
      </c>
      <c r="E141" s="20" t="s">
        <v>816</v>
      </c>
      <c r="F141" s="7" t="s">
        <v>802</v>
      </c>
      <c r="G141" s="7" t="s">
        <v>817</v>
      </c>
      <c r="H141" s="19" t="s">
        <v>802</v>
      </c>
      <c r="I141" s="19">
        <v>3.316097179E9</v>
      </c>
      <c r="J141" s="7"/>
      <c r="K141" s="7"/>
      <c r="L141" s="7"/>
      <c r="M141" s="7"/>
      <c r="N141" s="7" t="s">
        <v>818</v>
      </c>
      <c r="O141" s="7" t="s">
        <v>242</v>
      </c>
    </row>
    <row r="142" ht="15.75" customHeight="1">
      <c r="A142" s="7" t="s">
        <v>819</v>
      </c>
      <c r="B142" s="7" t="s">
        <v>284</v>
      </c>
      <c r="C142" s="7" t="s">
        <v>378</v>
      </c>
      <c r="D142" s="7" t="s">
        <v>67</v>
      </c>
      <c r="E142" s="7" t="s">
        <v>820</v>
      </c>
      <c r="F142" s="7" t="s">
        <v>292</v>
      </c>
      <c r="G142" s="7" t="s">
        <v>821</v>
      </c>
      <c r="H142" s="19" t="s">
        <v>822</v>
      </c>
      <c r="I142" s="19">
        <v>3.931196103E9</v>
      </c>
      <c r="J142" s="7"/>
      <c r="K142" s="7" t="s">
        <v>823</v>
      </c>
      <c r="L142" s="7" t="s">
        <v>823</v>
      </c>
      <c r="M142" s="7"/>
      <c r="N142" s="7"/>
      <c r="O142" s="7"/>
    </row>
    <row r="143" ht="15.75" customHeight="1">
      <c r="A143" s="7" t="s">
        <v>824</v>
      </c>
      <c r="B143" s="7" t="s">
        <v>284</v>
      </c>
      <c r="C143" s="7" t="s">
        <v>378</v>
      </c>
      <c r="D143" s="7" t="s">
        <v>609</v>
      </c>
      <c r="E143" s="20" t="s">
        <v>825</v>
      </c>
      <c r="F143" s="7" t="s">
        <v>802</v>
      </c>
      <c r="G143" s="7" t="s">
        <v>826</v>
      </c>
      <c r="H143" s="19" t="s">
        <v>827</v>
      </c>
      <c r="I143" s="19">
        <v>3.931073857E9</v>
      </c>
      <c r="J143" s="7" t="s">
        <v>828</v>
      </c>
      <c r="K143" s="7"/>
      <c r="L143" s="7"/>
      <c r="M143" s="7"/>
      <c r="N143" s="7"/>
      <c r="O143" s="7"/>
    </row>
    <row r="144" ht="15.75" customHeight="1">
      <c r="A144" s="7" t="s">
        <v>829</v>
      </c>
      <c r="B144" s="7" t="s">
        <v>284</v>
      </c>
      <c r="C144" s="7" t="s">
        <v>271</v>
      </c>
      <c r="D144" s="7" t="s">
        <v>44</v>
      </c>
      <c r="E144" s="20" t="s">
        <v>830</v>
      </c>
      <c r="F144" s="7" t="s">
        <v>802</v>
      </c>
      <c r="G144" s="7" t="s">
        <v>831</v>
      </c>
      <c r="H144" s="19" t="s">
        <v>292</v>
      </c>
      <c r="I144" s="19">
        <v>3.318934914E9</v>
      </c>
      <c r="J144" s="7"/>
      <c r="K144" s="7"/>
      <c r="L144" s="7"/>
      <c r="M144" s="7"/>
      <c r="N144" s="7" t="s">
        <v>832</v>
      </c>
      <c r="O144" s="7"/>
    </row>
    <row r="145" ht="15.75" customHeight="1">
      <c r="A145" s="7" t="s">
        <v>833</v>
      </c>
      <c r="B145" s="7" t="s">
        <v>284</v>
      </c>
      <c r="C145" s="7" t="s">
        <v>450</v>
      </c>
      <c r="D145" s="7" t="s">
        <v>465</v>
      </c>
      <c r="E145" s="7" t="s">
        <v>834</v>
      </c>
      <c r="F145" s="7" t="s">
        <v>802</v>
      </c>
      <c r="G145" s="7" t="s">
        <v>834</v>
      </c>
      <c r="H145" s="19" t="s">
        <v>802</v>
      </c>
      <c r="I145" s="19">
        <v>3.931245176E9</v>
      </c>
      <c r="J145" s="7"/>
      <c r="K145" s="7"/>
      <c r="L145" s="7"/>
      <c r="M145" s="7"/>
      <c r="N145" s="7"/>
      <c r="O145" s="7"/>
    </row>
    <row r="146" ht="15.75" customHeight="1">
      <c r="A146" s="7" t="s">
        <v>837</v>
      </c>
      <c r="B146" s="7" t="s">
        <v>284</v>
      </c>
      <c r="C146" s="7" t="s">
        <v>450</v>
      </c>
      <c r="D146" s="7" t="s">
        <v>465</v>
      </c>
      <c r="E146" s="7"/>
      <c r="F146" s="7"/>
      <c r="G146" s="7" t="s">
        <v>838</v>
      </c>
      <c r="H146" s="19" t="s">
        <v>802</v>
      </c>
      <c r="I146" s="19">
        <v>3.921369057E9</v>
      </c>
      <c r="J146" s="7"/>
      <c r="K146" s="7"/>
      <c r="L146" s="7"/>
      <c r="M146" s="7"/>
      <c r="N146" s="7" t="s">
        <v>839</v>
      </c>
      <c r="O146" s="7"/>
    </row>
    <row r="147" ht="15.75" customHeight="1">
      <c r="A147" s="7" t="s">
        <v>840</v>
      </c>
      <c r="B147" s="7" t="s">
        <v>284</v>
      </c>
      <c r="C147" s="7" t="s">
        <v>450</v>
      </c>
      <c r="D147" s="7" t="s">
        <v>487</v>
      </c>
      <c r="E147" s="7" t="s">
        <v>843</v>
      </c>
      <c r="F147" s="7" t="s">
        <v>802</v>
      </c>
      <c r="G147" s="7" t="s">
        <v>843</v>
      </c>
      <c r="H147" s="19" t="s">
        <v>55</v>
      </c>
      <c r="I147" s="19">
        <v>3.781868864E9</v>
      </c>
      <c r="J147" s="7"/>
      <c r="K147" s="7"/>
      <c r="L147" s="7"/>
      <c r="M147" s="7"/>
      <c r="N147" s="7"/>
      <c r="O147" s="7"/>
    </row>
    <row r="148" ht="15.75" customHeight="1">
      <c r="A148" s="7" t="s">
        <v>844</v>
      </c>
      <c r="B148" s="7" t="s">
        <v>284</v>
      </c>
      <c r="C148" s="7" t="s">
        <v>240</v>
      </c>
      <c r="D148" s="7" t="s">
        <v>67</v>
      </c>
      <c r="E148" s="20" t="s">
        <v>845</v>
      </c>
      <c r="F148" s="7" t="s">
        <v>846</v>
      </c>
      <c r="G148" s="7" t="s">
        <v>847</v>
      </c>
      <c r="H148" s="19" t="s">
        <v>55</v>
      </c>
      <c r="I148" s="19">
        <v>3.316091879E9</v>
      </c>
      <c r="J148" s="7"/>
      <c r="K148" s="7" t="s">
        <v>848</v>
      </c>
      <c r="L148" s="7" t="s">
        <v>848</v>
      </c>
      <c r="M148" s="7"/>
      <c r="N148" s="7"/>
      <c r="O148" s="7"/>
    </row>
    <row r="149" ht="15.75" customHeight="1">
      <c r="A149" s="7" t="s">
        <v>849</v>
      </c>
      <c r="B149" s="7" t="s">
        <v>284</v>
      </c>
      <c r="C149" s="7" t="s">
        <v>240</v>
      </c>
      <c r="D149" s="7" t="s">
        <v>517</v>
      </c>
      <c r="E149" s="7" t="s">
        <v>850</v>
      </c>
      <c r="F149" s="7" t="s">
        <v>802</v>
      </c>
      <c r="G149" s="7" t="s">
        <v>850</v>
      </c>
      <c r="H149" s="19" t="s">
        <v>802</v>
      </c>
      <c r="I149" s="19">
        <v>3.931001479E9</v>
      </c>
      <c r="J149" s="7"/>
      <c r="K149" s="7" t="s">
        <v>851</v>
      </c>
      <c r="L149" s="7" t="s">
        <v>851</v>
      </c>
      <c r="M149" s="7"/>
      <c r="N149" s="7"/>
      <c r="O149" s="7"/>
    </row>
    <row r="150" ht="15.75" customHeight="1">
      <c r="A150" s="7" t="s">
        <v>852</v>
      </c>
      <c r="B150" s="7" t="s">
        <v>853</v>
      </c>
      <c r="C150" s="7" t="s">
        <v>378</v>
      </c>
      <c r="D150" s="7" t="s">
        <v>44</v>
      </c>
      <c r="E150" s="7" t="s">
        <v>854</v>
      </c>
      <c r="F150" s="7" t="s">
        <v>855</v>
      </c>
      <c r="G150" s="7" t="s">
        <v>856</v>
      </c>
      <c r="H150" s="19" t="s">
        <v>855</v>
      </c>
      <c r="I150" s="19">
        <v>3.78186886E9</v>
      </c>
      <c r="J150" s="7" t="s">
        <v>857</v>
      </c>
      <c r="K150" s="7"/>
      <c r="L150" s="7"/>
      <c r="M150" s="7"/>
      <c r="N150" s="7"/>
      <c r="O150" s="7"/>
    </row>
    <row r="151" ht="15.75" customHeight="1">
      <c r="A151" s="24" t="s">
        <v>226</v>
      </c>
      <c r="B151" s="7" t="s">
        <v>853</v>
      </c>
      <c r="C151" s="7" t="s">
        <v>378</v>
      </c>
      <c r="D151" s="7" t="s">
        <v>44</v>
      </c>
      <c r="E151" s="7" t="s">
        <v>858</v>
      </c>
      <c r="F151" s="7" t="s">
        <v>855</v>
      </c>
      <c r="G151" s="7" t="s">
        <v>858</v>
      </c>
      <c r="H151" s="19" t="s">
        <v>855</v>
      </c>
      <c r="I151" s="19">
        <v>3.952680842E9</v>
      </c>
      <c r="J151" s="7" t="s">
        <v>859</v>
      </c>
      <c r="K151" s="7"/>
      <c r="L151" s="7"/>
      <c r="M151" s="7"/>
      <c r="N151" s="7" t="s">
        <v>860</v>
      </c>
      <c r="O151" s="7"/>
    </row>
    <row r="152" ht="15.75" customHeight="1">
      <c r="A152" s="7" t="s">
        <v>861</v>
      </c>
      <c r="B152" s="7" t="s">
        <v>853</v>
      </c>
      <c r="C152" s="7" t="s">
        <v>378</v>
      </c>
      <c r="D152" s="7" t="s">
        <v>609</v>
      </c>
      <c r="E152" s="7" t="s">
        <v>862</v>
      </c>
      <c r="F152" s="7" t="s">
        <v>855</v>
      </c>
      <c r="G152" s="7" t="s">
        <v>862</v>
      </c>
      <c r="H152" s="19" t="s">
        <v>55</v>
      </c>
      <c r="I152" s="19">
        <v>3.316132351E9</v>
      </c>
      <c r="J152" s="7" t="s">
        <v>863</v>
      </c>
      <c r="K152" s="7"/>
      <c r="L152" s="7"/>
      <c r="M152" s="7"/>
      <c r="N152" s="7"/>
      <c r="O152" s="7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</row>
    <row r="155" ht="15.75" customHeight="1">
      <c r="A155" s="43"/>
      <c r="B155" s="43"/>
      <c r="C155" s="43"/>
      <c r="D155" s="43"/>
      <c r="E155" s="43"/>
      <c r="F155" s="43"/>
      <c r="G155" s="43"/>
      <c r="I155" s="43"/>
      <c r="J155" s="43"/>
      <c r="K155" s="43"/>
      <c r="L155" s="43"/>
      <c r="M155" s="43"/>
      <c r="N155" s="43"/>
      <c r="O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152"/>
  <dataValidations>
    <dataValidation type="list" allowBlank="1" showErrorMessage="1" sqref="B2:B152">
      <formula1>Sucursales</formula1>
    </dataValidation>
    <dataValidation type="list" allowBlank="1" showErrorMessage="1" sqref="L2:L149 L151:L152">
      <formula1>Lista_Monitores</formula1>
    </dataValidation>
    <dataValidation type="list" allowBlank="1" showErrorMessage="1" sqref="M2:M149 M151:M152">
      <formula1>Lista_Tablets</formula1>
    </dataValidation>
    <dataValidation type="list" allowBlank="1" showErrorMessage="1" sqref="D2:D152">
      <formula1>"Almacenista,Analista Comercial,Analista de Refacciones y Servicio,Asesor de Refacciones Campo,Asesor de Refacciones Mostrador,Asesor de Ventas,Asesor de Ventas en Línea,Auxiliar Administrativo,Auxiliar de Sistemas,Cajera,Chofer,Dinamómetro,Director,Diseña"&amp;"dor Gráfico,DMS,Encargado de Refacciones Sucursal,Gerente de Sucursal,Guardia,Implementero,Jefa Crédito y Cobranza,Jefa de Finanzas,Jefe de Agricultura Inteligente,Jefe de Capital Humano,Jefe de Compras,Jefe de Contabilidad,Jefe de Mantenimiento,Jefe de M"&amp;"arketing,Jefe de Refacciones,Jefe de Servicio Administrativo,Jefe de Servicio Operativo,Jefe de Sistemas,Jefe de Staff,Jefe de Taller,Jefe de Técnicos,Jefe de Técnicos Gama Alta,Jefe de Ventas Construcción,Jefe Parque Vehicular,Jefe Postventa,Jefe Ventas "&amp;"Agrícola,Logística,Marketing Digital,Promotor de Servicio,Reclutamiento,Representante Legal,Técnico,Telemetría,Técnico Dinamómetro"</formula1>
    </dataValidation>
    <dataValidation type="list" allowBlank="1" showErrorMessage="1" sqref="C2:C152">
      <formula1>Departamentos</formula1>
    </dataValidation>
    <dataValidation type="list" allowBlank="1" showErrorMessage="1" sqref="K2:K149 K151:K152">
      <formula1>Lista_CPU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14.29"/>
    <col customWidth="1" min="3" max="3" width="21.57"/>
    <col customWidth="1" min="4" max="4" width="23.71"/>
    <col customWidth="1" min="5" max="5" width="34.14"/>
    <col customWidth="1" min="6" max="6" width="18.57"/>
    <col customWidth="1" min="7" max="7" width="30.29"/>
    <col customWidth="1" min="8" max="8" width="18.57"/>
    <col customWidth="1" min="9" max="9" width="13.57"/>
    <col customWidth="1" min="11" max="12" width="16.14"/>
    <col customWidth="1" min="14" max="14" width="11.71"/>
  </cols>
  <sheetData>
    <row r="1">
      <c r="A1" s="11" t="s">
        <v>5</v>
      </c>
      <c r="B1" s="1" t="s">
        <v>6</v>
      </c>
      <c r="C1" s="1" t="s">
        <v>7</v>
      </c>
      <c r="D1" s="1" t="s">
        <v>9</v>
      </c>
      <c r="E1" s="1" t="s">
        <v>30</v>
      </c>
      <c r="F1" s="1" t="s">
        <v>16</v>
      </c>
      <c r="G1" s="1" t="s">
        <v>31</v>
      </c>
      <c r="H1" s="1" t="s">
        <v>16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8" t="s">
        <v>38</v>
      </c>
    </row>
    <row r="2">
      <c r="A2" s="7" t="s">
        <v>165</v>
      </c>
      <c r="B2" s="7" t="s">
        <v>168</v>
      </c>
      <c r="C2" s="7" t="s">
        <v>171</v>
      </c>
      <c r="D2" s="7" t="s">
        <v>174</v>
      </c>
      <c r="E2" s="7" t="s">
        <v>177</v>
      </c>
      <c r="F2" s="7" t="s">
        <v>180</v>
      </c>
      <c r="G2" s="7"/>
      <c r="H2" s="7"/>
      <c r="I2" s="7"/>
      <c r="J2" s="7"/>
      <c r="K2" s="7"/>
      <c r="L2" s="7"/>
      <c r="M2" s="7"/>
      <c r="N2" s="7"/>
      <c r="O2" s="7"/>
    </row>
    <row r="3">
      <c r="A3" s="7" t="s">
        <v>152</v>
      </c>
      <c r="B3" s="7" t="s">
        <v>43</v>
      </c>
      <c r="C3" s="7" t="s">
        <v>171</v>
      </c>
      <c r="D3" s="7" t="s">
        <v>174</v>
      </c>
      <c r="E3" s="7" t="s">
        <v>177</v>
      </c>
      <c r="F3" s="7" t="s">
        <v>180</v>
      </c>
      <c r="G3" s="24" t="s">
        <v>188</v>
      </c>
      <c r="H3" s="7"/>
      <c r="I3" s="25">
        <v>3.781868863E9</v>
      </c>
      <c r="J3" s="7"/>
      <c r="K3" s="7"/>
      <c r="L3" s="7"/>
      <c r="M3" s="7"/>
      <c r="N3" s="7"/>
      <c r="O3" s="7"/>
    </row>
    <row r="4">
      <c r="A4" s="7" t="s">
        <v>200</v>
      </c>
      <c r="B4" s="7" t="s">
        <v>43</v>
      </c>
      <c r="C4" s="7" t="s">
        <v>171</v>
      </c>
      <c r="D4" s="7" t="s">
        <v>200</v>
      </c>
      <c r="E4" s="27"/>
      <c r="F4" s="7"/>
      <c r="G4" s="27"/>
      <c r="H4" s="19"/>
      <c r="I4" s="19">
        <v>3.931042365E9</v>
      </c>
      <c r="J4" s="7"/>
      <c r="K4" s="7"/>
      <c r="L4" s="7"/>
      <c r="M4" s="7"/>
      <c r="N4" s="7"/>
      <c r="O4" s="7"/>
    </row>
    <row r="5">
      <c r="A5" s="7" t="s">
        <v>216</v>
      </c>
      <c r="B5" s="7" t="s">
        <v>43</v>
      </c>
      <c r="C5" s="7"/>
      <c r="D5" s="7" t="s">
        <v>219</v>
      </c>
      <c r="E5" s="7" t="s">
        <v>221</v>
      </c>
      <c r="F5" s="7" t="s">
        <v>59</v>
      </c>
      <c r="G5" s="7"/>
      <c r="H5" s="19"/>
      <c r="I5" s="19"/>
      <c r="J5" s="7"/>
      <c r="K5" s="7"/>
      <c r="L5" s="7"/>
      <c r="M5" s="7"/>
      <c r="N5" s="7"/>
      <c r="O5" s="7"/>
    </row>
    <row r="6">
      <c r="A6" s="7" t="s">
        <v>226</v>
      </c>
      <c r="B6" s="7" t="s">
        <v>22</v>
      </c>
      <c r="C6" s="7" t="s">
        <v>227</v>
      </c>
      <c r="D6" s="7" t="s">
        <v>44</v>
      </c>
      <c r="E6" s="20" t="s">
        <v>228</v>
      </c>
      <c r="F6" s="7" t="s">
        <v>55</v>
      </c>
      <c r="G6" s="7" t="s">
        <v>229</v>
      </c>
      <c r="H6" s="19" t="s">
        <v>55</v>
      </c>
      <c r="I6" s="19">
        <v>3.931190275E9</v>
      </c>
      <c r="J6" s="7"/>
      <c r="K6" s="7" t="s">
        <v>232</v>
      </c>
      <c r="L6" s="7" t="s">
        <v>232</v>
      </c>
      <c r="M6" s="7"/>
      <c r="N6" s="7" t="s">
        <v>234</v>
      </c>
      <c r="O6" s="7"/>
    </row>
    <row r="7">
      <c r="A7" s="7" t="s">
        <v>237</v>
      </c>
      <c r="B7" s="7" t="s">
        <v>22</v>
      </c>
      <c r="C7" s="7" t="s">
        <v>240</v>
      </c>
      <c r="D7" s="7" t="s">
        <v>241</v>
      </c>
      <c r="E7" s="27" t="s">
        <v>243</v>
      </c>
      <c r="F7" s="7" t="s">
        <v>245</v>
      </c>
      <c r="G7" s="27" t="s">
        <v>246</v>
      </c>
      <c r="H7" s="19" t="s">
        <v>245</v>
      </c>
      <c r="I7" s="7">
        <v>3.521421218E9</v>
      </c>
      <c r="J7" s="7"/>
      <c r="K7" s="7"/>
      <c r="L7" s="7"/>
      <c r="M7" s="7"/>
      <c r="N7" s="7"/>
      <c r="O7" s="7"/>
    </row>
    <row r="8">
      <c r="A8" s="7" t="s">
        <v>253</v>
      </c>
      <c r="B8" s="7" t="s">
        <v>22</v>
      </c>
      <c r="C8" s="7" t="s">
        <v>240</v>
      </c>
      <c r="D8" s="7" t="s">
        <v>67</v>
      </c>
      <c r="E8" s="7" t="s">
        <v>257</v>
      </c>
      <c r="F8" s="7" t="s">
        <v>245</v>
      </c>
      <c r="G8" s="7" t="s">
        <v>257</v>
      </c>
      <c r="H8" s="19" t="s">
        <v>245</v>
      </c>
      <c r="I8" s="19"/>
      <c r="J8" s="7"/>
      <c r="K8" s="7" t="s">
        <v>263</v>
      </c>
      <c r="L8" s="7" t="s">
        <v>263</v>
      </c>
      <c r="M8" s="7"/>
      <c r="N8" s="7"/>
      <c r="O8" s="7"/>
    </row>
    <row r="9">
      <c r="A9" s="7" t="s">
        <v>268</v>
      </c>
      <c r="B9" s="7" t="s">
        <v>168</v>
      </c>
      <c r="C9" s="7" t="s">
        <v>271</v>
      </c>
      <c r="D9" s="7" t="s">
        <v>44</v>
      </c>
      <c r="E9" s="29" t="s">
        <v>274</v>
      </c>
      <c r="F9" s="29" t="s">
        <v>277</v>
      </c>
      <c r="G9" s="7" t="s">
        <v>278</v>
      </c>
      <c r="H9" s="19" t="s">
        <v>277</v>
      </c>
      <c r="I9" s="19"/>
      <c r="J9" s="7"/>
      <c r="K9" s="7"/>
      <c r="L9" s="7"/>
      <c r="M9" s="7"/>
      <c r="N9" s="7" t="s">
        <v>283</v>
      </c>
      <c r="O9" s="7"/>
    </row>
    <row r="10">
      <c r="A10" s="7" t="s">
        <v>237</v>
      </c>
      <c r="B10" s="7" t="s">
        <v>284</v>
      </c>
      <c r="C10" s="7" t="s">
        <v>240</v>
      </c>
      <c r="D10" s="7" t="s">
        <v>241</v>
      </c>
      <c r="E10" s="7" t="s">
        <v>288</v>
      </c>
      <c r="F10" s="7" t="s">
        <v>292</v>
      </c>
      <c r="G10" s="7"/>
      <c r="H10" s="7"/>
      <c r="I10" s="7"/>
      <c r="J10" s="7"/>
      <c r="K10" s="7"/>
      <c r="L10" s="7"/>
      <c r="M10" s="7"/>
      <c r="N10" s="7"/>
      <c r="O10" s="7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0">
      <formula1>Sucursales</formula1>
    </dataValidation>
    <dataValidation type="list" allowBlank="1" showErrorMessage="1" sqref="L4:L10">
      <formula1>Lista_Monitores</formula1>
    </dataValidation>
    <dataValidation type="list" allowBlank="1" showErrorMessage="1" sqref="M4:M10">
      <formula1>Lista_Tablets</formula1>
    </dataValidation>
    <dataValidation type="list" allowBlank="1" showErrorMessage="1" sqref="I3">
      <formula1>Lista_Números</formula1>
    </dataValidation>
    <dataValidation type="list" allowBlank="1" showErrorMessage="1" sqref="C2:C10">
      <formula1>Departamentos</formula1>
    </dataValidation>
    <dataValidation type="list" allowBlank="1" showErrorMessage="1" sqref="D2:D10">
      <formula1>#REF!</formula1>
    </dataValidation>
    <dataValidation type="list" allowBlank="1" showErrorMessage="1" sqref="K4:K10">
      <formula1>Lista_CPU</formula1>
    </dataValidation>
  </dataValidations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pageSetUpPr/>
  </sheetPr>
  <sheetViews>
    <sheetView showGridLines="0"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4.43" defaultRowHeight="15.0"/>
  <cols>
    <col customWidth="1" min="1" max="1" width="14.29"/>
    <col customWidth="1" min="2" max="2" width="13.57"/>
    <col customWidth="1" min="3" max="3" width="7.86"/>
    <col customWidth="1" min="4" max="4" width="15.57"/>
    <col customWidth="1" min="5" max="5" width="11.29"/>
    <col customWidth="1" min="6" max="8" width="23.0"/>
    <col customWidth="1" min="9" max="9" width="17.71"/>
    <col customWidth="1" min="10" max="10" width="13.14"/>
    <col customWidth="1" min="11" max="11" width="24.57"/>
    <col customWidth="1" min="12" max="12" width="11.14"/>
    <col customWidth="1" min="13" max="13" width="26.71"/>
    <col customWidth="1" min="14" max="14" width="36.86"/>
    <col customWidth="1" min="15" max="15" width="36.29"/>
    <col customWidth="1" min="16" max="16" width="11.14"/>
    <col customWidth="1" min="17" max="17" width="36.57"/>
    <col customWidth="1" min="18" max="18" width="11.57"/>
    <col customWidth="1" min="19" max="19" width="31.86"/>
    <col customWidth="1" min="20" max="20" width="30.71"/>
    <col customWidth="1" min="21" max="22" width="36.86"/>
  </cols>
  <sheetData>
    <row r="1">
      <c r="A1" s="21" t="s">
        <v>148</v>
      </c>
      <c r="B1" s="21" t="s">
        <v>0</v>
      </c>
      <c r="C1" s="21" t="s">
        <v>2</v>
      </c>
      <c r="D1" s="21" t="s">
        <v>3</v>
      </c>
      <c r="E1" s="21" t="s">
        <v>151</v>
      </c>
      <c r="F1" s="22" t="s">
        <v>153</v>
      </c>
      <c r="G1" s="21" t="s">
        <v>154</v>
      </c>
      <c r="H1" s="21" t="s">
        <v>157</v>
      </c>
      <c r="I1" s="21" t="s">
        <v>160</v>
      </c>
      <c r="J1" s="21" t="s">
        <v>162</v>
      </c>
      <c r="K1" s="21" t="s">
        <v>164</v>
      </c>
      <c r="L1" s="21" t="s">
        <v>166</v>
      </c>
      <c r="M1" s="21" t="s">
        <v>167</v>
      </c>
      <c r="N1" s="21" t="s">
        <v>170</v>
      </c>
      <c r="O1" s="21" t="s">
        <v>172</v>
      </c>
      <c r="P1" s="23" t="s">
        <v>176</v>
      </c>
      <c r="Q1" s="21" t="s">
        <v>14</v>
      </c>
      <c r="R1" s="21" t="s">
        <v>6</v>
      </c>
      <c r="S1" s="21" t="s">
        <v>7</v>
      </c>
      <c r="T1" s="21" t="s">
        <v>9</v>
      </c>
      <c r="U1" s="21" t="s">
        <v>30</v>
      </c>
      <c r="V1" s="21" t="s">
        <v>31</v>
      </c>
    </row>
    <row r="2" ht="15.75" customHeight="1">
      <c r="A2" s="7">
        <v>3.931583046E9</v>
      </c>
      <c r="B2" s="7"/>
      <c r="C2" s="7">
        <v>1.0</v>
      </c>
      <c r="D2" s="9">
        <v>269.0</v>
      </c>
      <c r="E2" s="7">
        <v>9.0</v>
      </c>
      <c r="F2" s="9" t="s">
        <v>190</v>
      </c>
      <c r="G2" s="19">
        <v>3.55174187714922E14</v>
      </c>
      <c r="H2" s="7" t="s">
        <v>191</v>
      </c>
      <c r="I2" s="7" t="s">
        <v>192</v>
      </c>
      <c r="J2" s="7" t="s">
        <v>194</v>
      </c>
      <c r="K2" s="7" t="s">
        <v>196</v>
      </c>
      <c r="L2" s="7" t="s">
        <v>198</v>
      </c>
      <c r="M2" s="26"/>
      <c r="N2" s="7" t="s">
        <v>201</v>
      </c>
      <c r="O2" s="7"/>
      <c r="P2" s="28">
        <f t="array" ref="P2">XLOOKUP(F2,Lista_Equipos_2026,Precio_Equipos_2026," *** OJO *** ",0)</f>
        <v>7499</v>
      </c>
      <c r="Q2" s="7" t="str">
        <f t="array" ref="Q2">IF(OR($B2="",ISBLANK(XLOOKUP($B2,Números_Asignados,Nombres_Directorio,"",0))),"",XLOOKUP($B2,Números_Asignados,Nombres_Directorio,"",0))</f>
        <v/>
      </c>
      <c r="R2" s="7" t="str">
        <f t="array" ref="R2">IF(OR($B2="",ISBLANK(XLOOKUP($B2,Números_Asignados,Sucursal_Asignada,"",0))),"",XLOOKUP($B2,Números_Asignados,Sucursal_Asignada,"",0))</f>
        <v/>
      </c>
      <c r="S2" s="7" t="str">
        <f t="array" ref="S2">IF(OR($B2="",ISBLANK(XLOOKUP($B2,Números_Asignados,Departamento_Asignado,"",0))),"",XLOOKUP($B2,Números_Asignados,Departamento_Asignado,"",0))</f>
        <v/>
      </c>
      <c r="T2" s="7" t="str">
        <f t="array" ref="T2">IF(OR($B2="",ISBLANK(XLOOKUP($B2,Números_Asignados,Puesto_Asignado,"",0))),"",XLOOKUP($B2,Números_Asignados,Puesto_Asignado,"",0))</f>
        <v/>
      </c>
      <c r="U2" s="7" t="str">
        <f t="array" ref="U2">IF(OR($B2="",ISBLANK(XLOOKUP($B2,Números_Asignados,Correos_Gmail,"",0))),"",XLOOKUP($B2,Números_Asignados,Correos_Gmail,"",0))</f>
        <v/>
      </c>
      <c r="V2" s="7" t="str">
        <f t="array" ref="V2">IF(OR($B2="",ISBLANK(XLOOKUP($B2,Números_Asignados,Correos_Institucionales,"",0))),"",XLOOKUP($B2,Números_Asignados,Correos_Institucionales,"",0))</f>
        <v/>
      </c>
    </row>
    <row r="3" ht="15.75" customHeight="1">
      <c r="A3" s="7">
        <v>3.522060309E9</v>
      </c>
      <c r="B3" s="7"/>
      <c r="C3" s="7">
        <v>2.0</v>
      </c>
      <c r="D3" s="9">
        <v>329.0</v>
      </c>
      <c r="E3" s="7">
        <v>7.5</v>
      </c>
      <c r="F3" s="7" t="s">
        <v>294</v>
      </c>
      <c r="G3" s="19">
        <v>3.57369477238784E14</v>
      </c>
      <c r="H3" s="7" t="s">
        <v>296</v>
      </c>
      <c r="I3" s="7" t="s">
        <v>298</v>
      </c>
      <c r="J3" s="7" t="s">
        <v>194</v>
      </c>
      <c r="K3" s="7" t="s">
        <v>196</v>
      </c>
      <c r="L3" s="7" t="s">
        <v>198</v>
      </c>
      <c r="M3" s="26"/>
      <c r="N3" s="7" t="s">
        <v>201</v>
      </c>
      <c r="O3" s="7"/>
      <c r="P3" s="28">
        <f t="array" ref="P3">XLOOKUP(F3,Lista_Equipos_2026,Precio_Equipos_2026," *** OJO *** ",0)</f>
        <v>10999</v>
      </c>
      <c r="Q3" s="7" t="str">
        <f t="array" ref="Q3">IF(OR($B3="",ISBLANK(XLOOKUP($B3,Números_Asignados,Nombres_Directorio,"",0))),"",XLOOKUP($B3,Números_Asignados,Nombres_Directorio,"",0))</f>
        <v/>
      </c>
      <c r="R3" s="7" t="str">
        <f t="array" ref="R3">IF(OR($B3="",ISBLANK(XLOOKUP($B3,Números_Asignados,Sucursal_Asignada,"",0))),"",XLOOKUP($B3,Números_Asignados,Sucursal_Asignada,"",0))</f>
        <v/>
      </c>
      <c r="S3" s="7" t="str">
        <f t="array" ref="S3">IF(OR($B3="",ISBLANK(XLOOKUP($B3,Números_Asignados,Departamento_Asignado,"",0))),"",XLOOKUP($B3,Números_Asignados,Departamento_Asignado,"",0))</f>
        <v/>
      </c>
      <c r="T3" s="7" t="str">
        <f t="array" ref="T3">IF(OR($B3="",ISBLANK(XLOOKUP($B3,Números_Asignados,Puesto_Asignado,"",0))),"",XLOOKUP($B3,Números_Asignados,Puesto_Asignado,"",0))</f>
        <v/>
      </c>
      <c r="U3" s="7" t="str">
        <f t="array" ref="U3">IF(OR($B3="",ISBLANK(XLOOKUP($B3,Números_Asignados,Correos_Gmail,"",0))),"",XLOOKUP($B3,Números_Asignados,Correos_Gmail,"",0))</f>
        <v/>
      </c>
      <c r="V3" s="7" t="str">
        <f t="array" ref="V3">IF(OR($B3="",ISBLANK(XLOOKUP($B3,Números_Asignados,Correos_Institucionales,"",0))),"",XLOOKUP($B3,Números_Asignados,Correos_Institucionales,"",0))</f>
        <v/>
      </c>
    </row>
    <row r="4" ht="15.75" customHeight="1">
      <c r="A4" s="7">
        <v>3.521399533E9</v>
      </c>
      <c r="B4" s="7"/>
      <c r="C4" s="7">
        <v>2.0</v>
      </c>
      <c r="D4" s="9">
        <v>329.0</v>
      </c>
      <c r="E4" s="7">
        <v>7.5</v>
      </c>
      <c r="F4" s="7" t="s">
        <v>294</v>
      </c>
      <c r="G4" s="19">
        <v>3.57369477238867E14</v>
      </c>
      <c r="H4" s="7" t="s">
        <v>347</v>
      </c>
      <c r="I4" s="7" t="s">
        <v>348</v>
      </c>
      <c r="J4" s="7" t="s">
        <v>194</v>
      </c>
      <c r="K4" s="7" t="s">
        <v>196</v>
      </c>
      <c r="L4" s="7" t="s">
        <v>198</v>
      </c>
      <c r="M4" s="26"/>
      <c r="N4" s="7" t="s">
        <v>201</v>
      </c>
      <c r="O4" s="7"/>
      <c r="P4" s="28">
        <f t="array" ref="P4">XLOOKUP(F4,Lista_Equipos_2026,Precio_Equipos_2026," *** OJO *** ",0)</f>
        <v>10999</v>
      </c>
      <c r="Q4" s="7" t="str">
        <f t="array" ref="Q4">IF(OR($B4="",ISBLANK(XLOOKUP($B4,Números_Asignados,Nombres_Directorio,"",0))),"",XLOOKUP($B4,Números_Asignados,Nombres_Directorio,"",0))</f>
        <v/>
      </c>
      <c r="R4" s="7" t="str">
        <f t="array" ref="R4">IF(OR($B4="",ISBLANK(XLOOKUP($B4,Números_Asignados,Sucursal_Asignada,"",0))),"",XLOOKUP($B4,Números_Asignados,Sucursal_Asignada,"",0))</f>
        <v/>
      </c>
      <c r="S4" s="7" t="str">
        <f t="array" ref="S4">IF(OR($B4="",ISBLANK(XLOOKUP($B4,Números_Asignados,Departamento_Asignado,"",0))),"",XLOOKUP($B4,Números_Asignados,Departamento_Asignado,"",0))</f>
        <v/>
      </c>
      <c r="T4" s="7" t="str">
        <f t="array" ref="T4">IF(OR($B4="",ISBLANK(XLOOKUP($B4,Números_Asignados,Puesto_Asignado,"",0))),"",XLOOKUP($B4,Números_Asignados,Puesto_Asignado,"",0))</f>
        <v/>
      </c>
      <c r="U4" s="7" t="str">
        <f t="array" ref="U4">IF(OR($B4="",ISBLANK(XLOOKUP($B4,Números_Asignados,Correos_Gmail,"",0))),"",XLOOKUP($B4,Números_Asignados,Correos_Gmail,"",0))</f>
        <v/>
      </c>
      <c r="V4" s="7" t="str">
        <f t="array" ref="V4">IF(OR($B4="",ISBLANK(XLOOKUP($B4,Números_Asignados,Correos_Institucionales,"",0))),"",XLOOKUP($B4,Números_Asignados,Correos_Institucionales,"",0))</f>
        <v/>
      </c>
    </row>
    <row r="5" ht="15.75" customHeight="1">
      <c r="A5" s="7">
        <v>3.521949987E9</v>
      </c>
      <c r="B5" s="7"/>
      <c r="C5" s="7">
        <v>1.0</v>
      </c>
      <c r="D5" s="9">
        <v>269.0</v>
      </c>
      <c r="E5" s="7">
        <v>9.0</v>
      </c>
      <c r="F5" s="9" t="s">
        <v>413</v>
      </c>
      <c r="G5" s="19">
        <v>3.52242801089741E14</v>
      </c>
      <c r="H5" s="7" t="s">
        <v>414</v>
      </c>
      <c r="I5" s="7" t="s">
        <v>415</v>
      </c>
      <c r="J5" s="7" t="s">
        <v>194</v>
      </c>
      <c r="K5" s="7" t="s">
        <v>196</v>
      </c>
      <c r="L5" s="7" t="s">
        <v>198</v>
      </c>
      <c r="M5" s="26"/>
      <c r="N5" s="7" t="s">
        <v>201</v>
      </c>
      <c r="O5" s="7"/>
      <c r="P5" s="28">
        <f t="array" ref="P5">XLOOKUP(F5,Lista_Equipos_2026,Precio_Equipos_2026," *** OJO *** ",0)</f>
        <v>15499</v>
      </c>
      <c r="Q5" s="7" t="str">
        <f t="array" ref="Q5">IF(OR($B5="",ISBLANK(XLOOKUP($B5,Números_Asignados,Nombres_Directorio,"",0))),"",XLOOKUP($B5,Números_Asignados,Nombres_Directorio,"",0))</f>
        <v/>
      </c>
      <c r="R5" s="7" t="str">
        <f t="array" ref="R5">IF(OR($B5="",ISBLANK(XLOOKUP($B5,Números_Asignados,Sucursal_Asignada,"",0))),"",XLOOKUP($B5,Números_Asignados,Sucursal_Asignada,"",0))</f>
        <v/>
      </c>
      <c r="S5" s="7" t="str">
        <f t="array" ref="S5">IF(OR($B5="",ISBLANK(XLOOKUP($B5,Números_Asignados,Departamento_Asignado,"",0))),"",XLOOKUP($B5,Números_Asignados,Departamento_Asignado,"",0))</f>
        <v/>
      </c>
      <c r="T5" s="7" t="str">
        <f t="array" ref="T5">IF(OR($B5="",ISBLANK(XLOOKUP($B5,Números_Asignados,Puesto_Asignado,"",0))),"",XLOOKUP($B5,Números_Asignados,Puesto_Asignado,"",0))</f>
        <v/>
      </c>
      <c r="U5" s="7" t="str">
        <f t="array" ref="U5">IF(OR($B5="",ISBLANK(XLOOKUP($B5,Números_Asignados,Correos_Gmail,"",0))),"",XLOOKUP($B5,Números_Asignados,Correos_Gmail,"",0))</f>
        <v/>
      </c>
      <c r="V5" s="7" t="str">
        <f t="array" ref="V5">IF(OR($B5="",ISBLANK(XLOOKUP($B5,Números_Asignados,Correos_Institucionales,"",0))),"",XLOOKUP($B5,Números_Asignados,Correos_Institucionales,"",0))</f>
        <v/>
      </c>
    </row>
    <row r="6" ht="15.75" customHeight="1">
      <c r="A6" s="7">
        <v>4.434913911E9</v>
      </c>
      <c r="B6" s="7"/>
      <c r="C6" s="7">
        <v>4.0</v>
      </c>
      <c r="D6" s="9">
        <v>599.0</v>
      </c>
      <c r="E6" s="7">
        <v>22.5</v>
      </c>
      <c r="F6" s="9" t="s">
        <v>294</v>
      </c>
      <c r="G6" s="19">
        <v>3.57369477232605E14</v>
      </c>
      <c r="H6" s="7" t="s">
        <v>468</v>
      </c>
      <c r="I6" s="7" t="s">
        <v>469</v>
      </c>
      <c r="J6" s="7" t="s">
        <v>194</v>
      </c>
      <c r="K6" s="7" t="s">
        <v>196</v>
      </c>
      <c r="L6" s="7" t="s">
        <v>198</v>
      </c>
      <c r="M6" s="26"/>
      <c r="N6" s="7" t="s">
        <v>201</v>
      </c>
      <c r="O6" s="7"/>
      <c r="P6" s="28">
        <f t="array" ref="P6">XLOOKUP(F6,Lista_Equipos_2026,Precio_Equipos_2026," *** OJO *** ",0)</f>
        <v>10999</v>
      </c>
      <c r="Q6" s="7" t="str">
        <f t="array" ref="Q6">IF(OR($B6="",ISBLANK(XLOOKUP($B6,Números_Asignados,Nombres_Directorio,"",0))),"",XLOOKUP($B6,Números_Asignados,Nombres_Directorio,"",0))</f>
        <v/>
      </c>
      <c r="R6" s="7" t="str">
        <f t="array" ref="R6">IF(OR($B6="",ISBLANK(XLOOKUP($B6,Números_Asignados,Sucursal_Asignada,"",0))),"",XLOOKUP($B6,Números_Asignados,Sucursal_Asignada,"",0))</f>
        <v/>
      </c>
      <c r="S6" s="7" t="str">
        <f t="array" ref="S6">IF(OR($B6="",ISBLANK(XLOOKUP($B6,Números_Asignados,Departamento_Asignado,"",0))),"",XLOOKUP($B6,Números_Asignados,Departamento_Asignado,"",0))</f>
        <v/>
      </c>
      <c r="T6" s="7" t="str">
        <f t="array" ref="T6">IF(OR($B6="",ISBLANK(XLOOKUP($B6,Números_Asignados,Puesto_Asignado,"",0))),"",XLOOKUP($B6,Números_Asignados,Puesto_Asignado,"",0))</f>
        <v/>
      </c>
      <c r="U6" s="7" t="str">
        <f t="array" ref="U6">IF(OR($B6="",ISBLANK(XLOOKUP($B6,Números_Asignados,Correos_Gmail,"",0))),"",XLOOKUP($B6,Números_Asignados,Correos_Gmail,"",0))</f>
        <v/>
      </c>
      <c r="V6" s="7" t="str">
        <f t="array" ref="V6">IF(OR($B6="",ISBLANK(XLOOKUP($B6,Números_Asignados,Correos_Institucionales,"",0))),"",XLOOKUP($B6,Números_Asignados,Correos_Institucionales,"",0))</f>
        <v/>
      </c>
    </row>
    <row r="7" ht="15.75" customHeight="1">
      <c r="A7" s="7">
        <v>3.921580546E9</v>
      </c>
      <c r="B7" s="7"/>
      <c r="C7" s="7">
        <v>1.0</v>
      </c>
      <c r="D7" s="9">
        <v>269.0</v>
      </c>
      <c r="E7" s="7">
        <v>9.0</v>
      </c>
      <c r="F7" s="9" t="s">
        <v>413</v>
      </c>
      <c r="G7" s="19">
        <v>3.52242800786214E14</v>
      </c>
      <c r="H7" s="7" t="s">
        <v>515</v>
      </c>
      <c r="I7" s="7" t="s">
        <v>516</v>
      </c>
      <c r="J7" s="7" t="s">
        <v>194</v>
      </c>
      <c r="K7" s="7" t="s">
        <v>196</v>
      </c>
      <c r="L7" s="7" t="s">
        <v>198</v>
      </c>
      <c r="M7" s="26"/>
      <c r="N7" s="7" t="s">
        <v>201</v>
      </c>
      <c r="O7" s="7"/>
      <c r="P7" s="28">
        <f t="array" ref="P7">XLOOKUP(F7,Lista_Equipos_2026,Precio_Equipos_2026," *** OJO *** ",0)</f>
        <v>15499</v>
      </c>
      <c r="Q7" s="7" t="str">
        <f t="array" ref="Q7">IF(OR($B7="",ISBLANK(XLOOKUP($B7,Números_Asignados,Nombres_Directorio,"",0))),"",XLOOKUP($B7,Números_Asignados,Nombres_Directorio,"",0))</f>
        <v/>
      </c>
      <c r="R7" s="7" t="str">
        <f t="array" ref="R7">IF(OR($B7="",ISBLANK(XLOOKUP($B7,Números_Asignados,Sucursal_Asignada,"",0))),"",XLOOKUP($B7,Números_Asignados,Sucursal_Asignada,"",0))</f>
        <v/>
      </c>
      <c r="S7" s="7" t="str">
        <f t="array" ref="S7">IF(OR($B7="",ISBLANK(XLOOKUP($B7,Números_Asignados,Departamento_Asignado,"",0))),"",XLOOKUP($B7,Números_Asignados,Departamento_Asignado,"",0))</f>
        <v/>
      </c>
      <c r="T7" s="7" t="str">
        <f t="array" ref="T7">IF(OR($B7="",ISBLANK(XLOOKUP($B7,Números_Asignados,Puesto_Asignado,"",0))),"",XLOOKUP($B7,Números_Asignados,Puesto_Asignado,"",0))</f>
        <v/>
      </c>
      <c r="U7" s="7" t="str">
        <f t="array" ref="U7">IF(OR($B7="",ISBLANK(XLOOKUP($B7,Números_Asignados,Correos_Gmail,"",0))),"",XLOOKUP($B7,Números_Asignados,Correos_Gmail,"",0))</f>
        <v/>
      </c>
      <c r="V7" s="7" t="str">
        <f t="array" ref="V7">IF(OR($B7="",ISBLANK(XLOOKUP($B7,Números_Asignados,Correos_Institucionales,"",0))),"",XLOOKUP($B7,Números_Asignados,Correos_Institucionales,"",0))</f>
        <v/>
      </c>
    </row>
    <row r="8" ht="15.75" customHeight="1">
      <c r="A8" s="7">
        <v>3.313697838E9</v>
      </c>
      <c r="B8" s="7"/>
      <c r="C8" s="7">
        <v>1.0</v>
      </c>
      <c r="D8" s="9">
        <v>269.0</v>
      </c>
      <c r="E8" s="7">
        <v>9.0</v>
      </c>
      <c r="F8" s="9" t="s">
        <v>294</v>
      </c>
      <c r="G8" s="19">
        <v>3.52010505764376E14</v>
      </c>
      <c r="H8" s="19" t="s">
        <v>563</v>
      </c>
      <c r="I8" s="7" t="s">
        <v>564</v>
      </c>
      <c r="J8" s="7" t="s">
        <v>194</v>
      </c>
      <c r="K8" s="19" t="s">
        <v>196</v>
      </c>
      <c r="L8" s="7" t="s">
        <v>198</v>
      </c>
      <c r="M8" s="26"/>
      <c r="N8" s="7" t="s">
        <v>201</v>
      </c>
      <c r="O8" s="7"/>
      <c r="P8" s="28">
        <f t="array" ref="P8">XLOOKUP(F8,Lista_Equipos_2026,Precio_Equipos_2026," *** OJO *** ",0)</f>
        <v>10999</v>
      </c>
      <c r="Q8" s="7" t="str">
        <f t="array" ref="Q8">IF(OR($B8="",ISBLANK(XLOOKUP($B8,Números_Asignados,Nombres_Directorio,"",0))),"",XLOOKUP($B8,Números_Asignados,Nombres_Directorio,"",0))</f>
        <v/>
      </c>
      <c r="R8" s="7" t="str">
        <f t="array" ref="R8">IF(OR($B8="",ISBLANK(XLOOKUP($B8,Números_Asignados,Sucursal_Asignada,"",0))),"",XLOOKUP($B8,Números_Asignados,Sucursal_Asignada,"",0))</f>
        <v/>
      </c>
      <c r="S8" s="7" t="str">
        <f t="array" ref="S8">IF(OR($B8="",ISBLANK(XLOOKUP($B8,Números_Asignados,Departamento_Asignado,"",0))),"",XLOOKUP($B8,Números_Asignados,Departamento_Asignado,"",0))</f>
        <v/>
      </c>
      <c r="T8" s="7" t="str">
        <f t="array" ref="T8">IF(OR($B8="",ISBLANK(XLOOKUP($B8,Números_Asignados,Puesto_Asignado,"",0))),"",XLOOKUP($B8,Números_Asignados,Puesto_Asignado,"",0))</f>
        <v/>
      </c>
      <c r="U8" s="7" t="str">
        <f t="array" ref="U8">IF(OR($B8="",ISBLANK(XLOOKUP($B8,Números_Asignados,Correos_Gmail,"",0))),"",XLOOKUP($B8,Números_Asignados,Correos_Gmail,"",0))</f>
        <v/>
      </c>
      <c r="V8" s="7" t="str">
        <f t="array" ref="V8">IF(OR($B8="",ISBLANK(XLOOKUP($B8,Números_Asignados,Correos_Institucionales,"",0))),"",XLOOKUP($B8,Números_Asignados,Correos_Institucionales,"",0))</f>
        <v/>
      </c>
    </row>
    <row r="9" ht="15.75" customHeight="1">
      <c r="A9" s="7">
        <v>3.93104207E9</v>
      </c>
      <c r="B9" s="7"/>
      <c r="C9" s="7">
        <v>4.0</v>
      </c>
      <c r="D9" s="9">
        <v>599.0</v>
      </c>
      <c r="E9" s="7">
        <v>22.5</v>
      </c>
      <c r="F9" s="9" t="s">
        <v>294</v>
      </c>
      <c r="G9" s="19">
        <v>3.57369477217143E14</v>
      </c>
      <c r="H9" s="19" t="s">
        <v>606</v>
      </c>
      <c r="I9" s="7" t="s">
        <v>607</v>
      </c>
      <c r="J9" s="7" t="s">
        <v>194</v>
      </c>
      <c r="K9" s="19" t="s">
        <v>196</v>
      </c>
      <c r="L9" s="7" t="s">
        <v>198</v>
      </c>
      <c r="M9" s="26"/>
      <c r="N9" s="7" t="s">
        <v>201</v>
      </c>
      <c r="O9" s="7" t="s">
        <v>611</v>
      </c>
      <c r="P9" s="28">
        <f t="array" ref="P9">XLOOKUP(F9,Lista_Equipos_2026,Precio_Equipos_2026," *** OJO *** ",0)</f>
        <v>10999</v>
      </c>
      <c r="Q9" s="7" t="str">
        <f t="array" ref="Q9">IF(OR($B9="",ISBLANK(XLOOKUP($B9,Números_Asignados,Nombres_Directorio,"",0))),"",XLOOKUP($B9,Números_Asignados,Nombres_Directorio,"",0))</f>
        <v/>
      </c>
      <c r="R9" s="7" t="str">
        <f t="array" ref="R9">IF(OR($B9="",ISBLANK(XLOOKUP($B9,Números_Asignados,Sucursal_Asignada,"",0))),"",XLOOKUP($B9,Números_Asignados,Sucursal_Asignada,"",0))</f>
        <v/>
      </c>
      <c r="S9" s="7" t="str">
        <f t="array" ref="S9">IF(OR($B9="",ISBLANK(XLOOKUP($B9,Números_Asignados,Departamento_Asignado,"",0))),"",XLOOKUP($B9,Números_Asignados,Departamento_Asignado,"",0))</f>
        <v/>
      </c>
      <c r="T9" s="7" t="str">
        <f t="array" ref="T9">IF(OR($B9="",ISBLANK(XLOOKUP($B9,Números_Asignados,Puesto_Asignado,"",0))),"",XLOOKUP($B9,Números_Asignados,Puesto_Asignado,"",0))</f>
        <v/>
      </c>
      <c r="U9" s="7" t="str">
        <f t="array" ref="U9">IF(OR($B9="",ISBLANK(XLOOKUP($B9,Números_Asignados,Correos_Gmail,"",0))),"",XLOOKUP($B9,Números_Asignados,Correos_Gmail,"",0))</f>
        <v/>
      </c>
      <c r="V9" s="7" t="str">
        <f t="array" ref="V9">IF(OR($B9="",ISBLANK(XLOOKUP($B9,Números_Asignados,Correos_Institucionales,"",0))),"",XLOOKUP($B9,Números_Asignados,Correos_Institucionales,"",0))</f>
        <v/>
      </c>
    </row>
    <row r="10" ht="15.75" customHeight="1">
      <c r="A10" s="7">
        <v>3.931079956E9</v>
      </c>
      <c r="B10" s="7">
        <v>3.931079956E9</v>
      </c>
      <c r="C10" s="7">
        <v>4.0</v>
      </c>
      <c r="D10" s="9">
        <v>599.0</v>
      </c>
      <c r="E10" s="7">
        <v>22.5</v>
      </c>
      <c r="F10" s="9" t="s">
        <v>294</v>
      </c>
      <c r="G10" s="19">
        <v>3.57369477220667E14</v>
      </c>
      <c r="H10" s="19" t="s">
        <v>656</v>
      </c>
      <c r="I10" s="7" t="s">
        <v>657</v>
      </c>
      <c r="J10" s="7" t="s">
        <v>194</v>
      </c>
      <c r="K10" s="19" t="s">
        <v>196</v>
      </c>
      <c r="L10" s="7" t="s">
        <v>198</v>
      </c>
      <c r="M10" s="26">
        <v>46178.0</v>
      </c>
      <c r="N10" s="7" t="s">
        <v>201</v>
      </c>
      <c r="O10" s="7"/>
      <c r="P10" s="28">
        <f t="array" ref="P10">XLOOKUP(F10,Lista_Equipos_2026,Precio_Equipos_2026," *** OJO *** ",0)</f>
        <v>10999</v>
      </c>
      <c r="Q10" s="7" t="str">
        <f t="array" ref="Q10">IF(OR($B10="",ISBLANK(XLOOKUP($B10,Números_Asignados,Nombres_Directorio,"",0))),"",XLOOKUP($B10,Números_Asignados,Nombres_Directorio,"",0))</f>
        <v>Abdiel Yahir González Razo</v>
      </c>
      <c r="R10" s="7" t="str">
        <f t="array" ref="R10">IF(OR($B10="",ISBLANK(XLOOKUP($B10,Números_Asignados,Sucursal_Asignada,"",0))),"",XLOOKUP($B10,Números_Asignados,Sucursal_Asignada,"",0))</f>
        <v>La Barca</v>
      </c>
      <c r="S10" s="7" t="str">
        <f t="array" ref="S10">IF(OR($B10="",ISBLANK(XLOOKUP($B10,Números_Asignados,Departamento_Asignado,"",0))),"",XLOOKUP($B10,Números_Asignados,Departamento_Asignado,"",0))</f>
        <v>Agricultura Inteligente</v>
      </c>
      <c r="T10" s="7" t="str">
        <f t="array" ref="T10">IF(OR($B10="",ISBLANK(XLOOKUP($B10,Números_Asignados,Puesto_Asignado,"",0))),"",XLOOKUP($B10,Números_Asignados,Puesto_Asignado,"",0))</f>
        <v>Asesor de Ventas</v>
      </c>
      <c r="U10" s="7" t="str">
        <f t="array" ref="U10">IF(OR($B10="",ISBLANK(XLOOKUP($B10,Números_Asignados,Correos_Gmail,"",0))),"",XLOOKUP($B10,Números_Asignados,Correos_Gmail,"",0))</f>
        <v>paneles.solares@agrocisa.com.mx</v>
      </c>
      <c r="V10" s="7" t="str">
        <f t="array" ref="V10">IF(OR($B10="",ISBLANK(XLOOKUP($B10,Números_Asignados,Correos_Institucionales,"",0))),"",XLOOKUP($B10,Números_Asignados,Correos_Institucionales,"",0))</f>
        <v>paneles.solares@agrocisa.com.mx</v>
      </c>
    </row>
    <row r="11" ht="15.75" customHeight="1">
      <c r="A11" s="7">
        <v>4.431358405E9</v>
      </c>
      <c r="B11" s="40">
        <v>3.93119711E9</v>
      </c>
      <c r="C11" s="7" t="s">
        <v>713</v>
      </c>
      <c r="D11" s="9">
        <v>229.0</v>
      </c>
      <c r="E11" s="7">
        <v>4.5</v>
      </c>
      <c r="F11" s="7" t="s">
        <v>714</v>
      </c>
      <c r="G11" s="19">
        <v>3.55732674070049E14</v>
      </c>
      <c r="H11" s="7" t="s">
        <v>716</v>
      </c>
      <c r="I11" s="7" t="s">
        <v>717</v>
      </c>
      <c r="J11" s="7" t="s">
        <v>194</v>
      </c>
      <c r="K11" s="7" t="s">
        <v>196</v>
      </c>
      <c r="L11" s="7" t="s">
        <v>198</v>
      </c>
      <c r="M11" s="26">
        <v>46140.0</v>
      </c>
      <c r="N11" s="7" t="s">
        <v>201</v>
      </c>
      <c r="O11" s="7"/>
      <c r="P11" s="28">
        <f t="array" ref="P11">XLOOKUP(F11,Lista_Equipos_2026,Precio_Equipos_2026," *** OJO *** ",0)</f>
        <v>19999</v>
      </c>
      <c r="Q11" s="7" t="str">
        <f t="array" ref="Q11">IF(OR($B11="",ISBLANK(XLOOKUP($B11,Números_Asignados,Nombres_Directorio,"",0))),"",XLOOKUP($B11,Números_Asignados,Nombres_Directorio,"",0))</f>
        <v/>
      </c>
      <c r="R11" s="7" t="str">
        <f t="array" ref="R11">IF(OR($B11="",ISBLANK(XLOOKUP($B11,Números_Asignados,Sucursal_Asignada,"",0))),"",XLOOKUP($B11,Números_Asignados,Sucursal_Asignada,"",0))</f>
        <v/>
      </c>
      <c r="S11" s="7" t="str">
        <f t="array" ref="S11">IF(OR($B11="",ISBLANK(XLOOKUP($B11,Números_Asignados,Departamento_Asignado,"",0))),"",XLOOKUP($B11,Números_Asignados,Departamento_Asignado,"",0))</f>
        <v/>
      </c>
      <c r="T11" s="7" t="str">
        <f t="array" ref="T11">IF(OR($B11="",ISBLANK(XLOOKUP($B11,Números_Asignados,Puesto_Asignado,"",0))),"",XLOOKUP($B11,Números_Asignados,Puesto_Asignado,"",0))</f>
        <v/>
      </c>
      <c r="U11" s="7" t="str">
        <f t="array" ref="U11">IF(OR($B11="",ISBLANK(XLOOKUP($B11,Números_Asignados,Correos_Gmail,"",0))),"",XLOOKUP($B11,Números_Asignados,Correos_Gmail,"",0))</f>
        <v/>
      </c>
      <c r="V11" s="7" t="str">
        <f t="array" ref="V11">IF(OR($B11="",ISBLANK(XLOOKUP($B11,Números_Asignados,Correos_Institucionales,"",0))),"",XLOOKUP($B11,Números_Asignados,Correos_Institucionales,"",0))</f>
        <v/>
      </c>
    </row>
    <row r="12" ht="15.75" customHeight="1">
      <c r="A12" s="7">
        <v>3.91125726E9</v>
      </c>
      <c r="B12" s="40">
        <v>3.522060309E9</v>
      </c>
      <c r="C12" s="7">
        <v>1.0</v>
      </c>
      <c r="D12" s="9">
        <v>269.0</v>
      </c>
      <c r="E12" s="7">
        <v>9.0</v>
      </c>
      <c r="F12" s="9" t="s">
        <v>190</v>
      </c>
      <c r="G12" s="19">
        <v>3.55174187717073E14</v>
      </c>
      <c r="H12" s="7" t="s">
        <v>759</v>
      </c>
      <c r="I12" s="7" t="s">
        <v>760</v>
      </c>
      <c r="J12" s="7" t="s">
        <v>194</v>
      </c>
      <c r="K12" s="7" t="s">
        <v>196</v>
      </c>
      <c r="L12" s="7" t="s">
        <v>198</v>
      </c>
      <c r="M12" s="26">
        <v>46147.0</v>
      </c>
      <c r="N12" s="7" t="s">
        <v>201</v>
      </c>
      <c r="O12" s="7"/>
      <c r="P12" s="28">
        <f t="array" ref="P12">XLOOKUP(F12,Lista_Equipos_2026,Precio_Equipos_2026," *** OJO *** ",0)</f>
        <v>7499</v>
      </c>
      <c r="Q12" s="7" t="str">
        <f t="array" ref="Q12">IF(OR($B12="",ISBLANK(XLOOKUP($B12,Números_Asignados,Nombres_Directorio,"",0))),"",XLOOKUP($B12,Números_Asignados,Nombres_Directorio,"",0))</f>
        <v/>
      </c>
      <c r="R12" s="7" t="str">
        <f t="array" ref="R12">IF(OR($B12="",ISBLANK(XLOOKUP($B12,Números_Asignados,Sucursal_Asignada,"",0))),"",XLOOKUP($B12,Números_Asignados,Sucursal_Asignada,"",0))</f>
        <v/>
      </c>
      <c r="S12" s="7" t="str">
        <f t="array" ref="S12">IF(OR($B12="",ISBLANK(XLOOKUP($B12,Números_Asignados,Departamento_Asignado,"",0))),"",XLOOKUP($B12,Números_Asignados,Departamento_Asignado,"",0))</f>
        <v/>
      </c>
      <c r="T12" s="7" t="str">
        <f t="array" ref="T12">IF(OR($B12="",ISBLANK(XLOOKUP($B12,Números_Asignados,Puesto_Asignado,"",0))),"",XLOOKUP($B12,Números_Asignados,Puesto_Asignado,"",0))</f>
        <v/>
      </c>
      <c r="U12" s="7" t="str">
        <f t="array" ref="U12">IF(OR($B12="",ISBLANK(XLOOKUP($B12,Números_Asignados,Correos_Gmail,"",0))),"",XLOOKUP($B12,Números_Asignados,Correos_Gmail,"",0))</f>
        <v/>
      </c>
      <c r="V12" s="7" t="str">
        <f t="array" ref="V12">IF(OR($B12="",ISBLANK(XLOOKUP($B12,Números_Asignados,Correos_Institucionales,"",0))),"",XLOOKUP($B12,Números_Asignados,Correos_Institucionales,"",0))</f>
        <v/>
      </c>
    </row>
    <row r="13" ht="15.75" customHeight="1">
      <c r="A13" s="7">
        <v>3.911257736E9</v>
      </c>
      <c r="B13" s="7">
        <v>3.911257736E9</v>
      </c>
      <c r="C13" s="7">
        <v>1.0</v>
      </c>
      <c r="D13" s="9">
        <v>269.0</v>
      </c>
      <c r="E13" s="7">
        <v>9.0</v>
      </c>
      <c r="F13" s="9" t="s">
        <v>190</v>
      </c>
      <c r="G13" s="19">
        <v>3.55174187717107E14</v>
      </c>
      <c r="H13" s="7" t="s">
        <v>783</v>
      </c>
      <c r="I13" s="7" t="s">
        <v>784</v>
      </c>
      <c r="J13" s="7" t="s">
        <v>194</v>
      </c>
      <c r="K13" s="7" t="s">
        <v>196</v>
      </c>
      <c r="L13" s="7" t="s">
        <v>198</v>
      </c>
      <c r="M13" s="26">
        <v>46149.0</v>
      </c>
      <c r="N13" s="7" t="s">
        <v>201</v>
      </c>
      <c r="O13" s="7"/>
      <c r="P13" s="28">
        <f t="array" ref="P13">XLOOKUP(F13,Lista_Equipos_2026,Precio_Equipos_2026," *** OJO *** ",0)</f>
        <v>7499</v>
      </c>
      <c r="Q13" s="7" t="str">
        <f t="array" ref="Q13">IF(OR($B13="",ISBLANK(XLOOKUP($B13,Números_Asignados,Nombres_Directorio,"",0))),"",XLOOKUP($B13,Números_Asignados,Nombres_Directorio,"",0))</f>
        <v/>
      </c>
      <c r="R13" s="7" t="str">
        <f t="array" ref="R13">IF(OR($B13="",ISBLANK(XLOOKUP($B13,Números_Asignados,Sucursal_Asignada,"",0))),"",XLOOKUP($B13,Números_Asignados,Sucursal_Asignada,"",0))</f>
        <v/>
      </c>
      <c r="S13" s="7" t="str">
        <f t="array" ref="S13">IF(OR($B13="",ISBLANK(XLOOKUP($B13,Números_Asignados,Departamento_Asignado,"",0))),"",XLOOKUP($B13,Números_Asignados,Departamento_Asignado,"",0))</f>
        <v/>
      </c>
      <c r="T13" s="7" t="str">
        <f t="array" ref="T13">IF(OR($B13="",ISBLANK(XLOOKUP($B13,Números_Asignados,Puesto_Asignado,"",0))),"",XLOOKUP($B13,Números_Asignados,Puesto_Asignado,"",0))</f>
        <v/>
      </c>
      <c r="U13" s="7" t="str">
        <f t="array" ref="U13">IF(OR($B13="",ISBLANK(XLOOKUP($B13,Números_Asignados,Correos_Gmail,"",0))),"",XLOOKUP($B13,Números_Asignados,Correos_Gmail,"",0))</f>
        <v/>
      </c>
      <c r="V13" s="7" t="str">
        <f t="array" ref="V13">IF(OR($B13="",ISBLANK(XLOOKUP($B13,Números_Asignados,Correos_Institucionales,"",0))),"",XLOOKUP($B13,Números_Asignados,Correos_Institucionales,"",0))</f>
        <v/>
      </c>
    </row>
    <row r="14" ht="15.75" customHeight="1">
      <c r="A14" s="7">
        <v>3.931245174E9</v>
      </c>
      <c r="B14" s="7">
        <v>3.931245174E9</v>
      </c>
      <c r="C14" s="7">
        <v>4.0</v>
      </c>
      <c r="D14" s="9">
        <v>599.0</v>
      </c>
      <c r="E14" s="7">
        <v>22.5</v>
      </c>
      <c r="F14" s="9" t="s">
        <v>294</v>
      </c>
      <c r="G14" s="19">
        <v>3.5736947722654E14</v>
      </c>
      <c r="H14" s="19" t="s">
        <v>807</v>
      </c>
      <c r="I14" s="7" t="s">
        <v>808</v>
      </c>
      <c r="J14" s="19" t="s">
        <v>194</v>
      </c>
      <c r="K14" s="19" t="s">
        <v>196</v>
      </c>
      <c r="L14" s="7" t="s">
        <v>198</v>
      </c>
      <c r="M14" s="26">
        <v>46135.0</v>
      </c>
      <c r="N14" s="7" t="s">
        <v>201</v>
      </c>
      <c r="O14" s="7"/>
      <c r="P14" s="28">
        <f t="array" ref="P14">XLOOKUP(F14,Lista_Equipos_2026,Precio_Equipos_2026," *** OJO *** ",0)</f>
        <v>10999</v>
      </c>
      <c r="Q14" s="7" t="str">
        <f t="array" ref="Q14">IF(OR($B14="",ISBLANK(XLOOKUP($B14,Números_Asignados,Nombres_Directorio,"",0))),"",XLOOKUP($B14,Números_Asignados,Nombres_Directorio,"",0))</f>
        <v>Diego Guadalupe Armas Álvarez</v>
      </c>
      <c r="R14" s="7" t="str">
        <f t="array" ref="R14">IF(OR($B14="",ISBLANK(XLOOKUP($B14,Números_Asignados,Sucursal_Asignada,"",0))),"",XLOOKUP($B14,Números_Asignados,Sucursal_Asignada,"",0))</f>
        <v>La Barca</v>
      </c>
      <c r="S14" s="7" t="str">
        <f t="array" ref="S14">IF(OR($B14="",ISBLANK(XLOOKUP($B14,Números_Asignados,Departamento_Asignado,"",0))),"",XLOOKUP($B14,Números_Asignados,Departamento_Asignado,"",0))</f>
        <v>Agricultura Inteligente</v>
      </c>
      <c r="T14" s="7" t="str">
        <f t="array" ref="T14">IF(OR($B14="",ISBLANK(XLOOKUP($B14,Números_Asignados,Puesto_Asignado,"",0))),"",XLOOKUP($B14,Números_Asignados,Puesto_Asignado,"",0))</f>
        <v>Asesor de Ventas</v>
      </c>
      <c r="U14" s="7" t="str">
        <f t="array" ref="U14">IF(OR($B14="",ISBLANK(XLOOKUP($B14,Números_Asignados,Correos_Gmail,"",0))),"",XLOOKUP($B14,Números_Asignados,Correos_Gmail,"",0))</f>
        <v>diego.armas@agrocisa.com.mx</v>
      </c>
      <c r="V14" s="7" t="str">
        <f t="array" ref="V14">IF(OR($B14="",ISBLANK(XLOOKUP($B14,Números_Asignados,Correos_Institucionales,"",0))),"",XLOOKUP($B14,Números_Asignados,Correos_Institucionales,"",0))</f>
        <v>diego.armas@agrocisa.com.mx</v>
      </c>
    </row>
    <row r="15" ht="15.75" customHeight="1">
      <c r="A15" s="7">
        <v>3.931099049E9</v>
      </c>
      <c r="B15" s="7">
        <v>3.931099049E9</v>
      </c>
      <c r="C15" s="7">
        <v>4.0</v>
      </c>
      <c r="D15" s="9">
        <v>599.0</v>
      </c>
      <c r="E15" s="7">
        <v>22.5</v>
      </c>
      <c r="F15" s="9" t="s">
        <v>294</v>
      </c>
      <c r="G15" s="19">
        <v>3.57369477238768E14</v>
      </c>
      <c r="H15" s="19" t="s">
        <v>841</v>
      </c>
      <c r="I15" s="7" t="s">
        <v>842</v>
      </c>
      <c r="J15" s="19" t="s">
        <v>194</v>
      </c>
      <c r="K15" s="19" t="s">
        <v>196</v>
      </c>
      <c r="L15" s="7" t="s">
        <v>198</v>
      </c>
      <c r="M15" s="26">
        <v>46136.0</v>
      </c>
      <c r="N15" s="7" t="s">
        <v>201</v>
      </c>
      <c r="O15" s="7"/>
      <c r="P15" s="28">
        <f t="array" ref="P15">XLOOKUP(F15,Lista_Equipos_2026,Precio_Equipos_2026," *** OJO *** ",0)</f>
        <v>10999</v>
      </c>
      <c r="Q15" s="7" t="str">
        <f t="array" ref="Q15">IF(OR($B15="",ISBLANK(XLOOKUP($B15,Números_Asignados,Nombres_Directorio,"",0))),"",XLOOKUP($B15,Números_Asignados,Nombres_Directorio,"",0))</f>
        <v>Jesus Alberto Zuno Jimenez</v>
      </c>
      <c r="R15" s="7" t="str">
        <f t="array" ref="R15">IF(OR($B15="",ISBLANK(XLOOKUP($B15,Números_Asignados,Sucursal_Asignada,"",0))),"",XLOOKUP($B15,Números_Asignados,Sucursal_Asignada,"",0))</f>
        <v>La Barca</v>
      </c>
      <c r="S15" s="7" t="str">
        <f t="array" ref="S15">IF(OR($B15="",ISBLANK(XLOOKUP($B15,Números_Asignados,Departamento_Asignado,"",0))),"",XLOOKUP($B15,Números_Asignados,Departamento_Asignado,"",0))</f>
        <v>Agricultura Inteligente</v>
      </c>
      <c r="T15" s="7" t="str">
        <f t="array" ref="T15">IF(OR($B15="",ISBLANK(XLOOKUP($B15,Números_Asignados,Puesto_Asignado,"",0))),"",XLOOKUP($B15,Números_Asignados,Puesto_Asignado,"",0))</f>
        <v>Asesor de Ventas</v>
      </c>
      <c r="U15" s="7" t="str">
        <f t="array" ref="U15">IF(OR($B15="",ISBLANK(XLOOKUP($B15,Números_Asignados,Correos_Gmail,"",0))),"",XLOOKUP($B15,Números_Asignados,Correos_Gmail,"",0))</f>
        <v>jesus.zuno@agrocisa.com.mx</v>
      </c>
      <c r="V15" s="7" t="str">
        <f t="array" ref="V15">IF(OR($B15="",ISBLANK(XLOOKUP($B15,Números_Asignados,Correos_Institucionales,"",0))),"",XLOOKUP($B15,Números_Asignados,Correos_Institucionales,"",0))</f>
        <v>jesus.zuno@agrocisa.com.mx</v>
      </c>
    </row>
    <row r="16" ht="15.75" customHeight="1">
      <c r="A16" s="7">
        <v>3.921368208E9</v>
      </c>
      <c r="B16" s="44">
        <v>3.931190252E9</v>
      </c>
      <c r="C16" s="7">
        <v>4.0</v>
      </c>
      <c r="D16" s="9">
        <v>599.0</v>
      </c>
      <c r="E16" s="7">
        <v>22.5</v>
      </c>
      <c r="F16" s="7" t="s">
        <v>294</v>
      </c>
      <c r="G16" s="19">
        <v>3.57369477239907E14</v>
      </c>
      <c r="H16" s="7" t="s">
        <v>864</v>
      </c>
      <c r="I16" s="7" t="s">
        <v>865</v>
      </c>
      <c r="J16" s="7" t="s">
        <v>194</v>
      </c>
      <c r="K16" s="7" t="s">
        <v>196</v>
      </c>
      <c r="L16" s="7" t="s">
        <v>198</v>
      </c>
      <c r="M16" s="7" t="s">
        <v>866</v>
      </c>
      <c r="N16" s="7" t="s">
        <v>201</v>
      </c>
      <c r="O16" s="7" t="s">
        <v>867</v>
      </c>
      <c r="P16" s="28">
        <f t="array" ref="P16">XLOOKUP(F16,Lista_Equipos_2026,Precio_Equipos_2026," *** OJO *** ",0)</f>
        <v>10999</v>
      </c>
      <c r="Q16" s="7" t="str">
        <f t="array" ref="Q16">IF(OR($B16="",ISBLANK(XLOOKUP($B16,Números_Asignados,Nombres_Directorio,"",0))),"",XLOOKUP($B16,Números_Asignados,Nombres_Directorio,"",0))</f>
        <v>Pascual Humberto Ramírez Flores</v>
      </c>
      <c r="R16" s="7" t="str">
        <f t="array" ref="R16">IF(OR($B16="",ISBLANK(XLOOKUP($B16,Números_Asignados,Sucursal_Asignada,"",0))),"",XLOOKUP($B16,Números_Asignados,Sucursal_Asignada,"",0))</f>
        <v>La Barca</v>
      </c>
      <c r="S16" s="7" t="str">
        <f t="array" ref="S16">IF(OR($B16="",ISBLANK(XLOOKUP($B16,Números_Asignados,Departamento_Asignado,"",0))),"",XLOOKUP($B16,Números_Asignados,Departamento_Asignado,"",0))</f>
        <v>Agricultura Inteligente</v>
      </c>
      <c r="T16" s="7" t="str">
        <f t="array" ref="T16">IF(OR($B16="",ISBLANK(XLOOKUP($B16,Números_Asignados,Puesto_Asignado,"",0))),"",XLOOKUP($B16,Números_Asignados,Puesto_Asignado,"",0))</f>
        <v>Asesor de Ventas</v>
      </c>
      <c r="U16" s="7" t="str">
        <f t="array" ref="U16">IF(OR($B16="",ISBLANK(XLOOKUP($B16,Números_Asignados,Correos_Gmail,"",0))),"",XLOOKUP($B16,Números_Asignados,Correos_Gmail,"",0))</f>
        <v>soportetcgps.agro@gmail.com</v>
      </c>
      <c r="V16" s="7" t="str">
        <f t="array" ref="V16">IF(OR($B16="",ISBLANK(XLOOKUP($B16,Números_Asignados,Correos_Institucionales,"",0))),"",XLOOKUP($B16,Números_Asignados,Correos_Institucionales,"",0))</f>
        <v>soportetc.gps@agrocisa.com.mx</v>
      </c>
    </row>
    <row r="17" ht="15.75" customHeight="1">
      <c r="A17" s="7">
        <v>3.316135759E9</v>
      </c>
      <c r="B17" s="7">
        <v>3.316135759E9</v>
      </c>
      <c r="C17" s="7">
        <v>4.0</v>
      </c>
      <c r="D17" s="9">
        <v>599.0</v>
      </c>
      <c r="E17" s="7">
        <v>22.5</v>
      </c>
      <c r="F17" s="9" t="s">
        <v>294</v>
      </c>
      <c r="G17" s="19">
        <v>3.57369477238198E14</v>
      </c>
      <c r="H17" s="19" t="s">
        <v>871</v>
      </c>
      <c r="I17" s="7" t="s">
        <v>872</v>
      </c>
      <c r="J17" s="19" t="s">
        <v>194</v>
      </c>
      <c r="K17" s="19" t="s">
        <v>196</v>
      </c>
      <c r="L17" s="7" t="s">
        <v>198</v>
      </c>
      <c r="M17" s="26">
        <v>46136.0</v>
      </c>
      <c r="N17" s="7" t="s">
        <v>201</v>
      </c>
      <c r="O17" s="7"/>
      <c r="P17" s="28">
        <f t="array" ref="P17">XLOOKUP(F17,Lista_Equipos_2026,Precio_Equipos_2026," *** OJO *** ",0)</f>
        <v>10999</v>
      </c>
      <c r="Q17" s="7" t="str">
        <f t="array" ref="Q17">IF(OR($B17="",ISBLANK(XLOOKUP($B17,Números_Asignados,Nombres_Directorio,"",0))),"",XLOOKUP($B17,Números_Asignados,Nombres_Directorio,"",0))</f>
        <v>Mariana Álvarez Estrada</v>
      </c>
      <c r="R17" s="7" t="str">
        <f t="array" ref="R17">IF(OR($B17="",ISBLANK(XLOOKUP($B17,Números_Asignados,Sucursal_Asignada,"",0))),"",XLOOKUP($B17,Números_Asignados,Sucursal_Asignada,"",0))</f>
        <v>La Barca</v>
      </c>
      <c r="S17" s="7" t="str">
        <f t="array" ref="S17">IF(OR($B17="",ISBLANK(XLOOKUP($B17,Números_Asignados,Departamento_Asignado,"",0))),"",XLOOKUP($B17,Números_Asignados,Departamento_Asignado,"",0))</f>
        <v>Agricultura Inteligente</v>
      </c>
      <c r="T17" s="7" t="str">
        <f t="array" ref="T17">IF(OR($B17="",ISBLANK(XLOOKUP($B17,Números_Asignados,Puesto_Asignado,"",0))),"",XLOOKUP($B17,Números_Asignados,Puesto_Asignado,"",0))</f>
        <v>Auxiliar Administrativo</v>
      </c>
      <c r="U17" s="7" t="str">
        <f t="array" ref="U17">IF(OR($B17="",ISBLANK(XLOOKUP($B17,Números_Asignados,Correos_Gmail,"",0))),"",XLOOKUP($B17,Números_Asignados,Correos_Gmail,"",0))</f>
        <v>mariana.alvarez@agrocisa.com.mx</v>
      </c>
      <c r="V17" s="7" t="str">
        <f t="array" ref="V17">IF(OR($B17="",ISBLANK(XLOOKUP($B17,Números_Asignados,Correos_Institucionales,"",0))),"",XLOOKUP($B17,Números_Asignados,Correos_Institucionales,"",0))</f>
        <v>mariana.alvarez@agrocisa.com.mx</v>
      </c>
    </row>
    <row r="18" ht="15.75" customHeight="1">
      <c r="A18" s="7">
        <v>3.93107996E9</v>
      </c>
      <c r="B18" s="7">
        <v>3.93107996E9</v>
      </c>
      <c r="C18" s="7">
        <v>4.0</v>
      </c>
      <c r="D18" s="9">
        <v>599.0</v>
      </c>
      <c r="E18" s="7">
        <v>22.5</v>
      </c>
      <c r="F18" s="9" t="s">
        <v>413</v>
      </c>
      <c r="G18" s="19">
        <v>3.52242801087711E14</v>
      </c>
      <c r="H18" s="19" t="s">
        <v>875</v>
      </c>
      <c r="I18" s="7" t="s">
        <v>876</v>
      </c>
      <c r="J18" s="7" t="s">
        <v>194</v>
      </c>
      <c r="K18" s="19" t="s">
        <v>196</v>
      </c>
      <c r="L18" s="7" t="s">
        <v>198</v>
      </c>
      <c r="M18" s="26">
        <v>46136.0</v>
      </c>
      <c r="N18" s="7" t="s">
        <v>201</v>
      </c>
      <c r="O18" s="7"/>
      <c r="P18" s="28">
        <f t="array" ref="P18">XLOOKUP(F18,Lista_Equipos_2026,Precio_Equipos_2026," *** OJO *** ",0)</f>
        <v>15499</v>
      </c>
      <c r="Q18" s="7" t="str">
        <f t="array" ref="Q18">IF(OR($B18="",ISBLANK(XLOOKUP($B18,Números_Asignados,Nombres_Directorio,"",0))),"",XLOOKUP($B18,Números_Asignados,Nombres_Directorio,"",0))</f>
        <v>Saúl Hernández Becerra</v>
      </c>
      <c r="R18" s="7" t="str">
        <f t="array" ref="R18">IF(OR($B18="",ISBLANK(XLOOKUP($B18,Números_Asignados,Sucursal_Asignada,"",0))),"",XLOOKUP($B18,Números_Asignados,Sucursal_Asignada,"",0))</f>
        <v>La Barca</v>
      </c>
      <c r="S18" s="7" t="str">
        <f t="array" ref="S18">IF(OR($B18="",ISBLANK(XLOOKUP($B18,Números_Asignados,Departamento_Asignado,"",0))),"",XLOOKUP($B18,Números_Asignados,Departamento_Asignado,"",0))</f>
        <v>Corporativo</v>
      </c>
      <c r="T18" s="7" t="str">
        <f t="array" ref="T18">IF(OR($B18="",ISBLANK(XLOOKUP($B18,Números_Asignados,Puesto_Asignado,"",0))),"",XLOOKUP($B18,Números_Asignados,Puesto_Asignado,"",0))</f>
        <v>Jefe de Agricultura Inteligente</v>
      </c>
      <c r="U18" s="7" t="str">
        <f t="array" ref="U18">IF(OR($B18="",ISBLANK(XLOOKUP($B18,Números_Asignados,Correos_Gmail,"",0))),"",XLOOKUP($B18,Números_Asignados,Correos_Gmail,"",0))</f>
        <v>saul.hernandez@agrocisa.com.mx</v>
      </c>
      <c r="V18" s="7" t="str">
        <f t="array" ref="V18">IF(OR($B18="",ISBLANK(XLOOKUP($B18,Números_Asignados,Correos_Institucionales,"",0))),"",XLOOKUP($B18,Números_Asignados,Correos_Institucionales,"",0))</f>
        <v>saul.hernandez@agrocisa.com.mx</v>
      </c>
    </row>
    <row r="19" ht="15.75" customHeight="1">
      <c r="A19" s="7">
        <v>3.781868862E9</v>
      </c>
      <c r="B19" s="7">
        <v>3.781868862E9</v>
      </c>
      <c r="C19" s="7">
        <v>1.0</v>
      </c>
      <c r="D19" s="9">
        <v>269.0</v>
      </c>
      <c r="E19" s="7">
        <v>9.0</v>
      </c>
      <c r="F19" s="9" t="s">
        <v>294</v>
      </c>
      <c r="G19" s="19">
        <v>3.52010505743214E14</v>
      </c>
      <c r="H19" s="19" t="s">
        <v>878</v>
      </c>
      <c r="I19" s="7" t="s">
        <v>879</v>
      </c>
      <c r="J19" s="7" t="s">
        <v>194</v>
      </c>
      <c r="K19" s="19" t="s">
        <v>196</v>
      </c>
      <c r="L19" s="7" t="s">
        <v>198</v>
      </c>
      <c r="M19" s="26">
        <v>46136.0</v>
      </c>
      <c r="N19" s="7" t="s">
        <v>201</v>
      </c>
      <c r="O19" s="7"/>
      <c r="P19" s="28">
        <f t="array" ref="P19">XLOOKUP(F19,Lista_Equipos_2026,Precio_Equipos_2026," *** OJO *** ",0)</f>
        <v>10999</v>
      </c>
      <c r="Q19" s="7" t="str">
        <f t="array" ref="Q19">IF(OR($B19="",ISBLANK(XLOOKUP($B19,Números_Asignados,Nombres_Directorio,"",0))),"",XLOOKUP($B19,Números_Asignados,Nombres_Directorio,"",0))</f>
        <v>José Alejandro Tellez Gómez</v>
      </c>
      <c r="R19" s="7" t="str">
        <f t="array" ref="R19">IF(OR($B19="",ISBLANK(XLOOKUP($B19,Números_Asignados,Sucursal_Asignada,"",0))),"",XLOOKUP($B19,Números_Asignados,Sucursal_Asignada,"",0))</f>
        <v>La Barca</v>
      </c>
      <c r="S19" s="7" t="str">
        <f t="array" ref="S19">IF(OR($B19="",ISBLANK(XLOOKUP($B19,Números_Asignados,Departamento_Asignado,"",0))),"",XLOOKUP($B19,Números_Asignados,Departamento_Asignado,"",0))</f>
        <v>Agricultura Inteligente</v>
      </c>
      <c r="T19" s="7" t="str">
        <f t="array" ref="T19">IF(OR($B19="",ISBLANK(XLOOKUP($B19,Números_Asignados,Puesto_Asignado,"",0))),"",XLOOKUP($B19,Números_Asignados,Puesto_Asignado,"",0))</f>
        <v>Técnico</v>
      </c>
      <c r="U19" s="7" t="str">
        <f t="array" ref="U19">IF(OR($B19="",ISBLANK(XLOOKUP($B19,Números_Asignados,Correos_Gmail,"",0))),"",XLOOKUP($B19,Números_Asignados,Correos_Gmail,"",0))</f>
        <v>alejandro.tellez@agrocisa.com.mx</v>
      </c>
      <c r="V19" s="7" t="str">
        <f t="array" ref="V19">IF(OR($B19="",ISBLANK(XLOOKUP($B19,Números_Asignados,Correos_Institucionales,"",0))),"",XLOOKUP($B19,Números_Asignados,Correos_Institucionales,"",0))</f>
        <v>alejandro.tellez@agrocisa.com.mx</v>
      </c>
    </row>
    <row r="20" ht="15.75" customHeight="1">
      <c r="A20" s="7">
        <v>3.931001237E9</v>
      </c>
      <c r="B20" s="7">
        <v>3.931001237E9</v>
      </c>
      <c r="C20" s="7">
        <v>1.0</v>
      </c>
      <c r="D20" s="9">
        <v>269.0</v>
      </c>
      <c r="E20" s="7">
        <v>9.0</v>
      </c>
      <c r="F20" s="9" t="s">
        <v>294</v>
      </c>
      <c r="G20" s="19">
        <v>3.52010505743404E14</v>
      </c>
      <c r="H20" s="19" t="s">
        <v>883</v>
      </c>
      <c r="I20" s="7" t="s">
        <v>884</v>
      </c>
      <c r="J20" s="7" t="s">
        <v>194</v>
      </c>
      <c r="K20" s="19" t="s">
        <v>196</v>
      </c>
      <c r="L20" s="7" t="s">
        <v>198</v>
      </c>
      <c r="M20" s="26">
        <v>46141.0</v>
      </c>
      <c r="N20" s="7" t="s">
        <v>201</v>
      </c>
      <c r="O20" s="7"/>
      <c r="P20" s="28">
        <f t="array" ref="P20">XLOOKUP(F20,Lista_Equipos_2026,Precio_Equipos_2026," *** OJO *** ",0)</f>
        <v>10999</v>
      </c>
      <c r="Q20" s="7" t="str">
        <f t="array" ref="Q20">IF(OR($B20="",ISBLANK(XLOOKUP($B20,Números_Asignados,Nombres_Directorio,"",0))),"",XLOOKUP($B20,Números_Asignados,Nombres_Directorio,"",0))</f>
        <v>Isela María Guadalupe Rodríguez Estrada</v>
      </c>
      <c r="R20" s="7" t="str">
        <f t="array" ref="R20">IF(OR($B20="",ISBLANK(XLOOKUP($B20,Números_Asignados,Sucursal_Asignada,"",0))),"",XLOOKUP($B20,Números_Asignados,Sucursal_Asignada,"",0))</f>
        <v>La Barca</v>
      </c>
      <c r="S20" s="7" t="str">
        <f t="array" ref="S20">IF(OR($B20="",ISBLANK(XLOOKUP($B20,Números_Asignados,Departamento_Asignado,"",0))),"",XLOOKUP($B20,Números_Asignados,Departamento_Asignado,"",0))</f>
        <v>Capital Humano</v>
      </c>
      <c r="T20" s="7" t="str">
        <f t="array" ref="T20">IF(OR($B20="",ISBLANK(XLOOKUP($B20,Números_Asignados,Puesto_Asignado,"",0))),"",XLOOKUP($B20,Números_Asignados,Puesto_Asignado,"",0))</f>
        <v>Auxiliar Administrativo</v>
      </c>
      <c r="U20" s="7" t="str">
        <f t="array" ref="U20">IF(OR($B20="",ISBLANK(XLOOKUP($B20,Números_Asignados,Correos_Gmail,"",0))),"",XLOOKUP($B20,Números_Asignados,Correos_Gmail,"",0))</f>
        <v>isela.rhagrocisa@gmail.com</v>
      </c>
      <c r="V20" s="7" t="str">
        <f t="array" ref="V20">IF(OR($B20="",ISBLANK(XLOOKUP($B20,Números_Asignados,Correos_Institucionales,"",0))),"",XLOOKUP($B20,Números_Asignados,Correos_Institucionales,"",0))</f>
        <v>isela.rodriguez@agrocisa.com.mx</v>
      </c>
    </row>
    <row r="21" ht="15.75" customHeight="1">
      <c r="A21" s="7">
        <v>3.931245167E9</v>
      </c>
      <c r="B21" s="7">
        <v>3.931245167E9</v>
      </c>
      <c r="C21" s="7">
        <v>4.0</v>
      </c>
      <c r="D21" s="9">
        <v>599.0</v>
      </c>
      <c r="E21" s="7">
        <v>22.5</v>
      </c>
      <c r="F21" s="9" t="s">
        <v>413</v>
      </c>
      <c r="G21" s="19">
        <v>3.52242801087976E14</v>
      </c>
      <c r="H21" s="19" t="s">
        <v>886</v>
      </c>
      <c r="I21" s="7" t="s">
        <v>887</v>
      </c>
      <c r="J21" s="7" t="s">
        <v>194</v>
      </c>
      <c r="K21" s="19" t="s">
        <v>196</v>
      </c>
      <c r="L21" s="7" t="s">
        <v>198</v>
      </c>
      <c r="M21" s="26">
        <v>46129.0</v>
      </c>
      <c r="N21" s="7" t="s">
        <v>201</v>
      </c>
      <c r="O21" s="7"/>
      <c r="P21" s="28">
        <f t="array" ref="P21">XLOOKUP(F21,Lista_Equipos_2026,Precio_Equipos_2026," *** OJO *** ",0)</f>
        <v>15499</v>
      </c>
      <c r="Q21" s="7" t="str">
        <f t="array" ref="Q21">IF(OR($B21="",ISBLANK(XLOOKUP($B21,Números_Asignados,Nombres_Directorio,"",0))),"",XLOOKUP($B21,Números_Asignados,Nombres_Directorio,"",0))</f>
        <v>Luis Donaldo Sánchez Álvarez</v>
      </c>
      <c r="R21" s="7" t="str">
        <f t="array" ref="R21">IF(OR($B21="",ISBLANK(XLOOKUP($B21,Números_Asignados,Sucursal_Asignada,"",0))),"",XLOOKUP($B21,Números_Asignados,Sucursal_Asignada,"",0))</f>
        <v>La Barca</v>
      </c>
      <c r="S21" s="7" t="str">
        <f t="array" ref="S21">IF(OR($B21="",ISBLANK(XLOOKUP($B21,Números_Asignados,Departamento_Asignado,"",0))),"",XLOOKUP($B21,Números_Asignados,Departamento_Asignado,"",0))</f>
        <v>Corporativo</v>
      </c>
      <c r="T21" s="7" t="str">
        <f t="array" ref="T21">IF(OR($B21="",ISBLANK(XLOOKUP($B21,Números_Asignados,Puesto_Asignado,"",0))),"",XLOOKUP($B21,Números_Asignados,Puesto_Asignado,"",0))</f>
        <v>Jefe de Capital Humano</v>
      </c>
      <c r="U21" s="7" t="str">
        <f t="array" ref="U21">IF(OR($B21="",ISBLANK(XLOOKUP($B21,Números_Asignados,Correos_Gmail,"",0))),"",XLOOKUP($B21,Números_Asignados,Correos_Gmail,"",0))</f>
        <v>capitalhumano.agrocisa@gmail.com</v>
      </c>
      <c r="V21" s="7" t="str">
        <f t="array" ref="V21">IF(OR($B21="",ISBLANK(XLOOKUP($B21,Números_Asignados,Correos_Institucionales,"",0))),"",XLOOKUP($B21,Números_Asignados,Correos_Institucionales,"",0))</f>
        <v>capitalhumano@agrocisa.com.mx</v>
      </c>
    </row>
    <row r="22" ht="15.75" customHeight="1">
      <c r="A22" s="7">
        <v>3.521423189E9</v>
      </c>
      <c r="B22" s="44">
        <v>3.931205198E9</v>
      </c>
      <c r="C22" s="7">
        <v>1.0</v>
      </c>
      <c r="D22" s="9">
        <v>269.0</v>
      </c>
      <c r="E22" s="7">
        <v>9.0</v>
      </c>
      <c r="F22" s="9" t="s">
        <v>413</v>
      </c>
      <c r="G22" s="19">
        <v>3.52242801089691E14</v>
      </c>
      <c r="H22" s="7" t="s">
        <v>894</v>
      </c>
      <c r="I22" s="7" t="s">
        <v>895</v>
      </c>
      <c r="J22" s="7" t="s">
        <v>194</v>
      </c>
      <c r="K22" s="7" t="s">
        <v>196</v>
      </c>
      <c r="L22" s="7" t="s">
        <v>198</v>
      </c>
      <c r="M22" s="26">
        <v>46134.0</v>
      </c>
      <c r="N22" s="7" t="s">
        <v>201</v>
      </c>
      <c r="O22" s="7" t="s">
        <v>867</v>
      </c>
      <c r="P22" s="28">
        <f t="array" ref="P22">XLOOKUP(F22,Lista_Equipos_2026,Precio_Equipos_2026," *** OJO *** ",0)</f>
        <v>15499</v>
      </c>
      <c r="Q22" s="7" t="str">
        <f t="array" ref="Q22">IF(OR($B22="",ISBLANK(XLOOKUP($B22,Números_Asignados,Nombres_Directorio,"",0))),"",XLOOKUP($B22,Números_Asignados,Nombres_Directorio,"",0))</f>
        <v>María del Cármen Sánchez García</v>
      </c>
      <c r="R22" s="7" t="str">
        <f t="array" ref="R22">IF(OR($B22="",ISBLANK(XLOOKUP($B22,Números_Asignados,Sucursal_Asignada,"",0))),"",XLOOKUP($B22,Números_Asignados,Sucursal_Asignada,"",0))</f>
        <v>La Barca</v>
      </c>
      <c r="S22" s="7" t="str">
        <f t="array" ref="S22">IF(OR($B22="",ISBLANK(XLOOKUP($B22,Números_Asignados,Departamento_Asignado,"",0))),"",XLOOKUP($B22,Números_Asignados,Departamento_Asignado,"",0))</f>
        <v>Compras</v>
      </c>
      <c r="T22" s="7" t="str">
        <f t="array" ref="T22">IF(OR($B22="",ISBLANK(XLOOKUP($B22,Números_Asignados,Puesto_Asignado,"",0))),"",XLOOKUP($B22,Números_Asignados,Puesto_Asignado,"",0))</f>
        <v>Auxiliar Administrativo</v>
      </c>
      <c r="U22" s="7" t="str">
        <f t="array" ref="U22">IF(OR($B22="",ISBLANK(XLOOKUP($B22,Números_Asignados,Correos_Gmail,"",0))),"",XLOOKUP($B22,Números_Asignados,Correos_Gmail,"",0))</f>
        <v>auxiliarcompras.agrocisa@gmail.com</v>
      </c>
      <c r="V22" s="7" t="str">
        <f t="array" ref="V22">IF(OR($B22="",ISBLANK(XLOOKUP($B22,Números_Asignados,Correos_Institucionales,"",0))),"",XLOOKUP($B22,Números_Asignados,Correos_Institucionales,"",0))</f>
        <v>compras@agrocisa.com.mx</v>
      </c>
    </row>
    <row r="23" ht="15.75" customHeight="1">
      <c r="A23" s="7">
        <v>3.931583234E9</v>
      </c>
      <c r="B23" s="44">
        <v>3.931245254E9</v>
      </c>
      <c r="C23" s="7">
        <v>4.0</v>
      </c>
      <c r="D23" s="9">
        <v>599.0</v>
      </c>
      <c r="E23" s="7">
        <v>22.5</v>
      </c>
      <c r="F23" s="9" t="s">
        <v>190</v>
      </c>
      <c r="G23" s="19">
        <v>3.55174187709393E14</v>
      </c>
      <c r="H23" s="7" t="s">
        <v>897</v>
      </c>
      <c r="I23" s="7" t="s">
        <v>898</v>
      </c>
      <c r="J23" s="7" t="s">
        <v>194</v>
      </c>
      <c r="K23" s="7" t="s">
        <v>196</v>
      </c>
      <c r="L23" s="7" t="s">
        <v>198</v>
      </c>
      <c r="M23" s="26">
        <v>46136.0</v>
      </c>
      <c r="N23" s="7" t="s">
        <v>201</v>
      </c>
      <c r="O23" s="7" t="s">
        <v>867</v>
      </c>
      <c r="P23" s="28">
        <f t="array" ref="P23">XLOOKUP(F23,Lista_Equipos_2026,Precio_Equipos_2026," *** OJO *** ",0)</f>
        <v>7499</v>
      </c>
      <c r="Q23" s="7" t="str">
        <f t="array" ref="Q23">IF(OR($B23="",ISBLANK(XLOOKUP($B23,Números_Asignados,Nombres_Directorio,"",0))),"",XLOOKUP($B23,Números_Asignados,Nombres_Directorio,"",0))</f>
        <v>José Alejandro Rosas Oñate</v>
      </c>
      <c r="R23" s="7" t="str">
        <f t="array" ref="R23">IF(OR($B23="",ISBLANK(XLOOKUP($B23,Números_Asignados,Sucursal_Asignada,"",0))),"",XLOOKUP($B23,Números_Asignados,Sucursal_Asignada,"",0))</f>
        <v>La Barca</v>
      </c>
      <c r="S23" s="7" t="str">
        <f t="array" ref="S23">IF(OR($B23="",ISBLANK(XLOOKUP($B23,Números_Asignados,Departamento_Asignado,"",0))),"",XLOOKUP($B23,Números_Asignados,Departamento_Asignado,"",0))</f>
        <v>Compras</v>
      </c>
      <c r="T23" s="7" t="str">
        <f t="array" ref="T23">IF(OR($B23="",ISBLANK(XLOOKUP($B23,Números_Asignados,Puesto_Asignado,"",0))),"",XLOOKUP($B23,Números_Asignados,Puesto_Asignado,"",0))</f>
        <v>Chofer</v>
      </c>
      <c r="U23" s="7" t="str">
        <f t="array" ref="U23">IF(OR($B23="",ISBLANK(XLOOKUP($B23,Números_Asignados,Correos_Gmail,"",0))),"",XLOOKUP($B23,Números_Asignados,Correos_Gmail,"",0))</f>
        <v>chofercompras@agrocisa.com.mx</v>
      </c>
      <c r="V23" s="7" t="str">
        <f t="array" ref="V23">IF(OR($B23="",ISBLANK(XLOOKUP($B23,Números_Asignados,Correos_Institucionales,"",0))),"",XLOOKUP($B23,Números_Asignados,Correos_Institucionales,"",0))</f>
        <v>chofercompras@agrocisa.com.mx</v>
      </c>
    </row>
    <row r="24" ht="15.75" customHeight="1">
      <c r="A24" s="7">
        <v>3.313254527E9</v>
      </c>
      <c r="B24" s="7">
        <v>3.313254527E9</v>
      </c>
      <c r="C24" s="7">
        <v>1.0</v>
      </c>
      <c r="D24" s="9">
        <v>269.0</v>
      </c>
      <c r="E24" s="7">
        <v>9.0</v>
      </c>
      <c r="F24" s="9" t="s">
        <v>294</v>
      </c>
      <c r="G24" s="19">
        <v>3.52010505738214E14</v>
      </c>
      <c r="H24" s="19" t="s">
        <v>904</v>
      </c>
      <c r="I24" s="7" t="s">
        <v>905</v>
      </c>
      <c r="J24" s="7" t="s">
        <v>194</v>
      </c>
      <c r="K24" s="19" t="s">
        <v>196</v>
      </c>
      <c r="L24" s="7" t="s">
        <v>198</v>
      </c>
      <c r="M24" s="26">
        <v>46134.0</v>
      </c>
      <c r="N24" s="7" t="s">
        <v>201</v>
      </c>
      <c r="O24" s="7"/>
      <c r="P24" s="28">
        <f t="array" ref="P24">XLOOKUP(F24,Lista_Equipos_2026,Precio_Equipos_2026," *** OJO *** ",0)</f>
        <v>10999</v>
      </c>
      <c r="Q24" s="7" t="str">
        <f t="array" ref="Q24">IF(OR($B24="",ISBLANK(XLOOKUP($B24,Números_Asignados,Nombres_Directorio,"",0))),"",XLOOKUP($B24,Números_Asignados,Nombres_Directorio,"",0))</f>
        <v>Alejandra Guadalupe Munguía Albisio</v>
      </c>
      <c r="R24" s="7" t="str">
        <f t="array" ref="R24">IF(OR($B24="",ISBLANK(XLOOKUP($B24,Números_Asignados,Sucursal_Asignada,"",0))),"",XLOOKUP($B24,Números_Asignados,Sucursal_Asignada,"",0))</f>
        <v>La Barca</v>
      </c>
      <c r="S24" s="7" t="str">
        <f t="array" ref="S24">IF(OR($B24="",ISBLANK(XLOOKUP($B24,Números_Asignados,Departamento_Asignado,"",0))),"",XLOOKUP($B24,Números_Asignados,Departamento_Asignado,"",0))</f>
        <v>Compras Internacionales</v>
      </c>
      <c r="T24" s="7" t="str">
        <f t="array" ref="T24">IF(OR($B24="",ISBLANK(XLOOKUP($B24,Números_Asignados,Puesto_Asignado,"",0))),"",XLOOKUP($B24,Números_Asignados,Puesto_Asignado,"",0))</f>
        <v>Auxiliar Administrativo</v>
      </c>
      <c r="U24" s="7" t="str">
        <f t="array" ref="U24">IF(OR($B24="",ISBLANK(XLOOKUP($B24,Números_Asignados,Correos_Gmail,"",0))),"",XLOOKUP($B24,Números_Asignados,Correos_Gmail,"",0))</f>
        <v>comprasinternacionales@agrocisa.com.mx</v>
      </c>
      <c r="V24" s="7" t="str">
        <f t="array" ref="V24">IF(OR($B24="",ISBLANK(XLOOKUP($B24,Números_Asignados,Correos_Institucionales,"",0))),"",XLOOKUP($B24,Números_Asignados,Correos_Institucionales,"",0))</f>
        <v>comprasinternacionales@agrocisa.com.mx</v>
      </c>
    </row>
    <row r="25" ht="15.75" customHeight="1">
      <c r="A25" s="7">
        <v>3.931042392E9</v>
      </c>
      <c r="B25" s="7">
        <v>3.931042392E9</v>
      </c>
      <c r="C25" s="7">
        <v>1.0</v>
      </c>
      <c r="D25" s="9">
        <v>269.0</v>
      </c>
      <c r="E25" s="7">
        <v>9.0</v>
      </c>
      <c r="F25" s="9" t="s">
        <v>413</v>
      </c>
      <c r="G25" s="19">
        <v>3.52242801084627E14</v>
      </c>
      <c r="H25" s="19" t="s">
        <v>928</v>
      </c>
      <c r="I25" s="7" t="s">
        <v>929</v>
      </c>
      <c r="J25" s="7" t="s">
        <v>194</v>
      </c>
      <c r="K25" s="19" t="s">
        <v>196</v>
      </c>
      <c r="L25" s="7" t="s">
        <v>198</v>
      </c>
      <c r="M25" s="26">
        <v>46139.0</v>
      </c>
      <c r="N25" s="7" t="s">
        <v>201</v>
      </c>
      <c r="O25" s="7"/>
      <c r="P25" s="28">
        <f t="array" ref="P25">XLOOKUP(F25,Lista_Equipos_2026,Precio_Equipos_2026," *** OJO *** ",0)</f>
        <v>15499</v>
      </c>
      <c r="Q25" s="7" t="str">
        <f t="array" ref="Q25">IF(OR($B25="",ISBLANK(XLOOKUP($B25,Números_Asignados,Nombres_Directorio,"",0))),"",XLOOKUP($B25,Números_Asignados,Nombres_Directorio,"",0))</f>
        <v>Ricardo Durán Ulloa</v>
      </c>
      <c r="R25" s="7" t="str">
        <f t="array" ref="R25">IF(OR($B25="",ISBLANK(XLOOKUP($B25,Números_Asignados,Sucursal_Asignada,"",0))),"",XLOOKUP($B25,Números_Asignados,Sucursal_Asignada,"",0))</f>
        <v>La Barca</v>
      </c>
      <c r="S25" s="7" t="str">
        <f t="array" ref="S25">IF(OR($B25="",ISBLANK(XLOOKUP($B25,Números_Asignados,Departamento_Asignado,"",0))),"",XLOOKUP($B25,Números_Asignados,Departamento_Asignado,"",0))</f>
        <v>Corporativo</v>
      </c>
      <c r="T25" s="7" t="str">
        <f t="array" ref="T25">IF(OR($B25="",ISBLANK(XLOOKUP($B25,Números_Asignados,Puesto_Asignado,"",0))),"",XLOOKUP($B25,Números_Asignados,Puesto_Asignado,"",0))</f>
        <v>Jefe de Contabilidad</v>
      </c>
      <c r="U25" s="7" t="str">
        <f t="array" ref="U25">IF(OR($B25="",ISBLANK(XLOOKUP($B25,Números_Asignados,Correos_Gmail,"",0))),"",XLOOKUP($B25,Números_Asignados,Correos_Gmail,"",0))</f>
        <v>rduran.agro@gmail.com</v>
      </c>
      <c r="V25" s="7" t="str">
        <f t="array" ref="V25">IF(OR($B25="",ISBLANK(XLOOKUP($B25,Números_Asignados,Correos_Institucionales,"",0))),"",XLOOKUP($B25,Números_Asignados,Correos_Institucionales,"",0))</f>
        <v>ricardo.duran@agrocisa.com.mx</v>
      </c>
    </row>
    <row r="26" ht="15.75" customHeight="1">
      <c r="A26" s="7">
        <v>3.781868857E9</v>
      </c>
      <c r="B26" s="7">
        <v>3.781868857E9</v>
      </c>
      <c r="C26" s="7">
        <v>1.0</v>
      </c>
      <c r="D26" s="9">
        <v>269.0</v>
      </c>
      <c r="E26" s="7">
        <v>9.0</v>
      </c>
      <c r="F26" s="9" t="s">
        <v>294</v>
      </c>
      <c r="G26" s="19">
        <v>3.52010505738982E14</v>
      </c>
      <c r="H26" s="19" t="s">
        <v>940</v>
      </c>
      <c r="I26" s="7" t="s">
        <v>941</v>
      </c>
      <c r="J26" s="7" t="s">
        <v>194</v>
      </c>
      <c r="K26" s="19" t="s">
        <v>196</v>
      </c>
      <c r="L26" s="7" t="s">
        <v>198</v>
      </c>
      <c r="M26" s="26">
        <v>46136.0</v>
      </c>
      <c r="N26" s="7" t="s">
        <v>201</v>
      </c>
      <c r="O26" s="7"/>
      <c r="P26" s="28">
        <f t="array" ref="P26">XLOOKUP(F26,Lista_Equipos_2026,Precio_Equipos_2026," *** OJO *** ",0)</f>
        <v>10999</v>
      </c>
      <c r="Q26" s="7" t="str">
        <f t="array" ref="Q26">IF(OR($B26="",ISBLANK(XLOOKUP($B26,Números_Asignados,Nombres_Directorio,"",0))),"",XLOOKUP($B26,Números_Asignados,Nombres_Directorio,"",0))</f>
        <v>Patricia Lorena Covarrubias Tello</v>
      </c>
      <c r="R26" s="7" t="str">
        <f t="array" ref="R26">IF(OR($B26="",ISBLANK(XLOOKUP($B26,Números_Asignados,Sucursal_Asignada,"",0))),"",XLOOKUP($B26,Números_Asignados,Sucursal_Asignada,"",0))</f>
        <v>La Barca</v>
      </c>
      <c r="S26" s="7" t="str">
        <f t="array" ref="S26">IF(OR($B26="",ISBLANK(XLOOKUP($B26,Números_Asignados,Departamento_Asignado,"",0))),"",XLOOKUP($B26,Números_Asignados,Departamento_Asignado,"",0))</f>
        <v>Crédito y Cobranza</v>
      </c>
      <c r="T26" s="7" t="str">
        <f t="array" ref="T26">IF(OR($B26="",ISBLANK(XLOOKUP($B26,Números_Asignados,Puesto_Asignado,"",0))),"",XLOOKUP($B26,Números_Asignados,Puesto_Asignado,"",0))</f>
        <v>Auxiliar Administrativo</v>
      </c>
      <c r="U26" s="7" t="str">
        <f t="array" ref="U26">IF(OR($B26="",ISBLANK(XLOOKUP($B26,Números_Asignados,Correos_Gmail,"",0))),"",XLOOKUP($B26,Números_Asignados,Correos_Gmail,"",0))</f>
        <v>auxiliarcredito.agro@gmail.com</v>
      </c>
      <c r="V26" s="7" t="str">
        <f t="array" ref="V26">IF(OR($B26="",ISBLANK(XLOOKUP($B26,Números_Asignados,Correos_Institucionales,"",0))),"",XLOOKUP($B26,Números_Asignados,Correos_Institucionales,"",0))</f>
        <v>credito01@agrocisa.com.mx</v>
      </c>
    </row>
    <row r="27" ht="15.75" customHeight="1">
      <c r="A27" s="7">
        <v>3.316099062E9</v>
      </c>
      <c r="B27" s="7">
        <v>3.316099062E9</v>
      </c>
      <c r="C27" s="7">
        <v>1.0</v>
      </c>
      <c r="D27" s="9">
        <v>269.0</v>
      </c>
      <c r="E27" s="7">
        <v>9.0</v>
      </c>
      <c r="F27" s="9" t="s">
        <v>413</v>
      </c>
      <c r="G27" s="19">
        <v>3.52242801084874E14</v>
      </c>
      <c r="H27" s="19" t="s">
        <v>966</v>
      </c>
      <c r="I27" s="7" t="s">
        <v>967</v>
      </c>
      <c r="J27" s="7" t="s">
        <v>194</v>
      </c>
      <c r="K27" s="19" t="s">
        <v>196</v>
      </c>
      <c r="L27" s="7" t="s">
        <v>198</v>
      </c>
      <c r="M27" s="26">
        <v>46137.0</v>
      </c>
      <c r="N27" s="7" t="s">
        <v>201</v>
      </c>
      <c r="O27" s="7"/>
      <c r="P27" s="28">
        <f t="array" ref="P27">XLOOKUP(F27,Lista_Equipos_2026,Precio_Equipos_2026," *** OJO *** ",0)</f>
        <v>15499</v>
      </c>
      <c r="Q27" s="7" t="str">
        <f t="array" ref="Q27">IF(OR($B27="",ISBLANK(XLOOKUP($B27,Números_Asignados,Nombres_Directorio,"",0))),"",XLOOKUP($B27,Números_Asignados,Nombres_Directorio,"",0))</f>
        <v>Magdalena Estrada Gómez</v>
      </c>
      <c r="R27" s="7" t="str">
        <f t="array" ref="R27">IF(OR($B27="",ISBLANK(XLOOKUP($B27,Números_Asignados,Sucursal_Asignada,"",0))),"",XLOOKUP($B27,Números_Asignados,Sucursal_Asignada,"",0))</f>
        <v>La Barca</v>
      </c>
      <c r="S27" s="7" t="str">
        <f t="array" ref="S27">IF(OR($B27="",ISBLANK(XLOOKUP($B27,Números_Asignados,Departamento_Asignado,"",0))),"",XLOOKUP($B27,Números_Asignados,Departamento_Asignado,"",0))</f>
        <v>Corporativo</v>
      </c>
      <c r="T27" s="7" t="str">
        <f t="array" ref="T27">IF(OR($B27="",ISBLANK(XLOOKUP($B27,Números_Asignados,Puesto_Asignado,"",0))),"",XLOOKUP($B27,Números_Asignados,Puesto_Asignado,"",0))</f>
        <v>Jefa Crédito y Cobranza</v>
      </c>
      <c r="U27" s="7" t="str">
        <f t="array" ref="U27">IF(OR($B27="",ISBLANK(XLOOKUP($B27,Números_Asignados,Correos_Gmail,"",0))),"",XLOOKUP($B27,Números_Asignados,Correos_Gmail,"",0))</f>
        <v>m.estradaagro@gmail.com</v>
      </c>
      <c r="V27" s="7" t="str">
        <f t="array" ref="V27">IF(OR($B27="",ISBLANK(XLOOKUP($B27,Números_Asignados,Correos_Institucionales,"",0))),"",XLOOKUP($B27,Números_Asignados,Correos_Institucionales,"",0))</f>
        <v>magdalena.estrada@agrocisa.com.mx</v>
      </c>
    </row>
    <row r="28" ht="15.75" customHeight="1">
      <c r="A28" s="7">
        <v>3.781868858E9</v>
      </c>
      <c r="B28" s="7">
        <v>3.781868858E9</v>
      </c>
      <c r="C28" s="7">
        <v>4.0</v>
      </c>
      <c r="D28" s="9">
        <v>599.0</v>
      </c>
      <c r="E28" s="7">
        <v>22.5</v>
      </c>
      <c r="F28" s="9" t="s">
        <v>413</v>
      </c>
      <c r="G28" s="19">
        <v>3.52242801086028E14</v>
      </c>
      <c r="H28" s="19" t="s">
        <v>979</v>
      </c>
      <c r="I28" s="7" t="s">
        <v>980</v>
      </c>
      <c r="J28" s="7" t="s">
        <v>194</v>
      </c>
      <c r="K28" s="19" t="s">
        <v>196</v>
      </c>
      <c r="L28" s="7" t="s">
        <v>198</v>
      </c>
      <c r="M28" s="26">
        <v>46136.0</v>
      </c>
      <c r="N28" s="7" t="s">
        <v>201</v>
      </c>
      <c r="O28" s="7"/>
      <c r="P28" s="28">
        <f t="array" ref="P28">XLOOKUP(F28,Lista_Equipos_2026,Precio_Equipos_2026," *** OJO *** ",0)</f>
        <v>15499</v>
      </c>
      <c r="Q28" s="7" t="str">
        <f t="array" ref="Q28">IF(OR($B28="",ISBLANK(XLOOKUP($B28,Números_Asignados,Nombres_Directorio,"",0))),"",XLOOKUP($B28,Números_Asignados,Nombres_Directorio,"",0))</f>
        <v>Jesús Mora Pérez</v>
      </c>
      <c r="R28" s="7" t="str">
        <f t="array" ref="R28">IF(OR($B28="",ISBLANK(XLOOKUP($B28,Números_Asignados,Sucursal_Asignada,"",0))),"",XLOOKUP($B28,Números_Asignados,Sucursal_Asignada,"",0))</f>
        <v>La Barca</v>
      </c>
      <c r="S28" s="7" t="str">
        <f t="array" ref="S28">IF(OR($B28="",ISBLANK(XLOOKUP($B28,Números_Asignados,Departamento_Asignado,"",0))),"",XLOOKUP($B28,Números_Asignados,Departamento_Asignado,"",0))</f>
        <v>Corporativo</v>
      </c>
      <c r="T28" s="7" t="str">
        <f t="array" ref="T28">IF(OR($B28="",ISBLANK(XLOOKUP($B28,Números_Asignados,Puesto_Asignado,"",0))),"",XLOOKUP($B28,Números_Asignados,Puesto_Asignado,"",0))</f>
        <v>Jefe de Servicio Administrativo</v>
      </c>
      <c r="U28" s="7" t="str">
        <f t="array" ref="U28">IF(OR($B28="",ISBLANK(XLOOKUP($B28,Números_Asignados,Correos_Gmail,"",0))),"",XLOOKUP($B28,Números_Asignados,Correos_Gmail,"",0))</f>
        <v>coordservicio.agro@gmail.com</v>
      </c>
      <c r="V28" s="7" t="str">
        <f t="array" ref="V28">IF(OR($B28="",ISBLANK(XLOOKUP($B28,Números_Asignados,Correos_Institucionales,"",0))),"",XLOOKUP($B28,Números_Asignados,Correos_Institucionales,"",0))</f>
        <v>jesus.mora@agrocisa.com.mx</v>
      </c>
    </row>
    <row r="29" ht="15.75" customHeight="1">
      <c r="A29" s="7">
        <v>3.939382471E9</v>
      </c>
      <c r="B29" s="7">
        <v>3.939382471E9</v>
      </c>
      <c r="C29" s="7">
        <v>1.0</v>
      </c>
      <c r="D29" s="9">
        <v>269.0</v>
      </c>
      <c r="E29" s="7">
        <v>9.0</v>
      </c>
      <c r="F29" s="9" t="s">
        <v>294</v>
      </c>
      <c r="G29" s="19">
        <v>3.52010505764012E14</v>
      </c>
      <c r="H29" s="19" t="s">
        <v>997</v>
      </c>
      <c r="I29" s="7" t="s">
        <v>998</v>
      </c>
      <c r="J29" s="7" t="s">
        <v>194</v>
      </c>
      <c r="K29" s="19" t="s">
        <v>196</v>
      </c>
      <c r="L29" s="7" t="s">
        <v>198</v>
      </c>
      <c r="M29" s="26">
        <v>46135.0</v>
      </c>
      <c r="N29" s="7" t="s">
        <v>201</v>
      </c>
      <c r="O29" s="7"/>
      <c r="P29" s="28">
        <f t="array" ref="P29">XLOOKUP(F29,Lista_Equipos_2026,Precio_Equipos_2026," *** OJO *** ",0)</f>
        <v>10999</v>
      </c>
      <c r="Q29" s="7" t="str">
        <f t="array" ref="Q29">IF(OR($B29="",ISBLANK(XLOOKUP($B29,Números_Asignados,Nombres_Directorio,"",0))),"",XLOOKUP($B29,Números_Asignados,Nombres_Directorio,"",0))</f>
        <v>Jeniffer Paulina Resendiz Bravo</v>
      </c>
      <c r="R29" s="7" t="str">
        <f t="array" ref="R29">IF(OR($B29="",ISBLANK(XLOOKUP($B29,Números_Asignados,Sucursal_Asignada,"",0))),"",XLOOKUP($B29,Números_Asignados,Sucursal_Asignada,"",0))</f>
        <v>La Barca</v>
      </c>
      <c r="S29" s="7" t="str">
        <f t="array" ref="S29">IF(OR($B29="",ISBLANK(XLOOKUP($B29,Números_Asignados,Departamento_Asignado,"",0))),"",XLOOKUP($B29,Números_Asignados,Departamento_Asignado,"",0))</f>
        <v>Finanzas</v>
      </c>
      <c r="T29" s="7" t="str">
        <f t="array" ref="T29">IF(OR($B29="",ISBLANK(XLOOKUP($B29,Números_Asignados,Puesto_Asignado,"",0))),"",XLOOKUP($B29,Números_Asignados,Puesto_Asignado,"",0))</f>
        <v>Auxiliar Administrativo</v>
      </c>
      <c r="U29" s="7" t="str">
        <f t="array" ref="U29">IF(OR($B29="",ISBLANK(XLOOKUP($B29,Números_Asignados,Correos_Gmail,"",0))),"",XLOOKUP($B29,Números_Asignados,Correos_Gmail,"",0))</f>
        <v>paresendiz.agro@gmail.com</v>
      </c>
      <c r="V29" s="7" t="str">
        <f t="array" ref="V29">IF(OR($B29="",ISBLANK(XLOOKUP($B29,Números_Asignados,Correos_Institucionales,"",0))),"",XLOOKUP($B29,Números_Asignados,Correos_Institucionales,"",0))</f>
        <v>paulina.resendiz@agrocisa.com.mx</v>
      </c>
    </row>
    <row r="30" ht="15.75" customHeight="1">
      <c r="A30" s="7">
        <v>3.316172428E9</v>
      </c>
      <c r="B30" s="7">
        <v>3.316172428E9</v>
      </c>
      <c r="C30" s="7">
        <v>4.0</v>
      </c>
      <c r="D30" s="9">
        <v>599.0</v>
      </c>
      <c r="E30" s="7">
        <v>22.5</v>
      </c>
      <c r="F30" s="9" t="s">
        <v>294</v>
      </c>
      <c r="G30" s="19">
        <v>3.57369477207375E14</v>
      </c>
      <c r="H30" s="19" t="s">
        <v>1007</v>
      </c>
      <c r="I30" s="7" t="s">
        <v>1008</v>
      </c>
      <c r="J30" s="7" t="s">
        <v>194</v>
      </c>
      <c r="K30" s="19" t="s">
        <v>196</v>
      </c>
      <c r="L30" s="7" t="s">
        <v>198</v>
      </c>
      <c r="M30" s="26">
        <v>46135.0</v>
      </c>
      <c r="N30" s="7" t="s">
        <v>201</v>
      </c>
      <c r="O30" s="7"/>
      <c r="P30" s="28">
        <f t="array" ref="P30">XLOOKUP(F30,Lista_Equipos_2026,Precio_Equipos_2026," *** OJO *** ",0)</f>
        <v>10999</v>
      </c>
      <c r="Q30" s="7" t="str">
        <f t="array" ref="Q30">IF(OR($B30="",ISBLANK(XLOOKUP($B30,Números_Asignados,Nombres_Directorio,"",0))),"",XLOOKUP($B30,Números_Asignados,Nombres_Directorio,"",0))</f>
        <v>Ricardo Moreno Medina</v>
      </c>
      <c r="R30" s="7" t="str">
        <f t="array" ref="R30">IF(OR($B30="",ISBLANK(XLOOKUP($B30,Números_Asignados,Sucursal_Asignada,"",0))),"",XLOOKUP($B30,Números_Asignados,Sucursal_Asignada,"",0))</f>
        <v>La Barca</v>
      </c>
      <c r="S30" s="7" t="str">
        <f t="array" ref="S30">IF(OR($B30="",ISBLANK(XLOOKUP($B30,Números_Asignados,Departamento_Asignado,"",0))),"",XLOOKUP($B30,Números_Asignados,Departamento_Asignado,"",0))</f>
        <v>Finanzas</v>
      </c>
      <c r="T30" s="7" t="str">
        <f t="array" ref="T30">IF(OR($B30="",ISBLANK(XLOOKUP($B30,Números_Asignados,Puesto_Asignado,"",0))),"",XLOOKUP($B30,Números_Asignados,Puesto_Asignado,"",0))</f>
        <v>Auxiliar Administrativo</v>
      </c>
      <c r="U30" s="7" t="str">
        <f t="array" ref="U30">IF(OR($B30="",ISBLANK(XLOOKUP($B30,Números_Asignados,Correos_Gmail,"",0))),"",XLOOKUP($B30,Números_Asignados,Correos_Gmail,"",0))</f>
        <v>ricardomoreno.agro@gmail.com</v>
      </c>
      <c r="V30" s="7" t="str">
        <f t="array" ref="V30">IF(OR($B30="",ISBLANK(XLOOKUP($B30,Números_Asignados,Correos_Institucionales,"",0))),"",XLOOKUP($B30,Números_Asignados,Correos_Institucionales,"",0))</f>
        <v>ricardo.moreno@agrocisa.com.mx</v>
      </c>
    </row>
    <row r="31" ht="15.75" customHeight="1">
      <c r="A31" s="7">
        <v>3.316118572E9</v>
      </c>
      <c r="B31" s="7">
        <v>3.316118572E9</v>
      </c>
      <c r="C31" s="7">
        <v>1.0</v>
      </c>
      <c r="D31" s="9">
        <v>269.0</v>
      </c>
      <c r="E31" s="7">
        <v>9.0</v>
      </c>
      <c r="F31" s="9" t="s">
        <v>413</v>
      </c>
      <c r="G31" s="19">
        <v>3.52242801085459E14</v>
      </c>
      <c r="H31" s="19" t="s">
        <v>1014</v>
      </c>
      <c r="I31" s="7" t="s">
        <v>1015</v>
      </c>
      <c r="J31" s="7" t="s">
        <v>194</v>
      </c>
      <c r="K31" s="19" t="s">
        <v>196</v>
      </c>
      <c r="L31" s="7" t="s">
        <v>198</v>
      </c>
      <c r="M31" s="26">
        <v>46135.0</v>
      </c>
      <c r="N31" s="7" t="s">
        <v>201</v>
      </c>
      <c r="O31" s="7"/>
      <c r="P31" s="28">
        <f t="array" ref="P31">XLOOKUP(F31,Lista_Equipos_2026,Precio_Equipos_2026," *** OJO *** ",0)</f>
        <v>15499</v>
      </c>
      <c r="Q31" s="7" t="str">
        <f t="array" ref="Q31">IF(OR($B31="",ISBLANK(XLOOKUP($B31,Números_Asignados,Nombres_Directorio,"",0))),"",XLOOKUP($B31,Números_Asignados,Nombres_Directorio,"",0))</f>
        <v>Kathya Margarita Cerpa Velazco</v>
      </c>
      <c r="R31" s="7" t="str">
        <f t="array" ref="R31">IF(OR($B31="",ISBLANK(XLOOKUP($B31,Números_Asignados,Sucursal_Asignada,"",0))),"",XLOOKUP($B31,Números_Asignados,Sucursal_Asignada,"",0))</f>
        <v>La Barca</v>
      </c>
      <c r="S31" s="7" t="str">
        <f t="array" ref="S31">IF(OR($B31="",ISBLANK(XLOOKUP($B31,Números_Asignados,Departamento_Asignado,"",0))),"",XLOOKUP($B31,Números_Asignados,Departamento_Asignado,"",0))</f>
        <v>Corporativo</v>
      </c>
      <c r="T31" s="7" t="str">
        <f t="array" ref="T31">IF(OR($B31="",ISBLANK(XLOOKUP($B31,Números_Asignados,Puesto_Asignado,"",0))),"",XLOOKUP($B31,Números_Asignados,Puesto_Asignado,"",0))</f>
        <v>Jefa de Finanzas</v>
      </c>
      <c r="U31" s="7" t="str">
        <f t="array" ref="U31">IF(OR($B31="",ISBLANK(XLOOKUP($B31,Números_Asignados,Correos_Gmail,"",0))),"",XLOOKUP($B31,Números_Asignados,Correos_Gmail,"",0))</f>
        <v>kacerpa.agro@gmail.com</v>
      </c>
      <c r="V31" s="7" t="str">
        <f t="array" ref="V31">IF(OR($B31="",ISBLANK(XLOOKUP($B31,Números_Asignados,Correos_Institucionales,"",0))),"",XLOOKUP($B31,Números_Asignados,Correos_Institucionales,"",0))</f>
        <v>kathya.cerpa@agrocisa.com.mx</v>
      </c>
    </row>
    <row r="32" ht="15.75" customHeight="1">
      <c r="A32" s="7">
        <v>3.316156385E9</v>
      </c>
      <c r="B32" s="7">
        <v>3.316156385E9</v>
      </c>
      <c r="C32" s="7">
        <v>1.0</v>
      </c>
      <c r="D32" s="9">
        <v>269.0</v>
      </c>
      <c r="E32" s="7">
        <v>9.0</v>
      </c>
      <c r="F32" s="9" t="s">
        <v>190</v>
      </c>
      <c r="G32" s="19">
        <v>3.55174187708171E14</v>
      </c>
      <c r="H32" s="19" t="s">
        <v>1026</v>
      </c>
      <c r="I32" s="7" t="s">
        <v>1027</v>
      </c>
      <c r="J32" s="19" t="s">
        <v>194</v>
      </c>
      <c r="K32" s="19" t="s">
        <v>196</v>
      </c>
      <c r="L32" s="7" t="s">
        <v>198</v>
      </c>
      <c r="M32" s="7" t="s">
        <v>275</v>
      </c>
      <c r="N32" s="7" t="s">
        <v>201</v>
      </c>
      <c r="O32" s="7"/>
      <c r="P32" s="28">
        <f t="array" ref="P32">XLOOKUP(F32,Lista_Equipos_2026,Precio_Equipos_2026," *** OJO *** ",0)</f>
        <v>7499</v>
      </c>
      <c r="Q32" s="7" t="str">
        <f t="array" ref="Q32">IF(OR($B32="",ISBLANK(XLOOKUP($B32,Números_Asignados,Nombres_Directorio,"",0))),"",XLOOKUP($B32,Números_Asignados,Nombres_Directorio,"",0))</f>
        <v>Juana Alejandra García Jiménez</v>
      </c>
      <c r="R32" s="7" t="str">
        <f t="array" ref="R32">IF(OR($B32="",ISBLANK(XLOOKUP($B32,Números_Asignados,Sucursal_Asignada,"",0))),"",XLOOKUP($B32,Números_Asignados,Sucursal_Asignada,"",0))</f>
        <v>La Barca</v>
      </c>
      <c r="S32" s="7" t="str">
        <f t="array" ref="S32">IF(OR($B32="",ISBLANK(XLOOKUP($B32,Números_Asignados,Departamento_Asignado,"",0))),"",XLOOKUP($B32,Números_Asignados,Departamento_Asignado,"",0))</f>
        <v>Jurídico</v>
      </c>
      <c r="T32" s="7" t="str">
        <f t="array" ref="T32">IF(OR($B32="",ISBLANK(XLOOKUP($B32,Números_Asignados,Puesto_Asignado,"",0))),"",XLOOKUP($B32,Números_Asignados,Puesto_Asignado,"",0))</f>
        <v>Representante Legal</v>
      </c>
      <c r="U32" s="7" t="str">
        <f t="array" ref="U32">IF(OR($B32="",ISBLANK(XLOOKUP($B32,Números_Asignados,Correos_Gmail,"",0))),"",XLOOKUP($B32,Números_Asignados,Correos_Gmail,"",0))</f>
        <v>alegarcia.agro@gmail.com</v>
      </c>
      <c r="V32" s="7" t="str">
        <f t="array" ref="V32">IF(OR($B32="",ISBLANK(XLOOKUP($B32,Números_Asignados,Correos_Institucionales,"",0))),"",XLOOKUP($B32,Números_Asignados,Correos_Institucionales,"",0))</f>
        <v>juana.garcia@agrocisa.com.mx</v>
      </c>
    </row>
    <row r="33" ht="15.75" customHeight="1">
      <c r="A33" s="7">
        <v>3.316098501E9</v>
      </c>
      <c r="B33" s="7">
        <v>3.316098501E9</v>
      </c>
      <c r="C33" s="7">
        <v>1.0</v>
      </c>
      <c r="D33" s="9">
        <v>269.0</v>
      </c>
      <c r="E33" s="7">
        <v>9.0</v>
      </c>
      <c r="F33" s="9" t="s">
        <v>190</v>
      </c>
      <c r="G33" s="19">
        <v>3.55174187707793E14</v>
      </c>
      <c r="H33" s="19" t="s">
        <v>1043</v>
      </c>
      <c r="I33" s="7" t="s">
        <v>1044</v>
      </c>
      <c r="J33" s="19" t="s">
        <v>194</v>
      </c>
      <c r="K33" s="19" t="s">
        <v>196</v>
      </c>
      <c r="L33" s="7" t="s">
        <v>198</v>
      </c>
      <c r="M33" s="26">
        <v>46136.0</v>
      </c>
      <c r="N33" s="7" t="s">
        <v>201</v>
      </c>
      <c r="O33" s="7"/>
      <c r="P33" s="28">
        <f t="array" ref="P33">XLOOKUP(F33,Lista_Equipos_2026,Precio_Equipos_2026," *** OJO *** ",0)</f>
        <v>7499</v>
      </c>
      <c r="Q33" s="7" t="str">
        <f t="array" ref="Q33">IF(OR($B33="",ISBLANK(XLOOKUP($B33,Números_Asignados,Nombres_Directorio,"",0))),"",XLOOKUP($B33,Números_Asignados,Nombres_Directorio,"",0))</f>
        <v>José Antonio Gómez Malacara</v>
      </c>
      <c r="R33" s="7" t="str">
        <f t="array" ref="R33">IF(OR($B33="",ISBLANK(XLOOKUP($B33,Números_Asignados,Sucursal_Asignada,"",0))),"",XLOOKUP($B33,Números_Asignados,Sucursal_Asignada,"",0))</f>
        <v>La Barca</v>
      </c>
      <c r="S33" s="7" t="str">
        <f t="array" ref="S33">IF(OR($B33="",ISBLANK(XLOOKUP($B33,Números_Asignados,Departamento_Asignado,"",0))),"",XLOOKUP($B33,Números_Asignados,Departamento_Asignado,"",0))</f>
        <v>Mantenimiento</v>
      </c>
      <c r="T33" s="7" t="str">
        <f t="array" ref="T33">IF(OR($B33="",ISBLANK(XLOOKUP($B33,Números_Asignados,Puesto_Asignado,"",0))),"",XLOOKUP($B33,Números_Asignados,Puesto_Asignado,"",0))</f>
        <v>Jefe de Mantenimiento</v>
      </c>
      <c r="U33" s="7" t="str">
        <f t="array" ref="U33">IF(OR($B33="",ISBLANK(XLOOKUP($B33,Números_Asignados,Correos_Gmail,"",0))),"",XLOOKUP($B33,Números_Asignados,Correos_Gmail,"",0))</f>
        <v>jantonio.agro@gmail.com</v>
      </c>
      <c r="V33" s="7" t="str">
        <f t="array" ref="V33">IF(OR($B33="",ISBLANK(XLOOKUP($B33,Números_Asignados,Correos_Institucionales,"",0))),"",XLOOKUP($B33,Números_Asignados,Correos_Institucionales,"",0))</f>
        <v>jose.malacara@agrocisa.com.mx</v>
      </c>
    </row>
    <row r="34" ht="15.75" customHeight="1">
      <c r="A34" s="7">
        <v>3.316142992E9</v>
      </c>
      <c r="B34" s="7">
        <v>3.316142992E9</v>
      </c>
      <c r="C34" s="7">
        <v>1.0</v>
      </c>
      <c r="D34" s="9">
        <v>269.0</v>
      </c>
      <c r="E34" s="7">
        <v>9.0</v>
      </c>
      <c r="F34" s="9" t="s">
        <v>294</v>
      </c>
      <c r="G34" s="19">
        <v>3.57369477204208E14</v>
      </c>
      <c r="H34" s="19" t="s">
        <v>1048</v>
      </c>
      <c r="I34" s="7" t="s">
        <v>1049</v>
      </c>
      <c r="J34" s="7" t="s">
        <v>194</v>
      </c>
      <c r="K34" s="19" t="s">
        <v>196</v>
      </c>
      <c r="L34" s="7" t="s">
        <v>198</v>
      </c>
      <c r="M34" s="26">
        <v>46137.0</v>
      </c>
      <c r="N34" s="7" t="s">
        <v>201</v>
      </c>
      <c r="O34" s="7"/>
      <c r="P34" s="28">
        <f t="array" ref="P34">XLOOKUP(F34,Lista_Equipos_2026,Precio_Equipos_2026," *** OJO *** ",0)</f>
        <v>10999</v>
      </c>
      <c r="Q34" s="7" t="str">
        <f t="array" ref="Q34">IF(OR($B34="",ISBLANK(XLOOKUP($B34,Números_Asignados,Nombres_Directorio,"",0))),"",XLOOKUP($B34,Números_Asignados,Nombres_Directorio,"",0))</f>
        <v>David Villaseñor Núñez</v>
      </c>
      <c r="R34" s="7" t="str">
        <f t="array" ref="R34">IF(OR($B34="",ISBLANK(XLOOKUP($B34,Números_Asignados,Sucursal_Asignada,"",0))),"",XLOOKUP($B34,Números_Asignados,Sucursal_Asignada,"",0))</f>
        <v>La Barca</v>
      </c>
      <c r="S34" s="7" t="str">
        <f t="array" ref="S34">IF(OR($B34="",ISBLANK(XLOOKUP($B34,Números_Asignados,Departamento_Asignado,"",0))),"",XLOOKUP($B34,Números_Asignados,Departamento_Asignado,"",0))</f>
        <v>Maquinaria Agrícola</v>
      </c>
      <c r="T34" s="7" t="str">
        <f t="array" ref="T34">IF(OR($B34="",ISBLANK(XLOOKUP($B34,Números_Asignados,Puesto_Asignado,"",0))),"",XLOOKUP($B34,Números_Asignados,Puesto_Asignado,"",0))</f>
        <v>Analista Comercial</v>
      </c>
      <c r="U34" s="7" t="str">
        <f t="array" ref="U34">IF(OR($B34="",ISBLANK(XLOOKUP($B34,Números_Asignados,Correos_Gmail,"",0))),"",XLOOKUP($B34,Números_Asignados,Correos_Gmail,"",0))</f>
        <v>analistacomercial@agrocisa.com.mx</v>
      </c>
      <c r="V34" s="7" t="str">
        <f t="array" ref="V34">IF(OR($B34="",ISBLANK(XLOOKUP($B34,Números_Asignados,Correos_Institucionales,"",0))),"",XLOOKUP($B34,Números_Asignados,Correos_Institucionales,"",0))</f>
        <v>david.villasenor@agrcoisa.com.mx</v>
      </c>
    </row>
    <row r="35" ht="15.75" customHeight="1">
      <c r="A35" s="7">
        <v>3.316158093E9</v>
      </c>
      <c r="B35" s="7">
        <v>3.316158093E9</v>
      </c>
      <c r="C35" s="7">
        <v>4.0</v>
      </c>
      <c r="D35" s="9">
        <v>599.0</v>
      </c>
      <c r="E35" s="7">
        <v>22.5</v>
      </c>
      <c r="F35" s="9" t="s">
        <v>294</v>
      </c>
      <c r="G35" s="19">
        <v>3.573694772073E14</v>
      </c>
      <c r="H35" s="19" t="s">
        <v>1051</v>
      </c>
      <c r="I35" s="7" t="s">
        <v>1052</v>
      </c>
      <c r="J35" s="19" t="s">
        <v>194</v>
      </c>
      <c r="K35" s="19" t="s">
        <v>196</v>
      </c>
      <c r="L35" s="7" t="s">
        <v>198</v>
      </c>
      <c r="M35" s="26">
        <v>46139.0</v>
      </c>
      <c r="N35" s="7" t="s">
        <v>201</v>
      </c>
      <c r="O35" s="7"/>
      <c r="P35" s="28">
        <f t="array" ref="P35">XLOOKUP(F35,Lista_Equipos_2026,Precio_Equipos_2026," *** OJO *** ",0)</f>
        <v>10999</v>
      </c>
      <c r="Q35" s="7" t="str">
        <f t="array" ref="Q35">IF(OR($B35="",ISBLANK(XLOOKUP($B35,Números_Asignados,Nombres_Directorio,"",0))),"",XLOOKUP($B35,Números_Asignados,Nombres_Directorio,"",0))</f>
        <v>Daniel Gerardo Aviña Bravo</v>
      </c>
      <c r="R35" s="7" t="str">
        <f t="array" ref="R35">IF(OR($B35="",ISBLANK(XLOOKUP($B35,Números_Asignados,Sucursal_Asignada,"",0))),"",XLOOKUP($B35,Números_Asignados,Sucursal_Asignada,"",0))</f>
        <v>La Barca</v>
      </c>
      <c r="S35" s="7" t="str">
        <f t="array" ref="S35">IF(OR($B35="",ISBLANK(XLOOKUP($B35,Números_Asignados,Departamento_Asignado,"",0))),"",XLOOKUP($B35,Números_Asignados,Departamento_Asignado,"",0))</f>
        <v>Maquinaria Agrícola</v>
      </c>
      <c r="T35" s="7" t="str">
        <f t="array" ref="T35">IF(OR($B35="",ISBLANK(XLOOKUP($B35,Números_Asignados,Puesto_Asignado,"",0))),"",XLOOKUP($B35,Números_Asignados,Puesto_Asignado,"",0))</f>
        <v>Asesor de Ventas</v>
      </c>
      <c r="U35" s="7" t="str">
        <f t="array" ref="U35">IF(OR($B35="",ISBLANK(XLOOKUP($B35,Números_Asignados,Correos_Gmail,"",0))),"",XLOOKUP($B35,Números_Asignados,Correos_Gmail,"",0))</f>
        <v>daniel.avina@agrocisa.com.mx</v>
      </c>
      <c r="V35" s="7" t="str">
        <f t="array" ref="V35">IF(OR($B35="",ISBLANK(XLOOKUP($B35,Números_Asignados,Correos_Institucionales,"",0))),"",XLOOKUP($B35,Números_Asignados,Correos_Institucionales,"",0))</f>
        <v>daniel.avina@agrocisa.com.mx</v>
      </c>
    </row>
    <row r="36" ht="15.75" customHeight="1">
      <c r="A36" s="7">
        <v>3.921368749E9</v>
      </c>
      <c r="B36" s="40">
        <v>3.318621158E9</v>
      </c>
      <c r="C36" s="7">
        <v>4.0</v>
      </c>
      <c r="D36" s="9">
        <v>599.0</v>
      </c>
      <c r="E36" s="7">
        <v>22.5</v>
      </c>
      <c r="F36" s="7" t="s">
        <v>294</v>
      </c>
      <c r="G36" s="19">
        <v>3.57369477239824E14</v>
      </c>
      <c r="H36" s="7" t="s">
        <v>1057</v>
      </c>
      <c r="I36" s="7" t="s">
        <v>1058</v>
      </c>
      <c r="J36" s="7" t="s">
        <v>194</v>
      </c>
      <c r="K36" s="7" t="s">
        <v>196</v>
      </c>
      <c r="L36" s="7" t="s">
        <v>198</v>
      </c>
      <c r="M36" s="26">
        <v>46137.0</v>
      </c>
      <c r="N36" s="7" t="s">
        <v>201</v>
      </c>
      <c r="O36" s="7" t="s">
        <v>867</v>
      </c>
      <c r="P36" s="28">
        <f t="array" ref="P36">XLOOKUP(F36,Lista_Equipos_2026,Precio_Equipos_2026," *** OJO *** ",0)</f>
        <v>10999</v>
      </c>
      <c r="Q36" s="7" t="str">
        <f t="array" ref="Q36">IF(OR($B36="",ISBLANK(XLOOKUP($B36,Números_Asignados,Nombres_Directorio,"",0))),"",XLOOKUP($B36,Números_Asignados,Nombres_Directorio,"",0))</f>
        <v>Guillermo Barboza Santiago</v>
      </c>
      <c r="R36" s="7" t="str">
        <f t="array" ref="R36">IF(OR($B36="",ISBLANK(XLOOKUP($B36,Números_Asignados,Sucursal_Asignada,"",0))),"",XLOOKUP($B36,Números_Asignados,Sucursal_Asignada,"",0))</f>
        <v>La Barca</v>
      </c>
      <c r="S36" s="7" t="str">
        <f t="array" ref="S36">IF(OR($B36="",ISBLANK(XLOOKUP($B36,Números_Asignados,Departamento_Asignado,"",0))),"",XLOOKUP($B36,Números_Asignados,Departamento_Asignado,"",0))</f>
        <v>Maquinaria Agrícola</v>
      </c>
      <c r="T36" s="7" t="str">
        <f t="array" ref="T36">IF(OR($B36="",ISBLANK(XLOOKUP($B36,Números_Asignados,Puesto_Asignado,"",0))),"",XLOOKUP($B36,Números_Asignados,Puesto_Asignado,"",0))</f>
        <v>Asesor de Ventas</v>
      </c>
      <c r="U36" s="7" t="str">
        <f t="array" ref="U36">IF(OR($B36="",ISBLANK(XLOOKUP($B36,Números_Asignados,Correos_Gmail,"",0))),"",XLOOKUP($B36,Números_Asignados,Correos_Gmail,"",0))</f>
        <v>gbarboza.agro@gmail.com</v>
      </c>
      <c r="V36" s="7" t="str">
        <f t="array" ref="V36">IF(OR($B36="",ISBLANK(XLOOKUP($B36,Números_Asignados,Correos_Institucionales,"",0))),"",XLOOKUP($B36,Números_Asignados,Correos_Institucionales,"",0))</f>
        <v>guillermo.barboza@agrocisa.com.mx</v>
      </c>
    </row>
    <row r="37" ht="15.75" customHeight="1">
      <c r="A37" s="7">
        <v>3.51111143E9</v>
      </c>
      <c r="B37" s="7">
        <v>3.51111143E9</v>
      </c>
      <c r="C37" s="7">
        <v>4.0</v>
      </c>
      <c r="D37" s="9">
        <v>599.0</v>
      </c>
      <c r="E37" s="7">
        <v>22.5</v>
      </c>
      <c r="F37" s="9" t="s">
        <v>294</v>
      </c>
      <c r="G37" s="19">
        <v>3.57369477214934E14</v>
      </c>
      <c r="H37" s="19" t="s">
        <v>1060</v>
      </c>
      <c r="I37" s="7" t="s">
        <v>1061</v>
      </c>
      <c r="J37" s="19" t="s">
        <v>194</v>
      </c>
      <c r="K37" s="19" t="s">
        <v>196</v>
      </c>
      <c r="L37" s="7" t="s">
        <v>198</v>
      </c>
      <c r="M37" s="26">
        <v>46135.0</v>
      </c>
      <c r="N37" s="7" t="s">
        <v>201</v>
      </c>
      <c r="O37" s="7"/>
      <c r="P37" s="28">
        <f t="array" ref="P37">XLOOKUP(F37,Lista_Equipos_2026,Precio_Equipos_2026," *** OJO *** ",0)</f>
        <v>10999</v>
      </c>
      <c r="Q37" s="7" t="str">
        <f t="array" ref="Q37">IF(OR($B37="",ISBLANK(XLOOKUP($B37,Números_Asignados,Nombres_Directorio,"",0))),"",XLOOKUP($B37,Números_Asignados,Nombres_Directorio,"",0))</f>
        <v>Jesús Pérez Pérez</v>
      </c>
      <c r="R37" s="7" t="str">
        <f t="array" ref="R37">IF(OR($B37="",ISBLANK(XLOOKUP($B37,Números_Asignados,Sucursal_Asignada,"",0))),"",XLOOKUP($B37,Números_Asignados,Sucursal_Asignada,"",0))</f>
        <v>La Barca</v>
      </c>
      <c r="S37" s="7" t="str">
        <f t="array" ref="S37">IF(OR($B37="",ISBLANK(XLOOKUP($B37,Números_Asignados,Departamento_Asignado,"",0))),"",XLOOKUP($B37,Números_Asignados,Departamento_Asignado,"",0))</f>
        <v>Maquinaria Agrícola</v>
      </c>
      <c r="T37" s="7" t="str">
        <f t="array" ref="T37">IF(OR($B37="",ISBLANK(XLOOKUP($B37,Números_Asignados,Puesto_Asignado,"",0))),"",XLOOKUP($B37,Números_Asignados,Puesto_Asignado,"",0))</f>
        <v>Asesor de Ventas</v>
      </c>
      <c r="U37" s="7" t="str">
        <f t="array" ref="U37">IF(OR($B37="",ISBLANK(XLOOKUP($B37,Números_Asignados,Correos_Gmail,"",0))),"",XLOOKUP($B37,Números_Asignados,Correos_Gmail,"",0))</f>
        <v>jeperez.agro@gmail.com</v>
      </c>
      <c r="V37" s="7" t="str">
        <f t="array" ref="V37">IF(OR($B37="",ISBLANK(XLOOKUP($B37,Números_Asignados,Correos_Institucionales,"",0))),"",XLOOKUP($B37,Números_Asignados,Correos_Institucionales,"",0))</f>
        <v>jesus.perez@agrocisa.com.mx</v>
      </c>
    </row>
    <row r="38" ht="15.75" customHeight="1">
      <c r="A38" s="7">
        <v>3.316091328E9</v>
      </c>
      <c r="B38" s="7">
        <v>3.316091328E9</v>
      </c>
      <c r="C38" s="7">
        <v>4.0</v>
      </c>
      <c r="D38" s="9">
        <v>599.0</v>
      </c>
      <c r="E38" s="7">
        <v>22.5</v>
      </c>
      <c r="F38" s="9" t="s">
        <v>294</v>
      </c>
      <c r="G38" s="19">
        <v>3.57369477204349E14</v>
      </c>
      <c r="H38" s="19" t="s">
        <v>1066</v>
      </c>
      <c r="I38" s="7" t="s">
        <v>1067</v>
      </c>
      <c r="J38" s="7" t="s">
        <v>194</v>
      </c>
      <c r="K38" s="19" t="s">
        <v>196</v>
      </c>
      <c r="L38" s="7" t="s">
        <v>198</v>
      </c>
      <c r="M38" s="26">
        <v>46136.0</v>
      </c>
      <c r="N38" s="7" t="s">
        <v>201</v>
      </c>
      <c r="O38" s="7"/>
      <c r="P38" s="28">
        <f t="array" ref="P38">XLOOKUP(F38,Lista_Equipos_2026,Precio_Equipos_2026," *** OJO *** ",0)</f>
        <v>10999</v>
      </c>
      <c r="Q38" s="7" t="str">
        <f t="array" ref="Q38">IF(OR($B38="",ISBLANK(XLOOKUP($B38,Números_Asignados,Nombres_Directorio,"",0))),"",XLOOKUP($B38,Números_Asignados,Nombres_Directorio,"",0))</f>
        <v>Joaquín de Jesús Hernández Rojas</v>
      </c>
      <c r="R38" s="7" t="str">
        <f t="array" ref="R38">IF(OR($B38="",ISBLANK(XLOOKUP($B38,Números_Asignados,Sucursal_Asignada,"",0))),"",XLOOKUP($B38,Números_Asignados,Sucursal_Asignada,"",0))</f>
        <v>La Barca</v>
      </c>
      <c r="S38" s="7" t="str">
        <f t="array" ref="S38">IF(OR($B38="",ISBLANK(XLOOKUP($B38,Números_Asignados,Departamento_Asignado,"",0))),"",XLOOKUP($B38,Números_Asignados,Departamento_Asignado,"",0))</f>
        <v>Maquinaria Agrícola</v>
      </c>
      <c r="T38" s="7" t="str">
        <f t="array" ref="T38">IF(OR($B38="",ISBLANK(XLOOKUP($B38,Números_Asignados,Puesto_Asignado,"",0))),"",XLOOKUP($B38,Números_Asignados,Puesto_Asignado,"",0))</f>
        <v>Asesor de Ventas</v>
      </c>
      <c r="U38" s="7" t="str">
        <f t="array" ref="U38">IF(OR($B38="",ISBLANK(XLOOKUP($B38,Números_Asignados,Correos_Gmail,"",0))),"",XLOOKUP($B38,Números_Asignados,Correos_Gmail,"",0))</f>
        <v>jhernandez.agrocisa@gmail.com</v>
      </c>
      <c r="V38" s="7" t="str">
        <f t="array" ref="V38">IF(OR($B38="",ISBLANK(XLOOKUP($B38,Números_Asignados,Correos_Institucionales,"",0))),"",XLOOKUP($B38,Números_Asignados,Correos_Institucionales,"",0))</f>
        <v>joaquin.hernandez@agrocisa.com.mx</v>
      </c>
    </row>
    <row r="39" ht="15.75" customHeight="1">
      <c r="A39" s="7">
        <v>3.931196104E9</v>
      </c>
      <c r="B39" s="7">
        <v>3.931196104E9</v>
      </c>
      <c r="C39" s="7">
        <v>4.0</v>
      </c>
      <c r="D39" s="9">
        <v>599.0</v>
      </c>
      <c r="E39" s="7">
        <v>22.5</v>
      </c>
      <c r="F39" s="9" t="s">
        <v>294</v>
      </c>
      <c r="G39" s="19">
        <v>3.5736947722178E14</v>
      </c>
      <c r="H39" s="19" t="s">
        <v>1074</v>
      </c>
      <c r="I39" s="7" t="s">
        <v>1075</v>
      </c>
      <c r="J39" s="7" t="s">
        <v>194</v>
      </c>
      <c r="K39" s="19" t="s">
        <v>196</v>
      </c>
      <c r="L39" s="7" t="s">
        <v>198</v>
      </c>
      <c r="M39" s="26">
        <v>46137.0</v>
      </c>
      <c r="N39" s="7" t="s">
        <v>201</v>
      </c>
      <c r="O39" s="7"/>
      <c r="P39" s="28">
        <f t="array" ref="P39">XLOOKUP(F39,Lista_Equipos_2026,Precio_Equipos_2026," *** OJO *** ",0)</f>
        <v>10999</v>
      </c>
      <c r="Q39" s="7" t="str">
        <f t="array" ref="Q39">IF(OR($B39="",ISBLANK(XLOOKUP($B39,Números_Asignados,Nombres_Directorio,"",0))),"",XLOOKUP($B39,Números_Asignados,Nombres_Directorio,"",0))</f>
        <v>José Luis Flores Barragán </v>
      </c>
      <c r="R39" s="7" t="str">
        <f t="array" ref="R39">IF(OR($B39="",ISBLANK(XLOOKUP($B39,Números_Asignados,Sucursal_Asignada,"",0))),"",XLOOKUP($B39,Números_Asignados,Sucursal_Asignada,"",0))</f>
        <v>La Barca</v>
      </c>
      <c r="S39" s="7" t="str">
        <f t="array" ref="S39">IF(OR($B39="",ISBLANK(XLOOKUP($B39,Números_Asignados,Departamento_Asignado,"",0))),"",XLOOKUP($B39,Números_Asignados,Departamento_Asignado,"",0))</f>
        <v>Maquinaria Agrícola</v>
      </c>
      <c r="T39" s="7" t="str">
        <f t="array" ref="T39">IF(OR($B39="",ISBLANK(XLOOKUP($B39,Números_Asignados,Puesto_Asignado,"",0))),"",XLOOKUP($B39,Números_Asignados,Puesto_Asignado,"",0))</f>
        <v>Asesor de Ventas</v>
      </c>
      <c r="U39" s="7" t="str">
        <f t="array" ref="U39">IF(OR($B39="",ISBLANK(XLOOKUP($B39,Números_Asignados,Correos_Gmail,"",0))),"",XLOOKUP($B39,Números_Asignados,Correos_Gmail,"",0))</f>
        <v>jose.flores.agro@gmail.com</v>
      </c>
      <c r="V39" s="7" t="str">
        <f t="array" ref="V39">IF(OR($B39="",ISBLANK(XLOOKUP($B39,Números_Asignados,Correos_Institucionales,"",0))),"",XLOOKUP($B39,Números_Asignados,Correos_Institucionales,"",0))</f>
        <v>jose.flores@agrocisa.com.mx</v>
      </c>
    </row>
    <row r="40" ht="15.75" customHeight="1">
      <c r="A40" s="7">
        <v>3.316135604E9</v>
      </c>
      <c r="B40" s="7">
        <v>3.316135604E9</v>
      </c>
      <c r="C40" s="7">
        <v>4.0</v>
      </c>
      <c r="D40" s="9">
        <v>599.0</v>
      </c>
      <c r="E40" s="7">
        <v>22.5</v>
      </c>
      <c r="F40" s="9" t="s">
        <v>294</v>
      </c>
      <c r="G40" s="19">
        <v>3.57369477207136E14</v>
      </c>
      <c r="H40" s="19" t="s">
        <v>1127</v>
      </c>
      <c r="I40" s="7" t="s">
        <v>1128</v>
      </c>
      <c r="J40" s="7" t="s">
        <v>194</v>
      </c>
      <c r="K40" s="19" t="s">
        <v>196</v>
      </c>
      <c r="L40" s="7" t="s">
        <v>198</v>
      </c>
      <c r="M40" s="26">
        <v>46139.0</v>
      </c>
      <c r="N40" s="7" t="s">
        <v>201</v>
      </c>
      <c r="O40" s="7"/>
      <c r="P40" s="28">
        <f t="array" ref="P40">XLOOKUP(F40,Lista_Equipos_2026,Precio_Equipos_2026," *** OJO *** ",0)</f>
        <v>10999</v>
      </c>
      <c r="Q40" s="7" t="str">
        <f t="array" ref="Q40">IF(OR($B40="",ISBLANK(XLOOKUP($B40,Números_Asignados,Nombres_Directorio,"",0))),"",XLOOKUP($B40,Números_Asignados,Nombres_Directorio,"",0))</f>
        <v>Luis Ernesto Santiago González</v>
      </c>
      <c r="R40" s="7" t="str">
        <f t="array" ref="R40">IF(OR($B40="",ISBLANK(XLOOKUP($B40,Números_Asignados,Sucursal_Asignada,"",0))),"",XLOOKUP($B40,Números_Asignados,Sucursal_Asignada,"",0))</f>
        <v>La Barca</v>
      </c>
      <c r="S40" s="7" t="str">
        <f t="array" ref="S40">IF(OR($B40="",ISBLANK(XLOOKUP($B40,Números_Asignados,Departamento_Asignado,"",0))),"",XLOOKUP($B40,Números_Asignados,Departamento_Asignado,"",0))</f>
        <v>Maquinaria Agrícola</v>
      </c>
      <c r="T40" s="7" t="str">
        <f t="array" ref="T40">IF(OR($B40="",ISBLANK(XLOOKUP($B40,Números_Asignados,Puesto_Asignado,"",0))),"",XLOOKUP($B40,Números_Asignados,Puesto_Asignado,"",0))</f>
        <v>Asesor de Ventas</v>
      </c>
      <c r="U40" s="7" t="str">
        <f t="array" ref="U40">IF(OR($B40="",ISBLANK(XLOOKUP($B40,Números_Asignados,Correos_Gmail,"",0))),"",XLOOKUP($B40,Números_Asignados,Correos_Gmail,"",0))</f>
        <v>lsantiago.agro@gmail.com</v>
      </c>
      <c r="V40" s="7" t="str">
        <f t="array" ref="V40">IF(OR($B40="",ISBLANK(XLOOKUP($B40,Números_Asignados,Correos_Institucionales,"",0))),"",XLOOKUP($B40,Números_Asignados,Correos_Institucionales,"",0))</f>
        <v>luis.santiago@agrocisa.com.mx</v>
      </c>
    </row>
    <row r="41" ht="15.75" customHeight="1">
      <c r="A41" s="7">
        <v>3.318218012E9</v>
      </c>
      <c r="B41" s="7">
        <v>3.318218012E9</v>
      </c>
      <c r="C41" s="7">
        <v>4.0</v>
      </c>
      <c r="D41" s="9">
        <v>599.0</v>
      </c>
      <c r="E41" s="7">
        <v>22.5</v>
      </c>
      <c r="F41" s="9" t="s">
        <v>294</v>
      </c>
      <c r="G41" s="19">
        <v>3.57369477208704E14</v>
      </c>
      <c r="H41" s="19" t="s">
        <v>1136</v>
      </c>
      <c r="I41" s="7" t="s">
        <v>1137</v>
      </c>
      <c r="J41" s="7" t="s">
        <v>194</v>
      </c>
      <c r="K41" s="19" t="s">
        <v>196</v>
      </c>
      <c r="L41" s="7" t="s">
        <v>198</v>
      </c>
      <c r="M41" s="26">
        <v>46139.0</v>
      </c>
      <c r="N41" s="7" t="s">
        <v>201</v>
      </c>
      <c r="O41" s="7"/>
      <c r="P41" s="28">
        <f t="array" ref="P41">XLOOKUP(F41,Lista_Equipos_2026,Precio_Equipos_2026," *** OJO *** ",0)</f>
        <v>10999</v>
      </c>
      <c r="Q41" s="7" t="str">
        <f t="array" ref="Q41">IF(OR($B41="",ISBLANK(XLOOKUP($B41,Números_Asignados,Nombres_Directorio,"",0))),"",XLOOKUP($B41,Números_Asignados,Nombres_Directorio,"",0))</f>
        <v>Luis Felipe Barboza Román</v>
      </c>
      <c r="R41" s="7" t="str">
        <f t="array" ref="R41">IF(OR($B41="",ISBLANK(XLOOKUP($B41,Números_Asignados,Sucursal_Asignada,"",0))),"",XLOOKUP($B41,Números_Asignados,Sucursal_Asignada,"",0))</f>
        <v>La Barca</v>
      </c>
      <c r="S41" s="7" t="str">
        <f t="array" ref="S41">IF(OR($B41="",ISBLANK(XLOOKUP($B41,Números_Asignados,Departamento_Asignado,"",0))),"",XLOOKUP($B41,Números_Asignados,Departamento_Asignado,"",0))</f>
        <v>Maquinaria Agrícola</v>
      </c>
      <c r="T41" s="7" t="str">
        <f t="array" ref="T41">IF(OR($B41="",ISBLANK(XLOOKUP($B41,Números_Asignados,Puesto_Asignado,"",0))),"",XLOOKUP($B41,Números_Asignados,Puesto_Asignado,"",0))</f>
        <v>Asesor de Ventas</v>
      </c>
      <c r="U41" s="7" t="str">
        <f t="array" ref="U41">IF(OR($B41="",ISBLANK(XLOOKUP($B41,Números_Asignados,Correos_Gmail,"",0))),"",XLOOKUP($B41,Números_Asignados,Correos_Gmail,"",0))</f>
        <v>luis.barboza@agrocisa.com.mx</v>
      </c>
      <c r="V41" s="7" t="str">
        <f t="array" ref="V41">IF(OR($B41="",ISBLANK(XLOOKUP($B41,Números_Asignados,Correos_Institucionales,"",0))),"",XLOOKUP($B41,Números_Asignados,Correos_Institucionales,"",0))</f>
        <v>luis.barboza@agrocisa.com.mx</v>
      </c>
    </row>
    <row r="42" ht="15.75" customHeight="1">
      <c r="A42" s="7">
        <v>3.931047948E9</v>
      </c>
      <c r="B42" s="7">
        <v>3.931047948E9</v>
      </c>
      <c r="C42" s="7">
        <v>4.0</v>
      </c>
      <c r="D42" s="9">
        <v>599.0</v>
      </c>
      <c r="E42" s="7">
        <v>22.5</v>
      </c>
      <c r="F42" s="9" t="s">
        <v>294</v>
      </c>
      <c r="G42" s="19">
        <v>3.57369477217192E14</v>
      </c>
      <c r="H42" s="19" t="s">
        <v>1139</v>
      </c>
      <c r="I42" s="7" t="s">
        <v>1140</v>
      </c>
      <c r="J42" s="7" t="s">
        <v>194</v>
      </c>
      <c r="K42" s="19" t="s">
        <v>196</v>
      </c>
      <c r="L42" s="7" t="s">
        <v>198</v>
      </c>
      <c r="M42" s="26">
        <v>46165.0</v>
      </c>
      <c r="N42" s="7" t="s">
        <v>201</v>
      </c>
      <c r="O42" s="7"/>
      <c r="P42" s="28">
        <f t="array" ref="P42">XLOOKUP(F42,Lista_Equipos_2026,Precio_Equipos_2026," *** OJO *** ",0)</f>
        <v>10999</v>
      </c>
      <c r="Q42" s="7" t="str">
        <f t="array" ref="Q42">IF(OR($B42="",ISBLANK(XLOOKUP($B42,Números_Asignados,Nombres_Directorio,"",0))),"",XLOOKUP($B42,Números_Asignados,Nombres_Directorio,"",0))</f>
        <v>María Guadalupe Aviña Cervantes</v>
      </c>
      <c r="R42" s="7" t="str">
        <f t="array" ref="R42">IF(OR($B42="",ISBLANK(XLOOKUP($B42,Números_Asignados,Sucursal_Asignada,"",0))),"",XLOOKUP($B42,Números_Asignados,Sucursal_Asignada,"",0))</f>
        <v>La Barca</v>
      </c>
      <c r="S42" s="7" t="str">
        <f t="array" ref="S42">IF(OR($B42="",ISBLANK(XLOOKUP($B42,Números_Asignados,Departamento_Asignado,"",0))),"",XLOOKUP($B42,Números_Asignados,Departamento_Asignado,"",0))</f>
        <v>Maquinaria Agrícola</v>
      </c>
      <c r="T42" s="7" t="str">
        <f t="array" ref="T42">IF(OR($B42="",ISBLANK(XLOOKUP($B42,Números_Asignados,Puesto_Asignado,"",0))),"",XLOOKUP($B42,Números_Asignados,Puesto_Asignado,"",0))</f>
        <v>Asesor de Ventas</v>
      </c>
      <c r="U42" s="7" t="str">
        <f t="array" ref="U42">IF(OR($B42="",ISBLANK(XLOOKUP($B42,Números_Asignados,Correos_Gmail,"",0))),"",XLOOKUP($B42,Números_Asignados,Correos_Gmail,"",0))</f>
        <v>gavina.agro@gmail.com</v>
      </c>
      <c r="V42" s="7" t="str">
        <f t="array" ref="V42">IF(OR($B42="",ISBLANK(XLOOKUP($B42,Números_Asignados,Correos_Institucionales,"",0))),"",XLOOKUP($B42,Números_Asignados,Correos_Institucionales,"",0))</f>
        <v>guadalupe.avina@agrocisa.com.mx</v>
      </c>
    </row>
    <row r="43" ht="15.75" customHeight="1">
      <c r="A43" s="7">
        <v>3.312846765E9</v>
      </c>
      <c r="B43" s="7">
        <v>3.312846765E9</v>
      </c>
      <c r="C43" s="7">
        <v>4.0</v>
      </c>
      <c r="D43" s="9">
        <v>599.0</v>
      </c>
      <c r="E43" s="7">
        <v>22.5</v>
      </c>
      <c r="F43" s="9" t="s">
        <v>413</v>
      </c>
      <c r="G43" s="19">
        <v>3.52242801088818E14</v>
      </c>
      <c r="H43" s="19" t="s">
        <v>1141</v>
      </c>
      <c r="I43" s="7" t="s">
        <v>1142</v>
      </c>
      <c r="J43" s="7" t="s">
        <v>194</v>
      </c>
      <c r="K43" s="19" t="s">
        <v>196</v>
      </c>
      <c r="L43" s="7" t="s">
        <v>198</v>
      </c>
      <c r="M43" s="26">
        <v>46142.0</v>
      </c>
      <c r="N43" s="7" t="s">
        <v>201</v>
      </c>
      <c r="O43" s="7"/>
      <c r="P43" s="28">
        <f t="array" ref="P43">XLOOKUP(F43,Lista_Equipos_2026,Precio_Equipos_2026," *** OJO *** ",0)</f>
        <v>15499</v>
      </c>
      <c r="Q43" s="7" t="str">
        <f t="array" ref="Q43">IF(OR($B43="",ISBLANK(XLOOKUP($B43,Números_Asignados,Nombres_Directorio,"",0))),"",XLOOKUP($B43,Números_Asignados,Nombres_Directorio,"",0))</f>
        <v>Jorge Humberto Gómez Córdova</v>
      </c>
      <c r="R43" s="7" t="str">
        <f t="array" ref="R43">IF(OR($B43="",ISBLANK(XLOOKUP($B43,Números_Asignados,Sucursal_Asignada,"",0))),"",XLOOKUP($B43,Números_Asignados,Sucursal_Asignada,"",0))</f>
        <v>La Barca</v>
      </c>
      <c r="S43" s="7" t="str">
        <f t="array" ref="S43">IF(OR($B43="",ISBLANK(XLOOKUP($B43,Números_Asignados,Departamento_Asignado,"",0))),"",XLOOKUP($B43,Números_Asignados,Departamento_Asignado,"",0))</f>
        <v>Corporativo</v>
      </c>
      <c r="T43" s="7" t="str">
        <f t="array" ref="T43">IF(OR($B43="",ISBLANK(XLOOKUP($B43,Números_Asignados,Puesto_Asignado,"",0))),"",XLOOKUP($B43,Números_Asignados,Puesto_Asignado,"",0))</f>
        <v>Jefe Ventas Agrícola</v>
      </c>
      <c r="U43" s="7" t="str">
        <f t="array" ref="U43">IF(OR($B43="",ISBLANK(XLOOKUP($B43,Números_Asignados,Correos_Gmail,"",0))),"",XLOOKUP($B43,Números_Asignados,Correos_Gmail,"",0))</f>
        <v>jgomez.agro@gmail.com</v>
      </c>
      <c r="V43" s="7" t="str">
        <f t="array" ref="V43">IF(OR($B43="",ISBLANK(XLOOKUP($B43,Números_Asignados,Correos_Institucionales,"",0))),"",XLOOKUP($B43,Números_Asignados,Correos_Institucionales,"",0))</f>
        <v>jorge.gomez@agrocisa.com.mx</v>
      </c>
    </row>
    <row r="44" ht="15.75" customHeight="1">
      <c r="A44" s="7">
        <v>3.93119008E9</v>
      </c>
      <c r="B44" s="7">
        <v>3.93119008E9</v>
      </c>
      <c r="C44" s="7">
        <v>1.0</v>
      </c>
      <c r="D44" s="9">
        <v>269.0</v>
      </c>
      <c r="E44" s="7">
        <v>9.0</v>
      </c>
      <c r="F44" s="9" t="s">
        <v>294</v>
      </c>
      <c r="G44" s="19">
        <v>3.52010505763873E14</v>
      </c>
      <c r="H44" s="19" t="s">
        <v>1145</v>
      </c>
      <c r="I44" s="7" t="s">
        <v>1146</v>
      </c>
      <c r="J44" s="7" t="s">
        <v>194</v>
      </c>
      <c r="K44" s="19" t="s">
        <v>196</v>
      </c>
      <c r="L44" s="7" t="s">
        <v>198</v>
      </c>
      <c r="M44" s="26">
        <v>46136.0</v>
      </c>
      <c r="N44" s="7" t="s">
        <v>201</v>
      </c>
      <c r="O44" s="7"/>
      <c r="P44" s="28">
        <f t="array" ref="P44">XLOOKUP(F44,Lista_Equipos_2026,Precio_Equipos_2026," *** OJO *** ",0)</f>
        <v>10999</v>
      </c>
      <c r="Q44" s="7" t="str">
        <f t="array" ref="Q44">IF(OR($B44="",ISBLANK(XLOOKUP($B44,Números_Asignados,Nombres_Directorio,"",0))),"",XLOOKUP($B44,Números_Asignados,Nombres_Directorio,"",0))</f>
        <v>Arleth Paola Martínez Carreón</v>
      </c>
      <c r="R44" s="7" t="str">
        <f t="array" ref="R44">IF(OR($B44="",ISBLANK(XLOOKUP($B44,Números_Asignados,Sucursal_Asignada,"",0))),"",XLOOKUP($B44,Números_Asignados,Sucursal_Asignada,"",0))</f>
        <v>La Barca</v>
      </c>
      <c r="S44" s="7" t="str">
        <f t="array" ref="S44">IF(OR($B44="",ISBLANK(XLOOKUP($B44,Números_Asignados,Departamento_Asignado,"",0))),"",XLOOKUP($B44,Números_Asignados,Departamento_Asignado,"",0))</f>
        <v>Maquinaria Agrícola y Construcción</v>
      </c>
      <c r="T44" s="7" t="str">
        <f t="array" ref="T44">IF(OR($B44="",ISBLANK(XLOOKUP($B44,Números_Asignados,Puesto_Asignado,"",0))),"",XLOOKUP($B44,Números_Asignados,Puesto_Asignado,"",0))</f>
        <v>Auxiliar Administrativo</v>
      </c>
      <c r="U44" s="7" t="str">
        <f t="array" ref="U44">IF(OR($B44="",ISBLANK(XLOOKUP($B44,Números_Asignados,Correos_Gmail,"",0))),"",XLOOKUP($B44,Números_Asignados,Correos_Gmail,"",0))</f>
        <v>ventaslabarca@agrocisa.com.mx</v>
      </c>
      <c r="V44" s="7" t="str">
        <f t="array" ref="V44">IF(OR($B44="",ISBLANK(XLOOKUP($B44,Números_Asignados,Correos_Institucionales,"",0))),"",XLOOKUP($B44,Números_Asignados,Correos_Institucionales,"",0))</f>
        <v>ventaslabarca@agrocisa.com.mx</v>
      </c>
    </row>
    <row r="45" ht="15.75" customHeight="1">
      <c r="A45" s="7">
        <v>3.931073856E9</v>
      </c>
      <c r="B45" s="7">
        <v>3.931073856E9</v>
      </c>
      <c r="C45" s="7">
        <v>4.0</v>
      </c>
      <c r="D45" s="9">
        <v>599.0</v>
      </c>
      <c r="E45" s="7">
        <v>22.5</v>
      </c>
      <c r="F45" s="9" t="s">
        <v>190</v>
      </c>
      <c r="G45" s="19">
        <v>3.55174187708478E14</v>
      </c>
      <c r="H45" s="19" t="s">
        <v>1148</v>
      </c>
      <c r="I45" s="7" t="s">
        <v>1149</v>
      </c>
      <c r="J45" s="7" t="s">
        <v>194</v>
      </c>
      <c r="K45" s="19" t="s">
        <v>196</v>
      </c>
      <c r="L45" s="7" t="s">
        <v>198</v>
      </c>
      <c r="M45" s="26">
        <v>46139.0</v>
      </c>
      <c r="N45" s="7" t="s">
        <v>201</v>
      </c>
      <c r="O45" s="7"/>
      <c r="P45" s="28">
        <f t="array" ref="P45">XLOOKUP(F45,Lista_Equipos_2026,Precio_Equipos_2026," *** OJO *** ",0)</f>
        <v>7499</v>
      </c>
      <c r="Q45" s="7" t="str">
        <f t="array" ref="Q45">IF(OR($B45="",ISBLANK(XLOOKUP($B45,Números_Asignados,Nombres_Directorio,"",0))),"",XLOOKUP($B45,Números_Asignados,Nombres_Directorio,"",0))</f>
        <v>Jesús Bernardo Navarro Estrada</v>
      </c>
      <c r="R45" s="7" t="str">
        <f t="array" ref="R45">IF(OR($B45="",ISBLANK(XLOOKUP($B45,Números_Asignados,Sucursal_Asignada,"",0))),"",XLOOKUP($B45,Números_Asignados,Sucursal_Asignada,"",0))</f>
        <v>La Barca</v>
      </c>
      <c r="S45" s="7" t="str">
        <f t="array" ref="S45">IF(OR($B45="",ISBLANK(XLOOKUP($B45,Números_Asignados,Departamento_Asignado,"",0))),"",XLOOKUP($B45,Números_Asignados,Departamento_Asignado,"",0))</f>
        <v>Maquinaria Agrícola y Construcción</v>
      </c>
      <c r="T45" s="7" t="str">
        <f t="array" ref="T45">IF(OR($B45="",ISBLANK(XLOOKUP($B45,Números_Asignados,Puesto_Asignado,"",0))),"",XLOOKUP($B45,Números_Asignados,Puesto_Asignado,"",0))</f>
        <v>Chofer</v>
      </c>
      <c r="U45" s="7" t="str">
        <f t="array" ref="U45">IF(OR($B45="",ISBLANK(XLOOKUP($B45,Números_Asignados,Correos_Gmail,"",0))),"",XLOOKUP($B45,Números_Asignados,Correos_Gmail,"",0))</f>
        <v>jnavarro.agrocisa@gmail.com</v>
      </c>
      <c r="V45" s="7" t="str">
        <f t="array" ref="V45">IF(OR($B45="",ISBLANK(XLOOKUP($B45,Números_Asignados,Correos_Institucionales,"",0))),"",XLOOKUP($B45,Números_Asignados,Correos_Institucionales,"",0))</f>
        <v>jesus.navarro@agrocisa.com.mx</v>
      </c>
    </row>
    <row r="46" ht="15.75" customHeight="1">
      <c r="A46" s="7">
        <v>3.316160073E9</v>
      </c>
      <c r="B46" s="7">
        <v>3.316160073E9</v>
      </c>
      <c r="C46" s="7">
        <v>4.0</v>
      </c>
      <c r="D46" s="9">
        <v>599.0</v>
      </c>
      <c r="E46" s="7">
        <v>22.5</v>
      </c>
      <c r="F46" s="9" t="s">
        <v>190</v>
      </c>
      <c r="G46" s="19">
        <v>3.55174187708411E14</v>
      </c>
      <c r="H46" s="19" t="s">
        <v>1153</v>
      </c>
      <c r="I46" s="7" t="s">
        <v>1154</v>
      </c>
      <c r="J46" s="7" t="s">
        <v>194</v>
      </c>
      <c r="K46" s="7" t="s">
        <v>196</v>
      </c>
      <c r="L46" s="7" t="s">
        <v>198</v>
      </c>
      <c r="M46" s="26">
        <v>46137.0</v>
      </c>
      <c r="N46" s="7" t="s">
        <v>201</v>
      </c>
      <c r="O46" s="7"/>
      <c r="P46" s="28">
        <f t="array" ref="P46">XLOOKUP(F46,Lista_Equipos_2026,Precio_Equipos_2026," *** OJO *** ",0)</f>
        <v>7499</v>
      </c>
      <c r="Q46" s="7" t="str">
        <f t="array" ref="Q46">IF(OR($B46="",ISBLANK(XLOOKUP($B46,Números_Asignados,Nombres_Directorio,"",0))),"",XLOOKUP($B46,Números_Asignados,Nombres_Directorio,"",0))</f>
        <v>Ricardo Covarrubias García</v>
      </c>
      <c r="R46" s="7" t="str">
        <f t="array" ref="R46">IF(OR($B46="",ISBLANK(XLOOKUP($B46,Números_Asignados,Sucursal_Asignada,"",0))),"",XLOOKUP($B46,Números_Asignados,Sucursal_Asignada,"",0))</f>
        <v>La Barca</v>
      </c>
      <c r="S46" s="7" t="str">
        <f t="array" ref="S46">IF(OR($B46="",ISBLANK(XLOOKUP($B46,Números_Asignados,Departamento_Asignado,"",0))),"",XLOOKUP($B46,Números_Asignados,Departamento_Asignado,"",0))</f>
        <v>Maquinaria Agrícola y Construcción</v>
      </c>
      <c r="T46" s="7" t="str">
        <f t="array" ref="T46">IF(OR($B46="",ISBLANK(XLOOKUP($B46,Números_Asignados,Puesto_Asignado,"",0))),"",XLOOKUP($B46,Números_Asignados,Puesto_Asignado,"",0))</f>
        <v>Chofer</v>
      </c>
      <c r="U46" s="7" t="str">
        <f t="array" ref="U46">IF(OR($B46="",ISBLANK(XLOOKUP($B46,Números_Asignados,Correos_Gmail,"",0))),"",XLOOKUP($B46,Números_Asignados,Correos_Gmail,"",0))</f>
        <v>choferlb.agro@gmail.com</v>
      </c>
      <c r="V46" s="7" t="str">
        <f t="array" ref="V46">IF(OR($B46="",ISBLANK(XLOOKUP($B46,Números_Asignados,Correos_Institucionales,"",0))),"",XLOOKUP($B46,Números_Asignados,Correos_Institucionales,"",0))</f>
        <v>ricardo.covarrubias@agrocisa.com.mx</v>
      </c>
    </row>
    <row r="47" ht="15.75" customHeight="1">
      <c r="A47" s="7">
        <v>3.339580163E9</v>
      </c>
      <c r="B47" s="7">
        <v>3.339580163E9</v>
      </c>
      <c r="C47" s="7">
        <v>1.0</v>
      </c>
      <c r="D47" s="9">
        <v>269.0</v>
      </c>
      <c r="E47" s="7">
        <v>9.0</v>
      </c>
      <c r="F47" s="9" t="s">
        <v>190</v>
      </c>
      <c r="G47" s="19">
        <v>3.55174187708205E14</v>
      </c>
      <c r="H47" s="19" t="s">
        <v>1161</v>
      </c>
      <c r="I47" s="7" t="s">
        <v>1162</v>
      </c>
      <c r="J47" s="19" t="s">
        <v>194</v>
      </c>
      <c r="K47" s="19" t="s">
        <v>196</v>
      </c>
      <c r="L47" s="7" t="s">
        <v>198</v>
      </c>
      <c r="M47" s="26">
        <v>46137.0</v>
      </c>
      <c r="N47" s="7" t="s">
        <v>201</v>
      </c>
      <c r="O47" s="7"/>
      <c r="P47" s="28">
        <f t="array" ref="P47">XLOOKUP(F47,Lista_Equipos_2026,Precio_Equipos_2026," *** OJO *** ",0)</f>
        <v>7499</v>
      </c>
      <c r="Q47" s="7" t="str">
        <f t="array" ref="Q47">IF(OR($B47="",ISBLANK(XLOOKUP($B47,Números_Asignados,Nombres_Directorio,"",0))),"",XLOOKUP($B47,Números_Asignados,Nombres_Directorio,"",0))</f>
        <v>Eduardo Guadalupe Gutierrez Rodríguez</v>
      </c>
      <c r="R47" s="7" t="str">
        <f t="array" ref="R47">IF(OR($B47="",ISBLANK(XLOOKUP($B47,Números_Asignados,Sucursal_Asignada,"",0))),"",XLOOKUP($B47,Números_Asignados,Sucursal_Asignada,"",0))</f>
        <v>La Barca</v>
      </c>
      <c r="S47" s="7" t="str">
        <f t="array" ref="S47">IF(OR($B47="",ISBLANK(XLOOKUP($B47,Números_Asignados,Departamento_Asignado,"",0))),"",XLOOKUP($B47,Números_Asignados,Departamento_Asignado,"",0))</f>
        <v>Maquinaria Agrícola y Construcción</v>
      </c>
      <c r="T47" s="7" t="str">
        <f t="array" ref="T47">IF(OR($B47="",ISBLANK(XLOOKUP($B47,Números_Asignados,Puesto_Asignado,"",0))),"",XLOOKUP($B47,Números_Asignados,Puesto_Asignado,"",0))</f>
        <v>Implementero</v>
      </c>
      <c r="U47" s="7" t="str">
        <f t="array" ref="U47">IF(OR($B47="",ISBLANK(XLOOKUP($B47,Números_Asignados,Correos_Gmail,"",0))),"",XLOOKUP($B47,Números_Asignados,Correos_Gmail,"",0))</f>
        <v>edugutierrez.agro@gmail.com</v>
      </c>
      <c r="V47" s="7" t="str">
        <f t="array" ref="V47">IF(OR($B47="",ISBLANK(XLOOKUP($B47,Números_Asignados,Correos_Institucionales,"",0))),"",XLOOKUP($B47,Números_Asignados,Correos_Institucionales,"",0))</f>
        <v>eduardo.gutierrez@agrocisa.com.mx</v>
      </c>
    </row>
    <row r="48" ht="15.75" customHeight="1">
      <c r="A48" s="7">
        <v>3.481082366E9</v>
      </c>
      <c r="B48" s="7">
        <v>3.481082366E9</v>
      </c>
      <c r="C48" s="7">
        <v>4.0</v>
      </c>
      <c r="D48" s="9">
        <v>599.0</v>
      </c>
      <c r="E48" s="7">
        <v>22.5</v>
      </c>
      <c r="F48" s="9" t="s">
        <v>294</v>
      </c>
      <c r="G48" s="19">
        <v>3.57369477213019E14</v>
      </c>
      <c r="H48" s="19" t="s">
        <v>1165</v>
      </c>
      <c r="I48" s="7" t="s">
        <v>1166</v>
      </c>
      <c r="J48" s="19" t="s">
        <v>194</v>
      </c>
      <c r="K48" s="19" t="s">
        <v>196</v>
      </c>
      <c r="L48" s="7" t="s">
        <v>198</v>
      </c>
      <c r="M48" s="26">
        <v>46140.0</v>
      </c>
      <c r="N48" s="7" t="s">
        <v>201</v>
      </c>
      <c r="O48" s="7"/>
      <c r="P48" s="28">
        <f t="array" ref="P48">XLOOKUP(F48,Lista_Equipos_2026,Precio_Equipos_2026," *** OJO *** ",0)</f>
        <v>10999</v>
      </c>
      <c r="Q48" s="7" t="str">
        <f t="array" ref="Q48">IF(OR($B48="",ISBLANK(XLOOKUP($B48,Números_Asignados,Nombres_Directorio,"",0))),"",XLOOKUP($B48,Números_Asignados,Nombres_Directorio,"",0))</f>
        <v>Francisco Valadez Gaona</v>
      </c>
      <c r="R48" s="7" t="str">
        <f t="array" ref="R48">IF(OR($B48="",ISBLANK(XLOOKUP($B48,Números_Asignados,Sucursal_Asignada,"",0))),"",XLOOKUP($B48,Números_Asignados,Sucursal_Asignada,"",0))</f>
        <v>La Barca</v>
      </c>
      <c r="S48" s="7" t="str">
        <f t="array" ref="S48">IF(OR($B48="",ISBLANK(XLOOKUP($B48,Números_Asignados,Departamento_Asignado,"",0))),"",XLOOKUP($B48,Números_Asignados,Departamento_Asignado,"",0))</f>
        <v>Maquinaria Construcción</v>
      </c>
      <c r="T48" s="7" t="str">
        <f t="array" ref="T48">IF(OR($B48="",ISBLANK(XLOOKUP($B48,Números_Asignados,Puesto_Asignado,"",0))),"",XLOOKUP($B48,Números_Asignados,Puesto_Asignado,"",0))</f>
        <v>Asesor de Ventas</v>
      </c>
      <c r="U48" s="7" t="str">
        <f t="array" ref="U48">IF(OR($B48="",ISBLANK(XLOOKUP($B48,Números_Asignados,Correos_Gmail,"",0))),"",XLOOKUP($B48,Números_Asignados,Correos_Gmail,"",0))</f>
        <v>construccionlabarca@agrocisa.com.mx</v>
      </c>
      <c r="V48" s="7" t="str">
        <f t="array" ref="V48">IF(OR($B48="",ISBLANK(XLOOKUP($B48,Números_Asignados,Correos_Institucionales,"",0))),"",XLOOKUP($B48,Números_Asignados,Correos_Institucionales,"",0))</f>
        <v>construccionlabarca@agrocisa.com.mx</v>
      </c>
    </row>
    <row r="49" ht="15.75" customHeight="1">
      <c r="A49" s="7">
        <v>3.337194505E9</v>
      </c>
      <c r="B49" s="7">
        <v>3.337194505E9</v>
      </c>
      <c r="C49" s="7">
        <v>4.0</v>
      </c>
      <c r="D49" s="9">
        <v>599.0</v>
      </c>
      <c r="E49" s="7">
        <v>22.5</v>
      </c>
      <c r="F49" s="9" t="s">
        <v>413</v>
      </c>
      <c r="G49" s="19">
        <v>3.52242801085798E14</v>
      </c>
      <c r="H49" s="19" t="s">
        <v>1169</v>
      </c>
      <c r="I49" s="7" t="s">
        <v>1170</v>
      </c>
      <c r="J49" s="7" t="s">
        <v>194</v>
      </c>
      <c r="K49" s="19" t="s">
        <v>196</v>
      </c>
      <c r="L49" s="7" t="s">
        <v>198</v>
      </c>
      <c r="M49" s="26">
        <v>46127.0</v>
      </c>
      <c r="N49" s="7" t="s">
        <v>201</v>
      </c>
      <c r="O49" s="7"/>
      <c r="P49" s="28">
        <f t="array" ref="P49">XLOOKUP(F49,Lista_Equipos_2026,Precio_Equipos_2026," *** OJO *** ",0)</f>
        <v>15499</v>
      </c>
      <c r="Q49" s="7" t="str">
        <f t="array" ref="Q49">IF(OR($B49="",ISBLANK(XLOOKUP($B49,Números_Asignados,Nombres_Directorio,"",0))),"",XLOOKUP($B49,Números_Asignados,Nombres_Directorio,"",0))</f>
        <v>Adrián Paskinel Hernández Zavala</v>
      </c>
      <c r="R49" s="7" t="str">
        <f t="array" ref="R49">IF(OR($B49="",ISBLANK(XLOOKUP($B49,Números_Asignados,Sucursal_Asignada,"",0))),"",XLOOKUP($B49,Números_Asignados,Sucursal_Asignada,"",0))</f>
        <v>La Barca</v>
      </c>
      <c r="S49" s="7" t="str">
        <f t="array" ref="S49">IF(OR($B49="",ISBLANK(XLOOKUP($B49,Números_Asignados,Departamento_Asignado,"",0))),"",XLOOKUP($B49,Números_Asignados,Departamento_Asignado,"",0))</f>
        <v>Corporativo</v>
      </c>
      <c r="T49" s="7" t="str">
        <f t="array" ref="T49">IF(OR($B49="",ISBLANK(XLOOKUP($B49,Números_Asignados,Puesto_Asignado,"",0))),"",XLOOKUP($B49,Números_Asignados,Puesto_Asignado,"",0))</f>
        <v>Jefe de Ventas Construcción</v>
      </c>
      <c r="U49" s="7" t="str">
        <f t="array" ref="U49">IF(OR($B49="",ISBLANK(XLOOKUP($B49,Números_Asignados,Correos_Gmail,"",0))),"",XLOOKUP($B49,Números_Asignados,Correos_Gmail,"",0))</f>
        <v>adrian.hernandez@agrocisa.com.mx</v>
      </c>
      <c r="V49" s="7" t="str">
        <f t="array" ref="V49">IF(OR($B49="",ISBLANK(XLOOKUP($B49,Números_Asignados,Correos_Institucionales,"",0))),"",XLOOKUP($B49,Números_Asignados,Correos_Institucionales,"",0))</f>
        <v>adrian.hernandez@agrocisa.com.mx</v>
      </c>
    </row>
    <row r="50" ht="15.75" customHeight="1">
      <c r="A50" s="7">
        <v>3.781868861E9</v>
      </c>
      <c r="B50" s="7">
        <v>3.781868861E9</v>
      </c>
      <c r="C50" s="7">
        <v>1.0</v>
      </c>
      <c r="D50" s="9">
        <v>269.0</v>
      </c>
      <c r="E50" s="7">
        <v>9.0</v>
      </c>
      <c r="F50" s="9" t="s">
        <v>294</v>
      </c>
      <c r="G50" s="19">
        <v>3.52010505740103E14</v>
      </c>
      <c r="H50" s="19" t="s">
        <v>1176</v>
      </c>
      <c r="I50" s="7" t="s">
        <v>1177</v>
      </c>
      <c r="J50" s="19" t="s">
        <v>194</v>
      </c>
      <c r="K50" s="19" t="s">
        <v>196</v>
      </c>
      <c r="L50" s="7" t="s">
        <v>198</v>
      </c>
      <c r="M50" s="26">
        <v>46136.0</v>
      </c>
      <c r="N50" s="7" t="s">
        <v>201</v>
      </c>
      <c r="O50" s="52"/>
      <c r="P50" s="28">
        <f t="array" ref="P50">XLOOKUP(F50,Lista_Equipos_2026,Precio_Equipos_2026," *** OJO *** ",0)</f>
        <v>10999</v>
      </c>
      <c r="Q50" s="7" t="str">
        <f t="array" ref="Q50">IF(OR($B50="",ISBLANK(XLOOKUP($B50,Números_Asignados,Nombres_Directorio,"",0))),"",XLOOKUP($B50,Números_Asignados,Nombres_Directorio,"",0))</f>
        <v>Andrea Guadalupe Cárdenas Cárdenas</v>
      </c>
      <c r="R50" s="7" t="str">
        <f t="array" ref="R50">IF(OR($B50="",ISBLANK(XLOOKUP($B50,Números_Asignados,Sucursal_Asignada,"",0))),"",XLOOKUP($B50,Números_Asignados,Sucursal_Asignada,"",0))</f>
        <v>La Barca</v>
      </c>
      <c r="S50" s="7" t="str">
        <f t="array" ref="S50">IF(OR($B50="",ISBLANK(XLOOKUP($B50,Números_Asignados,Departamento_Asignado,"",0))),"",XLOOKUP($B50,Números_Asignados,Departamento_Asignado,"",0))</f>
        <v>Marketing</v>
      </c>
      <c r="T50" s="7" t="str">
        <f t="array" ref="T50">IF(OR($B50="",ISBLANK(XLOOKUP($B50,Números_Asignados,Puesto_Asignado,"",0))),"",XLOOKUP($B50,Números_Asignados,Puesto_Asignado,"",0))</f>
        <v>Asesor de Ventas en Línea</v>
      </c>
      <c r="U50" s="7" t="str">
        <f t="array" ref="U50">IF(OR($B50="",ISBLANK(XLOOKUP($B50,Números_Asignados,Correos_Gmail,"",0))),"",XLOOKUP($B50,Números_Asignados,Correos_Gmail,"",0))</f>
        <v>ventas@agrocisa.com.mx</v>
      </c>
      <c r="V50" s="7" t="str">
        <f t="array" ref="V50">IF(OR($B50="",ISBLANK(XLOOKUP($B50,Números_Asignados,Correos_Institucionales,"",0))),"",XLOOKUP($B50,Números_Asignados,Correos_Institucionales,"",0))</f>
        <v>ventas@agrocisa.com.mx</v>
      </c>
    </row>
    <row r="51" ht="15.75" customHeight="1">
      <c r="A51" s="7">
        <v>3.931042365E9</v>
      </c>
      <c r="B51" s="25">
        <v>3.313697838E9</v>
      </c>
      <c r="C51" s="7">
        <v>4.0</v>
      </c>
      <c r="D51" s="9">
        <v>599.0</v>
      </c>
      <c r="E51" s="7">
        <v>22.5</v>
      </c>
      <c r="F51" s="9" t="s">
        <v>1185</v>
      </c>
      <c r="G51" s="19">
        <v>3.57633137164718E14</v>
      </c>
      <c r="H51" s="19" t="s">
        <v>1186</v>
      </c>
      <c r="I51" s="40"/>
      <c r="J51" s="7" t="s">
        <v>194</v>
      </c>
      <c r="K51" s="19" t="s">
        <v>196</v>
      </c>
      <c r="L51" s="7" t="s">
        <v>198</v>
      </c>
      <c r="M51" s="26">
        <v>46140.0</v>
      </c>
      <c r="N51" s="7" t="s">
        <v>201</v>
      </c>
      <c r="O51" s="7"/>
      <c r="P51" s="28">
        <f t="array" ref="P51">XLOOKUP(F51,Lista_Equipos_2026,Precio_Equipos_2026," *** OJO *** ",0)</f>
        <v>28499</v>
      </c>
      <c r="Q51" s="7" t="str">
        <f t="array" ref="Q51">IF(OR($B51="",ISBLANK(XLOOKUP($B51,Números_Asignados,Nombres_Directorio,"",0))),"",XLOOKUP($B51,Números_Asignados,Nombres_Directorio,"",0))</f>
        <v>Paola Fernanda Paz Valdez</v>
      </c>
      <c r="R51" s="7" t="str">
        <f t="array" ref="R51">IF(OR($B51="",ISBLANK(XLOOKUP($B51,Números_Asignados,Sucursal_Asignada,"",0))),"",XLOOKUP($B51,Números_Asignados,Sucursal_Asignada,"",0))</f>
        <v>La Barca</v>
      </c>
      <c r="S51" s="7" t="str">
        <f t="array" ref="S51">IF(OR($B51="",ISBLANK(XLOOKUP($B51,Números_Asignados,Departamento_Asignado,"",0))),"",XLOOKUP($B51,Números_Asignados,Departamento_Asignado,"",0))</f>
        <v>Marketing</v>
      </c>
      <c r="T51" s="7" t="str">
        <f t="array" ref="T51">IF(OR($B51="",ISBLANK(XLOOKUP($B51,Números_Asignados,Puesto_Asignado,"",0))),"",XLOOKUP($B51,Números_Asignados,Puesto_Asignado,"",0))</f>
        <v>Marketing Digital</v>
      </c>
      <c r="U51" s="7" t="str">
        <f t="array" ref="U51">IF(OR($B51="",ISBLANK(XLOOKUP($B51,Números_Asignados,Correos_Gmail,"",0))),"",XLOOKUP($B51,Números_Asignados,Correos_Gmail,"",0))</f>
        <v>marketing.agrocisa@gmail.com</v>
      </c>
      <c r="V51" s="7" t="str">
        <f t="array" ref="V51">IF(OR($B51="",ISBLANK(XLOOKUP($B51,Números_Asignados,Correos_Institucionales,"",0))),"",XLOOKUP($B51,Números_Asignados,Correos_Institucionales,"",0))</f>
        <v>marketingdigital@agrocisa.com.mx</v>
      </c>
    </row>
    <row r="52" ht="15.75" customHeight="1">
      <c r="A52" s="7">
        <v>3.911750242E9</v>
      </c>
      <c r="B52" s="7">
        <v>3.911750242E9</v>
      </c>
      <c r="C52" s="7">
        <v>1.0</v>
      </c>
      <c r="D52" s="9">
        <v>269.0</v>
      </c>
      <c r="E52" s="7">
        <v>9.0</v>
      </c>
      <c r="F52" s="9" t="s">
        <v>294</v>
      </c>
      <c r="G52" s="19">
        <v>3.52010505743255E14</v>
      </c>
      <c r="H52" s="19" t="s">
        <v>1225</v>
      </c>
      <c r="I52" s="7" t="s">
        <v>1226</v>
      </c>
      <c r="J52" s="7" t="s">
        <v>194</v>
      </c>
      <c r="K52" s="19" t="s">
        <v>196</v>
      </c>
      <c r="L52" s="7" t="s">
        <v>198</v>
      </c>
      <c r="M52" s="26">
        <v>46136.0</v>
      </c>
      <c r="N52" s="7" t="s">
        <v>201</v>
      </c>
      <c r="O52" s="7"/>
      <c r="P52" s="28">
        <f t="array" ref="P52">XLOOKUP(F52,Lista_Equipos_2026,Precio_Equipos_2026," *** OJO *** ",0)</f>
        <v>10999</v>
      </c>
      <c r="Q52" s="7" t="str">
        <f t="array" ref="Q52">IF(OR($B52="",ISBLANK(XLOOKUP($B52,Números_Asignados,Nombres_Directorio,"",0))),"",XLOOKUP($B52,Números_Asignados,Nombres_Directorio,"",0))</f>
        <v>Francisco Javier Ornelas Rosales</v>
      </c>
      <c r="R52" s="7" t="str">
        <f t="array" ref="R52">IF(OR($B52="",ISBLANK(XLOOKUP($B52,Números_Asignados,Sucursal_Asignada,"",0))),"",XLOOKUP($B52,Números_Asignados,Sucursal_Asignada,"",0))</f>
        <v>La Barca</v>
      </c>
      <c r="S52" s="7" t="str">
        <f t="array" ref="S52">IF(OR($B52="",ISBLANK(XLOOKUP($B52,Números_Asignados,Departamento_Asignado,"",0))),"",XLOOKUP($B52,Números_Asignados,Departamento_Asignado,"",0))</f>
        <v>Parque Vehicular</v>
      </c>
      <c r="T52" s="7" t="str">
        <f t="array" ref="T52">IF(OR($B52="",ISBLANK(XLOOKUP($B52,Números_Asignados,Puesto_Asignado,"",0))),"",XLOOKUP($B52,Números_Asignados,Puesto_Asignado,"",0))</f>
        <v>Auxiliar Administrativo</v>
      </c>
      <c r="U52" s="7" t="str">
        <f t="array" ref="U52">IF(OR($B52="",ISBLANK(XLOOKUP($B52,Números_Asignados,Correos_Gmail,"",0))),"",XLOOKUP($B52,Números_Asignados,Correos_Gmail,"",0))</f>
        <v>auxpaquevehicular.agro@gmail.com</v>
      </c>
      <c r="V52" s="7" t="str">
        <f t="array" ref="V52">IF(OR($B52="",ISBLANK(XLOOKUP($B52,Números_Asignados,Correos_Institucionales,"",0))),"",XLOOKUP($B52,Números_Asignados,Correos_Institucionales,"",0))</f>
        <v>auxparquevehicular@agrocisa.com.mx</v>
      </c>
    </row>
    <row r="53" ht="15.75" customHeight="1">
      <c r="A53" s="7">
        <v>4.691215361E9</v>
      </c>
      <c r="B53" s="44">
        <v>3.951428204E9</v>
      </c>
      <c r="C53" s="7">
        <v>4.0</v>
      </c>
      <c r="D53" s="9">
        <v>599.0</v>
      </c>
      <c r="E53" s="7">
        <v>22.5</v>
      </c>
      <c r="F53" s="9" t="s">
        <v>413</v>
      </c>
      <c r="G53" s="19">
        <v>3.52242801090673E14</v>
      </c>
      <c r="H53" s="7" t="s">
        <v>1230</v>
      </c>
      <c r="I53" s="7" t="s">
        <v>1231</v>
      </c>
      <c r="J53" s="7" t="s">
        <v>194</v>
      </c>
      <c r="K53" s="7" t="s">
        <v>196</v>
      </c>
      <c r="L53" s="7" t="s">
        <v>198</v>
      </c>
      <c r="M53" s="26">
        <v>46135.0</v>
      </c>
      <c r="N53" s="7" t="s">
        <v>201</v>
      </c>
      <c r="O53" s="7"/>
      <c r="P53" s="28">
        <f t="array" ref="P53">XLOOKUP(F53,Lista_Equipos_2026,Precio_Equipos_2026," *** OJO *** ",0)</f>
        <v>15499</v>
      </c>
      <c r="Q53" s="7" t="str">
        <f t="array" ref="Q53">IF(OR($B53="",ISBLANK(XLOOKUP($B53,Números_Asignados,Nombres_Directorio,"",0))),"",XLOOKUP($B53,Números_Asignados,Nombres_Directorio,"",0))</f>
        <v>Jesús García Anaya</v>
      </c>
      <c r="R53" s="7" t="str">
        <f t="array" ref="R53">IF(OR($B53="",ISBLANK(XLOOKUP($B53,Números_Asignados,Sucursal_Asignada,"",0))),"",XLOOKUP($B53,Números_Asignados,Sucursal_Asignada,"",0))</f>
        <v>La Barca</v>
      </c>
      <c r="S53" s="7" t="str">
        <f t="array" ref="S53">IF(OR($B53="",ISBLANK(XLOOKUP($B53,Números_Asignados,Departamento_Asignado,"",0))),"",XLOOKUP($B53,Números_Asignados,Departamento_Asignado,"",0))</f>
        <v>Corporativo</v>
      </c>
      <c r="T53" s="7" t="str">
        <f t="array" ref="T53">IF(OR($B53="",ISBLANK(XLOOKUP($B53,Números_Asignados,Puesto_Asignado,"",0))),"",XLOOKUP($B53,Números_Asignados,Puesto_Asignado,"",0))</f>
        <v>Jefe Parque Vehicular</v>
      </c>
      <c r="U53" s="7" t="str">
        <f t="array" ref="U53">IF(OR($B53="",ISBLANK(XLOOKUP($B53,Números_Asignados,Correos_Gmail,"",0))),"",XLOOKUP($B53,Números_Asignados,Correos_Gmail,"",0))</f>
        <v>jesusgarcia.agrocisa@gmail.com</v>
      </c>
      <c r="V53" s="7" t="str">
        <f t="array" ref="V53">IF(OR($B53="",ISBLANK(XLOOKUP($B53,Números_Asignados,Correos_Institucionales,"",0))),"",XLOOKUP($B53,Números_Asignados,Correos_Institucionales,"",0))</f>
        <v>jesus.garcia@agrocisa.com.mx</v>
      </c>
    </row>
    <row r="54" ht="15.75" customHeight="1">
      <c r="A54" s="7">
        <v>3.951198072E9</v>
      </c>
      <c r="B54" s="40">
        <v>3.931190277E9</v>
      </c>
      <c r="C54" s="7">
        <v>4.0</v>
      </c>
      <c r="D54" s="9">
        <v>599.0</v>
      </c>
      <c r="E54" s="7">
        <v>22.5</v>
      </c>
      <c r="F54" s="7" t="s">
        <v>294</v>
      </c>
      <c r="G54" s="19">
        <v>3.57369477240087E14</v>
      </c>
      <c r="H54" s="7" t="s">
        <v>1237</v>
      </c>
      <c r="I54" s="7" t="s">
        <v>1238</v>
      </c>
      <c r="J54" s="7" t="s">
        <v>194</v>
      </c>
      <c r="K54" s="7" t="s">
        <v>196</v>
      </c>
      <c r="L54" s="7" t="s">
        <v>198</v>
      </c>
      <c r="M54" s="26">
        <v>46136.0</v>
      </c>
      <c r="N54" s="7" t="s">
        <v>201</v>
      </c>
      <c r="O54" s="7" t="s">
        <v>867</v>
      </c>
      <c r="P54" s="28">
        <f t="array" ref="P54">XLOOKUP(F54,Lista_Equipos_2026,Precio_Equipos_2026," *** OJO *** ",0)</f>
        <v>10999</v>
      </c>
      <c r="Q54" s="7" t="str">
        <f t="array" ref="Q54">IF(OR($B54="",ISBLANK(XLOOKUP($B54,Números_Asignados,Nombres_Directorio,"",0))),"",XLOOKUP($B54,Números_Asignados,Nombres_Directorio,"",0))</f>
        <v>Michael Alberto Castro García</v>
      </c>
      <c r="R54" s="7" t="str">
        <f t="array" ref="R54">IF(OR($B54="",ISBLANK(XLOOKUP($B54,Números_Asignados,Sucursal_Asignada,"",0))),"",XLOOKUP($B54,Números_Asignados,Sucursal_Asignada,"",0))</f>
        <v>La Barca</v>
      </c>
      <c r="S54" s="7" t="str">
        <f t="array" ref="S54">IF(OR($B54="",ISBLANK(XLOOKUP($B54,Números_Asignados,Departamento_Asignado,"",0))),"",XLOOKUP($B54,Números_Asignados,Departamento_Asignado,"",0))</f>
        <v>Parque Vehicular</v>
      </c>
      <c r="T54" s="7" t="str">
        <f t="array" ref="T54">IF(OR($B54="",ISBLANK(XLOOKUP($B54,Números_Asignados,Puesto_Asignado,"",0))),"",XLOOKUP($B54,Números_Asignados,Puesto_Asignado,"",0))</f>
        <v>Logística</v>
      </c>
      <c r="U54" s="7" t="str">
        <f t="array" ref="U54">IF(OR($B54="",ISBLANK(XLOOKUP($B54,Números_Asignados,Correos_Gmail,"",0))),"",XLOOKUP($B54,Números_Asignados,Correos_Gmail,"",0))</f>
        <v>michael.castro@agrocisa.com.mx</v>
      </c>
      <c r="V54" s="7" t="str">
        <f t="array" ref="V54">IF(OR($B54="",ISBLANK(XLOOKUP($B54,Números_Asignados,Correos_Institucionales,"",0))),"",XLOOKUP($B54,Números_Asignados,Correos_Institucionales,"",0))</f>
        <v>michael.castro@agrocisa.com.mx</v>
      </c>
    </row>
    <row r="55" ht="15.75" customHeight="1">
      <c r="A55" s="7">
        <v>3.316106113E9</v>
      </c>
      <c r="B55" s="7">
        <v>3.921368749E9</v>
      </c>
      <c r="C55" s="7">
        <v>1.0</v>
      </c>
      <c r="D55" s="9">
        <v>269.0</v>
      </c>
      <c r="E55" s="7">
        <v>9.0</v>
      </c>
      <c r="F55" s="9" t="s">
        <v>190</v>
      </c>
      <c r="G55" s="19">
        <v>3.55174187709294E14</v>
      </c>
      <c r="H55" s="19" t="s">
        <v>1246</v>
      </c>
      <c r="I55" s="7" t="s">
        <v>1247</v>
      </c>
      <c r="J55" s="7" t="s">
        <v>194</v>
      </c>
      <c r="K55" s="19" t="s">
        <v>196</v>
      </c>
      <c r="L55" s="7" t="s">
        <v>198</v>
      </c>
      <c r="M55" s="26">
        <v>46147.0</v>
      </c>
      <c r="N55" s="7" t="s">
        <v>201</v>
      </c>
      <c r="O55" s="7"/>
      <c r="P55" s="28">
        <f t="array" ref="P55">XLOOKUP(F55,Lista_Equipos_2026,Precio_Equipos_2026," *** OJO *** ",0)</f>
        <v>7499</v>
      </c>
      <c r="Q55" s="7" t="str">
        <f t="array" ref="Q55">IF(OR($B55="",ISBLANK(XLOOKUP($B55,Números_Asignados,Nombres_Directorio,"",0))),"",XLOOKUP($B55,Números_Asignados,Nombres_Directorio,"",0))</f>
        <v>Luis Eduardo Gutierrez Infante</v>
      </c>
      <c r="R55" s="7" t="str">
        <f t="array" ref="R55">IF(OR($B55="",ISBLANK(XLOOKUP($B55,Números_Asignados,Sucursal_Asignada,"",0))),"",XLOOKUP($B55,Números_Asignados,Sucursal_Asignada,"",0))</f>
        <v>La Barca</v>
      </c>
      <c r="S55" s="7" t="str">
        <f t="array" ref="S55">IF(OR($B55="",ISBLANK(XLOOKUP($B55,Números_Asignados,Departamento_Asignado,"",0))),"",XLOOKUP($B55,Números_Asignados,Departamento_Asignado,"",0))</f>
        <v>Servicio</v>
      </c>
      <c r="T55" s="7" t="str">
        <f t="array" ref="T55">IF(OR($B55="",ISBLANK(XLOOKUP($B55,Números_Asignados,Puesto_Asignado,"",0))),"",XLOOKUP($B55,Números_Asignados,Puesto_Asignado,"",0))</f>
        <v>Promotor de Servicio</v>
      </c>
      <c r="U55" s="7" t="str">
        <f t="array" ref="U55">IF(OR($B55="",ISBLANK(XLOOKUP($B55,Números_Asignados,Correos_Gmail,"",0))),"",XLOOKUP($B55,Números_Asignados,Correos_Gmail,"",0))</f>
        <v>promotorlabarca@agrocisa.com.mx</v>
      </c>
      <c r="V55" s="7" t="str">
        <f t="array" ref="V55">IF(OR($B55="",ISBLANK(XLOOKUP($B55,Números_Asignados,Correos_Institucionales,"",0))),"",XLOOKUP($B55,Números_Asignados,Correos_Institucionales,"",0))</f>
        <v>luis.gutierrez@agrocisa.com.mx</v>
      </c>
    </row>
    <row r="56" ht="15.75" customHeight="1">
      <c r="A56" s="7">
        <v>3.316098529E9</v>
      </c>
      <c r="B56" s="7">
        <v>3.316098529E9</v>
      </c>
      <c r="C56" s="7">
        <v>4.0</v>
      </c>
      <c r="D56" s="9">
        <v>599.0</v>
      </c>
      <c r="E56" s="7">
        <v>22.5</v>
      </c>
      <c r="F56" s="9" t="s">
        <v>413</v>
      </c>
      <c r="G56" s="19">
        <v>3.52242801089162E14</v>
      </c>
      <c r="H56" s="19" t="s">
        <v>1259</v>
      </c>
      <c r="I56" s="7" t="s">
        <v>1260</v>
      </c>
      <c r="J56" s="19" t="s">
        <v>194</v>
      </c>
      <c r="K56" s="19" t="s">
        <v>196</v>
      </c>
      <c r="L56" s="7" t="s">
        <v>198</v>
      </c>
      <c r="M56" s="26">
        <v>46128.0</v>
      </c>
      <c r="N56" s="7" t="s">
        <v>201</v>
      </c>
      <c r="O56" s="7"/>
      <c r="P56" s="28">
        <f t="array" ref="P56">XLOOKUP(F56,Lista_Equipos_2026,Precio_Equipos_2026," *** OJO *** ",0)</f>
        <v>15499</v>
      </c>
      <c r="Q56" s="7" t="str">
        <f t="array" ref="Q56">IF(OR($B56="",ISBLANK(XLOOKUP($B56,Números_Asignados,Nombres_Directorio,"",0))),"",XLOOKUP($B56,Números_Asignados,Nombres_Directorio,"",0))</f>
        <v>Miguel Ángel González Escoto</v>
      </c>
      <c r="R56" s="7" t="str">
        <f t="array" ref="R56">IF(OR($B56="",ISBLANK(XLOOKUP($B56,Números_Asignados,Sucursal_Asignada,"",0))),"",XLOOKUP($B56,Números_Asignados,Sucursal_Asignada,"",0))</f>
        <v>La Barca</v>
      </c>
      <c r="S56" s="7" t="str">
        <f t="array" ref="S56">IF(OR($B56="",ISBLANK(XLOOKUP($B56,Números_Asignados,Departamento_Asignado,"",0))),"",XLOOKUP($B56,Números_Asignados,Departamento_Asignado,"",0))</f>
        <v>Corporativo</v>
      </c>
      <c r="T56" s="7" t="str">
        <f t="array" ref="T56">IF(OR($B56="",ISBLANK(XLOOKUP($B56,Números_Asignados,Puesto_Asignado,"",0))),"",XLOOKUP($B56,Números_Asignados,Puesto_Asignado,"",0))</f>
        <v>Jefe Postventa</v>
      </c>
      <c r="U56" s="7" t="str">
        <f t="array" ref="U56">IF(OR($B56="",ISBLANK(XLOOKUP($B56,Números_Asignados,Correos_Gmail,"",0))),"",XLOOKUP($B56,Números_Asignados,Correos_Gmail,"",0))</f>
        <v>migonzalez.agro@gmail.com</v>
      </c>
      <c r="V56" s="7" t="str">
        <f t="array" ref="V56">IF(OR($B56="",ISBLANK(XLOOKUP($B56,Números_Asignados,Correos_Institucionales,"",0))),"",XLOOKUP($B56,Números_Asignados,Correos_Institucionales,"",0))</f>
        <v>miguel.gonzalez@agrocisa.com.mx</v>
      </c>
    </row>
    <row r="57" ht="15.75" customHeight="1">
      <c r="A57" s="7"/>
      <c r="B57" s="7">
        <v>3.316096709E9</v>
      </c>
      <c r="C57" s="7">
        <v>1.0</v>
      </c>
      <c r="D57" s="9">
        <v>269.0</v>
      </c>
      <c r="E57" s="7">
        <v>9.0</v>
      </c>
      <c r="F57" s="9" t="s">
        <v>294</v>
      </c>
      <c r="G57" s="19">
        <v>3.52010505738792E14</v>
      </c>
      <c r="H57" s="19" t="s">
        <v>1265</v>
      </c>
      <c r="I57" s="7" t="s">
        <v>1266</v>
      </c>
      <c r="J57" s="7" t="s">
        <v>194</v>
      </c>
      <c r="K57" s="19" t="s">
        <v>196</v>
      </c>
      <c r="L57" s="7" t="s">
        <v>198</v>
      </c>
      <c r="M57" s="26">
        <v>46140.0</v>
      </c>
      <c r="N57" s="7" t="s">
        <v>201</v>
      </c>
      <c r="O57" s="7"/>
      <c r="P57" s="28">
        <f t="array" ref="P57">XLOOKUP(F57,Lista_Equipos_2026,Precio_Equipos_2026," *** OJO *** ",0)</f>
        <v>10999</v>
      </c>
      <c r="Q57" s="7" t="str">
        <f t="array" ref="Q57">IF(OR($B57="",ISBLANK(XLOOKUP($B57,Números_Asignados,Nombres_Directorio,"",0))),"",XLOOKUP($B57,Números_Asignados,Nombres_Directorio,"",0))</f>
        <v>Juan Antonio Lara Mendoza</v>
      </c>
      <c r="R57" s="7" t="str">
        <f t="array" ref="R57">IF(OR($B57="",ISBLANK(XLOOKUP($B57,Números_Asignados,Sucursal_Asignada,"",0))),"",XLOOKUP($B57,Números_Asignados,Sucursal_Asignada,"",0))</f>
        <v>La Barca</v>
      </c>
      <c r="S57" s="7" t="str">
        <f t="array" ref="S57">IF(OR($B57="",ISBLANK(XLOOKUP($B57,Números_Asignados,Departamento_Asignado,"",0))),"",XLOOKUP($B57,Números_Asignados,Departamento_Asignado,"",0))</f>
        <v>Parque Vehicular</v>
      </c>
      <c r="T57" s="7" t="str">
        <f t="array" ref="T57">IF(OR($B57="",ISBLANK(XLOOKUP($B57,Números_Asignados,Puesto_Asignado,"",0))),"",XLOOKUP($B57,Números_Asignados,Puesto_Asignado,"",0))</f>
        <v>Auxiliar Administrativo</v>
      </c>
      <c r="U57" s="7" t="str">
        <f t="array" ref="U57">IF(OR($B57="",ISBLANK(XLOOKUP($B57,Números_Asignados,Correos_Gmail,"",0))),"",XLOOKUP($B57,Números_Asignados,Correos_Gmail,"",0))</f>
        <v>antonio.lara@agrocisa.com.mx</v>
      </c>
      <c r="V57" s="7" t="str">
        <f t="array" ref="V57">IF(OR($B57="",ISBLANK(XLOOKUP($B57,Números_Asignados,Correos_Institucionales,"",0))),"",XLOOKUP($B57,Números_Asignados,Correos_Institucionales,"",0))</f>
        <v>juan.lara@agrocisa.com.mx</v>
      </c>
    </row>
    <row r="58" ht="15.75" customHeight="1">
      <c r="A58" s="7">
        <v>3.316117782E9</v>
      </c>
      <c r="B58" s="7">
        <v>3.316117782E9</v>
      </c>
      <c r="C58" s="7">
        <v>4.0</v>
      </c>
      <c r="D58" s="9">
        <v>599.0</v>
      </c>
      <c r="E58" s="7">
        <v>22.5</v>
      </c>
      <c r="F58" s="9" t="s">
        <v>294</v>
      </c>
      <c r="G58" s="19">
        <v>3.5736947720626E14</v>
      </c>
      <c r="H58" s="19" t="s">
        <v>1275</v>
      </c>
      <c r="I58" s="7" t="s">
        <v>1277</v>
      </c>
      <c r="J58" s="7" t="s">
        <v>194</v>
      </c>
      <c r="K58" s="19" t="s">
        <v>196</v>
      </c>
      <c r="L58" s="7" t="s">
        <v>198</v>
      </c>
      <c r="M58" s="26">
        <v>46137.0</v>
      </c>
      <c r="N58" s="7" t="s">
        <v>201</v>
      </c>
      <c r="O58" s="7"/>
      <c r="P58" s="28">
        <f t="array" ref="P58">XLOOKUP(F58,Lista_Equipos_2026,Precio_Equipos_2026," *** OJO *** ",0)</f>
        <v>10999</v>
      </c>
      <c r="Q58" s="7" t="str">
        <f t="array" ref="Q58">IF(OR($B58="",ISBLANK(XLOOKUP($B58,Números_Asignados,Nombres_Directorio,"",0))),"",XLOOKUP($B58,Números_Asignados,Nombres_Directorio,"",0))</f>
        <v>Carlos Eduardo Ortega Herrera</v>
      </c>
      <c r="R58" s="7" t="str">
        <f t="array" ref="R58">IF(OR($B58="",ISBLANK(XLOOKUP($B58,Números_Asignados,Sucursal_Asignada,"",0))),"",XLOOKUP($B58,Números_Asignados,Sucursal_Asignada,"",0))</f>
        <v>La Barca</v>
      </c>
      <c r="S58" s="7" t="str">
        <f t="array" ref="S58">IF(OR($B58="",ISBLANK(XLOOKUP($B58,Números_Asignados,Departamento_Asignado,"",0))),"",XLOOKUP($B58,Números_Asignados,Departamento_Asignado,"",0))</f>
        <v>Refacciones</v>
      </c>
      <c r="T58" s="7" t="str">
        <f t="array" ref="T58">IF(OR($B58="",ISBLANK(XLOOKUP($B58,Números_Asignados,Puesto_Asignado,"",0))),"",XLOOKUP($B58,Números_Asignados,Puesto_Asignado,"",0))</f>
        <v>Asesor de Refacciones Campo</v>
      </c>
      <c r="U58" s="7" t="str">
        <f t="array" ref="U58">IF(OR($B58="",ISBLANK(XLOOKUP($B58,Números_Asignados,Correos_Gmail,"",0))),"",XLOOKUP($B58,Números_Asignados,Correos_Gmail,"",0))</f>
        <v>refaccioneslb01@agrocisa.com.mx</v>
      </c>
      <c r="V58" s="7" t="str">
        <f t="array" ref="V58">IF(OR($B58="",ISBLANK(XLOOKUP($B58,Números_Asignados,Correos_Institucionales,"",0))),"",XLOOKUP($B58,Números_Asignados,Correos_Institucionales,"",0))</f>
        <v>eduardo.ortega@agrocisa.com.mx</v>
      </c>
    </row>
    <row r="59" ht="15.75" customHeight="1">
      <c r="A59" s="7">
        <v>3.316092672E9</v>
      </c>
      <c r="B59" s="7">
        <v>3.316092672E9</v>
      </c>
      <c r="C59" s="7">
        <v>4.0</v>
      </c>
      <c r="D59" s="9">
        <v>599.0</v>
      </c>
      <c r="E59" s="7">
        <v>22.5</v>
      </c>
      <c r="F59" s="9" t="s">
        <v>294</v>
      </c>
      <c r="G59" s="19">
        <v>3.57369477204752E14</v>
      </c>
      <c r="H59" s="19" t="s">
        <v>1304</v>
      </c>
      <c r="I59" s="7" t="s">
        <v>1305</v>
      </c>
      <c r="J59" s="7" t="s">
        <v>194</v>
      </c>
      <c r="K59" s="19" t="s">
        <v>196</v>
      </c>
      <c r="L59" s="7" t="s">
        <v>198</v>
      </c>
      <c r="M59" s="26">
        <v>46136.0</v>
      </c>
      <c r="N59" s="7" t="s">
        <v>201</v>
      </c>
      <c r="O59" s="7"/>
      <c r="P59" s="28">
        <f t="array" ref="P59">XLOOKUP(F59,Lista_Equipos_2026,Precio_Equipos_2026," *** OJO *** ",0)</f>
        <v>10999</v>
      </c>
      <c r="Q59" s="7" t="str">
        <f t="array" ref="Q59">IF(OR($B59="",ISBLANK(XLOOKUP($B59,Números_Asignados,Nombres_Directorio,"",0))),"",XLOOKUP($B59,Números_Asignados,Nombres_Directorio,"",0))</f>
        <v>Pedro Garcia Lara</v>
      </c>
      <c r="R59" s="7" t="str">
        <f t="array" ref="R59">IF(OR($B59="",ISBLANK(XLOOKUP($B59,Números_Asignados,Sucursal_Asignada,"",0))),"",XLOOKUP($B59,Números_Asignados,Sucursal_Asignada,"",0))</f>
        <v>La Barca</v>
      </c>
      <c r="S59" s="7" t="str">
        <f t="array" ref="S59">IF(OR($B59="",ISBLANK(XLOOKUP($B59,Números_Asignados,Departamento_Asignado,"",0))),"",XLOOKUP($B59,Números_Asignados,Departamento_Asignado,"",0))</f>
        <v>Refacciones</v>
      </c>
      <c r="T59" s="7" t="str">
        <f t="array" ref="T59">IF(OR($B59="",ISBLANK(XLOOKUP($B59,Números_Asignados,Puesto_Asignado,"",0))),"",XLOOKUP($B59,Números_Asignados,Puesto_Asignado,"",0))</f>
        <v>Asesor de Refacciones Campo</v>
      </c>
      <c r="U59" s="7" t="str">
        <f t="array" ref="U59">IF(OR($B59="",ISBLANK(XLOOKUP($B59,Números_Asignados,Correos_Gmail,"",0))),"",XLOOKUP($B59,Números_Asignados,Correos_Gmail,"",0))</f>
        <v>pedrolara.agro@gmail.com</v>
      </c>
      <c r="V59" s="7" t="str">
        <f t="array" ref="V59">IF(OR($B59="",ISBLANK(XLOOKUP($B59,Números_Asignados,Correos_Institucionales,"",0))),"",XLOOKUP($B59,Números_Asignados,Correos_Institucionales,"",0))</f>
        <v>pedro.garcia@agrocisa.com.mx</v>
      </c>
    </row>
    <row r="60" ht="15.75" customHeight="1">
      <c r="A60" s="7">
        <v>3.93100141E9</v>
      </c>
      <c r="B60" s="7">
        <v>3.93100141E9</v>
      </c>
      <c r="C60" s="7">
        <v>4.0</v>
      </c>
      <c r="D60" s="9">
        <v>599.0</v>
      </c>
      <c r="E60" s="7">
        <v>22.5</v>
      </c>
      <c r="F60" s="9" t="s">
        <v>294</v>
      </c>
      <c r="G60" s="19">
        <v>3.5736947721602E14</v>
      </c>
      <c r="H60" s="19" t="s">
        <v>1319</v>
      </c>
      <c r="I60" s="7" t="s">
        <v>1320</v>
      </c>
      <c r="J60" s="7" t="s">
        <v>194</v>
      </c>
      <c r="K60" s="19" t="s">
        <v>196</v>
      </c>
      <c r="L60" s="7" t="s">
        <v>198</v>
      </c>
      <c r="M60" s="26">
        <v>46137.0</v>
      </c>
      <c r="N60" s="7" t="s">
        <v>201</v>
      </c>
      <c r="O60" s="7"/>
      <c r="P60" s="28">
        <f t="array" ref="P60">XLOOKUP(F60,Lista_Equipos_2026,Precio_Equipos_2026," *** OJO *** ",0)</f>
        <v>10999</v>
      </c>
      <c r="Q60" s="7" t="str">
        <f t="array" ref="Q60">IF(OR($B60="",ISBLANK(XLOOKUP($B60,Números_Asignados,Nombres_Directorio,"",0))),"",XLOOKUP($B60,Números_Asignados,Nombres_Directorio,"",0))</f>
        <v>Raúl Arzate Ortíz</v>
      </c>
      <c r="R60" s="7" t="str">
        <f t="array" ref="R60">IF(OR($B60="",ISBLANK(XLOOKUP($B60,Números_Asignados,Sucursal_Asignada,"",0))),"",XLOOKUP($B60,Números_Asignados,Sucursal_Asignada,"",0))</f>
        <v>La Barca</v>
      </c>
      <c r="S60" s="7" t="str">
        <f t="array" ref="S60">IF(OR($B60="",ISBLANK(XLOOKUP($B60,Números_Asignados,Departamento_Asignado,"",0))),"",XLOOKUP($B60,Números_Asignados,Departamento_Asignado,"",0))</f>
        <v>Refacciones</v>
      </c>
      <c r="T60" s="7" t="str">
        <f t="array" ref="T60">IF(OR($B60="",ISBLANK(XLOOKUP($B60,Números_Asignados,Puesto_Asignado,"",0))),"",XLOOKUP($B60,Números_Asignados,Puesto_Asignado,"",0))</f>
        <v>Asesor de Refacciones Campo</v>
      </c>
      <c r="U60" s="7" t="str">
        <f t="array" ref="U60">IF(OR($B60="",ISBLANK(XLOOKUP($B60,Números_Asignados,Correos_Gmail,"",0))),"",XLOOKUP($B60,Números_Asignados,Correos_Gmail,"",0))</f>
        <v>raarzate.agro@gmail.com</v>
      </c>
      <c r="V60" s="7" t="str">
        <f t="array" ref="V60">IF(OR($B60="",ISBLANK(XLOOKUP($B60,Números_Asignados,Correos_Institucionales,"",0))),"",XLOOKUP($B60,Números_Asignados,Correos_Institucionales,"",0))</f>
        <v>raul.arzate@agrocisa.com.mx</v>
      </c>
    </row>
    <row r="61" ht="15.75" customHeight="1">
      <c r="A61" s="7">
        <v>3.921006351E9</v>
      </c>
      <c r="B61" s="7">
        <v>3.921006351E9</v>
      </c>
      <c r="C61" s="7">
        <v>4.0</v>
      </c>
      <c r="D61" s="9">
        <v>599.0</v>
      </c>
      <c r="E61" s="7">
        <v>22.5</v>
      </c>
      <c r="F61" s="9" t="s">
        <v>294</v>
      </c>
      <c r="G61" s="19">
        <v>3.57369477215899E14</v>
      </c>
      <c r="H61" s="19" t="s">
        <v>1326</v>
      </c>
      <c r="I61" s="7" t="s">
        <v>1327</v>
      </c>
      <c r="J61" s="19" t="s">
        <v>194</v>
      </c>
      <c r="K61" s="19" t="s">
        <v>196</v>
      </c>
      <c r="L61" s="7" t="s">
        <v>198</v>
      </c>
      <c r="M61" s="26">
        <v>46142.0</v>
      </c>
      <c r="N61" s="7" t="s">
        <v>201</v>
      </c>
      <c r="O61" s="7"/>
      <c r="P61" s="28">
        <f t="array" ref="P61">XLOOKUP(F61,Lista_Equipos_2026,Precio_Equipos_2026," *** OJO *** ",0)</f>
        <v>10999</v>
      </c>
      <c r="Q61" s="7" t="str">
        <f t="array" ref="Q61">IF(OR($B61="",ISBLANK(XLOOKUP($B61,Números_Asignados,Nombres_Directorio,"",0))),"",XLOOKUP($B61,Números_Asignados,Nombres_Directorio,"",0))</f>
        <v/>
      </c>
      <c r="R61" s="7" t="str">
        <f t="array" ref="R61">IF(OR($B61="",ISBLANK(XLOOKUP($B61,Números_Asignados,Sucursal_Asignada,"",0))),"",XLOOKUP($B61,Números_Asignados,Sucursal_Asignada,"",0))</f>
        <v/>
      </c>
      <c r="S61" s="7" t="str">
        <f t="array" ref="S61">IF(OR($B61="",ISBLANK(XLOOKUP($B61,Números_Asignados,Departamento_Asignado,"",0))),"",XLOOKUP($B61,Números_Asignados,Departamento_Asignado,"",0))</f>
        <v/>
      </c>
      <c r="T61" s="7" t="str">
        <f t="array" ref="T61">IF(OR($B61="",ISBLANK(XLOOKUP($B61,Números_Asignados,Puesto_Asignado,"",0))),"",XLOOKUP($B61,Números_Asignados,Puesto_Asignado,"",0))</f>
        <v/>
      </c>
      <c r="U61" s="7" t="str">
        <f t="array" ref="U61">IF(OR($B61="",ISBLANK(XLOOKUP($B61,Números_Asignados,Correos_Gmail,"",0))),"",XLOOKUP($B61,Números_Asignados,Correos_Gmail,"",0))</f>
        <v/>
      </c>
      <c r="V61" s="7" t="str">
        <f t="array" ref="V61">IF(OR($B61="",ISBLANK(XLOOKUP($B61,Números_Asignados,Correos_Institucionales,"",0))),"",XLOOKUP($B61,Números_Asignados,Correos_Institucionales,"",0))</f>
        <v/>
      </c>
    </row>
    <row r="62" ht="15.75" customHeight="1">
      <c r="A62" s="7">
        <v>7.531200508E9</v>
      </c>
      <c r="B62" s="7">
        <v>7.531200508E9</v>
      </c>
      <c r="C62" s="7">
        <v>1.0</v>
      </c>
      <c r="D62" s="9">
        <v>269.0</v>
      </c>
      <c r="E62" s="7">
        <v>9.0</v>
      </c>
      <c r="F62" s="9" t="s">
        <v>294</v>
      </c>
      <c r="G62" s="19">
        <v>3.52010505764269E14</v>
      </c>
      <c r="H62" s="7" t="s">
        <v>1340</v>
      </c>
      <c r="I62" s="7" t="s">
        <v>1341</v>
      </c>
      <c r="J62" s="7" t="s">
        <v>194</v>
      </c>
      <c r="K62" s="7" t="s">
        <v>196</v>
      </c>
      <c r="L62" s="7" t="s">
        <v>198</v>
      </c>
      <c r="M62" s="26">
        <v>46134.0</v>
      </c>
      <c r="N62" s="7" t="s">
        <v>201</v>
      </c>
      <c r="O62" s="7"/>
      <c r="P62" s="28">
        <f t="array" ref="P62">XLOOKUP(F62,Lista_Equipos_2026,Precio_Equipos_2026," *** OJO *** ",0)</f>
        <v>10999</v>
      </c>
      <c r="Q62" s="7" t="str">
        <f t="array" ref="Q62">IF(OR($B62="",ISBLANK(XLOOKUP($B62,Números_Asignados,Nombres_Directorio,"",0))),"",XLOOKUP($B62,Números_Asignados,Nombres_Directorio,"",0))</f>
        <v>Félix Antonio Román Becerra</v>
      </c>
      <c r="R62" s="7" t="str">
        <f t="array" ref="R62">IF(OR($B62="",ISBLANK(XLOOKUP($B62,Números_Asignados,Sucursal_Asignada,"",0))),"",XLOOKUP($B62,Números_Asignados,Sucursal_Asignada,"",0))</f>
        <v>La Barca</v>
      </c>
      <c r="S62" s="7" t="str">
        <f t="array" ref="S62">IF(OR($B62="",ISBLANK(XLOOKUP($B62,Números_Asignados,Departamento_Asignado,"",0))),"",XLOOKUP($B62,Números_Asignados,Departamento_Asignado,"",0))</f>
        <v>Refacciones</v>
      </c>
      <c r="T62" s="7" t="str">
        <f t="array" ref="T62">IF(OR($B62="",ISBLANK(XLOOKUP($B62,Números_Asignados,Puesto_Asignado,"",0))),"",XLOOKUP($B62,Números_Asignados,Puesto_Asignado,"",0))</f>
        <v>Encargado de Refacciones Sucursal</v>
      </c>
      <c r="U62" s="7" t="str">
        <f t="array" ref="U62">IF(OR($B62="",ISBLANK(XLOOKUP($B62,Números_Asignados,Correos_Gmail,"",0))),"",XLOOKUP($B62,Números_Asignados,Correos_Gmail,"",0))</f>
        <v>felix.roman@agrocisa.com.mx</v>
      </c>
      <c r="V62" s="7" t="str">
        <f t="array" ref="V62">IF(OR($B62="",ISBLANK(XLOOKUP($B62,Números_Asignados,Correos_Institucionales,"",0))),"",XLOOKUP($B62,Números_Asignados,Correos_Institucionales,"",0))</f>
        <v>felix.roman@agrocisa.com.mx</v>
      </c>
    </row>
    <row r="63" ht="15.75" customHeight="1">
      <c r="A63" s="7">
        <v>3.781868863E9</v>
      </c>
      <c r="B63" s="40">
        <v>3.93119646E9</v>
      </c>
      <c r="C63" s="7">
        <v>4.0</v>
      </c>
      <c r="D63" s="9">
        <v>599.0</v>
      </c>
      <c r="E63" s="7">
        <v>22.5</v>
      </c>
      <c r="F63" s="9" t="s">
        <v>413</v>
      </c>
      <c r="G63" s="19">
        <v>3.52242801086259E14</v>
      </c>
      <c r="H63" s="19" t="s">
        <v>1352</v>
      </c>
      <c r="I63" s="7" t="s">
        <v>1354</v>
      </c>
      <c r="J63" s="7" t="s">
        <v>194</v>
      </c>
      <c r="K63" s="19" t="s">
        <v>196</v>
      </c>
      <c r="L63" s="7" t="s">
        <v>198</v>
      </c>
      <c r="M63" s="26">
        <v>46128.0</v>
      </c>
      <c r="N63" s="7" t="s">
        <v>201</v>
      </c>
      <c r="O63" s="7" t="s">
        <v>1357</v>
      </c>
      <c r="P63" s="28">
        <f t="array" ref="P63">XLOOKUP(F63,Lista_Equipos_2026,Precio_Equipos_2026," *** OJO *** ",0)</f>
        <v>15499</v>
      </c>
      <c r="Q63" s="7" t="str">
        <f t="array" ref="Q63">IF(OR($B63="",ISBLANK(XLOOKUP($B63,Números_Asignados,Nombres_Directorio,"",0))),"",XLOOKUP($B63,Números_Asignados,Nombres_Directorio,"",0))</f>
        <v>Abraham Octavio García Sahagún</v>
      </c>
      <c r="R63" s="7" t="str">
        <f t="array" ref="R63">IF(OR($B63="",ISBLANK(XLOOKUP($B63,Números_Asignados,Sucursal_Asignada,"",0))),"",XLOOKUP($B63,Números_Asignados,Sucursal_Asignada,"",0))</f>
        <v>La Barca</v>
      </c>
      <c r="S63" s="7" t="str">
        <f t="array" ref="S63">IF(OR($B63="",ISBLANK(XLOOKUP($B63,Números_Asignados,Departamento_Asignado,"",0))),"",XLOOKUP($B63,Números_Asignados,Departamento_Asignado,"",0))</f>
        <v>Corporativo</v>
      </c>
      <c r="T63" s="7" t="str">
        <f t="array" ref="T63">IF(OR($B63="",ISBLANK(XLOOKUP($B63,Números_Asignados,Puesto_Asignado,"",0))),"",XLOOKUP($B63,Números_Asignados,Puesto_Asignado,"",0))</f>
        <v>Jefe de Refacciones</v>
      </c>
      <c r="U63" s="7" t="str">
        <f t="array" ref="U63">IF(OR($B63="",ISBLANK(XLOOKUP($B63,Números_Asignados,Correos_Gmail,"",0))),"",XLOOKUP($B63,Números_Asignados,Correos_Gmail,"",0))</f>
        <v>refalabarca.agro@gmail.com</v>
      </c>
      <c r="V63" s="7" t="str">
        <f t="array" ref="V63">IF(OR($B63="",ISBLANK(XLOOKUP($B63,Números_Asignados,Correos_Institucionales,"",0))),"",XLOOKUP($B63,Números_Asignados,Correos_Institucionales,"",0))</f>
        <v>abraham.garcia@agrocisa.com.mx</v>
      </c>
    </row>
    <row r="64" ht="15.75" customHeight="1">
      <c r="A64" s="7">
        <v>3.316094471E9</v>
      </c>
      <c r="B64" s="7">
        <v>3.316094471E9</v>
      </c>
      <c r="C64" s="7">
        <v>1.0</v>
      </c>
      <c r="D64" s="9">
        <v>269.0</v>
      </c>
      <c r="E64" s="7">
        <v>9.0</v>
      </c>
      <c r="F64" s="9" t="s">
        <v>294</v>
      </c>
      <c r="G64" s="19">
        <v>3.57369477203846E14</v>
      </c>
      <c r="H64" s="19" t="s">
        <v>1368</v>
      </c>
      <c r="I64" s="7" t="s">
        <v>1369</v>
      </c>
      <c r="J64" s="7" t="s">
        <v>194</v>
      </c>
      <c r="K64" s="19" t="s">
        <v>196</v>
      </c>
      <c r="L64" s="7" t="s">
        <v>198</v>
      </c>
      <c r="M64" s="26">
        <v>46136.0</v>
      </c>
      <c r="N64" s="7" t="s">
        <v>201</v>
      </c>
      <c r="O64" s="7"/>
      <c r="P64" s="28">
        <f t="array" ref="P64">XLOOKUP(F64,Lista_Equipos_2026,Precio_Equipos_2026," *** OJO *** ",0)</f>
        <v>10999</v>
      </c>
      <c r="Q64" s="7" t="str">
        <f t="array" ref="Q64">IF(OR($B64="",ISBLANK(XLOOKUP($B64,Números_Asignados,Nombres_Directorio,"",0))),"",XLOOKUP($B64,Números_Asignados,Nombres_Directorio,"",0))</f>
        <v>Andrea Becerra Cisneros</v>
      </c>
      <c r="R64" s="7" t="str">
        <f t="array" ref="R64">IF(OR($B64="",ISBLANK(XLOOKUP($B64,Números_Asignados,Sucursal_Asignada,"",0))),"",XLOOKUP($B64,Números_Asignados,Sucursal_Asignada,"",0))</f>
        <v>La Barca</v>
      </c>
      <c r="S64" s="7" t="str">
        <f t="array" ref="S64">IF(OR($B64="",ISBLANK(XLOOKUP($B64,Números_Asignados,Departamento_Asignado,"",0))),"",XLOOKUP($B64,Números_Asignados,Departamento_Asignado,"",0))</f>
        <v>Servicio</v>
      </c>
      <c r="T64" s="7" t="str">
        <f t="array" ref="T64">IF(OR($B64="",ISBLANK(XLOOKUP($B64,Números_Asignados,Puesto_Asignado,"",0))),"",XLOOKUP($B64,Números_Asignados,Puesto_Asignado,"",0))</f>
        <v>Auxiliar Administrativo</v>
      </c>
      <c r="U64" s="7" t="str">
        <f t="array" ref="U64">IF(OR($B64="",ISBLANK(XLOOKUP($B64,Números_Asignados,Correos_Gmail,"",0))),"",XLOOKUP($B64,Números_Asignados,Correos_Gmail,"",0))</f>
        <v>serviciolabarca@agrocisa.com.mx</v>
      </c>
      <c r="V64" s="7" t="str">
        <f t="array" ref="V64">IF(OR($B64="",ISBLANK(XLOOKUP($B64,Números_Asignados,Correos_Institucionales,"",0))),"",XLOOKUP($B64,Números_Asignados,Correos_Institucionales,"",0))</f>
        <v>serviciolabarca@agrocisa.com.mx</v>
      </c>
    </row>
    <row r="65" ht="15.75" customHeight="1">
      <c r="A65" s="7">
        <v>3.931078005E9</v>
      </c>
      <c r="B65" s="7">
        <v>3.931078005E9</v>
      </c>
      <c r="C65" s="7">
        <v>4.0</v>
      </c>
      <c r="D65" s="9">
        <v>599.0</v>
      </c>
      <c r="E65" s="7">
        <v>22.5</v>
      </c>
      <c r="F65" s="9" t="s">
        <v>294</v>
      </c>
      <c r="G65" s="19">
        <v>3.57369477218885E14</v>
      </c>
      <c r="H65" s="19" t="s">
        <v>1379</v>
      </c>
      <c r="I65" s="7" t="s">
        <v>1380</v>
      </c>
      <c r="J65" s="7" t="s">
        <v>194</v>
      </c>
      <c r="K65" s="19" t="s">
        <v>196</v>
      </c>
      <c r="L65" s="7" t="s">
        <v>198</v>
      </c>
      <c r="M65" s="26">
        <v>46140.0</v>
      </c>
      <c r="N65" s="7" t="s">
        <v>201</v>
      </c>
      <c r="O65" s="7"/>
      <c r="P65" s="28">
        <f t="array" ref="P65">XLOOKUP(F65,Lista_Equipos_2026,Precio_Equipos_2026," *** OJO *** ",0)</f>
        <v>10999</v>
      </c>
      <c r="Q65" s="7" t="str">
        <f t="array" ref="Q65">IF(OR($B65="",ISBLANK(XLOOKUP($B65,Números_Asignados,Nombres_Directorio,"",0))),"",XLOOKUP($B65,Números_Asignados,Nombres_Directorio,"",0))</f>
        <v>Luis Enrique Nuñez Nuñez</v>
      </c>
      <c r="R65" s="7" t="str">
        <f t="array" ref="R65">IF(OR($B65="",ISBLANK(XLOOKUP($B65,Números_Asignados,Sucursal_Asignada,"",0))),"",XLOOKUP($B65,Números_Asignados,Sucursal_Asignada,"",0))</f>
        <v>La Barca</v>
      </c>
      <c r="S65" s="7" t="str">
        <f t="array" ref="S65">IF(OR($B65="",ISBLANK(XLOOKUP($B65,Números_Asignados,Departamento_Asignado,"",0))),"",XLOOKUP($B65,Números_Asignados,Departamento_Asignado,"",0))</f>
        <v>Servicio</v>
      </c>
      <c r="T65" s="7" t="str">
        <f t="array" ref="T65">IF(OR($B65="",ISBLANK(XLOOKUP($B65,Números_Asignados,Puesto_Asignado,"",0))),"",XLOOKUP($B65,Números_Asignados,Puesto_Asignado,"",0))</f>
        <v>Jefe de Taller</v>
      </c>
      <c r="U65" s="7" t="str">
        <f t="array" ref="U65">IF(OR($B65="",ISBLANK(XLOOKUP($B65,Números_Asignados,Correos_Gmail,"",0))),"",XLOOKUP($B65,Números_Asignados,Correos_Gmail,"",0))</f>
        <v>luisnunez.agro@gmail.com</v>
      </c>
      <c r="V65" s="7" t="str">
        <f t="array" ref="V65">IF(OR($B65="",ISBLANK(XLOOKUP($B65,Números_Asignados,Correos_Institucionales,"",0))),"",XLOOKUP($B65,Números_Asignados,Correos_Institucionales,"",0))</f>
        <v>tallerlabarca@agrocisa.com.mx</v>
      </c>
    </row>
    <row r="66" ht="15.75" customHeight="1">
      <c r="A66" s="7">
        <v>3.31609388E9</v>
      </c>
      <c r="B66" s="7">
        <v>3.31609388E9</v>
      </c>
      <c r="C66" s="7">
        <v>4.0</v>
      </c>
      <c r="D66" s="9">
        <v>599.0</v>
      </c>
      <c r="E66" s="7">
        <v>22.5</v>
      </c>
      <c r="F66" s="9" t="s">
        <v>294</v>
      </c>
      <c r="G66" s="19">
        <v>3.57369477237521E14</v>
      </c>
      <c r="H66" s="19" t="s">
        <v>1399</v>
      </c>
      <c r="I66" s="7" t="s">
        <v>1400</v>
      </c>
      <c r="J66" s="7" t="s">
        <v>194</v>
      </c>
      <c r="K66" s="7" t="s">
        <v>196</v>
      </c>
      <c r="L66" s="7" t="s">
        <v>198</v>
      </c>
      <c r="M66" s="26">
        <v>46142.0</v>
      </c>
      <c r="N66" s="7" t="s">
        <v>201</v>
      </c>
      <c r="O66" s="7"/>
      <c r="P66" s="28">
        <f t="array" ref="P66">XLOOKUP(F66,Lista_Equipos_2026,Precio_Equipos_2026," *** OJO *** ",0)</f>
        <v>10999</v>
      </c>
      <c r="Q66" s="7" t="str">
        <f t="array" ref="Q66">IF(OR($B66="",ISBLANK(XLOOKUP($B66,Números_Asignados,Nombres_Directorio,"",0))),"",XLOOKUP($B66,Números_Asignados,Nombres_Directorio,"",0))</f>
        <v>Jaime García García</v>
      </c>
      <c r="R66" s="7" t="str">
        <f t="array" ref="R66">IF(OR($B66="",ISBLANK(XLOOKUP($B66,Números_Asignados,Sucursal_Asignada,"",0))),"",XLOOKUP($B66,Números_Asignados,Sucursal_Asignada,"",0))</f>
        <v>La Barca</v>
      </c>
      <c r="S66" s="7" t="str">
        <f t="array" ref="S66">IF(OR($B66="",ISBLANK(XLOOKUP($B66,Números_Asignados,Departamento_Asignado,"",0))),"",XLOOKUP($B66,Números_Asignados,Departamento_Asignado,"",0))</f>
        <v>Servicio</v>
      </c>
      <c r="T66" s="7" t="str">
        <f t="array" ref="T66">IF(OR($B66="",ISBLANK(XLOOKUP($B66,Números_Asignados,Puesto_Asignado,"",0))),"",XLOOKUP($B66,Números_Asignados,Puesto_Asignado,"",0))</f>
        <v>Jefe de Técnicos</v>
      </c>
      <c r="U66" s="7" t="str">
        <f t="array" ref="U66">IF(OR($B66="",ISBLANK(XLOOKUP($B66,Números_Asignados,Correos_Gmail,"",0))),"",XLOOKUP($B66,Números_Asignados,Correos_Gmail,"",0))</f>
        <v>jggarcia.agro@gmail.com</v>
      </c>
      <c r="V66" s="7" t="str">
        <f t="array" ref="V66">IF(OR($B66="",ISBLANK(XLOOKUP($B66,Números_Asignados,Correos_Institucionales,"",0))),"",XLOOKUP($B66,Números_Asignados,Correos_Institucionales,"",0))</f>
        <v/>
      </c>
    </row>
    <row r="67" ht="15.75" customHeight="1">
      <c r="A67" s="7">
        <v>3.337194504E9</v>
      </c>
      <c r="B67" s="7">
        <v>3.337194504E9</v>
      </c>
      <c r="C67" s="7">
        <v>4.0</v>
      </c>
      <c r="D67" s="9">
        <v>599.0</v>
      </c>
      <c r="E67" s="7">
        <v>22.5</v>
      </c>
      <c r="F67" s="9" t="s">
        <v>294</v>
      </c>
      <c r="G67" s="19">
        <v>3.57369477209645E14</v>
      </c>
      <c r="H67" s="19" t="s">
        <v>1403</v>
      </c>
      <c r="I67" s="7" t="s">
        <v>1404</v>
      </c>
      <c r="J67" s="7" t="s">
        <v>194</v>
      </c>
      <c r="K67" s="19" t="s">
        <v>196</v>
      </c>
      <c r="L67" s="7" t="s">
        <v>198</v>
      </c>
      <c r="M67" s="26">
        <v>46142.0</v>
      </c>
      <c r="N67" s="7" t="s">
        <v>201</v>
      </c>
      <c r="O67" s="7"/>
      <c r="P67" s="28">
        <f t="array" ref="P67">XLOOKUP(F67,Lista_Equipos_2026,Precio_Equipos_2026," *** OJO *** ",0)</f>
        <v>10999</v>
      </c>
      <c r="Q67" s="7" t="str">
        <f t="array" ref="Q67">IF(OR($B67="",ISBLANK(XLOOKUP($B67,Números_Asignados,Nombres_Directorio,"",0))),"",XLOOKUP($B67,Números_Asignados,Nombres_Directorio,"",0))</f>
        <v>Antonio López Silva</v>
      </c>
      <c r="R67" s="7" t="str">
        <f t="array" ref="R67">IF(OR($B67="",ISBLANK(XLOOKUP($B67,Números_Asignados,Sucursal_Asignada,"",0))),"",XLOOKUP($B67,Números_Asignados,Sucursal_Asignada,"",0))</f>
        <v>La Barca</v>
      </c>
      <c r="S67" s="7" t="str">
        <f t="array" ref="S67">IF(OR($B67="",ISBLANK(XLOOKUP($B67,Números_Asignados,Departamento_Asignado,"",0))),"",XLOOKUP($B67,Números_Asignados,Departamento_Asignado,"",0))</f>
        <v>Servicio</v>
      </c>
      <c r="T67" s="7" t="str">
        <f t="array" ref="T67">IF(OR($B67="",ISBLANK(XLOOKUP($B67,Números_Asignados,Puesto_Asignado,"",0))),"",XLOOKUP($B67,Números_Asignados,Puesto_Asignado,"",0))</f>
        <v>Jefe de Técnicos Gama Alta</v>
      </c>
      <c r="U67" s="7" t="str">
        <f t="array" ref="U67">IF(OR($B67="",ISBLANK(XLOOKUP($B67,Números_Asignados,Correos_Gmail,"",0))),"",XLOOKUP($B67,Números_Asignados,Correos_Gmail,"",0))</f>
        <v>alopezsilva.agro@gmail.com</v>
      </c>
      <c r="V67" s="7" t="str">
        <f t="array" ref="V67">IF(OR($B67="",ISBLANK(XLOOKUP($B67,Números_Asignados,Correos_Institucionales,"",0))),"",XLOOKUP($B67,Números_Asignados,Correos_Institucionales,"",0))</f>
        <v>antonio.lopez@agrocisa.com.mx</v>
      </c>
    </row>
    <row r="68" ht="15.75" customHeight="1">
      <c r="A68" s="7">
        <v>3.93106444E9</v>
      </c>
      <c r="B68" s="7">
        <v>3.93106444E9</v>
      </c>
      <c r="C68" s="7">
        <v>4.0</v>
      </c>
      <c r="D68" s="9">
        <v>599.0</v>
      </c>
      <c r="E68" s="7">
        <v>22.5</v>
      </c>
      <c r="F68" s="9" t="s">
        <v>413</v>
      </c>
      <c r="G68" s="19">
        <v>3.52242801086333E14</v>
      </c>
      <c r="H68" s="19" t="s">
        <v>1417</v>
      </c>
      <c r="I68" s="7" t="s">
        <v>1418</v>
      </c>
      <c r="J68" s="7" t="s">
        <v>194</v>
      </c>
      <c r="K68" s="19" t="s">
        <v>196</v>
      </c>
      <c r="L68" s="7" t="s">
        <v>198</v>
      </c>
      <c r="M68" s="26">
        <v>46137.0</v>
      </c>
      <c r="N68" s="7" t="s">
        <v>201</v>
      </c>
      <c r="O68" s="7"/>
      <c r="P68" s="28">
        <f t="array" ref="P68">XLOOKUP(F68,Lista_Equipos_2026,Precio_Equipos_2026," *** OJO *** ",0)</f>
        <v>15499</v>
      </c>
      <c r="Q68" s="7" t="str">
        <f t="array" ref="Q68">IF(OR($B68="",ISBLANK(XLOOKUP($B68,Números_Asignados,Nombres_Directorio,"",0))),"",XLOOKUP($B68,Números_Asignados,Nombres_Directorio,"",0))</f>
        <v>J Jesús Velazco Aviña</v>
      </c>
      <c r="R68" s="7" t="str">
        <f t="array" ref="R68">IF(OR($B68="",ISBLANK(XLOOKUP($B68,Números_Asignados,Sucursal_Asignada,"",0))),"",XLOOKUP($B68,Números_Asignados,Sucursal_Asignada,"",0))</f>
        <v>La Barca</v>
      </c>
      <c r="S68" s="7" t="str">
        <f t="array" ref="S68">IF(OR($B68="",ISBLANK(XLOOKUP($B68,Números_Asignados,Departamento_Asignado,"",0))),"",XLOOKUP($B68,Números_Asignados,Departamento_Asignado,"",0))</f>
        <v>Corporativo</v>
      </c>
      <c r="T68" s="7" t="str">
        <f t="array" ref="T68">IF(OR($B68="",ISBLANK(XLOOKUP($B68,Números_Asignados,Puesto_Asignado,"",0))),"",XLOOKUP($B68,Números_Asignados,Puesto_Asignado,"",0))</f>
        <v>Jefe de Servicio Operativo</v>
      </c>
      <c r="U68" s="7" t="str">
        <f t="array" ref="U68">IF(OR($B68="",ISBLANK(XLOOKUP($B68,Números_Asignados,Correos_Gmail,"",0))),"",XLOOKUP($B68,Números_Asignados,Correos_Gmail,"",0))</f>
        <v>jvelazco.agro@gmail.com</v>
      </c>
      <c r="V68" s="7" t="str">
        <f t="array" ref="V68">IF(OR($B68="",ISBLANK(XLOOKUP($B68,Números_Asignados,Correos_Institucionales,"",0))),"",XLOOKUP($B68,Números_Asignados,Correos_Institucionales,"",0))</f>
        <v>jesus.velazco@agrocisa.com.mx</v>
      </c>
    </row>
    <row r="69" ht="15.75" customHeight="1">
      <c r="A69" s="7">
        <v>3.931079811E9</v>
      </c>
      <c r="B69" s="7">
        <v>3.931079811E9</v>
      </c>
      <c r="C69" s="7">
        <v>4.0</v>
      </c>
      <c r="D69" s="9">
        <v>599.0</v>
      </c>
      <c r="E69" s="7">
        <v>22.5</v>
      </c>
      <c r="F69" s="9" t="s">
        <v>294</v>
      </c>
      <c r="G69" s="19">
        <v>3.57369477218984E14</v>
      </c>
      <c r="H69" s="19" t="s">
        <v>1426</v>
      </c>
      <c r="I69" s="7" t="s">
        <v>1427</v>
      </c>
      <c r="J69" s="7" t="s">
        <v>194</v>
      </c>
      <c r="K69" s="19" t="s">
        <v>196</v>
      </c>
      <c r="L69" s="7" t="s">
        <v>198</v>
      </c>
      <c r="M69" s="26">
        <v>46139.0</v>
      </c>
      <c r="N69" s="7" t="s">
        <v>201</v>
      </c>
      <c r="O69" s="7"/>
      <c r="P69" s="28">
        <f t="array" ref="P69">XLOOKUP(F69,Lista_Equipos_2026,Precio_Equipos_2026," *** OJO *** ",0)</f>
        <v>10999</v>
      </c>
      <c r="Q69" s="7" t="str">
        <f t="array" ref="Q69">IF(OR($B69="",ISBLANK(XLOOKUP($B69,Números_Asignados,Nombres_Directorio,"",0))),"",XLOOKUP($B69,Números_Asignados,Nombres_Directorio,"",0))</f>
        <v>Andrés García García</v>
      </c>
      <c r="R69" s="7" t="str">
        <f t="array" ref="R69">IF(OR($B69="",ISBLANK(XLOOKUP($B69,Números_Asignados,Sucursal_Asignada,"",0))),"",XLOOKUP($B69,Números_Asignados,Sucursal_Asignada,"",0))</f>
        <v>La Barca</v>
      </c>
      <c r="S69" s="7" t="str">
        <f t="array" ref="S69">IF(OR($B69="",ISBLANK(XLOOKUP($B69,Números_Asignados,Departamento_Asignado,"",0))),"",XLOOKUP($B69,Números_Asignados,Departamento_Asignado,"",0))</f>
        <v>Servicio</v>
      </c>
      <c r="T69" s="7" t="str">
        <f t="array" ref="T69">IF(OR($B69="",ISBLANK(XLOOKUP($B69,Números_Asignados,Puesto_Asignado,"",0))),"",XLOOKUP($B69,Números_Asignados,Puesto_Asignado,"",0))</f>
        <v>Técnico</v>
      </c>
      <c r="U69" s="7" t="str">
        <f t="array" ref="U69">IF(OR($B69="",ISBLANK(XLOOKUP($B69,Números_Asignados,Correos_Gmail,"",0))),"",XLOOKUP($B69,Números_Asignados,Correos_Gmail,"",0))</f>
        <v>andresgarcia.agro@gmail.com</v>
      </c>
      <c r="V69" s="7" t="str">
        <f t="array" ref="V69">IF(OR($B69="",ISBLANK(XLOOKUP($B69,Números_Asignados,Correos_Institucionales,"",0))),"",XLOOKUP($B69,Números_Asignados,Correos_Institucionales,"",0))</f>
        <v>andres.garcia@agrocisa.com.mx</v>
      </c>
    </row>
    <row r="70" ht="15.75" customHeight="1">
      <c r="A70" s="7">
        <v>3.931073736E9</v>
      </c>
      <c r="B70" s="7">
        <v>3.931073736E9</v>
      </c>
      <c r="C70" s="7">
        <v>4.0</v>
      </c>
      <c r="D70" s="9">
        <v>599.0</v>
      </c>
      <c r="E70" s="7">
        <v>22.5</v>
      </c>
      <c r="F70" s="9" t="s">
        <v>294</v>
      </c>
      <c r="G70" s="19">
        <v>3.57369477217283E14</v>
      </c>
      <c r="H70" s="19" t="s">
        <v>1438</v>
      </c>
      <c r="I70" s="7" t="s">
        <v>1439</v>
      </c>
      <c r="J70" s="7" t="s">
        <v>194</v>
      </c>
      <c r="K70" s="19" t="s">
        <v>196</v>
      </c>
      <c r="L70" s="7" t="s">
        <v>198</v>
      </c>
      <c r="M70" s="26">
        <v>46137.0</v>
      </c>
      <c r="N70" s="7" t="s">
        <v>201</v>
      </c>
      <c r="O70" s="7"/>
      <c r="P70" s="28">
        <f t="array" ref="P70">XLOOKUP(F70,Lista_Equipos_2026,Precio_Equipos_2026," *** OJO *** ",0)</f>
        <v>10999</v>
      </c>
      <c r="Q70" s="7" t="str">
        <f t="array" ref="Q70">IF(OR($B70="",ISBLANK(XLOOKUP($B70,Números_Asignados,Nombres_Directorio,"",0))),"",XLOOKUP($B70,Números_Asignados,Nombres_Directorio,"",0))</f>
        <v>Jesús Eduardo Guerrero Zuñiga</v>
      </c>
      <c r="R70" s="7" t="str">
        <f t="array" ref="R70">IF(OR($B70="",ISBLANK(XLOOKUP($B70,Números_Asignados,Sucursal_Asignada,"",0))),"",XLOOKUP($B70,Números_Asignados,Sucursal_Asignada,"",0))</f>
        <v>La Barca</v>
      </c>
      <c r="S70" s="7" t="str">
        <f t="array" ref="S70">IF(OR($B70="",ISBLANK(XLOOKUP($B70,Números_Asignados,Departamento_Asignado,"",0))),"",XLOOKUP($B70,Números_Asignados,Departamento_Asignado,"",0))</f>
        <v>Servicio</v>
      </c>
      <c r="T70" s="7" t="str">
        <f t="array" ref="T70">IF(OR($B70="",ISBLANK(XLOOKUP($B70,Números_Asignados,Puesto_Asignado,"",0))),"",XLOOKUP($B70,Números_Asignados,Puesto_Asignado,"",0))</f>
        <v>Técnico</v>
      </c>
      <c r="U70" s="7" t="str">
        <f t="array" ref="U70">IF(OR($B70="",ISBLANK(XLOOKUP($B70,Números_Asignados,Correos_Gmail,"",0))),"",XLOOKUP($B70,Números_Asignados,Correos_Gmail,"",0))</f>
        <v>jeguerrero.agro@gmail.com</v>
      </c>
      <c r="V70" s="7" t="str">
        <f t="array" ref="V70">IF(OR($B70="",ISBLANK(XLOOKUP($B70,Números_Asignados,Correos_Institucionales,"",0))),"",XLOOKUP($B70,Números_Asignados,Correos_Institucionales,"",0))</f>
        <v>jesus.guerrero@agrocisa.com.mx</v>
      </c>
    </row>
    <row r="71" ht="15.75" customHeight="1">
      <c r="A71" s="7">
        <v>3.931078067E9</v>
      </c>
      <c r="B71" s="7">
        <v>3.931078067E9</v>
      </c>
      <c r="C71" s="7">
        <v>1.0</v>
      </c>
      <c r="D71" s="9">
        <v>269.0</v>
      </c>
      <c r="E71" s="7">
        <v>9.0</v>
      </c>
      <c r="F71" s="9" t="s">
        <v>294</v>
      </c>
      <c r="G71" s="19">
        <v>3.52010505756513E14</v>
      </c>
      <c r="H71" s="19" t="s">
        <v>1445</v>
      </c>
      <c r="I71" s="7" t="s">
        <v>1446</v>
      </c>
      <c r="J71" s="7" t="s">
        <v>194</v>
      </c>
      <c r="K71" s="19" t="s">
        <v>196</v>
      </c>
      <c r="L71" s="7" t="s">
        <v>198</v>
      </c>
      <c r="M71" s="26">
        <v>46128.0</v>
      </c>
      <c r="N71" s="7" t="s">
        <v>201</v>
      </c>
      <c r="O71" s="7"/>
      <c r="P71" s="28">
        <f t="array" ref="P71">XLOOKUP(F71,Lista_Equipos_2026,Precio_Equipos_2026," *** OJO *** ",0)</f>
        <v>10999</v>
      </c>
      <c r="Q71" s="7" t="str">
        <f t="array" ref="Q71">IF(OR($B71="",ISBLANK(XLOOKUP($B71,Números_Asignados,Nombres_Directorio,"",0))),"",XLOOKUP($B71,Números_Asignados,Nombres_Directorio,"",0))</f>
        <v>Félix Eugenio Ávalos Hernández</v>
      </c>
      <c r="R71" s="7" t="str">
        <f t="array" ref="R71">IF(OR($B71="",ISBLANK(XLOOKUP($B71,Números_Asignados,Sucursal_Asignada,"",0))),"",XLOOKUP($B71,Números_Asignados,Sucursal_Asignada,"",0))</f>
        <v>La Barca</v>
      </c>
      <c r="S71" s="7" t="str">
        <f t="array" ref="S71">IF(OR($B71="",ISBLANK(XLOOKUP($B71,Números_Asignados,Departamento_Asignado,"",0))),"",XLOOKUP($B71,Números_Asignados,Departamento_Asignado,"",0))</f>
        <v>Servicio</v>
      </c>
      <c r="T71" s="7" t="str">
        <f t="array" ref="T71">IF(OR($B71="",ISBLANK(XLOOKUP($B71,Números_Asignados,Puesto_Asignado,"",0))),"",XLOOKUP($B71,Números_Asignados,Puesto_Asignado,"",0))</f>
        <v>Telemetría</v>
      </c>
      <c r="U71" s="7" t="str">
        <f t="array" ref="U71">IF(OR($B71="",ISBLANK(XLOOKUP($B71,Números_Asignados,Correos_Gmail,"",0))),"",XLOOKUP($B71,Números_Asignados,Correos_Gmail,"",0))</f>
        <v>telematrix.agrocisa@gmail.com</v>
      </c>
      <c r="V71" s="7" t="str">
        <f t="array" ref="V71">IF(OR($B71="",ISBLANK(XLOOKUP($B71,Números_Asignados,Correos_Institucionales,"",0))),"",XLOOKUP($B71,Números_Asignados,Correos_Institucionales,"",0))</f>
        <v>telemetria@agrocisa.com.mx</v>
      </c>
    </row>
    <row r="72" ht="15.75" customHeight="1">
      <c r="A72" s="7">
        <v>3.781868859E9</v>
      </c>
      <c r="B72" s="7">
        <v>3.781868859E9</v>
      </c>
      <c r="C72" s="7">
        <v>4.0</v>
      </c>
      <c r="D72" s="9">
        <v>599.0</v>
      </c>
      <c r="E72" s="7">
        <v>22.5</v>
      </c>
      <c r="F72" s="9" t="s">
        <v>413</v>
      </c>
      <c r="G72" s="19">
        <v>3.52242801086119E14</v>
      </c>
      <c r="H72" s="19" t="s">
        <v>1457</v>
      </c>
      <c r="I72" s="7" t="s">
        <v>1458</v>
      </c>
      <c r="J72" s="7" t="s">
        <v>194</v>
      </c>
      <c r="K72" s="19" t="s">
        <v>196</v>
      </c>
      <c r="L72" s="7" t="s">
        <v>198</v>
      </c>
      <c r="M72" s="26">
        <v>46137.0</v>
      </c>
      <c r="N72" s="7" t="s">
        <v>201</v>
      </c>
      <c r="O72" s="7"/>
      <c r="P72" s="28">
        <f t="array" ref="P72">XLOOKUP(F72,Lista_Equipos_2026,Precio_Equipos_2026," *** OJO *** ",0)</f>
        <v>15499</v>
      </c>
      <c r="Q72" s="7" t="str">
        <f t="array" ref="Q72">IF(OR($B72="",ISBLANK(XLOOKUP($B72,Números_Asignados,Nombres_Directorio,"",0))),"",XLOOKUP($B72,Números_Asignados,Nombres_Directorio,"",0))</f>
        <v>Lucia Guadalupe Trujillo Rodríguez</v>
      </c>
      <c r="R72" s="7" t="str">
        <f t="array" ref="R72">IF(OR($B72="",ISBLANK(XLOOKUP($B72,Números_Asignados,Sucursal_Asignada,"",0))),"",XLOOKUP($B72,Números_Asignados,Sucursal_Asignada,"",0))</f>
        <v>La Barca</v>
      </c>
      <c r="S72" s="7" t="str">
        <f t="array" ref="S72">IF(OR($B72="",ISBLANK(XLOOKUP($B72,Números_Asignados,Departamento_Asignado,"",0))),"",XLOOKUP($B72,Números_Asignados,Departamento_Asignado,"",0))</f>
        <v>Sistemas</v>
      </c>
      <c r="T72" s="7" t="str">
        <f t="array" ref="T72">IF(OR($B72="",ISBLANK(XLOOKUP($B72,Números_Asignados,Puesto_Asignado,"",0))),"",XLOOKUP($B72,Números_Asignados,Puesto_Asignado,"",0))</f>
        <v>Auxiliar de Sistemas</v>
      </c>
      <c r="U72" s="7" t="str">
        <f t="array" ref="U72">IF(OR($B72="",ISBLANK(XLOOKUP($B72,Números_Asignados,Correos_Gmail,"",0))),"",XLOOKUP($B72,Números_Asignados,Correos_Gmail,"",0))</f>
        <v>sistemas.agrocisa@gmail.com</v>
      </c>
      <c r="V72" s="7" t="str">
        <f t="array" ref="V72">IF(OR($B72="",ISBLANK(XLOOKUP($B72,Números_Asignados,Correos_Institucionales,"",0))),"",XLOOKUP($B72,Números_Asignados,Correos_Institucionales,"",0))</f>
        <v>sistemas@agrocisa.com.mx</v>
      </c>
    </row>
    <row r="73" ht="15.75" customHeight="1">
      <c r="A73" s="7">
        <v>4.691214464E9</v>
      </c>
      <c r="B73" s="40">
        <v>3.939332335E9</v>
      </c>
      <c r="C73" s="7">
        <v>5.0</v>
      </c>
      <c r="D73" s="9">
        <v>649.0</v>
      </c>
      <c r="E73" s="7">
        <v>45.0</v>
      </c>
      <c r="F73" s="9" t="s">
        <v>413</v>
      </c>
      <c r="G73" s="19">
        <v>3.52242800786099E14</v>
      </c>
      <c r="H73" s="7" t="s">
        <v>1466</v>
      </c>
      <c r="I73" s="7" t="s">
        <v>1467</v>
      </c>
      <c r="J73" s="7" t="s">
        <v>194</v>
      </c>
      <c r="K73" s="7" t="s">
        <v>196</v>
      </c>
      <c r="L73" s="7" t="s">
        <v>198</v>
      </c>
      <c r="M73" s="26">
        <v>46135.0</v>
      </c>
      <c r="N73" s="7" t="s">
        <v>201</v>
      </c>
      <c r="O73" s="7"/>
      <c r="P73" s="28">
        <f t="array" ref="P73">XLOOKUP(F73,Lista_Equipos_2026,Precio_Equipos_2026," *** OJO *** ",0)</f>
        <v>15499</v>
      </c>
      <c r="Q73" s="7" t="str">
        <f t="array" ref="Q73">IF(OR($B73="",ISBLANK(XLOOKUP($B73,Números_Asignados,Nombres_Directorio,"",0))),"",XLOOKUP($B73,Números_Asignados,Nombres_Directorio,"",0))</f>
        <v>Pablo Alberto Barocio Valle</v>
      </c>
      <c r="R73" s="7" t="str">
        <f t="array" ref="R73">IF(OR($B73="",ISBLANK(XLOOKUP($B73,Números_Asignados,Sucursal_Asignada,"",0))),"",XLOOKUP($B73,Números_Asignados,Sucursal_Asignada,"",0))</f>
        <v>La Barca</v>
      </c>
      <c r="S73" s="7" t="str">
        <f t="array" ref="S73">IF(OR($B73="",ISBLANK(XLOOKUP($B73,Números_Asignados,Departamento_Asignado,"",0))),"",XLOOKUP($B73,Números_Asignados,Departamento_Asignado,"",0))</f>
        <v>Corporativo</v>
      </c>
      <c r="T73" s="7" t="str">
        <f t="array" ref="T73">IF(OR($B73="",ISBLANK(XLOOKUP($B73,Números_Asignados,Puesto_Asignado,"",0))),"",XLOOKUP($B73,Números_Asignados,Puesto_Asignado,"",0))</f>
        <v>Jefe de Sistemas</v>
      </c>
      <c r="U73" s="7" t="str">
        <f t="array" ref="U73">IF(OR($B73="",ISBLANK(XLOOKUP($B73,Números_Asignados,Correos_Gmail,"",0))),"",XLOOKUP($B73,Números_Asignados,Correos_Gmail,"",0))</f>
        <v>sistemas.agrocisa@gmail.com</v>
      </c>
      <c r="V73" s="7" t="str">
        <f t="array" ref="V73">IF(OR($B73="",ISBLANK(XLOOKUP($B73,Números_Asignados,Correos_Institucionales,"",0))),"",XLOOKUP($B73,Números_Asignados,Correos_Institucionales,"",0))</f>
        <v>sistemas@agrocisa.com.mx</v>
      </c>
    </row>
    <row r="74" ht="15.75" customHeight="1">
      <c r="A74" s="7">
        <v>3.931079959E9</v>
      </c>
      <c r="B74" s="7">
        <v>3.931079959E9</v>
      </c>
      <c r="C74" s="7">
        <v>4.0</v>
      </c>
      <c r="D74" s="9">
        <v>599.0</v>
      </c>
      <c r="E74" s="7">
        <v>22.5</v>
      </c>
      <c r="F74" s="9" t="s">
        <v>413</v>
      </c>
      <c r="G74" s="19">
        <v>3.52242801087521E14</v>
      </c>
      <c r="H74" s="19" t="s">
        <v>1475</v>
      </c>
      <c r="I74" s="7" t="s">
        <v>1476</v>
      </c>
      <c r="J74" s="7" t="s">
        <v>194</v>
      </c>
      <c r="K74" s="19" t="s">
        <v>196</v>
      </c>
      <c r="L74" s="7" t="s">
        <v>198</v>
      </c>
      <c r="M74" s="26">
        <v>46136.0</v>
      </c>
      <c r="N74" s="7" t="s">
        <v>201</v>
      </c>
      <c r="O74" s="7"/>
      <c r="P74" s="28">
        <f t="array" ref="P74">XLOOKUP(F74,Lista_Equipos_2026,Precio_Equipos_2026," *** OJO *** ",0)</f>
        <v>15499</v>
      </c>
      <c r="Q74" s="7" t="str">
        <f t="array" ref="Q74">IF(OR($B74="",ISBLANK(XLOOKUP($B74,Números_Asignados,Nombres_Directorio,"",0))),"",XLOOKUP($B74,Números_Asignados,Nombres_Directorio,"",0))</f>
        <v>Yessica Velázquez Villanueva</v>
      </c>
      <c r="R74" s="7" t="str">
        <f t="array" ref="R74">IF(OR($B74="",ISBLANK(XLOOKUP($B74,Números_Asignados,Sucursal_Asignada,"",0))),"",XLOOKUP($B74,Números_Asignados,Sucursal_Asignada,"",0))</f>
        <v>La Barca</v>
      </c>
      <c r="S74" s="7" t="str">
        <f t="array" ref="S74">IF(OR($B74="",ISBLANK(XLOOKUP($B74,Números_Asignados,Departamento_Asignado,"",0))),"",XLOOKUP($B74,Números_Asignados,Departamento_Asignado,"",0))</f>
        <v>Corporativo</v>
      </c>
      <c r="T74" s="7" t="str">
        <f t="array" ref="T74">IF(OR($B74="",ISBLANK(XLOOKUP($B74,Números_Asignados,Puesto_Asignado,"",0))),"",XLOOKUP($B74,Números_Asignados,Puesto_Asignado,"",0))</f>
        <v>Jefe de Staff</v>
      </c>
      <c r="U74" s="7" t="str">
        <f t="array" ref="U74">IF(OR($B74="",ISBLANK(XLOOKUP($B74,Números_Asignados,Correos_Gmail,"",0))),"",XLOOKUP($B74,Números_Asignados,Correos_Gmail,"",0))</f>
        <v>yvelazquez.agro@gmail.com</v>
      </c>
      <c r="V74" s="7" t="str">
        <f t="array" ref="V74">IF(OR($B74="",ISBLANK(XLOOKUP($B74,Números_Asignados,Correos_Institucionales,"",0))),"",XLOOKUP($B74,Números_Asignados,Correos_Institucionales,"",0))</f>
        <v>yessica.velazquez@agrocisa.com.mx</v>
      </c>
    </row>
    <row r="75" ht="15.75" customHeight="1">
      <c r="A75" s="7">
        <v>3.911039008E9</v>
      </c>
      <c r="B75" s="7">
        <v>3.911039008E9</v>
      </c>
      <c r="C75" s="7">
        <v>1.0</v>
      </c>
      <c r="D75" s="9">
        <v>269.0</v>
      </c>
      <c r="E75" s="7">
        <v>9.0</v>
      </c>
      <c r="F75" s="9" t="s">
        <v>190</v>
      </c>
      <c r="G75" s="19">
        <v>3.55174187707678E14</v>
      </c>
      <c r="H75" s="19" t="s">
        <v>1487</v>
      </c>
      <c r="I75" s="7" t="s">
        <v>1488</v>
      </c>
      <c r="J75" s="19" t="s">
        <v>194</v>
      </c>
      <c r="K75" s="19" t="s">
        <v>196</v>
      </c>
      <c r="L75" s="7" t="s">
        <v>198</v>
      </c>
      <c r="M75" s="26">
        <v>46136.0</v>
      </c>
      <c r="N75" s="7" t="s">
        <v>201</v>
      </c>
      <c r="O75" s="7"/>
      <c r="P75" s="28">
        <f t="array" ref="P75">XLOOKUP(F75,Lista_Equipos_2026,Precio_Equipos_2026," *** OJO *** ",0)</f>
        <v>7499</v>
      </c>
      <c r="Q75" s="7" t="str">
        <f t="array" ref="Q75">IF(OR($B75="",ISBLANK(XLOOKUP($B75,Números_Asignados,Nombres_Directorio,"",0))),"",XLOOKUP($B75,Números_Asignados,Nombres_Directorio,"",0))</f>
        <v>Juan Martín Campos Rodríguez</v>
      </c>
      <c r="R75" s="7" t="str">
        <f t="array" ref="R75">IF(OR($B75="",ISBLANK(XLOOKUP($B75,Números_Asignados,Sucursal_Asignada,"",0))),"",XLOOKUP($B75,Números_Asignados,Sucursal_Asignada,"",0))</f>
        <v>La Barca</v>
      </c>
      <c r="S75" s="7" t="str">
        <f t="array" ref="S75">IF(OR($B75="",ISBLANK(XLOOKUP($B75,Números_Asignados,Departamento_Asignado,"",0))),"",XLOOKUP($B75,Números_Asignados,Departamento_Asignado,"",0))</f>
        <v>Vigilancia</v>
      </c>
      <c r="T75" s="7" t="str">
        <f t="array" ref="T75">IF(OR($B75="",ISBLANK(XLOOKUP($B75,Números_Asignados,Puesto_Asignado,"",0))),"",XLOOKUP($B75,Números_Asignados,Puesto_Asignado,"",0))</f>
        <v>Guardia</v>
      </c>
      <c r="U75" s="7" t="str">
        <f t="array" ref="U75">IF(OR($B75="",ISBLANK(XLOOKUP($B75,Números_Asignados,Correos_Gmail,"",0))),"",XLOOKUP($B75,Números_Asignados,Correos_Gmail,"",0))</f>
        <v>vigilancialabarca.agro@gmail.com</v>
      </c>
      <c r="V75" s="7" t="str">
        <f t="array" ref="V75">IF(OR($B75="",ISBLANK(XLOOKUP($B75,Números_Asignados,Correos_Institucionales,"",0))),"",XLOOKUP($B75,Números_Asignados,Correos_Institucionales,"",0))</f>
        <v>vigilancialabarca@agrocisa.com.mx</v>
      </c>
    </row>
    <row r="76" ht="15.75" customHeight="1">
      <c r="A76" s="7">
        <v>3.52138702E9</v>
      </c>
      <c r="B76" s="7">
        <v>3.52138702E9</v>
      </c>
      <c r="C76" s="7">
        <v>4.0</v>
      </c>
      <c r="D76" s="9">
        <v>599.0</v>
      </c>
      <c r="E76" s="7">
        <v>22.5</v>
      </c>
      <c r="F76" s="9" t="s">
        <v>294</v>
      </c>
      <c r="G76" s="19">
        <v>3.57369477214942E14</v>
      </c>
      <c r="H76" s="19" t="s">
        <v>1497</v>
      </c>
      <c r="I76" s="7" t="s">
        <v>1498</v>
      </c>
      <c r="J76" s="7" t="s">
        <v>194</v>
      </c>
      <c r="K76" s="19" t="s">
        <v>196</v>
      </c>
      <c r="L76" s="7" t="s">
        <v>198</v>
      </c>
      <c r="M76" s="26">
        <v>46147.0</v>
      </c>
      <c r="N76" s="7" t="s">
        <v>201</v>
      </c>
      <c r="O76" s="7"/>
      <c r="P76" s="28">
        <f t="array" ref="P76">XLOOKUP(F76,Lista_Equipos_2026,Precio_Equipos_2026," *** OJO *** ",0)</f>
        <v>10999</v>
      </c>
      <c r="Q76" s="7" t="str">
        <f t="array" ref="Q76">IF(OR($B76="",ISBLANK(XLOOKUP($B76,Números_Asignados,Nombres_Directorio,"",0))),"",XLOOKUP($B76,Números_Asignados,Nombres_Directorio,"",0))</f>
        <v>Diego Alejandro Núñez Fuentes</v>
      </c>
      <c r="R76" s="7" t="str">
        <f t="array" ref="R76">IF(OR($B76="",ISBLANK(XLOOKUP($B76,Números_Asignados,Sucursal_Asignada,"",0))),"",XLOOKUP($B76,Números_Asignados,Sucursal_Asignada,"",0))</f>
        <v>La Piedad</v>
      </c>
      <c r="S76" s="7" t="str">
        <f t="array" ref="S76">IF(OR($B76="",ISBLANK(XLOOKUP($B76,Números_Asignados,Departamento_Asignado,"",0))),"",XLOOKUP($B76,Números_Asignados,Departamento_Asignado,"",0))</f>
        <v>Agricultura Inteligente</v>
      </c>
      <c r="T76" s="7" t="str">
        <f t="array" ref="T76">IF(OR($B76="",ISBLANK(XLOOKUP($B76,Números_Asignados,Puesto_Asignado,"",0))),"",XLOOKUP($B76,Números_Asignados,Puesto_Asignado,"",0))</f>
        <v>Asesor de Ventas</v>
      </c>
      <c r="U76" s="7" t="str">
        <f t="array" ref="U76">IF(OR($B76="",ISBLANK(XLOOKUP($B76,Números_Asignados,Correos_Gmail,"",0))),"",XLOOKUP($B76,Números_Asignados,Correos_Gmail,"",0))</f>
        <v>diego.nunez@agrocisa.com.mx</v>
      </c>
      <c r="V76" s="7" t="str">
        <f t="array" ref="V76">IF(OR($B76="",ISBLANK(XLOOKUP($B76,Números_Asignados,Correos_Institucionales,"",0))),"",XLOOKUP($B76,Números_Asignados,Correos_Institucionales,"",0))</f>
        <v>diego.nunez@agrocisa.com.mx</v>
      </c>
    </row>
    <row r="77" ht="15.75" customHeight="1">
      <c r="A77" s="7">
        <v>3.931190074E9</v>
      </c>
      <c r="B77" s="7">
        <v>3.931190074E9</v>
      </c>
      <c r="C77" s="7">
        <v>4.0</v>
      </c>
      <c r="D77" s="9">
        <v>599.0</v>
      </c>
      <c r="E77" s="7">
        <v>22.5</v>
      </c>
      <c r="F77" s="9" t="s">
        <v>294</v>
      </c>
      <c r="G77" s="19">
        <v>3.5736947722098E14</v>
      </c>
      <c r="H77" s="19" t="s">
        <v>1504</v>
      </c>
      <c r="I77" s="7" t="s">
        <v>1505</v>
      </c>
      <c r="J77" s="19" t="s">
        <v>194</v>
      </c>
      <c r="K77" s="19" t="s">
        <v>196</v>
      </c>
      <c r="L77" s="7" t="s">
        <v>198</v>
      </c>
      <c r="M77" s="26">
        <v>46162.0</v>
      </c>
      <c r="N77" s="7" t="s">
        <v>201</v>
      </c>
      <c r="O77" s="7"/>
      <c r="P77" s="28">
        <f t="array" ref="P77">XLOOKUP(F77,Lista_Equipos_2026,Precio_Equipos_2026," *** OJO *** ",0)</f>
        <v>10999</v>
      </c>
      <c r="Q77" s="7" t="str">
        <f t="array" ref="Q77">IF(OR($B77="",ISBLANK(XLOOKUP($B77,Números_Asignados,Nombres_Directorio,"",0))),"",XLOOKUP($B77,Números_Asignados,Nombres_Directorio,"",0))</f>
        <v>Francisco Villalobos Sánchez</v>
      </c>
      <c r="R77" s="7" t="str">
        <f t="array" ref="R77">IF(OR($B77="",ISBLANK(XLOOKUP($B77,Números_Asignados,Sucursal_Asignada,"",0))),"",XLOOKUP($B77,Números_Asignados,Sucursal_Asignada,"",0))</f>
        <v>La Piedad</v>
      </c>
      <c r="S77" s="7" t="str">
        <f t="array" ref="S77">IF(OR($B77="",ISBLANK(XLOOKUP($B77,Números_Asignados,Departamento_Asignado,"",0))),"",XLOOKUP($B77,Números_Asignados,Departamento_Asignado,"",0))</f>
        <v>Agricultura Inteligente</v>
      </c>
      <c r="T77" s="7" t="str">
        <f t="array" ref="T77">IF(OR($B77="",ISBLANK(XLOOKUP($B77,Números_Asignados,Puesto_Asignado,"",0))),"",XLOOKUP($B77,Números_Asignados,Puesto_Asignado,"",0))</f>
        <v>Asesor de Ventas</v>
      </c>
      <c r="U77" s="7" t="str">
        <f t="array" ref="U77">IF(OR($B77="",ISBLANK(XLOOKUP($B77,Números_Asignados,Correos_Gmail,"",0))),"",XLOOKUP($B77,Números_Asignados,Correos_Gmail,"",0))</f>
        <v>droneslp@agrocisa.com.mx</v>
      </c>
      <c r="V77" s="7" t="str">
        <f t="array" ref="V77">IF(OR($B77="",ISBLANK(XLOOKUP($B77,Números_Asignados,Correos_Institucionales,"",0))),"",XLOOKUP($B77,Números_Asignados,Correos_Institucionales,"",0))</f>
        <v>francisco.villalobos@agrocisa.com.mx</v>
      </c>
    </row>
    <row r="78" ht="15.75" customHeight="1">
      <c r="A78" s="7">
        <v>3.931001477E9</v>
      </c>
      <c r="B78" s="7">
        <v>3.931001477E9</v>
      </c>
      <c r="C78" s="7">
        <v>1.0</v>
      </c>
      <c r="D78" s="9">
        <v>269.0</v>
      </c>
      <c r="E78" s="7">
        <v>9.0</v>
      </c>
      <c r="F78" s="9" t="s">
        <v>294</v>
      </c>
      <c r="G78" s="19">
        <v>3.52010505750391E14</v>
      </c>
      <c r="H78" s="19" t="s">
        <v>1514</v>
      </c>
      <c r="I78" s="7" t="s">
        <v>1515</v>
      </c>
      <c r="J78" s="7" t="s">
        <v>194</v>
      </c>
      <c r="K78" s="19" t="s">
        <v>196</v>
      </c>
      <c r="L78" s="7" t="s">
        <v>198</v>
      </c>
      <c r="M78" s="26">
        <v>46147.0</v>
      </c>
      <c r="N78" s="7" t="s">
        <v>201</v>
      </c>
      <c r="O78" s="7"/>
      <c r="P78" s="28">
        <f t="array" ref="P78">XLOOKUP(F78,Lista_Equipos_2026,Precio_Equipos_2026," *** OJO *** ",0)</f>
        <v>10999</v>
      </c>
      <c r="Q78" s="7" t="str">
        <f t="array" ref="Q78">IF(OR($B78="",ISBLANK(XLOOKUP($B78,Números_Asignados,Nombres_Directorio,"",0))),"",XLOOKUP($B78,Números_Asignados,Nombres_Directorio,"",0))</f>
        <v>Alicia Viridiana Rodríguez Paredes</v>
      </c>
      <c r="R78" s="7" t="str">
        <f t="array" ref="R78">IF(OR($B78="",ISBLANK(XLOOKUP($B78,Números_Asignados,Sucursal_Asignada,"",0))),"",XLOOKUP($B78,Números_Asignados,Sucursal_Asignada,"",0))</f>
        <v>La Piedad</v>
      </c>
      <c r="S78" s="7" t="str">
        <f t="array" ref="S78">IF(OR($B78="",ISBLANK(XLOOKUP($B78,Números_Asignados,Departamento_Asignado,"",0))),"",XLOOKUP($B78,Números_Asignados,Departamento_Asignado,"",0))</f>
        <v>Maquinaria Agrícola y Construcción</v>
      </c>
      <c r="T78" s="7" t="str">
        <f t="array" ref="T78">IF(OR($B78="",ISBLANK(XLOOKUP($B78,Números_Asignados,Puesto_Asignado,"",0))),"",XLOOKUP($B78,Números_Asignados,Puesto_Asignado,"",0))</f>
        <v>Auxiliar Administrativo</v>
      </c>
      <c r="U78" s="7" t="str">
        <f t="array" ref="U78">IF(OR($B78="",ISBLANK(XLOOKUP($B78,Números_Asignados,Correos_Gmail,"",0))),"",XLOOKUP($B78,Números_Asignados,Correos_Gmail,"",0))</f>
        <v>ventaslapiedad.agro@gmail.com</v>
      </c>
      <c r="V78" s="7" t="str">
        <f t="array" ref="V78">IF(OR($B78="",ISBLANK(XLOOKUP($B78,Números_Asignados,Correos_Institucionales,"",0))),"",XLOOKUP($B78,Números_Asignados,Correos_Institucionales,"",0))</f>
        <v>ventaslapiedad@agrocisa.com.mx</v>
      </c>
    </row>
    <row r="79" ht="15.75" customHeight="1">
      <c r="A79" s="7">
        <v>3.316094916E9</v>
      </c>
      <c r="B79" s="7">
        <v>3.316094916E9</v>
      </c>
      <c r="C79" s="7">
        <v>4.0</v>
      </c>
      <c r="D79" s="9">
        <v>599.0</v>
      </c>
      <c r="E79" s="7">
        <v>22.5</v>
      </c>
      <c r="F79" s="9" t="s">
        <v>190</v>
      </c>
      <c r="G79" s="19">
        <v>3.55174187708239E14</v>
      </c>
      <c r="H79" s="19" t="s">
        <v>1525</v>
      </c>
      <c r="I79" s="7" t="s">
        <v>1526</v>
      </c>
      <c r="J79" s="7" t="s">
        <v>194</v>
      </c>
      <c r="K79" s="19" t="s">
        <v>196</v>
      </c>
      <c r="L79" s="7" t="s">
        <v>198</v>
      </c>
      <c r="M79" s="26">
        <v>46147.0</v>
      </c>
      <c r="N79" s="7" t="s">
        <v>201</v>
      </c>
      <c r="O79" s="7"/>
      <c r="P79" s="28">
        <f t="array" ref="P79">XLOOKUP(F79,Lista_Equipos_2026,Precio_Equipos_2026," *** OJO *** ",0)</f>
        <v>7499</v>
      </c>
      <c r="Q79" s="7" t="str">
        <f t="array" ref="Q79">IF(OR($B79="",ISBLANK(XLOOKUP($B79,Números_Asignados,Nombres_Directorio,"",0))),"",XLOOKUP($B79,Números_Asignados,Nombres_Directorio,"",0))</f>
        <v>Juan Carlos Morales Hernández</v>
      </c>
      <c r="R79" s="7" t="str">
        <f t="array" ref="R79">IF(OR($B79="",ISBLANK(XLOOKUP($B79,Números_Asignados,Sucursal_Asignada,"",0))),"",XLOOKUP($B79,Números_Asignados,Sucursal_Asignada,"",0))</f>
        <v>La Piedad</v>
      </c>
      <c r="S79" s="7" t="str">
        <f t="array" ref="S79">IF(OR($B79="",ISBLANK(XLOOKUP($B79,Números_Asignados,Departamento_Asignado,"",0))),"",XLOOKUP($B79,Números_Asignados,Departamento_Asignado,"",0))</f>
        <v>Maquinaria Agrícola y Construcción</v>
      </c>
      <c r="T79" s="7" t="str">
        <f t="array" ref="T79">IF(OR($B79="",ISBLANK(XLOOKUP($B79,Números_Asignados,Puesto_Asignado,"",0))),"",XLOOKUP($B79,Números_Asignados,Puesto_Asignado,"",0))</f>
        <v>Chofer</v>
      </c>
      <c r="U79" s="7" t="str">
        <f t="array" ref="U79">IF(OR($B79="",ISBLANK(XLOOKUP($B79,Números_Asignados,Correos_Gmail,"",0))),"",XLOOKUP($B79,Números_Asignados,Correos_Gmail,"",0))</f>
        <v>choferlp.agro@gmail.com</v>
      </c>
      <c r="V79" s="7" t="str">
        <f t="array" ref="V79">IF(OR($B79="",ISBLANK(XLOOKUP($B79,Números_Asignados,Correos_Institucionales,"",0))),"",XLOOKUP($B79,Números_Asignados,Correos_Institucionales,"",0))</f>
        <v>choferlapiedad@agrocisa.com.mx</v>
      </c>
    </row>
    <row r="80" ht="15.75" customHeight="1">
      <c r="A80" s="7">
        <v>3.315684816E9</v>
      </c>
      <c r="B80" s="7">
        <v>3.315684816E9</v>
      </c>
      <c r="C80" s="7">
        <v>4.0</v>
      </c>
      <c r="D80" s="9">
        <v>599.0</v>
      </c>
      <c r="E80" s="7">
        <v>22.5</v>
      </c>
      <c r="F80" s="9" t="s">
        <v>1536</v>
      </c>
      <c r="G80" s="19">
        <v>3.53199691455136E14</v>
      </c>
      <c r="H80" s="19" t="s">
        <v>1537</v>
      </c>
      <c r="I80" s="7" t="s">
        <v>1538</v>
      </c>
      <c r="J80" s="7" t="s">
        <v>194</v>
      </c>
      <c r="K80" s="19" t="s">
        <v>196</v>
      </c>
      <c r="L80" s="7" t="s">
        <v>198</v>
      </c>
      <c r="M80" s="26">
        <v>46147.0</v>
      </c>
      <c r="N80" s="7" t="s">
        <v>201</v>
      </c>
      <c r="O80" s="7"/>
      <c r="P80" s="28">
        <f t="array" ref="P80">XLOOKUP(F80,Lista_Equipos_2026,Precio_Equipos_2026," *** OJO *** ",0)</f>
        <v>29999</v>
      </c>
      <c r="Q80" s="7" t="str">
        <f t="array" ref="Q80">IF(OR($B80="",ISBLANK(XLOOKUP($B80,Números_Asignados,Nombres_Directorio,"",0))),"",XLOOKUP($B80,Números_Asignados,Nombres_Directorio,"",0))</f>
        <v>Fernando Barboza Román</v>
      </c>
      <c r="R80" s="7" t="str">
        <f t="array" ref="R80">IF(OR($B80="",ISBLANK(XLOOKUP($B80,Números_Asignados,Sucursal_Asignada,"",0))),"",XLOOKUP($B80,Números_Asignados,Sucursal_Asignada,"",0))</f>
        <v>La Piedad</v>
      </c>
      <c r="S80" s="7" t="str">
        <f t="array" ref="S80">IF(OR($B80="",ISBLANK(XLOOKUP($B80,Números_Asignados,Departamento_Asignado,"",0))),"",XLOOKUP($B80,Números_Asignados,Departamento_Asignado,"",0))</f>
        <v>Maquinaria Agrícola y Construcción</v>
      </c>
      <c r="T80" s="7" t="str">
        <f t="array" ref="T80">IF(OR($B80="",ISBLANK(XLOOKUP($B80,Números_Asignados,Puesto_Asignado,"",0))),"",XLOOKUP($B80,Números_Asignados,Puesto_Asignado,"",0))</f>
        <v>Gerente de Sucursal</v>
      </c>
      <c r="U80" s="7" t="str">
        <f t="array" ref="U80">IF(OR($B80="",ISBLANK(XLOOKUP($B80,Números_Asignados,Correos_Gmail,"",0))),"",XLOOKUP($B80,Números_Asignados,Correos_Gmail,"",0))</f>
        <v>ferbarboza.agro@gmail.com</v>
      </c>
      <c r="V80" s="7" t="str">
        <f t="array" ref="V80">IF(OR($B80="",ISBLANK(XLOOKUP($B80,Números_Asignados,Correos_Institucionales,"",0))),"",XLOOKUP($B80,Números_Asignados,Correos_Institucionales,"",0))</f>
        <v>fernando.barboza@agrocisa.com.mx</v>
      </c>
    </row>
    <row r="81" ht="15.75" customHeight="1">
      <c r="A81" s="7">
        <v>3.921237762E9</v>
      </c>
      <c r="B81" s="7"/>
      <c r="C81" s="7" t="s">
        <v>713</v>
      </c>
      <c r="D81" s="9">
        <v>229.0</v>
      </c>
      <c r="E81" s="7">
        <v>4.5</v>
      </c>
      <c r="F81" s="7" t="s">
        <v>714</v>
      </c>
      <c r="G81" s="19">
        <v>3.58748633106655E14</v>
      </c>
      <c r="H81" s="7" t="s">
        <v>1546</v>
      </c>
      <c r="I81" s="7" t="s">
        <v>1547</v>
      </c>
      <c r="J81" s="7" t="s">
        <v>194</v>
      </c>
      <c r="K81" s="7" t="s">
        <v>196</v>
      </c>
      <c r="L81" s="7" t="s">
        <v>198</v>
      </c>
      <c r="M81" s="26">
        <v>46147.0</v>
      </c>
      <c r="N81" s="7" t="s">
        <v>201</v>
      </c>
      <c r="O81" s="7"/>
      <c r="P81" s="28">
        <f t="array" ref="P81">XLOOKUP(F81,Lista_Equipos_2026,Precio_Equipos_2026," *** OJO *** ",0)</f>
        <v>19999</v>
      </c>
      <c r="Q81" s="7" t="s">
        <v>608</v>
      </c>
      <c r="R81" s="7" t="s">
        <v>22</v>
      </c>
      <c r="S81" s="7" t="s">
        <v>1549</v>
      </c>
      <c r="T81" s="7" t="s">
        <v>609</v>
      </c>
      <c r="U81" s="7" t="s">
        <v>177</v>
      </c>
      <c r="V81" s="7" t="s">
        <v>177</v>
      </c>
    </row>
    <row r="82" ht="15.75" customHeight="1">
      <c r="A82" s="7">
        <v>3.316133712E9</v>
      </c>
      <c r="B82" s="7">
        <v>3.316133712E9</v>
      </c>
      <c r="C82" s="7">
        <v>4.0</v>
      </c>
      <c r="D82" s="9">
        <v>599.0</v>
      </c>
      <c r="E82" s="7">
        <v>22.5</v>
      </c>
      <c r="F82" s="9" t="s">
        <v>294</v>
      </c>
      <c r="G82" s="19">
        <v>3.57369477206435E14</v>
      </c>
      <c r="H82" s="19" t="s">
        <v>1550</v>
      </c>
      <c r="I82" s="7" t="s">
        <v>1551</v>
      </c>
      <c r="J82" s="7" t="s">
        <v>194</v>
      </c>
      <c r="K82" s="19" t="s">
        <v>196</v>
      </c>
      <c r="L82" s="7" t="s">
        <v>198</v>
      </c>
      <c r="M82" s="26">
        <v>46147.0</v>
      </c>
      <c r="N82" s="7" t="s">
        <v>201</v>
      </c>
      <c r="O82" s="7"/>
      <c r="P82" s="28">
        <f t="array" ref="P82">XLOOKUP(F82,Lista_Equipos_2026,Precio_Equipos_2026," *** OJO *** ",0)</f>
        <v>10999</v>
      </c>
      <c r="Q82" s="7" t="str">
        <f t="array" ref="Q82">IF(OR($B82="",ISBLANK(XLOOKUP($B82,Números_Asignados,Nombres_Directorio,"",0))),"",XLOOKUP($B82,Números_Asignados,Nombres_Directorio,"",0))</f>
        <v>Guillermo Sahagún Cervantes</v>
      </c>
      <c r="R82" s="7" t="str">
        <f t="array" ref="R82">IF(OR($B82="",ISBLANK(XLOOKUP($B82,Números_Asignados,Sucursal_Asignada,"",0))),"",XLOOKUP($B82,Números_Asignados,Sucursal_Asignada,"",0))</f>
        <v>La Piedad</v>
      </c>
      <c r="S82" s="7" t="str">
        <f t="array" ref="S82">IF(OR($B82="",ISBLANK(XLOOKUP($B82,Números_Asignados,Departamento_Asignado,"",0))),"",XLOOKUP($B82,Números_Asignados,Departamento_Asignado,"",0))</f>
        <v>Maquinaria Agrícola</v>
      </c>
      <c r="T82" s="7" t="str">
        <f t="array" ref="T82">IF(OR($B82="",ISBLANK(XLOOKUP($B82,Números_Asignados,Puesto_Asignado,"",0))),"",XLOOKUP($B82,Números_Asignados,Puesto_Asignado,"",0))</f>
        <v>Asesor de Ventas</v>
      </c>
      <c r="U82" s="7" t="str">
        <f t="array" ref="U82">IF(OR($B82="",ISBLANK(XLOOKUP($B82,Números_Asignados,Correos_Gmail,"",0))),"",XLOOKUP($B82,Números_Asignados,Correos_Gmail,"",0))</f>
        <v>ventasintlb.agro@gmail.com</v>
      </c>
      <c r="V82" s="7" t="str">
        <f t="array" ref="V82">IF(OR($B82="",ISBLANK(XLOOKUP($B82,Números_Asignados,Correos_Institucionales,"",0))),"",XLOOKUP($B82,Números_Asignados,Correos_Institucionales,"",0))</f>
        <v>guillermo.sahagun@agrocisa.com.mx</v>
      </c>
    </row>
    <row r="83" ht="15.75" customHeight="1">
      <c r="A83" s="7">
        <v>3.338560241E9</v>
      </c>
      <c r="B83" s="7">
        <v>3.338560241E9</v>
      </c>
      <c r="C83" s="7">
        <v>4.0</v>
      </c>
      <c r="D83" s="9">
        <v>599.0</v>
      </c>
      <c r="E83" s="7">
        <v>22.5</v>
      </c>
      <c r="F83" s="9" t="s">
        <v>294</v>
      </c>
      <c r="G83" s="19">
        <v>3.57369477209868E14</v>
      </c>
      <c r="H83" s="19" t="s">
        <v>1554</v>
      </c>
      <c r="I83" s="7" t="s">
        <v>1555</v>
      </c>
      <c r="J83" s="7" t="s">
        <v>194</v>
      </c>
      <c r="K83" s="19" t="s">
        <v>196</v>
      </c>
      <c r="L83" s="7" t="s">
        <v>198</v>
      </c>
      <c r="M83" s="26">
        <v>46147.0</v>
      </c>
      <c r="N83" s="7" t="s">
        <v>201</v>
      </c>
      <c r="O83" s="7"/>
      <c r="P83" s="28">
        <f t="array" ref="P83">XLOOKUP(F83,Lista_Equipos_2026,Precio_Equipos_2026," *** OJO *** ",0)</f>
        <v>10999</v>
      </c>
      <c r="Q83" s="7" t="str">
        <f t="array" ref="Q83">IF(OR($B83="",ISBLANK(XLOOKUP($B83,Números_Asignados,Nombres_Directorio,"",0))),"",XLOOKUP($B83,Números_Asignados,Nombres_Directorio,"",0))</f>
        <v>Marco Dario Martínez Álvarez</v>
      </c>
      <c r="R83" s="7" t="str">
        <f t="array" ref="R83">IF(OR($B83="",ISBLANK(XLOOKUP($B83,Números_Asignados,Sucursal_Asignada,"",0))),"",XLOOKUP($B83,Números_Asignados,Sucursal_Asignada,"",0))</f>
        <v>La Piedad</v>
      </c>
      <c r="S83" s="7" t="str">
        <f t="array" ref="S83">IF(OR($B83="",ISBLANK(XLOOKUP($B83,Números_Asignados,Departamento_Asignado,"",0))),"",XLOOKUP($B83,Números_Asignados,Departamento_Asignado,"",0))</f>
        <v>Maquinaria Agrícola</v>
      </c>
      <c r="T83" s="7" t="str">
        <f t="array" ref="T83">IF(OR($B83="",ISBLANK(XLOOKUP($B83,Números_Asignados,Puesto_Asignado,"",0))),"",XLOOKUP($B83,Números_Asignados,Puesto_Asignado,"",0))</f>
        <v>Asesor de Ventas</v>
      </c>
      <c r="U83" s="7" t="str">
        <f t="array" ref="U83">IF(OR($B83="",ISBLANK(XLOOKUP($B83,Números_Asignados,Correos_Gmail,"",0))),"",XLOOKUP($B83,Números_Asignados,Correos_Gmail,"",0))</f>
        <v>marcodario.agro@gmail.com</v>
      </c>
      <c r="V83" s="7" t="str">
        <f t="array" ref="V83">IF(OR($B83="",ISBLANK(XLOOKUP($B83,Números_Asignados,Correos_Institucionales,"",0))),"",XLOOKUP($B83,Números_Asignados,Correos_Institucionales,"",0))</f>
        <v>marco.martinez@agrocisa.com.mx</v>
      </c>
    </row>
    <row r="84" ht="15.75" customHeight="1">
      <c r="A84" s="7">
        <v>3.316129046E9</v>
      </c>
      <c r="B84" s="7">
        <v>3.316129046E9</v>
      </c>
      <c r="C84" s="7">
        <v>4.0</v>
      </c>
      <c r="D84" s="9">
        <v>599.0</v>
      </c>
      <c r="E84" s="7">
        <v>22.5</v>
      </c>
      <c r="F84" s="9" t="s">
        <v>294</v>
      </c>
      <c r="G84" s="19">
        <v>3.57369477206328E14</v>
      </c>
      <c r="H84" s="19" t="s">
        <v>1559</v>
      </c>
      <c r="I84" s="7" t="s">
        <v>1560</v>
      </c>
      <c r="J84" s="7" t="s">
        <v>194</v>
      </c>
      <c r="K84" s="19" t="s">
        <v>196</v>
      </c>
      <c r="L84" s="7" t="s">
        <v>198</v>
      </c>
      <c r="M84" s="26">
        <v>46147.0</v>
      </c>
      <c r="N84" s="7" t="s">
        <v>201</v>
      </c>
      <c r="O84" s="7"/>
      <c r="P84" s="28">
        <f t="array" ref="P84">XLOOKUP(F84,Lista_Equipos_2026,Precio_Equipos_2026," *** OJO *** ",0)</f>
        <v>10999</v>
      </c>
      <c r="Q84" s="7" t="str">
        <f t="array" ref="Q84">IF(OR($B84="",ISBLANK(XLOOKUP($B84,Números_Asignados,Nombres_Directorio,"",0))),"",XLOOKUP($B84,Números_Asignados,Nombres_Directorio,"",0))</f>
        <v>Rafael Godínez Ramirez</v>
      </c>
      <c r="R84" s="7" t="str">
        <f t="array" ref="R84">IF(OR($B84="",ISBLANK(XLOOKUP($B84,Números_Asignados,Sucursal_Asignada,"",0))),"",XLOOKUP($B84,Números_Asignados,Sucursal_Asignada,"",0))</f>
        <v>La Piedad</v>
      </c>
      <c r="S84" s="7" t="str">
        <f t="array" ref="S84">IF(OR($B84="",ISBLANK(XLOOKUP($B84,Números_Asignados,Departamento_Asignado,"",0))),"",XLOOKUP($B84,Números_Asignados,Departamento_Asignado,"",0))</f>
        <v>Maquinaria Agrícola</v>
      </c>
      <c r="T84" s="7" t="str">
        <f t="array" ref="T84">IF(OR($B84="",ISBLANK(XLOOKUP($B84,Números_Asignados,Puesto_Asignado,"",0))),"",XLOOKUP($B84,Números_Asignados,Puesto_Asignado,"",0))</f>
        <v>Asesor de Ventas</v>
      </c>
      <c r="U84" s="7" t="str">
        <f t="array" ref="U84">IF(OR($B84="",ISBLANK(XLOOKUP($B84,Números_Asignados,Correos_Gmail,"",0))),"",XLOOKUP($B84,Números_Asignados,Correos_Gmail,"",0))</f>
        <v>zonabajiolp14@agrocisa.com.mx</v>
      </c>
      <c r="V84" s="7" t="str">
        <f t="array" ref="V84">IF(OR($B84="",ISBLANK(XLOOKUP($B84,Números_Asignados,Correos_Institucionales,"",0))),"",XLOOKUP($B84,Números_Asignados,Correos_Institucionales,"",0))</f>
        <v>zonabajiolp14@agrocisa.com.mx</v>
      </c>
    </row>
    <row r="85" ht="15.75" customHeight="1">
      <c r="A85" s="7">
        <v>3.316147399E9</v>
      </c>
      <c r="B85" s="7">
        <v>3.316147399E9</v>
      </c>
      <c r="C85" s="7">
        <v>4.0</v>
      </c>
      <c r="D85" s="9">
        <v>599.0</v>
      </c>
      <c r="E85" s="7">
        <v>22.5</v>
      </c>
      <c r="F85" s="9" t="s">
        <v>294</v>
      </c>
      <c r="G85" s="19">
        <v>3.57369477207185E14</v>
      </c>
      <c r="H85" s="19" t="s">
        <v>1565</v>
      </c>
      <c r="I85" s="7" t="s">
        <v>1566</v>
      </c>
      <c r="J85" s="7" t="s">
        <v>194</v>
      </c>
      <c r="K85" s="19" t="s">
        <v>196</v>
      </c>
      <c r="L85" s="7" t="s">
        <v>198</v>
      </c>
      <c r="M85" s="26">
        <v>46147.0</v>
      </c>
      <c r="N85" s="7" t="s">
        <v>201</v>
      </c>
      <c r="O85" s="7"/>
      <c r="P85" s="28">
        <f t="array" ref="P85">XLOOKUP(F85,Lista_Equipos_2026,Precio_Equipos_2026," *** OJO *** ",0)</f>
        <v>10999</v>
      </c>
      <c r="Q85" s="7" t="str">
        <f t="array" ref="Q85">IF(OR($B85="",ISBLANK(XLOOKUP($B85,Números_Asignados,Nombres_Directorio,"",0))),"",XLOOKUP($B85,Números_Asignados,Nombres_Directorio,"",0))</f>
        <v>Marco Antonio Falcón Ramirez</v>
      </c>
      <c r="R85" s="7" t="str">
        <f t="array" ref="R85">IF(OR($B85="",ISBLANK(XLOOKUP($B85,Números_Asignados,Sucursal_Asignada,"",0))),"",XLOOKUP($B85,Números_Asignados,Sucursal_Asignada,"",0))</f>
        <v>La Piedad</v>
      </c>
      <c r="S85" s="7" t="str">
        <f t="array" ref="S85">IF(OR($B85="",ISBLANK(XLOOKUP($B85,Números_Asignados,Departamento_Asignado,"",0))),"",XLOOKUP($B85,Números_Asignados,Departamento_Asignado,"",0))</f>
        <v>Maquinaria Construcción</v>
      </c>
      <c r="T85" s="7" t="str">
        <f t="array" ref="T85">IF(OR($B85="",ISBLANK(XLOOKUP($B85,Números_Asignados,Puesto_Asignado,"",0))),"",XLOOKUP($B85,Números_Asignados,Puesto_Asignado,"",0))</f>
        <v>Asesor de Ventas</v>
      </c>
      <c r="U85" s="7" t="str">
        <f t="array" ref="U85">IF(OR($B85="",ISBLANK(XLOOKUP($B85,Números_Asignados,Correos_Gmail,"",0))),"",XLOOKUP($B85,Números_Asignados,Correos_Gmail,"",0))</f>
        <v>construccionlapiedad@agrocisa.com.mx</v>
      </c>
      <c r="V85" s="7" t="str">
        <f t="array" ref="V85">IF(OR($B85="",ISBLANK(XLOOKUP($B85,Números_Asignados,Correos_Institucionales,"",0))),"",XLOOKUP($B85,Números_Asignados,Correos_Institucionales,"",0))</f>
        <v>construccionlapiedad@agrocisa.com.mx</v>
      </c>
    </row>
    <row r="86" ht="15.75" customHeight="1">
      <c r="A86" s="7">
        <v>3.338560382E9</v>
      </c>
      <c r="B86" s="7">
        <v>3.338560382E9</v>
      </c>
      <c r="C86" s="7">
        <v>4.0</v>
      </c>
      <c r="D86" s="9">
        <v>599.0</v>
      </c>
      <c r="E86" s="7">
        <v>22.5</v>
      </c>
      <c r="F86" s="9" t="s">
        <v>294</v>
      </c>
      <c r="G86" s="19">
        <v>3.57369477210908E14</v>
      </c>
      <c r="H86" s="19" t="s">
        <v>1568</v>
      </c>
      <c r="I86" s="7" t="s">
        <v>1569</v>
      </c>
      <c r="J86" s="7" t="s">
        <v>194</v>
      </c>
      <c r="K86" s="19" t="s">
        <v>196</v>
      </c>
      <c r="L86" s="7" t="s">
        <v>198</v>
      </c>
      <c r="M86" s="26">
        <v>46147.0</v>
      </c>
      <c r="N86" s="7" t="s">
        <v>201</v>
      </c>
      <c r="O86" s="7"/>
      <c r="P86" s="28">
        <f t="array" ref="P86">XLOOKUP(F86,Lista_Equipos_2026,Precio_Equipos_2026," *** OJO *** ",0)</f>
        <v>10999</v>
      </c>
      <c r="Q86" s="7" t="str">
        <f t="array" ref="Q86">IF(OR($B86="",ISBLANK(XLOOKUP($B86,Números_Asignados,Nombres_Directorio,"",0))),"",XLOOKUP($B86,Números_Asignados,Nombres_Directorio,"",0))</f>
        <v>Manuel Martínez Rizo</v>
      </c>
      <c r="R86" s="7" t="str">
        <f t="array" ref="R86">IF(OR($B86="",ISBLANK(XLOOKUP($B86,Números_Asignados,Sucursal_Asignada,"",0))),"",XLOOKUP($B86,Números_Asignados,Sucursal_Asignada,"",0))</f>
        <v>La Piedad</v>
      </c>
      <c r="S86" s="7" t="str">
        <f t="array" ref="S86">IF(OR($B86="",ISBLANK(XLOOKUP($B86,Números_Asignados,Departamento_Asignado,"",0))),"",XLOOKUP($B86,Números_Asignados,Departamento_Asignado,"",0))</f>
        <v>Refacciones</v>
      </c>
      <c r="T86" s="7" t="str">
        <f t="array" ref="T86">IF(OR($B86="",ISBLANK(XLOOKUP($B86,Números_Asignados,Puesto_Asignado,"",0))),"",XLOOKUP($B86,Números_Asignados,Puesto_Asignado,"",0))</f>
        <v>Asesor de Refacciones Campo</v>
      </c>
      <c r="U86" s="7" t="str">
        <f t="array" ref="U86">IF(OR($B86="",ISBLANK(XLOOKUP($B86,Números_Asignados,Correos_Gmail,"",0))),"",XLOOKUP($B86,Números_Asignados,Correos_Gmail,"",0))</f>
        <v>refaccioneslapieda01@agrocisa.com.mx</v>
      </c>
      <c r="V86" s="7" t="str">
        <f t="array" ref="V86">IF(OR($B86="",ISBLANK(XLOOKUP($B86,Números_Asignados,Correos_Institucionales,"",0))),"",XLOOKUP($B86,Números_Asignados,Correos_Institucionales,"",0))</f>
        <v>manuel.martinez@agrocisa.com.mx</v>
      </c>
    </row>
    <row r="87" ht="15.75" customHeight="1">
      <c r="A87" s="7">
        <v>3.521471232E9</v>
      </c>
      <c r="B87" s="7">
        <v>3.521471232E9</v>
      </c>
      <c r="C87" s="7">
        <v>4.0</v>
      </c>
      <c r="D87" s="9">
        <v>599.0</v>
      </c>
      <c r="E87" s="7">
        <v>22.5</v>
      </c>
      <c r="F87" s="9" t="s">
        <v>294</v>
      </c>
      <c r="G87" s="19">
        <v>3.57369477214959E14</v>
      </c>
      <c r="H87" s="19" t="s">
        <v>1576</v>
      </c>
      <c r="I87" s="7" t="s">
        <v>1577</v>
      </c>
      <c r="J87" s="7" t="s">
        <v>194</v>
      </c>
      <c r="K87" s="19" t="s">
        <v>196</v>
      </c>
      <c r="L87" s="7" t="s">
        <v>198</v>
      </c>
      <c r="M87" s="26">
        <v>46147.0</v>
      </c>
      <c r="N87" s="7" t="s">
        <v>201</v>
      </c>
      <c r="O87" s="7"/>
      <c r="P87" s="28">
        <f t="array" ref="P87">XLOOKUP(F87,Lista_Equipos_2026,Precio_Equipos_2026," *** OJO *** ",0)</f>
        <v>10999</v>
      </c>
      <c r="Q87" s="7" t="str">
        <f t="array" ref="Q87">IF(OR($B87="",ISBLANK(XLOOKUP($B87,Números_Asignados,Nombres_Directorio,"",0))),"",XLOOKUP($B87,Números_Asignados,Nombres_Directorio,"",0))</f>
        <v>Uziel Sánchez Martínez</v>
      </c>
      <c r="R87" s="7" t="str">
        <f t="array" ref="R87">IF(OR($B87="",ISBLANK(XLOOKUP($B87,Números_Asignados,Sucursal_Asignada,"",0))),"",XLOOKUP($B87,Números_Asignados,Sucursal_Asignada,"",0))</f>
        <v>La Piedad</v>
      </c>
      <c r="S87" s="7" t="str">
        <f t="array" ref="S87">IF(OR($B87="",ISBLANK(XLOOKUP($B87,Números_Asignados,Departamento_Asignado,"",0))),"",XLOOKUP($B87,Números_Asignados,Departamento_Asignado,"",0))</f>
        <v>Refacciones</v>
      </c>
      <c r="T87" s="7" t="str">
        <f t="array" ref="T87">IF(OR($B87="",ISBLANK(XLOOKUP($B87,Números_Asignados,Puesto_Asignado,"",0))),"",XLOOKUP($B87,Números_Asignados,Puesto_Asignado,"",0))</f>
        <v>Asesor de Refacciones Campo</v>
      </c>
      <c r="U87" s="7" t="str">
        <f t="array" ref="U87">IF(OR($B87="",ISBLANK(XLOOKUP($B87,Números_Asignados,Correos_Gmail,"",0))),"",XLOOKUP($B87,Números_Asignados,Correos_Gmail,"",0))</f>
        <v>uzsanchez.agro@gmail.com</v>
      </c>
      <c r="V87" s="7" t="str">
        <f t="array" ref="V87">IF(OR($B87="",ISBLANK(XLOOKUP($B87,Números_Asignados,Correos_Institucionales,"",0))),"",XLOOKUP($B87,Números_Asignados,Correos_Institucionales,"",0))</f>
        <v>uziel.sanchez@agrocisa.com.mx</v>
      </c>
    </row>
    <row r="88" ht="15.75" customHeight="1">
      <c r="A88" s="7">
        <v>3.318629135E9</v>
      </c>
      <c r="B88" s="7">
        <v>3.31613378E9</v>
      </c>
      <c r="C88" s="7">
        <v>4.0</v>
      </c>
      <c r="D88" s="9">
        <v>599.0</v>
      </c>
      <c r="E88" s="7">
        <v>22.5</v>
      </c>
      <c r="F88" s="9" t="s">
        <v>294</v>
      </c>
      <c r="G88" s="19">
        <v>3.57369477209017E14</v>
      </c>
      <c r="H88" s="19" t="s">
        <v>1579</v>
      </c>
      <c r="I88" s="7" t="s">
        <v>1580</v>
      </c>
      <c r="J88" s="7" t="s">
        <v>194</v>
      </c>
      <c r="K88" s="19" t="s">
        <v>196</v>
      </c>
      <c r="L88" s="7" t="s">
        <v>198</v>
      </c>
      <c r="M88" s="26">
        <v>46147.0</v>
      </c>
      <c r="N88" s="7" t="s">
        <v>201</v>
      </c>
      <c r="O88" s="7"/>
      <c r="P88" s="28">
        <f t="array" ref="P88">XLOOKUP(F88,Lista_Equipos_2026,Precio_Equipos_2026," *** OJO *** ",0)</f>
        <v>10999</v>
      </c>
      <c r="Q88" s="7" t="str">
        <f t="array" ref="Q88">IF(OR($B88="",ISBLANK(XLOOKUP($B88,Números_Asignados,Nombres_Directorio,"",0))),"",XLOOKUP($B88,Números_Asignados,Nombres_Directorio,"",0))</f>
        <v>Elsa Guadalupe Ramírez López</v>
      </c>
      <c r="R88" s="7" t="str">
        <f t="array" ref="R88">IF(OR($B88="",ISBLANK(XLOOKUP($B88,Números_Asignados,Sucursal_Asignada,"",0))),"",XLOOKUP($B88,Números_Asignados,Sucursal_Asignada,"",0))</f>
        <v>La Piedad</v>
      </c>
      <c r="S88" s="7" t="str">
        <f t="array" ref="S88">IF(OR($B88="",ISBLANK(XLOOKUP($B88,Números_Asignados,Departamento_Asignado,"",0))),"",XLOOKUP($B88,Números_Asignados,Departamento_Asignado,"",0))</f>
        <v>Refacciones</v>
      </c>
      <c r="T88" s="7" t="str">
        <f t="array" ref="T88">IF(OR($B88="",ISBLANK(XLOOKUP($B88,Números_Asignados,Puesto_Asignado,"",0))),"",XLOOKUP($B88,Números_Asignados,Puesto_Asignado,"",0))</f>
        <v>Encargado de Refacciones Sucursal</v>
      </c>
      <c r="U88" s="7" t="str">
        <f t="array" ref="U88">IF(OR($B88="",ISBLANK(XLOOKUP($B88,Números_Asignados,Correos_Gmail,"",0))),"",XLOOKUP($B88,Números_Asignados,Correos_Gmail,"",0))</f>
        <v>refaccioneslapiedad@agrocisa.com.mx</v>
      </c>
      <c r="V88" s="7" t="str">
        <f t="array" ref="V88">IF(OR($B88="",ISBLANK(XLOOKUP($B88,Números_Asignados,Correos_Institucionales,"",0))),"",XLOOKUP($B88,Números_Asignados,Correos_Institucionales,"",0))</f>
        <v>elsa.ramirez@agrocisa.com.mx</v>
      </c>
    </row>
    <row r="89" ht="15.75" customHeight="1">
      <c r="A89" s="7">
        <v>3.31613378E9</v>
      </c>
      <c r="B89" s="7">
        <v>3.318629135E9</v>
      </c>
      <c r="C89" s="7">
        <v>4.0</v>
      </c>
      <c r="D89" s="9">
        <v>599.0</v>
      </c>
      <c r="E89" s="7">
        <v>22.5</v>
      </c>
      <c r="F89" s="9" t="s">
        <v>294</v>
      </c>
      <c r="G89" s="19">
        <v>3.5736947723757E14</v>
      </c>
      <c r="H89" s="19" t="s">
        <v>1586</v>
      </c>
      <c r="I89" s="7" t="s">
        <v>1587</v>
      </c>
      <c r="J89" s="7" t="s">
        <v>194</v>
      </c>
      <c r="K89" s="19" t="s">
        <v>196</v>
      </c>
      <c r="L89" s="7" t="s">
        <v>198</v>
      </c>
      <c r="M89" s="26">
        <v>46147.0</v>
      </c>
      <c r="N89" s="7" t="s">
        <v>201</v>
      </c>
      <c r="O89" s="7"/>
      <c r="P89" s="28">
        <f t="array" ref="P89">XLOOKUP(F89,Lista_Equipos_2026,Precio_Equipos_2026," *** OJO *** ",0)</f>
        <v>10999</v>
      </c>
      <c r="Q89" s="7" t="str">
        <f t="array" ref="Q89">IF(OR($B89="",ISBLANK(XLOOKUP($B89,Números_Asignados,Nombres_Directorio,"",0))),"",XLOOKUP($B89,Números_Asignados,Nombres_Directorio,"",0))</f>
        <v>María Fernanda Navarro Salazar</v>
      </c>
      <c r="R89" s="7" t="str">
        <f t="array" ref="R89">IF(OR($B89="",ISBLANK(XLOOKUP($B89,Números_Asignados,Sucursal_Asignada,"",0))),"",XLOOKUP($B89,Números_Asignados,Sucursal_Asignada,"",0))</f>
        <v>La Piedad</v>
      </c>
      <c r="S89" s="7" t="str">
        <f t="array" ref="S89">IF(OR($B89="",ISBLANK(XLOOKUP($B89,Números_Asignados,Departamento_Asignado,"",0))),"",XLOOKUP($B89,Números_Asignados,Departamento_Asignado,"",0))</f>
        <v>Servicio</v>
      </c>
      <c r="T89" s="7" t="str">
        <f t="array" ref="T89">IF(OR($B89="",ISBLANK(XLOOKUP($B89,Números_Asignados,Puesto_Asignado,"",0))),"",XLOOKUP($B89,Números_Asignados,Puesto_Asignado,"",0))</f>
        <v>Auxiliar Administrativo</v>
      </c>
      <c r="U89" s="7" t="str">
        <f t="array" ref="U89">IF(OR($B89="",ISBLANK(XLOOKUP($B89,Números_Asignados,Correos_Gmail,"",0))),"",XLOOKUP($B89,Números_Asignados,Correos_Gmail,"",0))</f>
        <v>serviciolp.agro@gmail.com</v>
      </c>
      <c r="V89" s="7" t="str">
        <f t="array" ref="V89">IF(OR($B89="",ISBLANK(XLOOKUP($B89,Números_Asignados,Correos_Institucionales,"",0))),"",XLOOKUP($B89,Números_Asignados,Correos_Institucionales,"",0))</f>
        <v>serviciolapiedad@agrocisa.com.mx</v>
      </c>
    </row>
    <row r="90" ht="15.75" customHeight="1">
      <c r="A90" s="7">
        <v>3.316114768E9</v>
      </c>
      <c r="B90" s="7">
        <v>3.316114768E9</v>
      </c>
      <c r="C90" s="7">
        <v>1.0</v>
      </c>
      <c r="D90" s="9">
        <v>269.0</v>
      </c>
      <c r="E90" s="7">
        <v>9.0</v>
      </c>
      <c r="F90" s="9" t="s">
        <v>294</v>
      </c>
      <c r="G90" s="19">
        <v>3.52010505738917E14</v>
      </c>
      <c r="H90" s="19" t="s">
        <v>1594</v>
      </c>
      <c r="I90" s="7" t="s">
        <v>1595</v>
      </c>
      <c r="J90" s="7" t="s">
        <v>194</v>
      </c>
      <c r="K90" s="19" t="s">
        <v>196</v>
      </c>
      <c r="L90" s="7" t="s">
        <v>198</v>
      </c>
      <c r="M90" s="26">
        <v>46147.0</v>
      </c>
      <c r="N90" s="7" t="s">
        <v>201</v>
      </c>
      <c r="O90" s="7"/>
      <c r="P90" s="28">
        <f t="array" ref="P90">XLOOKUP(F90,Lista_Equipos_2026,Precio_Equipos_2026," *** OJO *** ",0)</f>
        <v>10999</v>
      </c>
      <c r="Q90" s="7" t="str">
        <f t="array" ref="Q90">IF(OR($B90="",ISBLANK(XLOOKUP($B90,Números_Asignados,Nombres_Directorio,"",0))),"",XLOOKUP($B90,Números_Asignados,Nombres_Directorio,"",0))</f>
        <v>Abraham Rodríguez Mendoza</v>
      </c>
      <c r="R90" s="7" t="str">
        <f t="array" ref="R90">IF(OR($B90="",ISBLANK(XLOOKUP($B90,Números_Asignados,Sucursal_Asignada,"",0))),"",XLOOKUP($B90,Números_Asignados,Sucursal_Asignada,"",0))</f>
        <v>La Piedad</v>
      </c>
      <c r="S90" s="7" t="str">
        <f t="array" ref="S90">IF(OR($B90="",ISBLANK(XLOOKUP($B90,Números_Asignados,Departamento_Asignado,"",0))),"",XLOOKUP($B90,Números_Asignados,Departamento_Asignado,"",0))</f>
        <v>Servicio</v>
      </c>
      <c r="T90" s="7" t="str">
        <f t="array" ref="T90">IF(OR($B90="",ISBLANK(XLOOKUP($B90,Números_Asignados,Puesto_Asignado,"",0))),"",XLOOKUP($B90,Números_Asignados,Puesto_Asignado,"",0))</f>
        <v>Jefe de Taller</v>
      </c>
      <c r="U90" s="7" t="str">
        <f t="array" ref="U90">IF(OR($B90="",ISBLANK(XLOOKUP($B90,Números_Asignados,Correos_Gmail,"",0))),"",XLOOKUP($B90,Números_Asignados,Correos_Gmail,"",0))</f>
        <v>tallerlapiedad@agrocisa.com.mx</v>
      </c>
      <c r="V90" s="7" t="str">
        <f t="array" ref="V90">IF(OR($B90="",ISBLANK(XLOOKUP($B90,Números_Asignados,Correos_Institucionales,"",0))),"",XLOOKUP($B90,Números_Asignados,Correos_Institucionales,"",0))</f>
        <v>tallerlapiedad@agrocisa.com.mx</v>
      </c>
    </row>
    <row r="91" ht="15.75" customHeight="1">
      <c r="A91" s="7">
        <v>4.431281396E9</v>
      </c>
      <c r="B91" s="7">
        <v>3.521421218E9</v>
      </c>
      <c r="C91" s="7">
        <v>4.0</v>
      </c>
      <c r="D91" s="9">
        <v>599.0</v>
      </c>
      <c r="E91" s="7">
        <v>22.5</v>
      </c>
      <c r="F91" s="9" t="s">
        <v>294</v>
      </c>
      <c r="G91" s="19">
        <v>3.57369477229387E14</v>
      </c>
      <c r="H91" s="7" t="s">
        <v>1600</v>
      </c>
      <c r="I91" s="7" t="s">
        <v>1601</v>
      </c>
      <c r="J91" s="7" t="s">
        <v>194</v>
      </c>
      <c r="K91" s="7" t="s">
        <v>196</v>
      </c>
      <c r="L91" s="7" t="s">
        <v>198</v>
      </c>
      <c r="M91" s="26">
        <v>46147.0</v>
      </c>
      <c r="N91" s="7" t="s">
        <v>201</v>
      </c>
      <c r="O91" s="7"/>
      <c r="P91" s="28">
        <f t="array" ref="P91">XLOOKUP(F91,Lista_Equipos_2026,Precio_Equipos_2026," *** OJO *** ",0)</f>
        <v>10999</v>
      </c>
      <c r="Q91" s="7" t="str">
        <f t="array" ref="Q91">IF(OR($B91="",ISBLANK(XLOOKUP($B91,Números_Asignados,Nombres_Directorio,"",0))),"",XLOOKUP($B91,Números_Asignados,Nombres_Directorio,"",0))</f>
        <v>Juan Pablo Mendez Guzmán</v>
      </c>
      <c r="R91" s="7" t="str">
        <f t="array" ref="R91">IF(OR($B91="",ISBLANK(XLOOKUP($B91,Números_Asignados,Sucursal_Asignada,"",0))),"",XLOOKUP($B91,Números_Asignados,Sucursal_Asignada,"",0))</f>
        <v>La Piedad</v>
      </c>
      <c r="S91" s="7" t="str">
        <f t="array" ref="S91">IF(OR($B91="",ISBLANK(XLOOKUP($B91,Números_Asignados,Departamento_Asignado,"",0))),"",XLOOKUP($B91,Números_Asignados,Departamento_Asignado,"",0))</f>
        <v>Maquinaria Agrícola</v>
      </c>
      <c r="T91" s="7" t="str">
        <f t="array" ref="T91">IF(OR($B91="",ISBLANK(XLOOKUP($B91,Números_Asignados,Puesto_Asignado,"",0))),"",XLOOKUP($B91,Números_Asignados,Puesto_Asignado,"",0))</f>
        <v>Asesor de Ventas</v>
      </c>
      <c r="U91" s="7" t="str">
        <f t="array" ref="U91">IF(OR($B91="",ISBLANK(XLOOKUP($B91,Números_Asignados,Correos_Gmail,"",0))),"",XLOOKUP($B91,Números_Asignados,Correos_Gmail,"",0))</f>
        <v>ventaszonabajio.agro@gmail.com</v>
      </c>
      <c r="V91" s="7" t="str">
        <f t="array" ref="V91">IF(OR($B91="",ISBLANK(XLOOKUP($B91,Números_Asignados,Correos_Institucionales,"",0))),"",XLOOKUP($B91,Números_Asignados,Correos_Institucionales,"",0))</f>
        <v>juan.mendez@agrocisa.com.mx</v>
      </c>
    </row>
    <row r="92" ht="15.75" customHeight="1">
      <c r="A92" s="7">
        <v>3.93119646E9</v>
      </c>
      <c r="B92" s="40">
        <v>4.432078351E9</v>
      </c>
      <c r="C92" s="7">
        <v>1.0</v>
      </c>
      <c r="D92" s="9">
        <v>269.0</v>
      </c>
      <c r="E92" s="7">
        <v>9.0</v>
      </c>
      <c r="F92" s="9" t="s">
        <v>294</v>
      </c>
      <c r="G92" s="19">
        <v>3.57369477221822E14</v>
      </c>
      <c r="H92" s="19" t="s">
        <v>1607</v>
      </c>
      <c r="I92" s="7" t="s">
        <v>1608</v>
      </c>
      <c r="J92" s="7" t="s">
        <v>194</v>
      </c>
      <c r="K92" s="19" t="s">
        <v>196</v>
      </c>
      <c r="L92" s="7" t="s">
        <v>198</v>
      </c>
      <c r="M92" s="26">
        <v>46148.0</v>
      </c>
      <c r="N92" s="7" t="s">
        <v>201</v>
      </c>
      <c r="O92" s="7" t="s">
        <v>1609</v>
      </c>
      <c r="P92" s="28">
        <f t="array" ref="P92">XLOOKUP(F92,Lista_Equipos_2026,Precio_Equipos_2026," *** OJO *** ",0)</f>
        <v>10999</v>
      </c>
      <c r="Q92" s="7" t="str">
        <f t="array" ref="Q92">IF(OR($B92="",ISBLANK(XLOOKUP($B92,Números_Asignados,Nombres_Directorio,"",0))),"",XLOOKUP($B92,Números_Asignados,Nombres_Directorio,"",0))</f>
        <v>Karla Edith Escalante Rodríguez</v>
      </c>
      <c r="R92" s="7" t="str">
        <f t="array" ref="R92">IF(OR($B92="",ISBLANK(XLOOKUP($B92,Números_Asignados,Sucursal_Asignada,"",0))),"",XLOOKUP($B92,Números_Asignados,Sucursal_Asignada,"",0))</f>
        <v>Morelia</v>
      </c>
      <c r="S92" s="7" t="str">
        <f t="array" ref="S92">IF(OR($B92="",ISBLANK(XLOOKUP($B92,Números_Asignados,Departamento_Asignado,"",0))),"",XLOOKUP($B92,Números_Asignados,Departamento_Asignado,"",0))</f>
        <v>Maquinaria Agrícola y Construcción</v>
      </c>
      <c r="T92" s="7" t="str">
        <f t="array" ref="T92">IF(OR($B92="",ISBLANK(XLOOKUP($B92,Números_Asignados,Puesto_Asignado,"",0))),"",XLOOKUP($B92,Números_Asignados,Puesto_Asignado,"",0))</f>
        <v>Auxiliar Administrativo</v>
      </c>
      <c r="U92" s="7" t="str">
        <f t="array" ref="U92">IF(OR($B92="",ISBLANK(XLOOKUP($B92,Números_Asignados,Correos_Gmail,"",0))),"",XLOOKUP($B92,Números_Asignados,Correos_Gmail,"",0))</f>
        <v>ventasmorelia.agro@gmail.com</v>
      </c>
      <c r="V92" s="7" t="str">
        <f t="array" ref="V92">IF(OR($B92="",ISBLANK(XLOOKUP($B92,Números_Asignados,Correos_Institucionales,"",0))),"",XLOOKUP($B92,Números_Asignados,Correos_Institucionales,"",0))</f>
        <v>ventas.morelia@agrocisa.com.mx</v>
      </c>
    </row>
    <row r="93" ht="15.75" customHeight="1">
      <c r="A93" s="7">
        <v>3.321842313E9</v>
      </c>
      <c r="B93" s="7">
        <v>3.321842313E9</v>
      </c>
      <c r="C93" s="7">
        <v>4.0</v>
      </c>
      <c r="D93" s="9">
        <v>599.0</v>
      </c>
      <c r="E93" s="7">
        <v>22.5</v>
      </c>
      <c r="F93" s="9" t="s">
        <v>413</v>
      </c>
      <c r="G93" s="19">
        <v>3.52242801085731E14</v>
      </c>
      <c r="H93" s="19" t="s">
        <v>1614</v>
      </c>
      <c r="I93" s="7" t="s">
        <v>1615</v>
      </c>
      <c r="J93" s="7" t="s">
        <v>194</v>
      </c>
      <c r="K93" s="19" t="s">
        <v>196</v>
      </c>
      <c r="L93" s="7" t="s">
        <v>198</v>
      </c>
      <c r="M93" s="26">
        <v>46148.0</v>
      </c>
      <c r="N93" s="7" t="s">
        <v>201</v>
      </c>
      <c r="O93" s="7"/>
      <c r="P93" s="28">
        <f t="array" ref="P93">XLOOKUP(F93,Lista_Equipos_2026,Precio_Equipos_2026," *** OJO *** ",0)</f>
        <v>15499</v>
      </c>
      <c r="Q93" s="7" t="str">
        <f t="array" ref="Q93">IF(OR($B93="",ISBLANK(XLOOKUP($B93,Números_Asignados,Nombres_Directorio,"",0))),"",XLOOKUP($B93,Números_Asignados,Nombres_Directorio,"",0))</f>
        <v>Silvia Janeth Meza Segura</v>
      </c>
      <c r="R93" s="7" t="str">
        <f t="array" ref="R93">IF(OR($B93="",ISBLANK(XLOOKUP($B93,Números_Asignados,Sucursal_Asignada,"",0))),"",XLOOKUP($B93,Números_Asignados,Sucursal_Asignada,"",0))</f>
        <v>Morelia</v>
      </c>
      <c r="S93" s="7" t="str">
        <f t="array" ref="S93">IF(OR($B93="",ISBLANK(XLOOKUP($B93,Números_Asignados,Departamento_Asignado,"",0))),"",XLOOKUP($B93,Números_Asignados,Departamento_Asignado,"",0))</f>
        <v>Maquinaria Agrícola y Construcción</v>
      </c>
      <c r="T93" s="7" t="str">
        <f t="array" ref="T93">IF(OR($B93="",ISBLANK(XLOOKUP($B93,Números_Asignados,Puesto_Asignado,"",0))),"",XLOOKUP($B93,Números_Asignados,Puesto_Asignado,"",0))</f>
        <v>Gerente de Sucursal</v>
      </c>
      <c r="U93" s="7" t="str">
        <f t="array" ref="U93">IF(OR($B93="",ISBLANK(XLOOKUP($B93,Números_Asignados,Correos_Gmail,"",0))),"",XLOOKUP($B93,Números_Asignados,Correos_Gmail,"",0))</f>
        <v>gerenciamorelia.agrocisa@gmail.com</v>
      </c>
      <c r="V93" s="7" t="str">
        <f t="array" ref="V93">IF(OR($B93="",ISBLANK(XLOOKUP($B93,Números_Asignados,Correos_Institucionales,"",0))),"",XLOOKUP($B93,Números_Asignados,Correos_Institucionales,"",0))</f>
        <v>gerenciamorelia@agrocisa.com.mx</v>
      </c>
    </row>
    <row r="94" ht="15.75" customHeight="1">
      <c r="A94" s="7">
        <v>3.93119711E9</v>
      </c>
      <c r="B94" s="7"/>
      <c r="C94" s="7">
        <v>2.0</v>
      </c>
      <c r="D94" s="9">
        <v>329.0</v>
      </c>
      <c r="E94" s="7">
        <v>7.5</v>
      </c>
      <c r="F94" s="7" t="s">
        <v>714</v>
      </c>
      <c r="G94" s="19">
        <v>3.50771268064781E14</v>
      </c>
      <c r="H94" s="7" t="s">
        <v>1620</v>
      </c>
      <c r="I94" s="7" t="s">
        <v>1621</v>
      </c>
      <c r="J94" s="7" t="s">
        <v>194</v>
      </c>
      <c r="K94" s="7" t="s">
        <v>196</v>
      </c>
      <c r="L94" s="7" t="s">
        <v>198</v>
      </c>
      <c r="M94" s="26">
        <v>46148.0</v>
      </c>
      <c r="N94" s="7" t="s">
        <v>201</v>
      </c>
      <c r="O94" s="7"/>
      <c r="P94" s="28">
        <f t="array" ref="P94">XLOOKUP(F94,Lista_Equipos_2026,Precio_Equipos_2026," *** OJO *** ",0)</f>
        <v>19999</v>
      </c>
      <c r="Q94" s="7" t="s">
        <v>165</v>
      </c>
      <c r="R94" s="7" t="s">
        <v>168</v>
      </c>
      <c r="S94" s="7" t="s">
        <v>1549</v>
      </c>
      <c r="T94" s="7" t="s">
        <v>609</v>
      </c>
      <c r="U94" s="7" t="s">
        <v>177</v>
      </c>
      <c r="V94" s="7" t="s">
        <v>177</v>
      </c>
    </row>
    <row r="95" ht="15.75" customHeight="1">
      <c r="A95" s="7">
        <v>4.434913907E9</v>
      </c>
      <c r="B95" s="7">
        <v>4.434913907E9</v>
      </c>
      <c r="C95" s="7">
        <v>4.0</v>
      </c>
      <c r="D95" s="9">
        <v>599.0</v>
      </c>
      <c r="E95" s="7">
        <v>22.5</v>
      </c>
      <c r="F95" s="9" t="s">
        <v>294</v>
      </c>
      <c r="G95" s="19">
        <v>3.57369477231805E14</v>
      </c>
      <c r="H95" s="7" t="s">
        <v>1623</v>
      </c>
      <c r="I95" s="7" t="s">
        <v>1624</v>
      </c>
      <c r="J95" s="7" t="s">
        <v>194</v>
      </c>
      <c r="K95" s="7" t="s">
        <v>196</v>
      </c>
      <c r="L95" s="7" t="s">
        <v>198</v>
      </c>
      <c r="M95" s="26">
        <v>46148.0</v>
      </c>
      <c r="N95" s="7" t="s">
        <v>201</v>
      </c>
      <c r="O95" s="7"/>
      <c r="P95" s="28">
        <f t="array" ref="P95">XLOOKUP(F95,Lista_Equipos_2026,Precio_Equipos_2026," *** OJO *** ",0)</f>
        <v>10999</v>
      </c>
      <c r="Q95" s="7" t="str">
        <f t="array" ref="Q95">IF(OR($B95="",ISBLANK(XLOOKUP($B95,Números_Asignados,Nombres_Directorio,"",0))),"",XLOOKUP($B95,Números_Asignados,Nombres_Directorio,"",0))</f>
        <v>Ana Gabriela Trejo Loza</v>
      </c>
      <c r="R95" s="7" t="str">
        <f t="array" ref="R95">IF(OR($B95="",ISBLANK(XLOOKUP($B95,Números_Asignados,Sucursal_Asignada,"",0))),"",XLOOKUP($B95,Números_Asignados,Sucursal_Asignada,"",0))</f>
        <v>Morelia</v>
      </c>
      <c r="S95" s="7" t="str">
        <f t="array" ref="S95">IF(OR($B95="",ISBLANK(XLOOKUP($B95,Números_Asignados,Departamento_Asignado,"",0))),"",XLOOKUP($B95,Números_Asignados,Departamento_Asignado,"",0))</f>
        <v>Maquinaria Agrícola</v>
      </c>
      <c r="T95" s="7" t="str">
        <f t="array" ref="T95">IF(OR($B95="",ISBLANK(XLOOKUP($B95,Números_Asignados,Puesto_Asignado,"",0))),"",XLOOKUP($B95,Números_Asignados,Puesto_Asignado,"",0))</f>
        <v>Asesor de Ventas</v>
      </c>
      <c r="U95" s="7" t="str">
        <f t="array" ref="U95">IF(OR($B95="",ISBLANK(XLOOKUP($B95,Números_Asignados,Correos_Gmail,"",0))),"",XLOOKUP($B95,Números_Asignados,Correos_Gmail,"",0))</f>
        <v>gtrejo.agro@gmail.com</v>
      </c>
      <c r="V95" s="7" t="str">
        <f t="array" ref="V95">IF(OR($B95="",ISBLANK(XLOOKUP($B95,Números_Asignados,Correos_Institucionales,"",0))),"",XLOOKUP($B95,Números_Asignados,Correos_Institucionales,"",0))</f>
        <v>gabriela.trejo@agrocisa.com.mx</v>
      </c>
    </row>
    <row r="96" ht="15.75" customHeight="1">
      <c r="A96" s="7">
        <v>7.531153361E9</v>
      </c>
      <c r="B96" s="7">
        <v>7.531153361E9</v>
      </c>
      <c r="C96" s="7">
        <v>4.0</v>
      </c>
      <c r="D96" s="9">
        <v>599.0</v>
      </c>
      <c r="E96" s="7">
        <v>22.5</v>
      </c>
      <c r="F96" s="9" t="s">
        <v>294</v>
      </c>
      <c r="G96" s="19">
        <v>3.57369477237497E14</v>
      </c>
      <c r="H96" s="7" t="s">
        <v>1626</v>
      </c>
      <c r="I96" s="7" t="s">
        <v>1627</v>
      </c>
      <c r="J96" s="7" t="s">
        <v>194</v>
      </c>
      <c r="K96" s="7" t="s">
        <v>196</v>
      </c>
      <c r="L96" s="7" t="s">
        <v>198</v>
      </c>
      <c r="M96" s="26">
        <v>46148.0</v>
      </c>
      <c r="N96" s="7" t="s">
        <v>201</v>
      </c>
      <c r="O96" s="7"/>
      <c r="P96" s="28">
        <f t="array" ref="P96">XLOOKUP(F96,Lista_Equipos_2026,Precio_Equipos_2026," *** OJO *** ",0)</f>
        <v>10999</v>
      </c>
      <c r="Q96" s="7" t="str">
        <f t="array" ref="Q96">IF(OR($B96="",ISBLANK(XLOOKUP($B96,Números_Asignados,Nombres_Directorio,"",0))),"",XLOOKUP($B96,Números_Asignados,Nombres_Directorio,"",0))</f>
        <v>Hugo César Bucio López</v>
      </c>
      <c r="R96" s="7" t="str">
        <f t="array" ref="R96">IF(OR($B96="",ISBLANK(XLOOKUP($B96,Números_Asignados,Sucursal_Asignada,"",0))),"",XLOOKUP($B96,Números_Asignados,Sucursal_Asignada,"",0))</f>
        <v>Morelia</v>
      </c>
      <c r="S96" s="7" t="str">
        <f t="array" ref="S96">IF(OR($B96="",ISBLANK(XLOOKUP($B96,Números_Asignados,Departamento_Asignado,"",0))),"",XLOOKUP($B96,Números_Asignados,Departamento_Asignado,"",0))</f>
        <v>Maquinaria Agrícola</v>
      </c>
      <c r="T96" s="7" t="str">
        <f t="array" ref="T96">IF(OR($B96="",ISBLANK(XLOOKUP($B96,Números_Asignados,Puesto_Asignado,"",0))),"",XLOOKUP($B96,Números_Asignados,Puesto_Asignado,"",0))</f>
        <v>Asesor de Ventas</v>
      </c>
      <c r="U96" s="7" t="str">
        <f t="array" ref="U96">IF(OR($B96="",ISBLANK(XLOOKUP($B96,Números_Asignados,Correos_Gmail,"",0))),"",XLOOKUP($B96,Números_Asignados,Correos_Gmail,"",0))</f>
        <v>hugo.bucio.agro@gmail.com</v>
      </c>
      <c r="V96" s="7" t="str">
        <f t="array" ref="V96">IF(OR($B96="",ISBLANK(XLOOKUP($B96,Números_Asignados,Correos_Institucionales,"",0))),"",XLOOKUP($B96,Números_Asignados,Correos_Institucionales,"",0))</f>
        <v>hugo.bucio@agrocisa.com.mx</v>
      </c>
    </row>
    <row r="97" ht="15.75" customHeight="1">
      <c r="A97" s="7">
        <v>3.931583232E9</v>
      </c>
      <c r="B97" s="19">
        <v>4.431281396E9</v>
      </c>
      <c r="C97" s="7">
        <v>4.0</v>
      </c>
      <c r="D97" s="9">
        <v>599.0</v>
      </c>
      <c r="E97" s="7">
        <v>22.5</v>
      </c>
      <c r="F97" s="9" t="s">
        <v>190</v>
      </c>
      <c r="G97" s="19">
        <v>3.55174187717065E14</v>
      </c>
      <c r="H97" s="7" t="s">
        <v>1629</v>
      </c>
      <c r="I97" s="7" t="s">
        <v>1630</v>
      </c>
      <c r="J97" s="7" t="s">
        <v>194</v>
      </c>
      <c r="K97" s="7" t="s">
        <v>196</v>
      </c>
      <c r="L97" s="7" t="s">
        <v>198</v>
      </c>
      <c r="M97" s="26">
        <v>46148.0</v>
      </c>
      <c r="N97" s="7" t="s">
        <v>201</v>
      </c>
      <c r="O97" s="7"/>
      <c r="P97" s="28">
        <f t="array" ref="P97">XLOOKUP(F97,Lista_Equipos_2026,Precio_Equipos_2026," *** OJO *** ",0)</f>
        <v>7499</v>
      </c>
      <c r="Q97" s="7" t="str">
        <f t="array" ref="Q97">IF(OR($B97="",ISBLANK(XLOOKUP($B97,Números_Asignados,Nombres_Directorio,"",0))),"",XLOOKUP($B97,Números_Asignados,Nombres_Directorio,"",0))</f>
        <v/>
      </c>
      <c r="R97" s="7" t="str">
        <f t="array" ref="R97">IF(OR($B97="",ISBLANK(XLOOKUP($B97,Números_Asignados,Sucursal_Asignada,"",0))),"",XLOOKUP($B97,Números_Asignados,Sucursal_Asignada,"",0))</f>
        <v/>
      </c>
      <c r="S97" s="7" t="str">
        <f t="array" ref="S97">IF(OR($B97="",ISBLANK(XLOOKUP($B97,Números_Asignados,Departamento_Asignado,"",0))),"",XLOOKUP($B97,Números_Asignados,Departamento_Asignado,"",0))</f>
        <v/>
      </c>
      <c r="T97" s="7" t="str">
        <f t="array" ref="T97">IF(OR($B97="",ISBLANK(XLOOKUP($B97,Números_Asignados,Puesto_Asignado,"",0))),"",XLOOKUP($B97,Números_Asignados,Puesto_Asignado,"",0))</f>
        <v/>
      </c>
      <c r="U97" s="7" t="str">
        <f t="array" ref="U97">IF(OR($B97="",ISBLANK(XLOOKUP($B97,Números_Asignados,Correos_Gmail,"",0))),"",XLOOKUP($B97,Números_Asignados,Correos_Gmail,"",0))</f>
        <v/>
      </c>
      <c r="V97" s="7" t="str">
        <f t="array" ref="V97">IF(OR($B97="",ISBLANK(XLOOKUP($B97,Números_Asignados,Correos_Institucionales,"",0))),"",XLOOKUP($B97,Números_Asignados,Correos_Institucionales,"",0))</f>
        <v/>
      </c>
    </row>
    <row r="98" ht="15.75" customHeight="1">
      <c r="A98" s="7">
        <v>3.521420398E9</v>
      </c>
      <c r="B98" s="44">
        <v>4.432276388E9</v>
      </c>
      <c r="C98" s="7">
        <v>4.0</v>
      </c>
      <c r="D98" s="9">
        <v>599.0</v>
      </c>
      <c r="E98" s="7">
        <v>22.5</v>
      </c>
      <c r="F98" s="7" t="s">
        <v>294</v>
      </c>
      <c r="G98" s="19">
        <v>3.57369477238826E14</v>
      </c>
      <c r="H98" s="7" t="s">
        <v>1633</v>
      </c>
      <c r="I98" s="7" t="s">
        <v>1634</v>
      </c>
      <c r="J98" s="7" t="s">
        <v>194</v>
      </c>
      <c r="K98" s="7" t="s">
        <v>196</v>
      </c>
      <c r="L98" s="7" t="s">
        <v>198</v>
      </c>
      <c r="M98" s="26">
        <v>46148.0</v>
      </c>
      <c r="N98" s="7" t="s">
        <v>201</v>
      </c>
      <c r="O98" s="7" t="s">
        <v>867</v>
      </c>
      <c r="P98" s="28">
        <f t="array" ref="P98">XLOOKUP(F98,Lista_Equipos_2026,Precio_Equipos_2026," *** OJO *** ",0)</f>
        <v>10999</v>
      </c>
      <c r="Q98" s="7" t="str">
        <f t="array" ref="Q98">IF(OR($B98="",ISBLANK(XLOOKUP($B98,Números_Asignados,Nombres_Directorio,"",0))),"",XLOOKUP($B98,Números_Asignados,Nombres_Directorio,"",0))</f>
        <v>Juan Pablo Tapia García</v>
      </c>
      <c r="R98" s="7" t="str">
        <f t="array" ref="R98">IF(OR($B98="",ISBLANK(XLOOKUP($B98,Números_Asignados,Sucursal_Asignada,"",0))),"",XLOOKUP($B98,Números_Asignados,Sucursal_Asignada,"",0))</f>
        <v>Morelia</v>
      </c>
      <c r="S98" s="7" t="str">
        <f t="array" ref="S98">IF(OR($B98="",ISBLANK(XLOOKUP($B98,Números_Asignados,Departamento_Asignado,"",0))),"",XLOOKUP($B98,Números_Asignados,Departamento_Asignado,"",0))</f>
        <v>Maquinaria Agrícola</v>
      </c>
      <c r="T98" s="7" t="str">
        <f t="array" ref="T98">IF(OR($B98="",ISBLANK(XLOOKUP($B98,Números_Asignados,Puesto_Asignado,"",0))),"",XLOOKUP($B98,Números_Asignados,Puesto_Asignado,"",0))</f>
        <v>Asesor de Ventas</v>
      </c>
      <c r="U98" s="7" t="str">
        <f t="array" ref="U98">IF(OR($B98="",ISBLANK(XLOOKUP($B98,Números_Asignados,Correos_Gmail,"",0))),"",XLOOKUP($B98,Números_Asignados,Correos_Gmail,"",0))</f>
        <v>juanpablotapia.agro@gmail.com</v>
      </c>
      <c r="V98" s="7" t="str">
        <f t="array" ref="V98">IF(OR($B98="",ISBLANK(XLOOKUP($B98,Números_Asignados,Correos_Institucionales,"",0))),"",XLOOKUP($B98,Números_Asignados,Correos_Institucionales,"",0))</f>
        <v>juan.tapia@agrocisa.com.mx</v>
      </c>
    </row>
    <row r="99" ht="15.75" customHeight="1">
      <c r="A99" s="7">
        <v>3.316135271E9</v>
      </c>
      <c r="B99" s="7">
        <v>3.316135271E9</v>
      </c>
      <c r="C99" s="7">
        <v>4.0</v>
      </c>
      <c r="D99" s="9">
        <v>599.0</v>
      </c>
      <c r="E99" s="7">
        <v>22.5</v>
      </c>
      <c r="F99" s="9" t="s">
        <v>294</v>
      </c>
      <c r="G99" s="19">
        <v>3.57369477206542E14</v>
      </c>
      <c r="H99" s="19" t="s">
        <v>1648</v>
      </c>
      <c r="I99" s="7" t="s">
        <v>1649</v>
      </c>
      <c r="J99" s="7" t="s">
        <v>194</v>
      </c>
      <c r="K99" s="7" t="s">
        <v>196</v>
      </c>
      <c r="L99" s="7" t="s">
        <v>198</v>
      </c>
      <c r="M99" s="26">
        <v>46148.0</v>
      </c>
      <c r="N99" s="7" t="s">
        <v>201</v>
      </c>
      <c r="O99" s="7"/>
      <c r="P99" s="28">
        <f t="array" ref="P99">XLOOKUP(F99,Lista_Equipos_2026,Precio_Equipos_2026," *** OJO *** ",0)</f>
        <v>10999</v>
      </c>
      <c r="Q99" s="7" t="str">
        <f t="array" ref="Q99">IF(OR($B99="",ISBLANK(XLOOKUP($B99,Números_Asignados,Nombres_Directorio,"",0))),"",XLOOKUP($B99,Números_Asignados,Nombres_Directorio,"",0))</f>
        <v>Roberto Adrián Ferreira Muñiz</v>
      </c>
      <c r="R99" s="7" t="str">
        <f t="array" ref="R99">IF(OR($B99="",ISBLANK(XLOOKUP($B99,Números_Asignados,Sucursal_Asignada,"",0))),"",XLOOKUP($B99,Números_Asignados,Sucursal_Asignada,"",0))</f>
        <v>Morelia</v>
      </c>
      <c r="S99" s="7" t="str">
        <f t="array" ref="S99">IF(OR($B99="",ISBLANK(XLOOKUP($B99,Números_Asignados,Departamento_Asignado,"",0))),"",XLOOKUP($B99,Números_Asignados,Departamento_Asignado,"",0))</f>
        <v>Maquinaria Agrícola</v>
      </c>
      <c r="T99" s="7" t="str">
        <f t="array" ref="T99">IF(OR($B99="",ISBLANK(XLOOKUP($B99,Números_Asignados,Puesto_Asignado,"",0))),"",XLOOKUP($B99,Números_Asignados,Puesto_Asignado,"",0))</f>
        <v>Asesor de Ventas</v>
      </c>
      <c r="U99" s="7" t="str">
        <f t="array" ref="U99">IF(OR($B99="",ISBLANK(XLOOKUP($B99,Números_Asignados,Correos_Gmail,"",0))),"",XLOOKUP($B99,Números_Asignados,Correos_Gmail,"",0))</f>
        <v>ventasmo1.agro@gmail.com</v>
      </c>
      <c r="V99" s="7" t="str">
        <f t="array" ref="V99">IF(OR($B99="",ISBLANK(XLOOKUP($B99,Números_Asignados,Correos_Institucionales,"",0))),"",XLOOKUP($B99,Números_Asignados,Correos_Institucionales,"",0))</f>
        <v>roberto.ferreira@agrocisa.com.mx</v>
      </c>
    </row>
    <row r="100" ht="15.75" customHeight="1">
      <c r="A100" s="7">
        <v>4.434913915E9</v>
      </c>
      <c r="B100" s="7">
        <v>4.434913915E9</v>
      </c>
      <c r="C100" s="7">
        <v>4.0</v>
      </c>
      <c r="D100" s="9">
        <v>599.0</v>
      </c>
      <c r="E100" s="7">
        <v>22.5</v>
      </c>
      <c r="F100" s="9" t="s">
        <v>294</v>
      </c>
      <c r="G100" s="19">
        <v>3.57369477232829E14</v>
      </c>
      <c r="H100" s="7" t="s">
        <v>1659</v>
      </c>
      <c r="I100" s="7" t="s">
        <v>1660</v>
      </c>
      <c r="J100" s="7" t="s">
        <v>194</v>
      </c>
      <c r="K100" s="7" t="s">
        <v>196</v>
      </c>
      <c r="L100" s="7" t="s">
        <v>198</v>
      </c>
      <c r="M100" s="26">
        <v>46148.0</v>
      </c>
      <c r="N100" s="7" t="s">
        <v>201</v>
      </c>
      <c r="O100" s="7"/>
      <c r="P100" s="28">
        <f t="array" ref="P100">XLOOKUP(F100,Lista_Equipos_2026,Precio_Equipos_2026," *** OJO *** ",0)</f>
        <v>10999</v>
      </c>
      <c r="Q100" s="7" t="str">
        <f t="array" ref="Q100">IF(OR($B100="",ISBLANK(XLOOKUP($B100,Números_Asignados,Nombres_Directorio,"",0))),"",XLOOKUP($B100,Números_Asignados,Nombres_Directorio,"",0))</f>
        <v>José Juan Hernández Zavala </v>
      </c>
      <c r="R100" s="7" t="str">
        <f t="array" ref="R100">IF(OR($B100="",ISBLANK(XLOOKUP($B100,Números_Asignados,Sucursal_Asignada,"",0))),"",XLOOKUP($B100,Números_Asignados,Sucursal_Asignada,"",0))</f>
        <v>Morelia</v>
      </c>
      <c r="S100" s="7" t="str">
        <f t="array" ref="S100">IF(OR($B100="",ISBLANK(XLOOKUP($B100,Números_Asignados,Departamento_Asignado,"",0))),"",XLOOKUP($B100,Números_Asignados,Departamento_Asignado,"",0))</f>
        <v>Maquinaria Construcción</v>
      </c>
      <c r="T100" s="7" t="str">
        <f t="array" ref="T100">IF(OR($B100="",ISBLANK(XLOOKUP($B100,Números_Asignados,Puesto_Asignado,"",0))),"",XLOOKUP($B100,Números_Asignados,Puesto_Asignado,"",0))</f>
        <v>Asesor de Ventas</v>
      </c>
      <c r="U100" s="7" t="str">
        <f t="array" ref="U100">IF(OR($B100="",ISBLANK(XLOOKUP($B100,Números_Asignados,Correos_Gmail,"",0))),"",XLOOKUP($B100,Números_Asignados,Correos_Gmail,"",0))</f>
        <v>construcciontc2.agro@gmail.com</v>
      </c>
      <c r="V100" s="7" t="str">
        <f t="array" ref="V100">IF(OR($B100="",ISBLANK(XLOOKUP($B100,Números_Asignados,Correos_Institucionales,"",0))),"",XLOOKUP($B100,Números_Asignados,Correos_Institucionales,"",0))</f>
        <v>construccion.tc2@agrocisa.com.mx</v>
      </c>
    </row>
    <row r="101" ht="15.75" customHeight="1">
      <c r="A101" s="7">
        <v>4.43264681E9</v>
      </c>
      <c r="B101" s="7">
        <v>4.43264681E9</v>
      </c>
      <c r="C101" s="7">
        <v>2.0</v>
      </c>
      <c r="D101" s="9">
        <v>329.0</v>
      </c>
      <c r="E101" s="7">
        <v>7.5</v>
      </c>
      <c r="F101" s="7" t="s">
        <v>294</v>
      </c>
      <c r="G101" s="19">
        <v>3.57369477238933E14</v>
      </c>
      <c r="H101" s="7" t="s">
        <v>1666</v>
      </c>
      <c r="I101" s="7" t="s">
        <v>1667</v>
      </c>
      <c r="J101" s="7" t="s">
        <v>194</v>
      </c>
      <c r="K101" s="7" t="s">
        <v>196</v>
      </c>
      <c r="L101" s="7" t="s">
        <v>198</v>
      </c>
      <c r="M101" s="26"/>
      <c r="N101" s="7" t="s">
        <v>201</v>
      </c>
      <c r="O101" s="7"/>
      <c r="P101" s="28">
        <f t="array" ref="P101">XLOOKUP(F101,Lista_Equipos_2026,Precio_Equipos_2026," *** OJO *** ",0)</f>
        <v>10999</v>
      </c>
      <c r="Q101" s="7" t="str">
        <f t="array" ref="Q101">IF(OR($B101="",ISBLANK(XLOOKUP($B101,Números_Asignados,Nombres_Directorio,"",0))),"",XLOOKUP($B101,Números_Asignados,Nombres_Directorio,"",0))</f>
        <v>Vacante</v>
      </c>
      <c r="R101" s="7" t="str">
        <f t="array" ref="R101">IF(OR($B101="",ISBLANK(XLOOKUP($B101,Números_Asignados,Sucursal_Asignada,"",0))),"",XLOOKUP($B101,Números_Asignados,Sucursal_Asignada,"",0))</f>
        <v>Morelia</v>
      </c>
      <c r="S101" s="7" t="str">
        <f t="array" ref="S101">IF(OR($B101="",ISBLANK(XLOOKUP($B101,Números_Asignados,Departamento_Asignado,"",0))),"",XLOOKUP($B101,Números_Asignados,Departamento_Asignado,"",0))</f>
        <v>Maquinaria Construcción</v>
      </c>
      <c r="T101" s="7" t="str">
        <f t="array" ref="T101">IF(OR($B101="",ISBLANK(XLOOKUP($B101,Números_Asignados,Puesto_Asignado,"",0))),"",XLOOKUP($B101,Números_Asignados,Puesto_Asignado,"",0))</f>
        <v>Asesor de Ventas</v>
      </c>
      <c r="U101" s="7" t="str">
        <f t="array" ref="U101">IF(OR($B101="",ISBLANK(XLOOKUP($B101,Números_Asignados,Correos_Gmail,"",0))),"",XLOOKUP($B101,Números_Asignados,Correos_Gmail,"",0))</f>
        <v>javina.agro@gmail.com</v>
      </c>
      <c r="V101" s="7" t="str">
        <f t="array" ref="V101">IF(OR($B101="",ISBLANK(XLOOKUP($B101,Números_Asignados,Correos_Institucionales,"",0))),"",XLOOKUP($B101,Números_Asignados,Correos_Institucionales,"",0))</f>
        <v>juan.avina@agrocisa.com.mx</v>
      </c>
    </row>
    <row r="102" ht="15.75" customHeight="1">
      <c r="A102" s="27">
        <v>4.432725034E9</v>
      </c>
      <c r="B102" s="7">
        <v>4.432725034E9</v>
      </c>
      <c r="C102" s="7" t="s">
        <v>713</v>
      </c>
      <c r="D102" s="9">
        <v>229.0</v>
      </c>
      <c r="E102" s="7">
        <v>4.5</v>
      </c>
      <c r="F102" s="7" t="s">
        <v>294</v>
      </c>
      <c r="G102" s="19">
        <v>3.57369477239048E14</v>
      </c>
      <c r="H102" s="7" t="s">
        <v>1674</v>
      </c>
      <c r="I102" s="7" t="s">
        <v>1675</v>
      </c>
      <c r="J102" s="7" t="s">
        <v>194</v>
      </c>
      <c r="K102" s="7" t="s">
        <v>196</v>
      </c>
      <c r="L102" s="7" t="s">
        <v>198</v>
      </c>
      <c r="M102" s="26">
        <v>46148.0</v>
      </c>
      <c r="N102" s="7" t="s">
        <v>201</v>
      </c>
      <c r="O102" s="7"/>
      <c r="P102" s="28">
        <f t="array" ref="P102">XLOOKUP(F102,Lista_Equipos_2026,Precio_Equipos_2026," *** OJO *** ",0)</f>
        <v>10999</v>
      </c>
      <c r="Q102" s="7" t="str">
        <f t="array" ref="Q102">IF(OR($B102="",ISBLANK(XLOOKUP($B102,Números_Asignados,Nombres_Directorio,"",0))),"",XLOOKUP($B102,Números_Asignados,Nombres_Directorio,"",0))</f>
        <v>Joel Velázquez Jaime</v>
      </c>
      <c r="R102" s="7" t="str">
        <f t="array" ref="R102">IF(OR($B102="",ISBLANK(XLOOKUP($B102,Números_Asignados,Sucursal_Asignada,"",0))),"",XLOOKUP($B102,Números_Asignados,Sucursal_Asignada,"",0))</f>
        <v>Morelia</v>
      </c>
      <c r="S102" s="7" t="str">
        <f t="array" ref="S102">IF(OR($B102="",ISBLANK(XLOOKUP($B102,Números_Asignados,Departamento_Asignado,"",0))),"",XLOOKUP($B102,Números_Asignados,Departamento_Asignado,"",0))</f>
        <v>Maquinaria Agrícola</v>
      </c>
      <c r="T102" s="7" t="str">
        <f t="array" ref="T102">IF(OR($B102="",ISBLANK(XLOOKUP($B102,Números_Asignados,Puesto_Asignado,"",0))),"",XLOOKUP($B102,Números_Asignados,Puesto_Asignado,"",0))</f>
        <v>Asesor de Ventas</v>
      </c>
      <c r="U102" s="7" t="str">
        <f t="array" ref="U102">IF(OR($B102="",ISBLANK(XLOOKUP($B102,Números_Asignados,Correos_Gmail,"",0))),"",XLOOKUP($B102,Números_Asignados,Correos_Gmail,"",0))</f>
        <v>joel.velazquez@agrocisa.com.mx</v>
      </c>
      <c r="V102" s="7" t="str">
        <f t="array" ref="V102">IF(OR($B102="",ISBLANK(XLOOKUP($B102,Números_Asignados,Correos_Institucionales,"",0))),"",XLOOKUP($B102,Números_Asignados,Correos_Institucionales,"",0))</f>
        <v>joel.velazquez@agrocisa.com.mx</v>
      </c>
    </row>
    <row r="103" ht="15.75" customHeight="1">
      <c r="A103" s="7">
        <v>4.431415536E9</v>
      </c>
      <c r="B103" s="7">
        <v>4.431415536E9</v>
      </c>
      <c r="C103" s="7">
        <v>4.0</v>
      </c>
      <c r="D103" s="9">
        <v>599.0</v>
      </c>
      <c r="E103" s="7">
        <v>22.5</v>
      </c>
      <c r="F103" s="9" t="s">
        <v>294</v>
      </c>
      <c r="G103" s="19">
        <v>3.57369477230047E14</v>
      </c>
      <c r="H103" s="7" t="s">
        <v>1676</v>
      </c>
      <c r="I103" s="7" t="s">
        <v>1677</v>
      </c>
      <c r="J103" s="7" t="s">
        <v>194</v>
      </c>
      <c r="K103" s="7" t="s">
        <v>196</v>
      </c>
      <c r="L103" s="7" t="s">
        <v>198</v>
      </c>
      <c r="M103" s="26">
        <v>46148.0</v>
      </c>
      <c r="N103" s="7" t="s">
        <v>201</v>
      </c>
      <c r="O103" s="7"/>
      <c r="P103" s="28">
        <f t="array" ref="P103">XLOOKUP(F103,Lista_Equipos_2026,Precio_Equipos_2026," *** OJO *** ",0)</f>
        <v>10999</v>
      </c>
      <c r="Q103" s="7" t="str">
        <f t="array" ref="Q103">IF(OR($B103="",ISBLANK(XLOOKUP($B103,Números_Asignados,Nombres_Directorio,"",0))),"",XLOOKUP($B103,Números_Asignados,Nombres_Directorio,"",0))</f>
        <v>Jaime Salazar Guzmán</v>
      </c>
      <c r="R103" s="7" t="str">
        <f t="array" ref="R103">IF(OR($B103="",ISBLANK(XLOOKUP($B103,Números_Asignados,Sucursal_Asignada,"",0))),"",XLOOKUP($B103,Números_Asignados,Sucursal_Asignada,"",0))</f>
        <v>Morelia</v>
      </c>
      <c r="S103" s="7" t="str">
        <f t="array" ref="S103">IF(OR($B103="",ISBLANK(XLOOKUP($B103,Números_Asignados,Departamento_Asignado,"",0))),"",XLOOKUP($B103,Números_Asignados,Departamento_Asignado,"",0))</f>
        <v>Refacciones</v>
      </c>
      <c r="T103" s="7" t="str">
        <f t="array" ref="T103">IF(OR($B103="",ISBLANK(XLOOKUP($B103,Números_Asignados,Puesto_Asignado,"",0))),"",XLOOKUP($B103,Números_Asignados,Puesto_Asignado,"",0))</f>
        <v>Asesor de Refacciones Campo</v>
      </c>
      <c r="U103" s="7" t="str">
        <f t="array" ref="U103">IF(OR($B103="",ISBLANK(XLOOKUP($B103,Números_Asignados,Correos_Gmail,"",0))),"",XLOOKUP($B103,Números_Asignados,Correos_Gmail,"",0))</f>
        <v>jaimesalazar.agro@gmail.com</v>
      </c>
      <c r="V103" s="7" t="str">
        <f t="array" ref="V103">IF(OR($B103="",ISBLANK(XLOOKUP($B103,Números_Asignados,Correos_Institucionales,"",0))),"",XLOOKUP($B103,Números_Asignados,Correos_Institucionales,"",0))</f>
        <v>jaime.salazar@agrocisa.com.mx</v>
      </c>
    </row>
    <row r="104" ht="15.75" customHeight="1">
      <c r="A104" s="7">
        <v>4.434108665E9</v>
      </c>
      <c r="B104" s="7">
        <v>4.434108665E9</v>
      </c>
      <c r="C104" s="7">
        <v>1.0</v>
      </c>
      <c r="D104" s="9">
        <v>269.0</v>
      </c>
      <c r="E104" s="7">
        <v>9.0</v>
      </c>
      <c r="F104" s="9" t="s">
        <v>294</v>
      </c>
      <c r="G104" s="19">
        <v>3.52010505764103E14</v>
      </c>
      <c r="H104" s="7" t="s">
        <v>1678</v>
      </c>
      <c r="I104" s="7" t="s">
        <v>1679</v>
      </c>
      <c r="J104" s="7" t="s">
        <v>194</v>
      </c>
      <c r="K104" s="7" t="s">
        <v>196</v>
      </c>
      <c r="L104" s="7" t="s">
        <v>198</v>
      </c>
      <c r="M104" s="26">
        <v>46148.0</v>
      </c>
      <c r="N104" s="7" t="s">
        <v>201</v>
      </c>
      <c r="O104" s="7"/>
      <c r="P104" s="28">
        <f t="array" ref="P104">XLOOKUP(F104,Lista_Equipos_2026,Precio_Equipos_2026," *** OJO *** ",0)</f>
        <v>10999</v>
      </c>
      <c r="Q104" s="7" t="str">
        <f t="array" ref="Q104">IF(OR($B104="",ISBLANK(XLOOKUP($B104,Números_Asignados,Nombres_Directorio,"",0))),"",XLOOKUP($B104,Números_Asignados,Nombres_Directorio,"",0))</f>
        <v>Vacante</v>
      </c>
      <c r="R104" s="7" t="str">
        <f t="array" ref="R104">IF(OR($B104="",ISBLANK(XLOOKUP($B104,Números_Asignados,Sucursal_Asignada,"",0))),"",XLOOKUP($B104,Números_Asignados,Sucursal_Asignada,"",0))</f>
        <v>Morelia</v>
      </c>
      <c r="S104" s="7" t="str">
        <f t="array" ref="S104">IF(OR($B104="",ISBLANK(XLOOKUP($B104,Números_Asignados,Departamento_Asignado,"",0))),"",XLOOKUP($B104,Números_Asignados,Departamento_Asignado,"",0))</f>
        <v>Refacciones</v>
      </c>
      <c r="T104" s="7" t="str">
        <f t="array" ref="T104">IF(OR($B104="",ISBLANK(XLOOKUP($B104,Números_Asignados,Puesto_Asignado,"",0))),"",XLOOKUP($B104,Números_Asignados,Puesto_Asignado,"",0))</f>
        <v>Asesor de Refacciones Campo</v>
      </c>
      <c r="U104" s="7" t="str">
        <f t="array" ref="U104">IF(OR($B104="",ISBLANK(XLOOKUP($B104,Números_Asignados,Correos_Gmail,"",0))),"",XLOOKUP($B104,Números_Asignados,Correos_Gmail,"",0))</f>
        <v>refacciones.mozona02.agro@gmail.com</v>
      </c>
      <c r="V104" s="7" t="str">
        <f t="array" ref="V104">IF(OR($B104="",ISBLANK(XLOOKUP($B104,Números_Asignados,Correos_Institucionales,"",0))),"",XLOOKUP($B104,Números_Asignados,Correos_Institucionales,"",0))</f>
        <v>juan.marquez@agrocisa.com.mx</v>
      </c>
    </row>
    <row r="105" ht="15.75" customHeight="1">
      <c r="A105" s="7">
        <v>4.431677121E9</v>
      </c>
      <c r="B105" s="7">
        <v>4.431677121E9</v>
      </c>
      <c r="C105" s="7">
        <v>4.0</v>
      </c>
      <c r="D105" s="9">
        <v>599.0</v>
      </c>
      <c r="E105" s="7">
        <v>22.5</v>
      </c>
      <c r="F105" s="9" t="s">
        <v>294</v>
      </c>
      <c r="G105" s="19">
        <v>3.57369477231714E14</v>
      </c>
      <c r="H105" s="7" t="s">
        <v>1680</v>
      </c>
      <c r="I105" s="7" t="s">
        <v>1681</v>
      </c>
      <c r="J105" s="7" t="s">
        <v>194</v>
      </c>
      <c r="K105" s="7" t="s">
        <v>196</v>
      </c>
      <c r="L105" s="7" t="s">
        <v>198</v>
      </c>
      <c r="M105" s="26">
        <v>46148.0</v>
      </c>
      <c r="N105" s="7" t="s">
        <v>201</v>
      </c>
      <c r="O105" s="7"/>
      <c r="P105" s="28">
        <f t="array" ref="P105">XLOOKUP(F105,Lista_Equipos_2026,Precio_Equipos_2026," *** OJO *** ",0)</f>
        <v>10999</v>
      </c>
      <c r="Q105" s="7" t="str">
        <f t="array" ref="Q105">IF(OR($B105="",ISBLANK(XLOOKUP($B105,Números_Asignados,Nombres_Directorio,"",0))),"",XLOOKUP($B105,Números_Asignados,Nombres_Directorio,"",0))</f>
        <v>Yadira Torres Barajas</v>
      </c>
      <c r="R105" s="7" t="str">
        <f t="array" ref="R105">IF(OR($B105="",ISBLANK(XLOOKUP($B105,Números_Asignados,Sucursal_Asignada,"",0))),"",XLOOKUP($B105,Números_Asignados,Sucursal_Asignada,"",0))</f>
        <v>Morelia</v>
      </c>
      <c r="S105" s="7" t="str">
        <f t="array" ref="S105">IF(OR($B105="",ISBLANK(XLOOKUP($B105,Números_Asignados,Departamento_Asignado,"",0))),"",XLOOKUP($B105,Números_Asignados,Departamento_Asignado,"",0))</f>
        <v>Refacciones</v>
      </c>
      <c r="T105" s="7" t="str">
        <f t="array" ref="T105">IF(OR($B105="",ISBLANK(XLOOKUP($B105,Números_Asignados,Puesto_Asignado,"",0))),"",XLOOKUP($B105,Números_Asignados,Puesto_Asignado,"",0))</f>
        <v>Encargado de Refacciones Sucursal</v>
      </c>
      <c r="U105" s="7" t="str">
        <f t="array" ref="U105">IF(OR($B105="",ISBLANK(XLOOKUP($B105,Números_Asignados,Correos_Gmail,"",0))),"",XLOOKUP($B105,Números_Asignados,Correos_Gmail,"",0))</f>
        <v>refamostradormorelia.agro@gmail.com</v>
      </c>
      <c r="V105" s="7" t="str">
        <f t="array" ref="V105">IF(OR($B105="",ISBLANK(XLOOKUP($B105,Números_Asignados,Correos_Institucionales,"",0))),"",XLOOKUP($B105,Números_Asignados,Correos_Institucionales,"",0))</f>
        <v>yadira.torres@agrocisa.com.mx</v>
      </c>
    </row>
    <row r="106" ht="15.75" customHeight="1">
      <c r="A106" s="7">
        <v>4.434913913E9</v>
      </c>
      <c r="B106" s="7">
        <v>4.434913913E9</v>
      </c>
      <c r="C106" s="7">
        <v>1.0</v>
      </c>
      <c r="D106" s="9">
        <v>269.0</v>
      </c>
      <c r="E106" s="7">
        <v>9.0</v>
      </c>
      <c r="F106" s="9" t="s">
        <v>294</v>
      </c>
      <c r="G106" s="19">
        <v>3.52010505764202E14</v>
      </c>
      <c r="H106" s="7" t="s">
        <v>1791</v>
      </c>
      <c r="I106" s="7" t="s">
        <v>1793</v>
      </c>
      <c r="J106" s="7" t="s">
        <v>194</v>
      </c>
      <c r="K106" s="7" t="s">
        <v>196</v>
      </c>
      <c r="L106" s="7" t="s">
        <v>198</v>
      </c>
      <c r="M106" s="26">
        <v>46148.0</v>
      </c>
      <c r="N106" s="7" t="s">
        <v>201</v>
      </c>
      <c r="O106" s="7"/>
      <c r="P106" s="28">
        <f t="array" ref="P106">XLOOKUP(F106,Lista_Equipos_2026,Precio_Equipos_2026," *** OJO *** ",0)</f>
        <v>10999</v>
      </c>
      <c r="Q106" s="7" t="str">
        <f t="array" ref="Q106">IF(OR($B106="",ISBLANK(XLOOKUP($B106,Números_Asignados,Nombres_Directorio,"",0))),"",XLOOKUP($B106,Números_Asignados,Nombres_Directorio,"",0))</f>
        <v>Gabriela González Hinojosa</v>
      </c>
      <c r="R106" s="7" t="str">
        <f t="array" ref="R106">IF(OR($B106="",ISBLANK(XLOOKUP($B106,Números_Asignados,Sucursal_Asignada,"",0))),"",XLOOKUP($B106,Números_Asignados,Sucursal_Asignada,"",0))</f>
        <v>Morelia</v>
      </c>
      <c r="S106" s="7" t="str">
        <f t="array" ref="S106">IF(OR($B106="",ISBLANK(XLOOKUP($B106,Números_Asignados,Departamento_Asignado,"",0))),"",XLOOKUP($B106,Números_Asignados,Departamento_Asignado,"",0))</f>
        <v>Servicio</v>
      </c>
      <c r="T106" s="7" t="str">
        <f t="array" ref="T106">IF(OR($B106="",ISBLANK(XLOOKUP($B106,Números_Asignados,Puesto_Asignado,"",0))),"",XLOOKUP($B106,Números_Asignados,Puesto_Asignado,"",0))</f>
        <v>Auxiliar Administrativo</v>
      </c>
      <c r="U106" s="7" t="str">
        <f t="array" ref="U106">IF(OR($B106="",ISBLANK(XLOOKUP($B106,Números_Asignados,Correos_Gmail,"",0))),"",XLOOKUP($B106,Números_Asignados,Correos_Gmail,"",0))</f>
        <v>servicio.mo.agro@gmail.com</v>
      </c>
      <c r="V106" s="7" t="str">
        <f t="array" ref="V106">IF(OR($B106="",ISBLANK(XLOOKUP($B106,Números_Asignados,Correos_Institucionales,"",0))),"",XLOOKUP($B106,Números_Asignados,Correos_Institucionales,"",0))</f>
        <v>serviciomorelia@agrocisa.com.mx</v>
      </c>
    </row>
    <row r="107" ht="15.75" customHeight="1">
      <c r="A107" s="7">
        <v>4.434108329E9</v>
      </c>
      <c r="B107" s="7">
        <v>4.434108329E9</v>
      </c>
      <c r="C107" s="7">
        <v>4.0</v>
      </c>
      <c r="D107" s="9">
        <v>599.0</v>
      </c>
      <c r="E107" s="7">
        <v>22.5</v>
      </c>
      <c r="F107" s="9" t="s">
        <v>294</v>
      </c>
      <c r="G107" s="19">
        <v>3.57369477231763E14</v>
      </c>
      <c r="H107" s="7" t="s">
        <v>1831</v>
      </c>
      <c r="I107" s="7" t="s">
        <v>1832</v>
      </c>
      <c r="J107" s="7" t="s">
        <v>194</v>
      </c>
      <c r="K107" s="7" t="s">
        <v>196</v>
      </c>
      <c r="L107" s="7" t="s">
        <v>198</v>
      </c>
      <c r="M107" s="26">
        <v>46148.0</v>
      </c>
      <c r="N107" s="7" t="s">
        <v>201</v>
      </c>
      <c r="O107" s="7"/>
      <c r="P107" s="28">
        <f t="array" ref="P107">XLOOKUP(F107,Lista_Equipos_2026,Precio_Equipos_2026," *** OJO *** ",0)</f>
        <v>10999</v>
      </c>
      <c r="Q107" s="7" t="str">
        <f t="array" ref="Q107">IF(OR($B107="",ISBLANK(XLOOKUP($B107,Números_Asignados,Nombres_Directorio,"",0))),"",XLOOKUP($B107,Números_Asignados,Nombres_Directorio,"",0))</f>
        <v>Vacante Jefe de Taller Morelia</v>
      </c>
      <c r="R107" s="7" t="str">
        <f t="array" ref="R107">IF(OR($B107="",ISBLANK(XLOOKUP($B107,Números_Asignados,Sucursal_Asignada,"",0))),"",XLOOKUP($B107,Números_Asignados,Sucursal_Asignada,"",0))</f>
        <v>Morelia</v>
      </c>
      <c r="S107" s="7" t="str">
        <f t="array" ref="S107">IF(OR($B107="",ISBLANK(XLOOKUP($B107,Números_Asignados,Departamento_Asignado,"",0))),"",XLOOKUP($B107,Números_Asignados,Departamento_Asignado,"",0))</f>
        <v>Servicio</v>
      </c>
      <c r="T107" s="7" t="str">
        <f t="array" ref="T107">IF(OR($B107="",ISBLANK(XLOOKUP($B107,Números_Asignados,Puesto_Asignado,"",0))),"",XLOOKUP($B107,Números_Asignados,Puesto_Asignado,"",0))</f>
        <v>Jefe de Taller</v>
      </c>
      <c r="U107" s="7" t="str">
        <f t="array" ref="U107">IF(OR($B107="",ISBLANK(XLOOKUP($B107,Números_Asignados,Correos_Gmail,"",0))),"",XLOOKUP($B107,Números_Asignados,Correos_Gmail,"",0))</f>
        <v>tallermor.agro@gmail.com</v>
      </c>
      <c r="V107" s="7" t="str">
        <f t="array" ref="V107">IF(OR($B107="",ISBLANK(XLOOKUP($B107,Números_Asignados,Correos_Institucionales,"",0))),"",XLOOKUP($B107,Números_Asignados,Correos_Institucionales,"",0))</f>
        <v>tallermorelia@agrocisa.com.mx</v>
      </c>
    </row>
    <row r="108" ht="15.75" customHeight="1">
      <c r="A108" s="7">
        <v>3.931073664E9</v>
      </c>
      <c r="B108" s="7">
        <v>3.931073664E9</v>
      </c>
      <c r="C108" s="7">
        <v>1.0</v>
      </c>
      <c r="D108" s="9">
        <v>269.0</v>
      </c>
      <c r="E108" s="7">
        <v>9.0</v>
      </c>
      <c r="F108" s="9" t="s">
        <v>294</v>
      </c>
      <c r="G108" s="19">
        <v>3.52010505754575E14</v>
      </c>
      <c r="H108" s="19" t="s">
        <v>1861</v>
      </c>
      <c r="I108" s="7" t="s">
        <v>1862</v>
      </c>
      <c r="J108" s="7" t="s">
        <v>194</v>
      </c>
      <c r="K108" s="19" t="s">
        <v>196</v>
      </c>
      <c r="L108" s="7" t="s">
        <v>198</v>
      </c>
      <c r="M108" s="26">
        <v>46147.0</v>
      </c>
      <c r="N108" s="7" t="s">
        <v>201</v>
      </c>
      <c r="O108" s="7"/>
      <c r="P108" s="28">
        <f t="array" ref="P108">XLOOKUP(F108,Lista_Equipos_2026,Precio_Equipos_2026," *** OJO *** ",0)</f>
        <v>10999</v>
      </c>
      <c r="Q108" s="7" t="str">
        <f t="array" ref="Q108">IF(OR($B108="",ISBLANK(XLOOKUP($B108,Números_Asignados,Nombres_Directorio,"",0))),"",XLOOKUP($B108,Números_Asignados,Nombres_Directorio,"",0))</f>
        <v>Nancy Yaneth Arroyo Cabello</v>
      </c>
      <c r="R108" s="7" t="str">
        <f t="array" ref="R108">IF(OR($B108="",ISBLANK(XLOOKUP($B108,Números_Asignados,Sucursal_Asignada,"",0))),"",XLOOKUP($B108,Números_Asignados,Sucursal_Asignada,"",0))</f>
        <v>Pénjamo</v>
      </c>
      <c r="S108" s="7" t="str">
        <f t="array" ref="S108">IF(OR($B108="",ISBLANK(XLOOKUP($B108,Números_Asignados,Departamento_Asignado,"",0))),"",XLOOKUP($B108,Números_Asignados,Departamento_Asignado,"",0))</f>
        <v>Maquinaria Agrícola y Construcción</v>
      </c>
      <c r="T108" s="7" t="str">
        <f t="array" ref="T108">IF(OR($B108="",ISBLANK(XLOOKUP($B108,Números_Asignados,Puesto_Asignado,"",0))),"",XLOOKUP($B108,Números_Asignados,Puesto_Asignado,"",0))</f>
        <v>Auxiliar Administrativo</v>
      </c>
      <c r="U108" s="7" t="str">
        <f t="array" ref="U108">IF(OR($B108="",ISBLANK(XLOOKUP($B108,Números_Asignados,Correos_Gmail,"",0))),"",XLOOKUP($B108,Números_Asignados,Correos_Gmail,"",0))</f>
        <v>ventaspenjamo@agrocisa.com.mx</v>
      </c>
      <c r="V108" s="7" t="str">
        <f t="array" ref="V108">IF(OR($B108="",ISBLANK(XLOOKUP($B108,Números_Asignados,Correos_Institucionales,"",0))),"",XLOOKUP($B108,Números_Asignados,Correos_Institucionales,"",0))</f>
        <v>ventaspenjamo@agrocisa.com.mx</v>
      </c>
    </row>
    <row r="109" ht="15.75" customHeight="1">
      <c r="A109" s="7">
        <v>3.931196086E9</v>
      </c>
      <c r="B109" s="7">
        <v>3.931196086E9</v>
      </c>
      <c r="C109" s="7">
        <v>4.0</v>
      </c>
      <c r="D109" s="9">
        <v>599.0</v>
      </c>
      <c r="E109" s="7">
        <v>22.5</v>
      </c>
      <c r="F109" s="9" t="s">
        <v>190</v>
      </c>
      <c r="G109" s="19">
        <v>3.55174187708981E14</v>
      </c>
      <c r="H109" s="19" t="s">
        <v>1863</v>
      </c>
      <c r="I109" s="7" t="s">
        <v>1864</v>
      </c>
      <c r="J109" s="19" t="s">
        <v>194</v>
      </c>
      <c r="K109" s="19" t="s">
        <v>196</v>
      </c>
      <c r="L109" s="7" t="s">
        <v>198</v>
      </c>
      <c r="M109" s="26">
        <v>46147.0</v>
      </c>
      <c r="N109" s="7" t="s">
        <v>201</v>
      </c>
      <c r="O109" s="7"/>
      <c r="P109" s="28">
        <f t="array" ref="P109">XLOOKUP(F109,Lista_Equipos_2026,Precio_Equipos_2026," *** OJO *** ",0)</f>
        <v>7499</v>
      </c>
      <c r="Q109" s="7" t="str">
        <f t="array" ref="Q109">IF(OR($B109="",ISBLANK(XLOOKUP($B109,Números_Asignados,Nombres_Directorio,"",0))),"",XLOOKUP($B109,Números_Asignados,Nombres_Directorio,"",0))</f>
        <v>Vacante Chofer</v>
      </c>
      <c r="R109" s="7" t="str">
        <f t="array" ref="R109">IF(OR($B109="",ISBLANK(XLOOKUP($B109,Números_Asignados,Sucursal_Asignada,"",0))),"",XLOOKUP($B109,Números_Asignados,Sucursal_Asignada,"",0))</f>
        <v>Pénjamo</v>
      </c>
      <c r="S109" s="7" t="str">
        <f t="array" ref="S109">IF(OR($B109="",ISBLANK(XLOOKUP($B109,Números_Asignados,Departamento_Asignado,"",0))),"",XLOOKUP($B109,Números_Asignados,Departamento_Asignado,"",0))</f>
        <v>Maquinaria Agrícola y Construcción</v>
      </c>
      <c r="T109" s="7" t="str">
        <f t="array" ref="T109">IF(OR($B109="",ISBLANK(XLOOKUP($B109,Números_Asignados,Puesto_Asignado,"",0))),"",XLOOKUP($B109,Números_Asignados,Puesto_Asignado,"",0))</f>
        <v>Chofer</v>
      </c>
      <c r="U109" s="7" t="str">
        <f t="array" ref="U109">IF(OR($B109="",ISBLANK(XLOOKUP($B109,Números_Asignados,Correos_Gmail,"",0))),"",XLOOKUP($B109,Números_Asignados,Correos_Gmail,"",0))</f>
        <v>choferpenjamo@agrocisa.com.mx</v>
      </c>
      <c r="V109" s="7" t="str">
        <f t="array" ref="V109">IF(OR($B109="",ISBLANK(XLOOKUP($B109,Números_Asignados,Correos_Institucionales,"",0))),"",XLOOKUP($B109,Números_Asignados,Correos_Institucionales,"",0))</f>
        <v>choferpenjamo@agrocisa.com.mx</v>
      </c>
    </row>
    <row r="110" ht="15.75" customHeight="1">
      <c r="A110" s="7">
        <v>3.33152505E9</v>
      </c>
      <c r="B110" s="7">
        <v>3.33152505E9</v>
      </c>
      <c r="C110" s="7">
        <v>4.0</v>
      </c>
      <c r="D110" s="9">
        <v>599.0</v>
      </c>
      <c r="E110" s="7">
        <v>22.5</v>
      </c>
      <c r="F110" s="9" t="s">
        <v>1536</v>
      </c>
      <c r="G110" s="19">
        <v>3.53199691144474E14</v>
      </c>
      <c r="H110" s="19" t="s">
        <v>1865</v>
      </c>
      <c r="I110" s="7" t="s">
        <v>1866</v>
      </c>
      <c r="J110" s="7" t="s">
        <v>194</v>
      </c>
      <c r="K110" s="19" t="s">
        <v>196</v>
      </c>
      <c r="L110" s="7" t="s">
        <v>198</v>
      </c>
      <c r="M110" s="26">
        <v>46147.0</v>
      </c>
      <c r="N110" s="7" t="s">
        <v>201</v>
      </c>
      <c r="O110" s="7"/>
      <c r="P110" s="28">
        <f t="array" ref="P110">XLOOKUP(F110,Lista_Equipos_2026,Precio_Equipos_2026," *** OJO *** ",0)</f>
        <v>29999</v>
      </c>
      <c r="Q110" s="7" t="str">
        <f t="array" ref="Q110">IF(OR($B110="",ISBLANK(XLOOKUP($B110,Números_Asignados,Nombres_Directorio,"",0))),"",XLOOKUP($B110,Números_Asignados,Nombres_Directorio,"",0))</f>
        <v>Gerardo Damián Contreras Aguilar</v>
      </c>
      <c r="R110" s="7" t="str">
        <f t="array" ref="R110">IF(OR($B110="",ISBLANK(XLOOKUP($B110,Números_Asignados,Sucursal_Asignada,"",0))),"",XLOOKUP($B110,Números_Asignados,Sucursal_Asignada,"",0))</f>
        <v>Pénjamo</v>
      </c>
      <c r="S110" s="7" t="str">
        <f t="array" ref="S110">IF(OR($B110="",ISBLANK(XLOOKUP($B110,Números_Asignados,Departamento_Asignado,"",0))),"",XLOOKUP($B110,Números_Asignados,Departamento_Asignado,"",0))</f>
        <v>Maquinaria Agrícola y Construcción</v>
      </c>
      <c r="T110" s="7" t="str">
        <f t="array" ref="T110">IF(OR($B110="",ISBLANK(XLOOKUP($B110,Números_Asignados,Puesto_Asignado,"",0))),"",XLOOKUP($B110,Números_Asignados,Puesto_Asignado,"",0))</f>
        <v>Gerente de Sucursal</v>
      </c>
      <c r="U110" s="7" t="str">
        <f t="array" ref="U110">IF(OR($B110="",ISBLANK(XLOOKUP($B110,Números_Asignados,Correos_Gmail,"",0))),"",XLOOKUP($B110,Números_Asignados,Correos_Gmail,"",0))</f>
        <v>g.contrerasagro@gmail.com</v>
      </c>
      <c r="V110" s="7" t="str">
        <f t="array" ref="V110">IF(OR($B110="",ISBLANK(XLOOKUP($B110,Números_Asignados,Correos_Institucionales,"",0))),"",XLOOKUP($B110,Números_Asignados,Correos_Institucionales,"",0))</f>
        <v>gerardo.contreras@agrocisa.com.mx</v>
      </c>
    </row>
    <row r="111" ht="15.75" customHeight="1">
      <c r="A111" s="7">
        <v>4.696211513E9</v>
      </c>
      <c r="B111" s="7"/>
      <c r="C111" s="7" t="s">
        <v>713</v>
      </c>
      <c r="D111" s="9">
        <v>229.0</v>
      </c>
      <c r="E111" s="7">
        <v>4.5</v>
      </c>
      <c r="F111" s="7" t="s">
        <v>714</v>
      </c>
      <c r="G111" s="19">
        <v>3.57196653014089E14</v>
      </c>
      <c r="H111" s="7" t="s">
        <v>1867</v>
      </c>
      <c r="I111" s="7" t="s">
        <v>1868</v>
      </c>
      <c r="J111" s="7" t="s">
        <v>194</v>
      </c>
      <c r="K111" s="7" t="s">
        <v>196</v>
      </c>
      <c r="L111" s="7" t="s">
        <v>198</v>
      </c>
      <c r="M111" s="26">
        <v>46147.0</v>
      </c>
      <c r="N111" s="7" t="s">
        <v>201</v>
      </c>
      <c r="O111" s="7"/>
      <c r="P111" s="28">
        <f t="array" ref="P111">XLOOKUP(F111,Lista_Equipos_2026,Precio_Equipos_2026," *** OJO *** ",0)</f>
        <v>19999</v>
      </c>
      <c r="Q111" s="7" t="s">
        <v>754</v>
      </c>
      <c r="R111" s="7" t="s">
        <v>21</v>
      </c>
      <c r="S111" s="7" t="s">
        <v>1549</v>
      </c>
      <c r="T111" s="7" t="s">
        <v>609</v>
      </c>
      <c r="U111" s="7" t="s">
        <v>177</v>
      </c>
      <c r="V111" s="7" t="s">
        <v>177</v>
      </c>
    </row>
    <row r="112" ht="15.75" customHeight="1">
      <c r="A112" s="7">
        <v>3.931171122E9</v>
      </c>
      <c r="B112" s="7">
        <v>3.931171122E9</v>
      </c>
      <c r="C112" s="7">
        <v>4.0</v>
      </c>
      <c r="D112" s="9">
        <v>599.0</v>
      </c>
      <c r="E112" s="7">
        <v>22.5</v>
      </c>
      <c r="F112" s="9" t="s">
        <v>190</v>
      </c>
      <c r="G112" s="19">
        <v>3.55174187708726E14</v>
      </c>
      <c r="H112" s="19" t="s">
        <v>1869</v>
      </c>
      <c r="I112" s="7" t="s">
        <v>1870</v>
      </c>
      <c r="J112" s="7" t="s">
        <v>194</v>
      </c>
      <c r="K112" s="19" t="s">
        <v>196</v>
      </c>
      <c r="L112" s="7" t="s">
        <v>198</v>
      </c>
      <c r="M112" s="26">
        <v>46147.0</v>
      </c>
      <c r="N112" s="7" t="s">
        <v>201</v>
      </c>
      <c r="O112" s="7"/>
      <c r="P112" s="28">
        <f t="array" ref="P112">XLOOKUP(F112,Lista_Equipos_2026,Precio_Equipos_2026," *** OJO *** ",0)</f>
        <v>7499</v>
      </c>
      <c r="Q112" s="7" t="str">
        <f t="array" ref="Q112">IF(OR($B112="",ISBLANK(XLOOKUP($B112,Números_Asignados,Nombres_Directorio,"",0))),"",XLOOKUP($B112,Números_Asignados,Nombres_Directorio,"",0))</f>
        <v>Isidro Navarro Ibarra</v>
      </c>
      <c r="R112" s="7" t="str">
        <f t="array" ref="R112">IF(OR($B112="",ISBLANK(XLOOKUP($B112,Números_Asignados,Sucursal_Asignada,"",0))),"",XLOOKUP($B112,Números_Asignados,Sucursal_Asignada,"",0))</f>
        <v>Pénjamo</v>
      </c>
      <c r="S112" s="7" t="str">
        <f t="array" ref="S112">IF(OR($B112="",ISBLANK(XLOOKUP($B112,Números_Asignados,Departamento_Asignado,"",0))),"",XLOOKUP($B112,Números_Asignados,Departamento_Asignado,"",0))</f>
        <v>Maquinaria Agrícola y Construcción</v>
      </c>
      <c r="T112" s="7" t="str">
        <f t="array" ref="T112">IF(OR($B112="",ISBLANK(XLOOKUP($B112,Números_Asignados,Puesto_Asignado,"",0))),"",XLOOKUP($B112,Números_Asignados,Puesto_Asignado,"",0))</f>
        <v>Implementero</v>
      </c>
      <c r="U112" s="7" t="str">
        <f t="array" ref="U112">IF(OR($B112="",ISBLANK(XLOOKUP($B112,Números_Asignados,Correos_Gmail,"",0))),"",XLOOKUP($B112,Números_Asignados,Correos_Gmail,"",0))</f>
        <v>inavarropj.agro@gmail.com</v>
      </c>
      <c r="V112" s="7" t="str">
        <f t="array" ref="V112">IF(OR($B112="",ISBLANK(XLOOKUP($B112,Números_Asignados,Correos_Institucionales,"",0))),"",XLOOKUP($B112,Números_Asignados,Correos_Institucionales,"",0))</f>
        <v/>
      </c>
    </row>
    <row r="113" ht="15.75" customHeight="1">
      <c r="A113" s="7">
        <v>3.316097328E9</v>
      </c>
      <c r="B113" s="7">
        <v>3.316097328E9</v>
      </c>
      <c r="C113" s="7">
        <v>4.0</v>
      </c>
      <c r="D113" s="9">
        <v>599.0</v>
      </c>
      <c r="E113" s="7">
        <v>22.5</v>
      </c>
      <c r="F113" s="9" t="s">
        <v>294</v>
      </c>
      <c r="G113" s="19">
        <v>3.57369477205635E14</v>
      </c>
      <c r="H113" s="19" t="s">
        <v>1886</v>
      </c>
      <c r="I113" s="7" t="s">
        <v>1887</v>
      </c>
      <c r="J113" s="7" t="s">
        <v>194</v>
      </c>
      <c r="K113" s="19" t="s">
        <v>196</v>
      </c>
      <c r="L113" s="7" t="s">
        <v>198</v>
      </c>
      <c r="M113" s="26">
        <v>46147.0</v>
      </c>
      <c r="N113" s="7" t="s">
        <v>201</v>
      </c>
      <c r="O113" s="7"/>
      <c r="P113" s="28">
        <f t="array" ref="P113">XLOOKUP(F113,Lista_Equipos_2026,Precio_Equipos_2026," *** OJO *** ",0)</f>
        <v>10999</v>
      </c>
      <c r="Q113" s="7" t="str">
        <f t="array" ref="Q113">IF(OR($B113="",ISBLANK(XLOOKUP($B113,Números_Asignados,Nombres_Directorio,"",0))),"",XLOOKUP($B113,Números_Asignados,Nombres_Directorio,"",0))</f>
        <v>Irving Josue Vega Ibarra</v>
      </c>
      <c r="R113" s="7" t="str">
        <f t="array" ref="R113">IF(OR($B113="",ISBLANK(XLOOKUP($B113,Números_Asignados,Sucursal_Asignada,"",0))),"",XLOOKUP($B113,Números_Asignados,Sucursal_Asignada,"",0))</f>
        <v>Pénjamo</v>
      </c>
      <c r="S113" s="7" t="str">
        <f t="array" ref="S113">IF(OR($B113="",ISBLANK(XLOOKUP($B113,Números_Asignados,Departamento_Asignado,"",0))),"",XLOOKUP($B113,Números_Asignados,Departamento_Asignado,"",0))</f>
        <v>Maquinaria Agrícola</v>
      </c>
      <c r="T113" s="7" t="str">
        <f t="array" ref="T113">IF(OR($B113="",ISBLANK(XLOOKUP($B113,Números_Asignados,Puesto_Asignado,"",0))),"",XLOOKUP($B113,Números_Asignados,Puesto_Asignado,"",0))</f>
        <v>Asesor de Ventas</v>
      </c>
      <c r="U113" s="7" t="str">
        <f t="array" ref="U113">IF(OR($B113="",ISBLANK(XLOOKUP($B113,Números_Asignados,Correos_Gmail,"",0))),"",XLOOKUP($B113,Números_Asignados,Correos_Gmail,"",0))</f>
        <v>zonabajiopj18@agrocisa.com.mx</v>
      </c>
      <c r="V113" s="7" t="str">
        <f t="array" ref="V113">IF(OR($B113="",ISBLANK(XLOOKUP($B113,Números_Asignados,Correos_Institucionales,"",0))),"",XLOOKUP($B113,Números_Asignados,Correos_Institucionales,"",0))</f>
        <v>zonabajiopj18@agrocisa.com.mx</v>
      </c>
    </row>
    <row r="114" ht="15.75" customHeight="1">
      <c r="A114" s="7">
        <v>4.433031171E9</v>
      </c>
      <c r="B114" s="7">
        <v>4.433031171E9</v>
      </c>
      <c r="C114" s="7">
        <v>4.0</v>
      </c>
      <c r="D114" s="9">
        <v>599.0</v>
      </c>
      <c r="E114" s="7">
        <v>22.5</v>
      </c>
      <c r="F114" s="9" t="s">
        <v>294</v>
      </c>
      <c r="G114" s="19">
        <v>3.57369477238776E14</v>
      </c>
      <c r="H114" s="7" t="s">
        <v>2015</v>
      </c>
      <c r="I114" s="7" t="s">
        <v>2016</v>
      </c>
      <c r="J114" s="7" t="s">
        <v>194</v>
      </c>
      <c r="K114" s="7" t="s">
        <v>196</v>
      </c>
      <c r="L114" s="7" t="s">
        <v>198</v>
      </c>
      <c r="M114" s="26">
        <v>46147.0</v>
      </c>
      <c r="N114" s="7" t="s">
        <v>201</v>
      </c>
      <c r="O114" s="7"/>
      <c r="P114" s="28">
        <f t="array" ref="P114">XLOOKUP(F114,Lista_Equipos_2026,Precio_Equipos_2026," *** OJO *** ",0)</f>
        <v>10999</v>
      </c>
      <c r="Q114" s="7" t="str">
        <f t="array" ref="Q114">IF(OR($B114="",ISBLANK(XLOOKUP($B114,Números_Asignados,Nombres_Directorio,"",0))),"",XLOOKUP($B114,Números_Asignados,Nombres_Directorio,"",0))</f>
        <v>Rodolfo Rico Uribe</v>
      </c>
      <c r="R114" s="7" t="str">
        <f t="array" ref="R114">IF(OR($B114="",ISBLANK(XLOOKUP($B114,Números_Asignados,Sucursal_Asignada,"",0))),"",XLOOKUP($B114,Números_Asignados,Sucursal_Asignada,"",0))</f>
        <v>Pénjamo</v>
      </c>
      <c r="S114" s="7" t="str">
        <f t="array" ref="S114">IF(OR($B114="",ISBLANK(XLOOKUP($B114,Números_Asignados,Departamento_Asignado,"",0))),"",XLOOKUP($B114,Números_Asignados,Departamento_Asignado,"",0))</f>
        <v>Maquinaria Agrícola</v>
      </c>
      <c r="T114" s="7" t="str">
        <f t="array" ref="T114">IF(OR($B114="",ISBLANK(XLOOKUP($B114,Números_Asignados,Puesto_Asignado,"",0))),"",XLOOKUP($B114,Números_Asignados,Puesto_Asignado,"",0))</f>
        <v>Asesor de Ventas</v>
      </c>
      <c r="U114" s="7" t="str">
        <f t="array" ref="U114">IF(OR($B114="",ISBLANK(XLOOKUP($B114,Números_Asignados,Correos_Gmail,"",0))),"",XLOOKUP($B114,Números_Asignados,Correos_Gmail,"",0))</f>
        <v>zonabajiopj16@agrocisa.com.mx</v>
      </c>
      <c r="V114" s="7" t="str">
        <f t="array" ref="V114">IF(OR($B114="",ISBLANK(XLOOKUP($B114,Números_Asignados,Correos_Institucionales,"",0))),"",XLOOKUP($B114,Números_Asignados,Correos_Institucionales,"",0))</f>
        <v>rodolfo.rico@agrocisa.com.mx</v>
      </c>
    </row>
    <row r="115" ht="15.75" customHeight="1">
      <c r="A115" s="7">
        <v>3.316106051E9</v>
      </c>
      <c r="B115" s="7">
        <v>3.316106051E9</v>
      </c>
      <c r="C115" s="7">
        <v>4.0</v>
      </c>
      <c r="D115" s="9">
        <v>599.0</v>
      </c>
      <c r="E115" s="7">
        <v>22.5</v>
      </c>
      <c r="F115" s="9" t="s">
        <v>294</v>
      </c>
      <c r="G115" s="19">
        <v>3.57369477205973E14</v>
      </c>
      <c r="H115" s="19" t="s">
        <v>2055</v>
      </c>
      <c r="I115" s="7" t="s">
        <v>2056</v>
      </c>
      <c r="J115" s="7" t="s">
        <v>194</v>
      </c>
      <c r="K115" s="19" t="s">
        <v>196</v>
      </c>
      <c r="L115" s="7" t="s">
        <v>198</v>
      </c>
      <c r="M115" s="26">
        <v>46147.0</v>
      </c>
      <c r="N115" s="7" t="s">
        <v>201</v>
      </c>
      <c r="O115" s="7"/>
      <c r="P115" s="28">
        <f t="array" ref="P115">XLOOKUP(F115,Lista_Equipos_2026,Precio_Equipos_2026," *** OJO *** ",0)</f>
        <v>10999</v>
      </c>
      <c r="Q115" s="7" t="str">
        <f t="array" ref="Q115">IF(OR($B115="",ISBLANK(XLOOKUP($B115,Números_Asignados,Nombres_Directorio,"",0))),"",XLOOKUP($B115,Números_Asignados,Nombres_Directorio,"",0))</f>
        <v>Santiago Cruz Elizarraras</v>
      </c>
      <c r="R115" s="7" t="str">
        <f t="array" ref="R115">IF(OR($B115="",ISBLANK(XLOOKUP($B115,Números_Asignados,Sucursal_Asignada,"",0))),"",XLOOKUP($B115,Números_Asignados,Sucursal_Asignada,"",0))</f>
        <v>Pénjamo</v>
      </c>
      <c r="S115" s="7" t="str">
        <f t="array" ref="S115">IF(OR($B115="",ISBLANK(XLOOKUP($B115,Números_Asignados,Departamento_Asignado,"",0))),"",XLOOKUP($B115,Números_Asignados,Departamento_Asignado,"",0))</f>
        <v>Maquinaria Agrícola</v>
      </c>
      <c r="T115" s="7" t="str">
        <f t="array" ref="T115">IF(OR($B115="",ISBLANK(XLOOKUP($B115,Números_Asignados,Puesto_Asignado,"",0))),"",XLOOKUP($B115,Números_Asignados,Puesto_Asignado,"",0))</f>
        <v>Asesor de Ventas</v>
      </c>
      <c r="U115" s="7" t="str">
        <f t="array" ref="U115">IF(OR($B115="",ISBLANK(XLOOKUP($B115,Números_Asignados,Correos_Gmail,"",0))),"",XLOOKUP($B115,Números_Asignados,Correos_Gmail,"",0))</f>
        <v>scruz.agrocisa@gmail.com</v>
      </c>
      <c r="V115" s="7" t="str">
        <f t="array" ref="V115">IF(OR($B115="",ISBLANK(XLOOKUP($B115,Números_Asignados,Correos_Institucionales,"",0))),"",XLOOKUP($B115,Números_Asignados,Correos_Institucionales,"",0))</f>
        <v>santiago.cruz@agrocisa.com.mx</v>
      </c>
    </row>
    <row r="116" ht="15.75" customHeight="1">
      <c r="A116" s="7">
        <v>4.691215969E9</v>
      </c>
      <c r="B116" s="7">
        <v>4.691215969E9</v>
      </c>
      <c r="C116" s="7">
        <v>4.0</v>
      </c>
      <c r="D116" s="9">
        <v>599.0</v>
      </c>
      <c r="E116" s="7">
        <v>22.5</v>
      </c>
      <c r="F116" s="9" t="s">
        <v>294</v>
      </c>
      <c r="G116" s="19">
        <v>3.57369477236291E14</v>
      </c>
      <c r="H116" s="7" t="s">
        <v>2093</v>
      </c>
      <c r="I116" s="7" t="s">
        <v>2095</v>
      </c>
      <c r="J116" s="7" t="s">
        <v>194</v>
      </c>
      <c r="K116" s="7" t="s">
        <v>196</v>
      </c>
      <c r="L116" s="7" t="s">
        <v>198</v>
      </c>
      <c r="M116" s="26">
        <v>46147.0</v>
      </c>
      <c r="N116" s="7" t="s">
        <v>201</v>
      </c>
      <c r="O116" s="7"/>
      <c r="P116" s="28">
        <f t="array" ref="P116">XLOOKUP(F116,Lista_Equipos_2026,Precio_Equipos_2026," *** OJO *** ",0)</f>
        <v>10999</v>
      </c>
      <c r="Q116" s="7" t="str">
        <f t="array" ref="Q116">IF(OR($B116="",ISBLANK(XLOOKUP($B116,Números_Asignados,Nombres_Directorio,"",0))),"",XLOOKUP($B116,Números_Asignados,Nombres_Directorio,"",0))</f>
        <v>Alan Ricardo Estrada Duarte</v>
      </c>
      <c r="R116" s="7" t="str">
        <f t="array" ref="R116">IF(OR($B116="",ISBLANK(XLOOKUP($B116,Números_Asignados,Sucursal_Asignada,"",0))),"",XLOOKUP($B116,Números_Asignados,Sucursal_Asignada,"",0))</f>
        <v>Pénjamo</v>
      </c>
      <c r="S116" s="7" t="str">
        <f t="array" ref="S116">IF(OR($B116="",ISBLANK(XLOOKUP($B116,Números_Asignados,Departamento_Asignado,"",0))),"",XLOOKUP($B116,Números_Asignados,Departamento_Asignado,"",0))</f>
        <v>Maquinaria Construcción</v>
      </c>
      <c r="T116" s="7" t="str">
        <f t="array" ref="T116">IF(OR($B116="",ISBLANK(XLOOKUP($B116,Números_Asignados,Puesto_Asignado,"",0))),"",XLOOKUP($B116,Números_Asignados,Puesto_Asignado,"",0))</f>
        <v>Asesor de Ventas</v>
      </c>
      <c r="U116" s="7" t="str">
        <f t="array" ref="U116">IF(OR($B116="",ISBLANK(XLOOKUP($B116,Números_Asignados,Correos_Gmail,"",0))),"",XLOOKUP($B116,Números_Asignados,Correos_Gmail,"",0))</f>
        <v>construccionpenjamo.agro@gmail.com</v>
      </c>
      <c r="V116" s="7" t="str">
        <f t="array" ref="V116">IF(OR($B116="",ISBLANK(XLOOKUP($B116,Números_Asignados,Correos_Institucionales,"",0))),"",XLOOKUP($B116,Números_Asignados,Correos_Institucionales,"",0))</f>
        <v>construccionpenjamo@agrocisa.com.mx</v>
      </c>
    </row>
    <row r="117" ht="15.75" customHeight="1">
      <c r="A117" s="7">
        <v>3.921057608E9</v>
      </c>
      <c r="B117" s="7">
        <v>3.921057608E9</v>
      </c>
      <c r="C117" s="7">
        <v>4.0</v>
      </c>
      <c r="D117" s="9">
        <v>599.0</v>
      </c>
      <c r="E117" s="7">
        <v>22.5</v>
      </c>
      <c r="F117" s="9" t="s">
        <v>294</v>
      </c>
      <c r="G117" s="19">
        <v>3.57369477215956E14</v>
      </c>
      <c r="H117" s="19" t="s">
        <v>2123</v>
      </c>
      <c r="I117" s="7" t="s">
        <v>2124</v>
      </c>
      <c r="J117" s="7" t="s">
        <v>194</v>
      </c>
      <c r="K117" s="19" t="s">
        <v>196</v>
      </c>
      <c r="L117" s="7" t="s">
        <v>198</v>
      </c>
      <c r="M117" s="26">
        <v>46147.0</v>
      </c>
      <c r="N117" s="7" t="s">
        <v>201</v>
      </c>
      <c r="O117" s="7"/>
      <c r="P117" s="28">
        <f t="array" ref="P117">XLOOKUP(F117,Lista_Equipos_2026,Precio_Equipos_2026," *** OJO *** ",0)</f>
        <v>10999</v>
      </c>
      <c r="Q117" s="7" t="str">
        <f t="array" ref="Q117">IF(OR($B117="",ISBLANK(XLOOKUP($B117,Números_Asignados,Nombres_Directorio,"",0))),"",XLOOKUP($B117,Números_Asignados,Nombres_Directorio,"",0))</f>
        <v>Juan Pablo Frausto Cervantes</v>
      </c>
      <c r="R117" s="7" t="str">
        <f t="array" ref="R117">IF(OR($B117="",ISBLANK(XLOOKUP($B117,Números_Asignados,Sucursal_Asignada,"",0))),"",XLOOKUP($B117,Números_Asignados,Sucursal_Asignada,"",0))</f>
        <v>Pénjamo</v>
      </c>
      <c r="S117" s="7" t="str">
        <f t="array" ref="S117">IF(OR($B117="",ISBLANK(XLOOKUP($B117,Números_Asignados,Departamento_Asignado,"",0))),"",XLOOKUP($B117,Números_Asignados,Departamento_Asignado,"",0))</f>
        <v>Maquinaria Construcción</v>
      </c>
      <c r="T117" s="7" t="str">
        <f t="array" ref="T117">IF(OR($B117="",ISBLANK(XLOOKUP($B117,Números_Asignados,Puesto_Asignado,"",0))),"",XLOOKUP($B117,Números_Asignados,Puesto_Asignado,"",0))</f>
        <v>Asesor de Ventas</v>
      </c>
      <c r="U117" s="7" t="str">
        <f t="array" ref="U117">IF(OR($B117="",ISBLANK(XLOOKUP($B117,Números_Asignados,Correos_Gmail,"",0))),"",XLOOKUP($B117,Números_Asignados,Correos_Gmail,"",0))</f>
        <v>construccionguanajuato@agrocisa.com.mx</v>
      </c>
      <c r="V117" s="7" t="str">
        <f t="array" ref="V117">IF(OR($B117="",ISBLANK(XLOOKUP($B117,Números_Asignados,Correos_Institucionales,"",0))),"",XLOOKUP($B117,Números_Asignados,Correos_Institucionales,"",0))</f>
        <v>construccionguanajuato@agrocisa.com.mx</v>
      </c>
    </row>
    <row r="118" ht="15.75" customHeight="1">
      <c r="A118" s="7">
        <v>3.931245173E9</v>
      </c>
      <c r="B118" s="7">
        <v>3.931245173E9</v>
      </c>
      <c r="C118" s="7">
        <v>4.0</v>
      </c>
      <c r="D118" s="9">
        <v>599.0</v>
      </c>
      <c r="E118" s="7">
        <v>22.5</v>
      </c>
      <c r="F118" s="9" t="s">
        <v>294</v>
      </c>
      <c r="G118" s="19">
        <v>3.57369477225021E14</v>
      </c>
      <c r="H118" s="19" t="s">
        <v>2136</v>
      </c>
      <c r="I118" s="7" t="s">
        <v>2138</v>
      </c>
      <c r="J118" s="7" t="s">
        <v>194</v>
      </c>
      <c r="K118" s="19" t="s">
        <v>196</v>
      </c>
      <c r="L118" s="7" t="s">
        <v>198</v>
      </c>
      <c r="M118" s="26">
        <v>46147.0</v>
      </c>
      <c r="N118" s="7" t="s">
        <v>201</v>
      </c>
      <c r="O118" s="7"/>
      <c r="P118" s="28">
        <f t="array" ref="P118">XLOOKUP(F118,Lista_Equipos_2026,Precio_Equipos_2026," *** OJO *** ",0)</f>
        <v>10999</v>
      </c>
      <c r="Q118" s="7" t="str">
        <f t="array" ref="Q118">IF(OR($B118="",ISBLANK(XLOOKUP($B118,Números_Asignados,Nombres_Directorio,"",0))),"",XLOOKUP($B118,Números_Asignados,Nombres_Directorio,"",0))</f>
        <v>Ángel Manuel Delgado Vázquez</v>
      </c>
      <c r="R118" s="7" t="str">
        <f t="array" ref="R118">IF(OR($B118="",ISBLANK(XLOOKUP($B118,Números_Asignados,Sucursal_Asignada,"",0))),"",XLOOKUP($B118,Números_Asignados,Sucursal_Asignada,"",0))</f>
        <v>Pénjamo</v>
      </c>
      <c r="S118" s="7" t="str">
        <f t="array" ref="S118">IF(OR($B118="",ISBLANK(XLOOKUP($B118,Números_Asignados,Departamento_Asignado,"",0))),"",XLOOKUP($B118,Números_Asignados,Departamento_Asignado,"",0))</f>
        <v>Refacciones</v>
      </c>
      <c r="T118" s="7" t="str">
        <f t="array" ref="T118">IF(OR($B118="",ISBLANK(XLOOKUP($B118,Números_Asignados,Puesto_Asignado,"",0))),"",XLOOKUP($B118,Números_Asignados,Puesto_Asignado,"",0))</f>
        <v>Asesor de Refacciones Campo</v>
      </c>
      <c r="U118" s="7" t="str">
        <f t="array" ref="U118">IF(OR($B118="",ISBLANK(XLOOKUP($B118,Números_Asignados,Correos_Gmail,"",0))),"",XLOOKUP($B118,Números_Asignados,Correos_Gmail,"",0))</f>
        <v>andelgado.agro@gmail.com</v>
      </c>
      <c r="V118" s="7" t="str">
        <f t="array" ref="V118">IF(OR($B118="",ISBLANK(XLOOKUP($B118,Números_Asignados,Correos_Institucionales,"",0))),"",XLOOKUP($B118,Números_Asignados,Correos_Institucionales,"",0))</f>
        <v>angel.delgado@agrocisa.com.mx</v>
      </c>
    </row>
    <row r="119" ht="15.75" customHeight="1">
      <c r="A119" s="7">
        <v>3.331523332E9</v>
      </c>
      <c r="B119" s="7">
        <v>3.331523332E9</v>
      </c>
      <c r="C119" s="7">
        <v>4.0</v>
      </c>
      <c r="D119" s="9">
        <v>599.0</v>
      </c>
      <c r="E119" s="7">
        <v>22.5</v>
      </c>
      <c r="F119" s="9" t="s">
        <v>294</v>
      </c>
      <c r="G119" s="19">
        <v>3.57369477209512E14</v>
      </c>
      <c r="H119" s="19" t="s">
        <v>2312</v>
      </c>
      <c r="I119" s="7" t="s">
        <v>2313</v>
      </c>
      <c r="J119" s="7" t="s">
        <v>194</v>
      </c>
      <c r="K119" s="19" t="s">
        <v>196</v>
      </c>
      <c r="L119" s="7" t="s">
        <v>198</v>
      </c>
      <c r="M119" s="26">
        <v>46147.0</v>
      </c>
      <c r="N119" s="7" t="s">
        <v>201</v>
      </c>
      <c r="O119" s="7"/>
      <c r="P119" s="28">
        <f t="array" ref="P119">XLOOKUP(F119,Lista_Equipos_2026,Precio_Equipos_2026," *** OJO *** ",0)</f>
        <v>10999</v>
      </c>
      <c r="Q119" s="7" t="str">
        <f t="array" ref="Q119">IF(OR($B119="",ISBLANK(XLOOKUP($B119,Números_Asignados,Nombres_Directorio,"",0))),"",XLOOKUP($B119,Números_Asignados,Nombres_Directorio,"",0))</f>
        <v>Vacante Asesor de Refacciones Campo</v>
      </c>
      <c r="R119" s="7" t="str">
        <f t="array" ref="R119">IF(OR($B119="",ISBLANK(XLOOKUP($B119,Números_Asignados,Sucursal_Asignada,"",0))),"",XLOOKUP($B119,Números_Asignados,Sucursal_Asignada,"",0))</f>
        <v>Pénjamo</v>
      </c>
      <c r="S119" s="7" t="str">
        <f t="array" ref="S119">IF(OR($B119="",ISBLANK(XLOOKUP($B119,Números_Asignados,Departamento_Asignado,"",0))),"",XLOOKUP($B119,Números_Asignados,Departamento_Asignado,"",0))</f>
        <v>Refacciones</v>
      </c>
      <c r="T119" s="7" t="str">
        <f t="array" ref="T119">IF(OR($B119="",ISBLANK(XLOOKUP($B119,Números_Asignados,Puesto_Asignado,"",0))),"",XLOOKUP($B119,Números_Asignados,Puesto_Asignado,"",0))</f>
        <v>Asesor de Refacciones Campo</v>
      </c>
      <c r="U119" s="7" t="str">
        <f t="array" ref="U119">IF(OR($B119="",ISBLANK(XLOOKUP($B119,Números_Asignados,Correos_Gmail,"",0))),"",XLOOKUP($B119,Números_Asignados,Correos_Gmail,"",0))</f>
        <v>uriel.martinez@agrocisa.com.mx</v>
      </c>
      <c r="V119" s="7" t="str">
        <f t="array" ref="V119">IF(OR($B119="",ISBLANK(XLOOKUP($B119,Números_Asignados,Correos_Institucionales,"",0))),"",XLOOKUP($B119,Números_Asignados,Correos_Institucionales,"",0))</f>
        <v>uriel.martinez@agrocisa.com.mx</v>
      </c>
    </row>
    <row r="120" ht="15.75" customHeight="1">
      <c r="A120" s="7">
        <v>3.328358335E9</v>
      </c>
      <c r="B120" s="7">
        <v>3.328358335E9</v>
      </c>
      <c r="C120" s="7">
        <v>1.0</v>
      </c>
      <c r="D120" s="9">
        <v>269.0</v>
      </c>
      <c r="E120" s="7">
        <v>9.0</v>
      </c>
      <c r="F120" s="9" t="s">
        <v>294</v>
      </c>
      <c r="G120" s="19">
        <v>3.52010505738958E14</v>
      </c>
      <c r="H120" s="19" t="s">
        <v>2317</v>
      </c>
      <c r="I120" s="7" t="s">
        <v>2318</v>
      </c>
      <c r="J120" s="7" t="s">
        <v>194</v>
      </c>
      <c r="K120" s="7" t="s">
        <v>196</v>
      </c>
      <c r="L120" s="7" t="s">
        <v>198</v>
      </c>
      <c r="M120" s="26">
        <v>46147.0</v>
      </c>
      <c r="N120" s="7" t="s">
        <v>201</v>
      </c>
      <c r="O120" s="7"/>
      <c r="P120" s="28">
        <f t="array" ref="P120">XLOOKUP(F120,Lista_Equipos_2026,Precio_Equipos_2026," *** OJO *** ",0)</f>
        <v>10999</v>
      </c>
      <c r="Q120" s="7" t="str">
        <f t="array" ref="Q120">IF(OR($B120="",ISBLANK(XLOOKUP($B120,Números_Asignados,Nombres_Directorio,"",0))),"",XLOOKUP($B120,Números_Asignados,Nombres_Directorio,"",0))</f>
        <v>Brenda Alcocer Alcocer</v>
      </c>
      <c r="R120" s="7" t="str">
        <f t="array" ref="R120">IF(OR($B120="",ISBLANK(XLOOKUP($B120,Números_Asignados,Sucursal_Asignada,"",0))),"",XLOOKUP($B120,Números_Asignados,Sucursal_Asignada,"",0))</f>
        <v>Pénjamo</v>
      </c>
      <c r="S120" s="7" t="str">
        <f t="array" ref="S120">IF(OR($B120="",ISBLANK(XLOOKUP($B120,Números_Asignados,Departamento_Asignado,"",0))),"",XLOOKUP($B120,Números_Asignados,Departamento_Asignado,"",0))</f>
        <v>Refacciones</v>
      </c>
      <c r="T120" s="7" t="str">
        <f t="array" ref="T120">IF(OR($B120="",ISBLANK(XLOOKUP($B120,Números_Asignados,Puesto_Asignado,"",0))),"",XLOOKUP($B120,Números_Asignados,Puesto_Asignado,"",0))</f>
        <v>Asesor de Refacciones Mostrador</v>
      </c>
      <c r="U120" s="7" t="str">
        <f t="array" ref="U120">IF(OR($B120="",ISBLANK(XLOOKUP($B120,Números_Asignados,Correos_Gmail,"",0))),"",XLOOKUP($B120,Números_Asignados,Correos_Gmail,"",0))</f>
        <v>refapj.agro@gmail.com</v>
      </c>
      <c r="V120" s="7" t="str">
        <f t="array" ref="V120">IF(OR($B120="",ISBLANK(XLOOKUP($B120,Números_Asignados,Correos_Institucionales,"",0))),"",XLOOKUP($B120,Números_Asignados,Correos_Institucionales,"",0))</f>
        <v>brenda.alcocer@agrocisa.com.mx</v>
      </c>
    </row>
    <row r="121" ht="15.75" customHeight="1">
      <c r="A121" s="7">
        <v>3.337194517E9</v>
      </c>
      <c r="B121" s="7">
        <v>3.337194517E9</v>
      </c>
      <c r="C121" s="7">
        <v>4.0</v>
      </c>
      <c r="D121" s="9">
        <v>599.0</v>
      </c>
      <c r="E121" s="7">
        <v>22.5</v>
      </c>
      <c r="F121" s="9" t="s">
        <v>294</v>
      </c>
      <c r="G121" s="19">
        <v>3.57369477238297E14</v>
      </c>
      <c r="H121" s="19" t="s">
        <v>2321</v>
      </c>
      <c r="I121" s="7" t="s">
        <v>2322</v>
      </c>
      <c r="J121" s="7" t="s">
        <v>194</v>
      </c>
      <c r="K121" s="19" t="s">
        <v>196</v>
      </c>
      <c r="L121" s="7" t="s">
        <v>198</v>
      </c>
      <c r="M121" s="26">
        <v>46147.0</v>
      </c>
      <c r="N121" s="7" t="s">
        <v>201</v>
      </c>
      <c r="O121" s="7"/>
      <c r="P121" s="28">
        <f t="array" ref="P121">XLOOKUP(F121,Lista_Equipos_2026,Precio_Equipos_2026," *** OJO *** ",0)</f>
        <v>10999</v>
      </c>
      <c r="Q121" s="7" t="str">
        <f t="array" ref="Q121">IF(OR($B121="",ISBLANK(XLOOKUP($B121,Números_Asignados,Nombres_Directorio,"",0))),"",XLOOKUP($B121,Números_Asignados,Nombres_Directorio,"",0))</f>
        <v>Pedro Castañeda Vázquez</v>
      </c>
      <c r="R121" s="7" t="str">
        <f t="array" ref="R121">IF(OR($B121="",ISBLANK(XLOOKUP($B121,Números_Asignados,Sucursal_Asignada,"",0))),"",XLOOKUP($B121,Números_Asignados,Sucursal_Asignada,"",0))</f>
        <v>Pénjamo</v>
      </c>
      <c r="S121" s="7" t="str">
        <f t="array" ref="S121">IF(OR($B121="",ISBLANK(XLOOKUP($B121,Números_Asignados,Departamento_Asignado,"",0))),"",XLOOKUP($B121,Números_Asignados,Departamento_Asignado,"",0))</f>
        <v>Refacciones</v>
      </c>
      <c r="T121" s="7" t="str">
        <f t="array" ref="T121">IF(OR($B121="",ISBLANK(XLOOKUP($B121,Números_Asignados,Puesto_Asignado,"",0))),"",XLOOKUP($B121,Números_Asignados,Puesto_Asignado,"",0))</f>
        <v>Encargado de Refacciones Sucursal</v>
      </c>
      <c r="U121" s="7" t="str">
        <f t="array" ref="U121">IF(OR($B121="",ISBLANK(XLOOKUP($B121,Números_Asignados,Correos_Gmail,"",0))),"",XLOOKUP($B121,Números_Asignados,Correos_Gmail,"",0))</f>
        <v>pcastaneda.agro@gmail.com</v>
      </c>
      <c r="V121" s="7" t="str">
        <f t="array" ref="V121">IF(OR($B121="",ISBLANK(XLOOKUP($B121,Números_Asignados,Correos_Institucionales,"",0))),"",XLOOKUP($B121,Números_Asignados,Correos_Institucionales,"",0))</f>
        <v>pedro.castaneda@agrocisa.com.mx</v>
      </c>
      <c r="W121" s="5"/>
      <c r="X121" s="5"/>
      <c r="Y121" s="5"/>
      <c r="Z121" s="5"/>
    </row>
    <row r="122" ht="15.75" customHeight="1">
      <c r="A122" s="7">
        <v>3.316097918E9</v>
      </c>
      <c r="B122" s="7">
        <v>3.316097918E9</v>
      </c>
      <c r="C122" s="7">
        <v>1.0</v>
      </c>
      <c r="D122" s="9">
        <v>269.0</v>
      </c>
      <c r="E122" s="7">
        <v>9.0</v>
      </c>
      <c r="F122" s="9" t="s">
        <v>294</v>
      </c>
      <c r="G122" s="19">
        <v>3.57369477203861E14</v>
      </c>
      <c r="H122" s="19" t="s">
        <v>2323</v>
      </c>
      <c r="I122" s="7" t="s">
        <v>2324</v>
      </c>
      <c r="J122" s="19" t="s">
        <v>194</v>
      </c>
      <c r="K122" s="19" t="s">
        <v>196</v>
      </c>
      <c r="L122" s="7" t="s">
        <v>198</v>
      </c>
      <c r="M122" s="26">
        <v>46147.0</v>
      </c>
      <c r="N122" s="7" t="s">
        <v>201</v>
      </c>
      <c r="O122" s="7"/>
      <c r="P122" s="28">
        <f t="array" ref="P122">XLOOKUP(F122,Lista_Equipos_2026,Precio_Equipos_2026," *** OJO *** ",0)</f>
        <v>10999</v>
      </c>
      <c r="Q122" s="7" t="str">
        <f t="array" ref="Q122">IF(OR($B122="",ISBLANK(XLOOKUP($B122,Números_Asignados,Nombres_Directorio,"",0))),"",XLOOKUP($B122,Números_Asignados,Nombres_Directorio,"",0))</f>
        <v>Lorena González Macías</v>
      </c>
      <c r="R122" s="7" t="str">
        <f t="array" ref="R122">IF(OR($B122="",ISBLANK(XLOOKUP($B122,Números_Asignados,Sucursal_Asignada,"",0))),"",XLOOKUP($B122,Números_Asignados,Sucursal_Asignada,"",0))</f>
        <v>Pénjamo</v>
      </c>
      <c r="S122" s="7" t="str">
        <f t="array" ref="S122">IF(OR($B122="",ISBLANK(XLOOKUP($B122,Números_Asignados,Departamento_Asignado,"",0))),"",XLOOKUP($B122,Números_Asignados,Departamento_Asignado,"",0))</f>
        <v>Servicio</v>
      </c>
      <c r="T122" s="7" t="str">
        <f t="array" ref="T122">IF(OR($B122="",ISBLANK(XLOOKUP($B122,Números_Asignados,Puesto_Asignado,"",0))),"",XLOOKUP($B122,Números_Asignados,Puesto_Asignado,"",0))</f>
        <v>Auxiliar Administrativo</v>
      </c>
      <c r="U122" s="7" t="str">
        <f t="array" ref="U122">IF(OR($B122="",ISBLANK(XLOOKUP($B122,Números_Asignados,Correos_Gmail,"",0))),"",XLOOKUP($B122,Números_Asignados,Correos_Gmail,"",0))</f>
        <v>garantiaspj.agro@gmail.com</v>
      </c>
      <c r="V122" s="7" t="str">
        <f t="array" ref="V122">IF(OR($B122="",ISBLANK(XLOOKUP($B122,Números_Asignados,Correos_Institucionales,"",0))),"",XLOOKUP($B122,Números_Asignados,Correos_Institucionales,"",0))</f>
        <v>garantias.pj@agrocisa.com.mx</v>
      </c>
    </row>
    <row r="123" ht="15.75" customHeight="1">
      <c r="A123" s="7">
        <v>3.481044349E9</v>
      </c>
      <c r="B123" s="7">
        <v>3.481044349E9</v>
      </c>
      <c r="C123" s="7">
        <v>4.0</v>
      </c>
      <c r="D123" s="9">
        <v>599.0</v>
      </c>
      <c r="E123" s="7">
        <v>22.5</v>
      </c>
      <c r="F123" s="9" t="s">
        <v>294</v>
      </c>
      <c r="G123" s="19">
        <v>3.57369477212524E14</v>
      </c>
      <c r="H123" s="19" t="s">
        <v>2325</v>
      </c>
      <c r="I123" s="7" t="s">
        <v>2326</v>
      </c>
      <c r="J123" s="19" t="s">
        <v>194</v>
      </c>
      <c r="K123" s="19" t="s">
        <v>196</v>
      </c>
      <c r="L123" s="7" t="s">
        <v>198</v>
      </c>
      <c r="M123" s="26">
        <v>46147.0</v>
      </c>
      <c r="N123" s="7" t="s">
        <v>201</v>
      </c>
      <c r="O123" s="7"/>
      <c r="P123" s="28">
        <f t="array" ref="P123">XLOOKUP(F123,Lista_Equipos_2026,Precio_Equipos_2026," *** OJO *** ",0)</f>
        <v>10999</v>
      </c>
      <c r="Q123" s="7" t="str">
        <f t="array" ref="Q123">IF(OR($B123="",ISBLANK(XLOOKUP($B123,Números_Asignados,Nombres_Directorio,"",0))),"",XLOOKUP($B123,Números_Asignados,Nombres_Directorio,"",0))</f>
        <v>Martín Ceballos Castillo</v>
      </c>
      <c r="R123" s="7" t="str">
        <f t="array" ref="R123">IF(OR($B123="",ISBLANK(XLOOKUP($B123,Números_Asignados,Sucursal_Asignada,"",0))),"",XLOOKUP($B123,Números_Asignados,Sucursal_Asignada,"",0))</f>
        <v>Pénjamo</v>
      </c>
      <c r="S123" s="7" t="str">
        <f t="array" ref="S123">IF(OR($B123="",ISBLANK(XLOOKUP($B123,Números_Asignados,Departamento_Asignado,"",0))),"",XLOOKUP($B123,Números_Asignados,Departamento_Asignado,"",0))</f>
        <v>Servicio</v>
      </c>
      <c r="T123" s="7" t="str">
        <f t="array" ref="T123">IF(OR($B123="",ISBLANK(XLOOKUP($B123,Números_Asignados,Puesto_Asignado,"",0))),"",XLOOKUP($B123,Números_Asignados,Puesto_Asignado,"",0))</f>
        <v>Jefe de Taller</v>
      </c>
      <c r="U123" s="7" t="str">
        <f t="array" ref="U123">IF(OR($B123="",ISBLANK(XLOOKUP($B123,Números_Asignados,Correos_Gmail,"",0))),"",XLOOKUP($B123,Números_Asignados,Correos_Gmail,"",0))</f>
        <v>tallerpenjamo.agro@gmail.com</v>
      </c>
      <c r="V123" s="7" t="str">
        <f t="array" ref="V123">IF(OR($B123="",ISBLANK(XLOOKUP($B123,Números_Asignados,Correos_Institucionales,"",0))),"",XLOOKUP($B123,Números_Asignados,Correos_Institucionales,"",0))</f>
        <v>tallerpenjamo@agrocisa.com.mx</v>
      </c>
    </row>
    <row r="124" ht="15.75" customHeight="1">
      <c r="A124" s="7">
        <v>3.316092786E9</v>
      </c>
      <c r="B124" s="7">
        <v>3.316092786E9</v>
      </c>
      <c r="C124" s="7">
        <v>4.0</v>
      </c>
      <c r="D124" s="9">
        <v>599.0</v>
      </c>
      <c r="E124" s="7">
        <v>22.5</v>
      </c>
      <c r="F124" s="9" t="s">
        <v>190</v>
      </c>
      <c r="G124" s="19">
        <v>3.55174187709286E14</v>
      </c>
      <c r="H124" s="19" t="s">
        <v>2354</v>
      </c>
      <c r="I124" s="7" t="s">
        <v>2355</v>
      </c>
      <c r="J124" s="7" t="s">
        <v>194</v>
      </c>
      <c r="K124" s="19" t="s">
        <v>196</v>
      </c>
      <c r="L124" s="7" t="s">
        <v>198</v>
      </c>
      <c r="M124" s="26">
        <v>46147.0</v>
      </c>
      <c r="N124" s="7" t="s">
        <v>201</v>
      </c>
      <c r="O124" s="7"/>
      <c r="P124" s="28">
        <f t="array" ref="P124">XLOOKUP(F124,Lista_Equipos_2026,Precio_Equipos_2026," *** OJO *** ",0)</f>
        <v>7499</v>
      </c>
      <c r="Q124" s="7" t="str">
        <f t="array" ref="Q124">IF(OR($B124="",ISBLANK(XLOOKUP($B124,Números_Asignados,Nombres_Directorio,"",0))),"",XLOOKUP($B124,Números_Asignados,Nombres_Directorio,"",0))</f>
        <v>Natanael Bravo Gallardo</v>
      </c>
      <c r="R124" s="7" t="str">
        <f t="array" ref="R124">IF(OR($B124="",ISBLANK(XLOOKUP($B124,Números_Asignados,Sucursal_Asignada,"",0))),"",XLOOKUP($B124,Números_Asignados,Sucursal_Asignada,"",0))</f>
        <v>Pénjamo</v>
      </c>
      <c r="S124" s="7" t="str">
        <f t="array" ref="S124">IF(OR($B124="",ISBLANK(XLOOKUP($B124,Números_Asignados,Departamento_Asignado,"",0))),"",XLOOKUP($B124,Números_Asignados,Departamento_Asignado,"",0))</f>
        <v>Servicio</v>
      </c>
      <c r="T124" s="7" t="str">
        <f t="array" ref="T124">IF(OR($B124="",ISBLANK(XLOOKUP($B124,Números_Asignados,Puesto_Asignado,"",0))),"",XLOOKUP($B124,Números_Asignados,Puesto_Asignado,"",0))</f>
        <v>Promotor de Servicio</v>
      </c>
      <c r="U124" s="7" t="str">
        <f t="array" ref="U124">IF(OR($B124="",ISBLANK(XLOOKUP($B124,Números_Asignados,Correos_Gmail,"",0))),"",XLOOKUP($B124,Números_Asignados,Correos_Gmail,"",0))</f>
        <v>promotorpenjamo@agrocisa.com.mx</v>
      </c>
      <c r="V124" s="7" t="str">
        <f t="array" ref="V124">IF(OR($B124="",ISBLANK(XLOOKUP($B124,Números_Asignados,Correos_Institucionales,"",0))),"",XLOOKUP($B124,Números_Asignados,Correos_Institucionales,"",0))</f>
        <v>promotorpenjamo@agrocisa.com.mx</v>
      </c>
    </row>
    <row r="125" ht="15.75" customHeight="1">
      <c r="A125" s="7">
        <v>3.931196103E9</v>
      </c>
      <c r="B125" s="7">
        <v>3.931196103E9</v>
      </c>
      <c r="C125" s="7">
        <v>1.0</v>
      </c>
      <c r="D125" s="9">
        <v>269.0</v>
      </c>
      <c r="E125" s="7">
        <v>9.0</v>
      </c>
      <c r="F125" s="9" t="s">
        <v>294</v>
      </c>
      <c r="G125" s="19">
        <v>3.52010505764004E14</v>
      </c>
      <c r="H125" s="19" t="s">
        <v>2374</v>
      </c>
      <c r="I125" s="7" t="s">
        <v>2375</v>
      </c>
      <c r="J125" s="7" t="s">
        <v>194</v>
      </c>
      <c r="K125" s="19" t="s">
        <v>196</v>
      </c>
      <c r="L125" s="7" t="s">
        <v>198</v>
      </c>
      <c r="M125" s="26">
        <v>46149.0</v>
      </c>
      <c r="N125" s="7" t="s">
        <v>201</v>
      </c>
      <c r="O125" s="7"/>
      <c r="P125" s="28">
        <f t="array" ref="P125">XLOOKUP(F125,Lista_Equipos_2026,Precio_Equipos_2026," *** OJO *** ",0)</f>
        <v>10999</v>
      </c>
      <c r="Q125" s="7" t="str">
        <f t="array" ref="Q125">IF(OR($B125="",ISBLANK(XLOOKUP($B125,Números_Asignados,Nombres_Directorio,"",0))),"",XLOOKUP($B125,Números_Asignados,Nombres_Directorio,"",0))</f>
        <v>Airam Monserrat Vázquez Segura</v>
      </c>
      <c r="R125" s="7" t="str">
        <f t="array" ref="R125">IF(OR($B125="",ISBLANK(XLOOKUP($B125,Números_Asignados,Sucursal_Asignada,"",0))),"",XLOOKUP($B125,Números_Asignados,Sucursal_Asignada,"",0))</f>
        <v>Poncitlán</v>
      </c>
      <c r="S125" s="7" t="str">
        <f t="array" ref="S125">IF(OR($B125="",ISBLANK(XLOOKUP($B125,Números_Asignados,Departamento_Asignado,"",0))),"",XLOOKUP($B125,Números_Asignados,Departamento_Asignado,"",0))</f>
        <v>Maquinaria Agrícola y Construcción</v>
      </c>
      <c r="T125" s="7" t="str">
        <f t="array" ref="T125">IF(OR($B125="",ISBLANK(XLOOKUP($B125,Números_Asignados,Puesto_Asignado,"",0))),"",XLOOKUP($B125,Números_Asignados,Puesto_Asignado,"",0))</f>
        <v>Auxiliar Administrativo</v>
      </c>
      <c r="U125" s="7" t="str">
        <f t="array" ref="U125">IF(OR($B125="",ISBLANK(XLOOKUP($B125,Números_Asignados,Correos_Gmail,"",0))),"",XLOOKUP($B125,Números_Asignados,Correos_Gmail,"",0))</f>
        <v>ventasponci.agrocisa@gmail.com</v>
      </c>
      <c r="V125" s="7" t="str">
        <f t="array" ref="V125">IF(OR($B125="",ISBLANK(XLOOKUP($B125,Números_Asignados,Correos_Institucionales,"",0))),"",XLOOKUP($B125,Números_Asignados,Correos_Institucionales,"",0))</f>
        <v>airam.vazquez@agrocisa.com.mx</v>
      </c>
    </row>
    <row r="126" ht="15.75" customHeight="1">
      <c r="A126" s="7">
        <v>3.931073857E9</v>
      </c>
      <c r="B126" s="7">
        <v>3.931073857E9</v>
      </c>
      <c r="C126" s="7">
        <v>4.0</v>
      </c>
      <c r="D126" s="9">
        <v>599.0</v>
      </c>
      <c r="E126" s="7">
        <v>22.5</v>
      </c>
      <c r="F126" s="9" t="s">
        <v>413</v>
      </c>
      <c r="G126" s="19">
        <v>3.52242801086366E14</v>
      </c>
      <c r="H126" s="19" t="s">
        <v>2407</v>
      </c>
      <c r="I126" s="7" t="s">
        <v>2409</v>
      </c>
      <c r="J126" s="19" t="s">
        <v>194</v>
      </c>
      <c r="K126" s="19" t="s">
        <v>196</v>
      </c>
      <c r="L126" s="7" t="s">
        <v>198</v>
      </c>
      <c r="M126" s="26">
        <v>46150.0</v>
      </c>
      <c r="N126" s="7" t="s">
        <v>201</v>
      </c>
      <c r="O126" s="7"/>
      <c r="P126" s="28">
        <f t="array" ref="P126">XLOOKUP(F126,Lista_Equipos_2026,Precio_Equipos_2026," *** OJO *** ",0)</f>
        <v>15499</v>
      </c>
      <c r="Q126" s="7" t="str">
        <f t="array" ref="Q126">IF(OR($B126="",ISBLANK(XLOOKUP($B126,Números_Asignados,Nombres_Directorio,"",0))),"",XLOOKUP($B126,Números_Asignados,Nombres_Directorio,"",0))</f>
        <v>Moisés Alberto González Mendoza</v>
      </c>
      <c r="R126" s="7" t="str">
        <f t="array" ref="R126">IF(OR($B126="",ISBLANK(XLOOKUP($B126,Números_Asignados,Sucursal_Asignada,"",0))),"",XLOOKUP($B126,Números_Asignados,Sucursal_Asignada,"",0))</f>
        <v>Poncitlán</v>
      </c>
      <c r="S126" s="7" t="str">
        <f t="array" ref="S126">IF(OR($B126="",ISBLANK(XLOOKUP($B126,Números_Asignados,Departamento_Asignado,"",0))),"",XLOOKUP($B126,Números_Asignados,Departamento_Asignado,"",0))</f>
        <v>Maquinaria Agrícola y Construcción</v>
      </c>
      <c r="T126" s="7" t="str">
        <f t="array" ref="T126">IF(OR($B126="",ISBLANK(XLOOKUP($B126,Números_Asignados,Puesto_Asignado,"",0))),"",XLOOKUP($B126,Números_Asignados,Puesto_Asignado,"",0))</f>
        <v>Gerente de Sucursal</v>
      </c>
      <c r="U126" s="7" t="str">
        <f t="array" ref="U126">IF(OR($B126="",ISBLANK(XLOOKUP($B126,Números_Asignados,Correos_Gmail,"",0))),"",XLOOKUP($B126,Números_Asignados,Correos_Gmail,"",0))</f>
        <v>mgonzalez.agrocisa@gmail.com</v>
      </c>
      <c r="V126" s="7" t="str">
        <f t="array" ref="V126">IF(OR($B126="",ISBLANK(XLOOKUP($B126,Números_Asignados,Correos_Institucionales,"",0))),"",XLOOKUP($B126,Números_Asignados,Correos_Institucionales,"",0))</f>
        <v>moises.gonzalez@agrocisa.com.mx</v>
      </c>
    </row>
    <row r="127" ht="15.75" customHeight="1">
      <c r="A127" s="7">
        <v>3.521250804E9</v>
      </c>
      <c r="B127" s="7"/>
      <c r="C127" s="7">
        <v>2.0</v>
      </c>
      <c r="D127" s="9">
        <v>329.0</v>
      </c>
      <c r="E127" s="7">
        <v>7.5</v>
      </c>
      <c r="F127" s="7" t="s">
        <v>714</v>
      </c>
      <c r="G127" s="19">
        <v>3.54142524780717E14</v>
      </c>
      <c r="H127" s="7" t="s">
        <v>2436</v>
      </c>
      <c r="I127" s="7" t="s">
        <v>2438</v>
      </c>
      <c r="J127" s="7" t="s">
        <v>194</v>
      </c>
      <c r="K127" s="7" t="s">
        <v>196</v>
      </c>
      <c r="L127" s="7" t="s">
        <v>198</v>
      </c>
      <c r="M127" s="26">
        <v>46150.0</v>
      </c>
      <c r="N127" s="7" t="s">
        <v>201</v>
      </c>
      <c r="O127" s="7"/>
      <c r="P127" s="28">
        <f t="array" ref="P127">XLOOKUP(F127,Lista_Equipos_2026,Precio_Equipos_2026," *** OJO *** ",0)</f>
        <v>19999</v>
      </c>
      <c r="Q127" s="7" t="s">
        <v>824</v>
      </c>
      <c r="R127" s="7" t="s">
        <v>284</v>
      </c>
      <c r="S127" s="7" t="s">
        <v>1549</v>
      </c>
      <c r="T127" s="7" t="s">
        <v>609</v>
      </c>
      <c r="U127" s="7" t="s">
        <v>177</v>
      </c>
      <c r="V127" s="7" t="s">
        <v>177</v>
      </c>
    </row>
    <row r="128" ht="15.75" customHeight="1">
      <c r="A128" s="7">
        <v>3.931196087E9</v>
      </c>
      <c r="B128" s="7">
        <v>3.931196087E9</v>
      </c>
      <c r="C128" s="7">
        <v>4.0</v>
      </c>
      <c r="D128" s="9">
        <v>599.0</v>
      </c>
      <c r="E128" s="7">
        <v>22.5</v>
      </c>
      <c r="F128" s="9" t="s">
        <v>294</v>
      </c>
      <c r="G128" s="19">
        <v>3.57369477221749E14</v>
      </c>
      <c r="H128" s="19" t="s">
        <v>2447</v>
      </c>
      <c r="I128" s="7" t="s">
        <v>2448</v>
      </c>
      <c r="J128" s="19" t="s">
        <v>194</v>
      </c>
      <c r="K128" s="19" t="s">
        <v>196</v>
      </c>
      <c r="L128" s="7" t="s">
        <v>198</v>
      </c>
      <c r="M128" s="26">
        <v>46149.0</v>
      </c>
      <c r="N128" s="7" t="s">
        <v>201</v>
      </c>
      <c r="O128" s="7"/>
      <c r="P128" s="28">
        <f t="array" ref="P128">XLOOKUP(F128,Lista_Equipos_2026,Precio_Equipos_2026," *** OJO *** ",0)</f>
        <v>10999</v>
      </c>
      <c r="Q128" s="7" t="str">
        <f t="array" ref="Q128">IF(OR($B128="",ISBLANK(XLOOKUP($B128,Números_Asignados,Nombres_Directorio,"",0))),"",XLOOKUP($B128,Números_Asignados,Nombres_Directorio,"",0))</f>
        <v>Vacante</v>
      </c>
      <c r="R128" s="7" t="str">
        <f t="array" ref="R128">IF(OR($B128="",ISBLANK(XLOOKUP($B128,Números_Asignados,Sucursal_Asignada,"",0))),"",XLOOKUP($B128,Números_Asignados,Sucursal_Asignada,"",0))</f>
        <v>Poncitlán</v>
      </c>
      <c r="S128" s="7" t="str">
        <f t="array" ref="S128">IF(OR($B128="",ISBLANK(XLOOKUP($B128,Números_Asignados,Departamento_Asignado,"",0))),"",XLOOKUP($B128,Números_Asignados,Departamento_Asignado,"",0))</f>
        <v>Maquinaria Agrícola</v>
      </c>
      <c r="T128" s="7" t="str">
        <f t="array" ref="T128">IF(OR($B128="",ISBLANK(XLOOKUP($B128,Números_Asignados,Puesto_Asignado,"",0))),"",XLOOKUP($B128,Números_Asignados,Puesto_Asignado,"",0))</f>
        <v>Asesor de Ventas</v>
      </c>
      <c r="U128" s="7" t="str">
        <f t="array" ref="U128">IF(OR($B128="",ISBLANK(XLOOKUP($B128,Números_Asignados,Correos_Gmail,"",0))),"",XLOOKUP($B128,Números_Asignados,Correos_Gmail,"",0))</f>
        <v>agricolazonapn08.agrocisa@gmail.com</v>
      </c>
      <c r="V128" s="7" t="str">
        <f t="array" ref="V128">IF(OR($B128="",ISBLANK(XLOOKUP($B128,Números_Asignados,Correos_Institucionales,"",0))),"",XLOOKUP($B128,Números_Asignados,Correos_Institucionales,"",0))</f>
        <v>gerardo.godinez@agrocisa.com.mx</v>
      </c>
    </row>
    <row r="129" ht="15.75" customHeight="1">
      <c r="A129" s="7">
        <v>3.316098052E9</v>
      </c>
      <c r="B129" s="7">
        <v>3.316098052E9</v>
      </c>
      <c r="C129" s="7">
        <v>4.0</v>
      </c>
      <c r="D129" s="9">
        <v>599.0</v>
      </c>
      <c r="E129" s="7">
        <v>22.5</v>
      </c>
      <c r="F129" s="9" t="s">
        <v>294</v>
      </c>
      <c r="G129" s="19">
        <v>3.57369477205734E14</v>
      </c>
      <c r="H129" s="19" t="s">
        <v>2471</v>
      </c>
      <c r="I129" s="7" t="s">
        <v>2472</v>
      </c>
      <c r="J129" s="19" t="s">
        <v>194</v>
      </c>
      <c r="K129" s="19" t="s">
        <v>196</v>
      </c>
      <c r="L129" s="7" t="s">
        <v>198</v>
      </c>
      <c r="M129" s="26">
        <v>46150.0</v>
      </c>
      <c r="N129" s="7" t="s">
        <v>201</v>
      </c>
      <c r="O129" s="7"/>
      <c r="P129" s="28">
        <f t="array" ref="P129">XLOOKUP(F129,Lista_Equipos_2026,Precio_Equipos_2026," *** OJO *** ",0)</f>
        <v>10999</v>
      </c>
      <c r="Q129" s="7" t="str">
        <f t="array" ref="Q129">IF(OR($B129="",ISBLANK(XLOOKUP($B129,Números_Asignados,Nombres_Directorio,"",0))),"",XLOOKUP($B129,Números_Asignados,Nombres_Directorio,"",0))</f>
        <v>José Alfredo Macías Plascencia</v>
      </c>
      <c r="R129" s="7" t="str">
        <f t="array" ref="R129">IF(OR($B129="",ISBLANK(XLOOKUP($B129,Números_Asignados,Sucursal_Asignada,"",0))),"",XLOOKUP($B129,Números_Asignados,Sucursal_Asignada,"",0))</f>
        <v>Poncitlán</v>
      </c>
      <c r="S129" s="7" t="str">
        <f t="array" ref="S129">IF(OR($B129="",ISBLANK(XLOOKUP($B129,Números_Asignados,Departamento_Asignado,"",0))),"",XLOOKUP($B129,Números_Asignados,Departamento_Asignado,"",0))</f>
        <v>Maquinaria Agrícola</v>
      </c>
      <c r="T129" s="7" t="str">
        <f t="array" ref="T129">IF(OR($B129="",ISBLANK(XLOOKUP($B129,Números_Asignados,Puesto_Asignado,"",0))),"",XLOOKUP($B129,Números_Asignados,Puesto_Asignado,"",0))</f>
        <v>Asesor de Ventas</v>
      </c>
      <c r="U129" s="7" t="str">
        <f t="array" ref="U129">IF(OR($B129="",ISBLANK(XLOOKUP($B129,Números_Asignados,Correos_Gmail,"",0))),"",XLOOKUP($B129,Números_Asignados,Correos_Gmail,"",0))</f>
        <v>alfredomacias.agro@gmail.com</v>
      </c>
      <c r="V129" s="7" t="str">
        <f t="array" ref="V129">IF(OR($B129="",ISBLANK(XLOOKUP($B129,Números_Asignados,Correos_Institucionales,"",0))),"",XLOOKUP($B129,Números_Asignados,Correos_Institucionales,"",0))</f>
        <v>jose.macias@agrocisa.com.mx</v>
      </c>
    </row>
    <row r="130" ht="15.75" customHeight="1">
      <c r="A130" s="7">
        <v>3.316097179E9</v>
      </c>
      <c r="B130" s="7">
        <v>3.316097179E9</v>
      </c>
      <c r="C130" s="7">
        <v>4.0</v>
      </c>
      <c r="D130" s="9">
        <v>599.0</v>
      </c>
      <c r="E130" s="7">
        <v>22.5</v>
      </c>
      <c r="F130" s="9" t="s">
        <v>294</v>
      </c>
      <c r="G130" s="19">
        <v>3.57369477204778E14</v>
      </c>
      <c r="H130" s="19" t="s">
        <v>2497</v>
      </c>
      <c r="I130" s="7" t="s">
        <v>2499</v>
      </c>
      <c r="J130" s="7" t="s">
        <v>194</v>
      </c>
      <c r="K130" s="19" t="s">
        <v>196</v>
      </c>
      <c r="L130" s="7" t="s">
        <v>198</v>
      </c>
      <c r="M130" s="26">
        <v>46207.0</v>
      </c>
      <c r="N130" s="7" t="s">
        <v>201</v>
      </c>
      <c r="O130" s="7"/>
      <c r="P130" s="28">
        <f t="array" ref="P130">XLOOKUP(F130,Lista_Equipos_2026,Precio_Equipos_2026," *** OJO *** ",0)</f>
        <v>10999</v>
      </c>
      <c r="Q130" s="7" t="str">
        <f t="array" ref="Q130">IF(OR($B130="",ISBLANK(XLOOKUP($B130,Números_Asignados,Nombres_Directorio,"",0))),"",XLOOKUP($B130,Números_Asignados,Nombres_Directorio,"",0))</f>
        <v>Luis Felipe Tinoco Solorzano</v>
      </c>
      <c r="R130" s="7" t="str">
        <f t="array" ref="R130">IF(OR($B130="",ISBLANK(XLOOKUP($B130,Números_Asignados,Sucursal_Asignada,"",0))),"",XLOOKUP($B130,Números_Asignados,Sucursal_Asignada,"",0))</f>
        <v>Poncitlán</v>
      </c>
      <c r="S130" s="7" t="str">
        <f t="array" ref="S130">IF(OR($B130="",ISBLANK(XLOOKUP($B130,Números_Asignados,Departamento_Asignado,"",0))),"",XLOOKUP($B130,Números_Asignados,Departamento_Asignado,"",0))</f>
        <v>Maquinaria Agrícola</v>
      </c>
      <c r="T130" s="7" t="str">
        <f t="array" ref="T130">IF(OR($B130="",ISBLANK(XLOOKUP($B130,Números_Asignados,Puesto_Asignado,"",0))),"",XLOOKUP($B130,Números_Asignados,Puesto_Asignado,"",0))</f>
        <v>Asesor de Ventas</v>
      </c>
      <c r="U130" s="7" t="str">
        <f t="array" ref="U130">IF(OR($B130="",ISBLANK(XLOOKUP($B130,Números_Asignados,Correos_Gmail,"",0))),"",XLOOKUP($B130,Números_Asignados,Correos_Gmail,"",0))</f>
        <v>zonacienegapn09.agro@gmail.com</v>
      </c>
      <c r="V130" s="7" t="str">
        <f t="array" ref="V130">IF(OR($B130="",ISBLANK(XLOOKUP($B130,Números_Asignados,Correos_Institucionales,"",0))),"",XLOOKUP($B130,Números_Asignados,Correos_Institucionales,"",0))</f>
        <v>zonacienegapn09@agrocisa.com.mx</v>
      </c>
    </row>
    <row r="131" ht="15.75" customHeight="1">
      <c r="A131" s="7">
        <v>3.318934914E9</v>
      </c>
      <c r="B131" s="7">
        <v>3.318934914E9</v>
      </c>
      <c r="C131" s="7">
        <v>4.0</v>
      </c>
      <c r="D131" s="9">
        <v>599.0</v>
      </c>
      <c r="E131" s="7">
        <v>22.5</v>
      </c>
      <c r="F131" s="9" t="s">
        <v>294</v>
      </c>
      <c r="G131" s="19">
        <v>3.57369477209355E14</v>
      </c>
      <c r="H131" s="19" t="s">
        <v>2531</v>
      </c>
      <c r="I131" s="7" t="s">
        <v>2532</v>
      </c>
      <c r="J131" s="7" t="s">
        <v>194</v>
      </c>
      <c r="K131" s="19" t="s">
        <v>196</v>
      </c>
      <c r="L131" s="7" t="s">
        <v>198</v>
      </c>
      <c r="M131" s="26">
        <v>46148.0</v>
      </c>
      <c r="N131" s="7" t="s">
        <v>201</v>
      </c>
      <c r="O131" s="7"/>
      <c r="P131" s="28">
        <f t="array" ref="P131">XLOOKUP(F131,Lista_Equipos_2026,Precio_Equipos_2026," *** OJO *** ",0)</f>
        <v>10999</v>
      </c>
      <c r="Q131" s="7" t="str">
        <f t="array" ref="Q131">IF(OR($B131="",ISBLANK(XLOOKUP($B131,Números_Asignados,Nombres_Directorio,"",0))),"",XLOOKUP($B131,Números_Asignados,Nombres_Directorio,"",0))</f>
        <v>Luis Gustavo Soto Ibarra</v>
      </c>
      <c r="R131" s="7" t="str">
        <f t="array" ref="R131">IF(OR($B131="",ISBLANK(XLOOKUP($B131,Números_Asignados,Sucursal_Asignada,"",0))),"",XLOOKUP($B131,Números_Asignados,Sucursal_Asignada,"",0))</f>
        <v>Poncitlán</v>
      </c>
      <c r="S131" s="7" t="str">
        <f t="array" ref="S131">IF(OR($B131="",ISBLANK(XLOOKUP($B131,Números_Asignados,Departamento_Asignado,"",0))),"",XLOOKUP($B131,Números_Asignados,Departamento_Asignado,"",0))</f>
        <v>Maquinaria Construcción</v>
      </c>
      <c r="T131" s="7" t="str">
        <f t="array" ref="T131">IF(OR($B131="",ISBLANK(XLOOKUP($B131,Números_Asignados,Puesto_Asignado,"",0))),"",XLOOKUP($B131,Números_Asignados,Puesto_Asignado,"",0))</f>
        <v>Asesor de Ventas</v>
      </c>
      <c r="U131" s="7" t="str">
        <f t="array" ref="U131">IF(OR($B131="",ISBLANK(XLOOKUP($B131,Números_Asignados,Correos_Gmail,"",0))),"",XLOOKUP($B131,Números_Asignados,Correos_Gmail,"",0))</f>
        <v>construccionponcitlan.agro@gmail.com</v>
      </c>
      <c r="V131" s="7" t="str">
        <f t="array" ref="V131">IF(OR($B131="",ISBLANK(XLOOKUP($B131,Números_Asignados,Correos_Institucionales,"",0))),"",XLOOKUP($B131,Números_Asignados,Correos_Institucionales,"",0))</f>
        <v>construccionponcitlan@agrocisa.com.mx</v>
      </c>
    </row>
    <row r="132" ht="15.75" customHeight="1">
      <c r="A132" s="7">
        <v>3.931245176E9</v>
      </c>
      <c r="B132" s="7">
        <v>3.931245176E9</v>
      </c>
      <c r="C132" s="7">
        <v>4.0</v>
      </c>
      <c r="D132" s="9">
        <v>599.0</v>
      </c>
      <c r="E132" s="7">
        <v>22.5</v>
      </c>
      <c r="F132" s="9" t="s">
        <v>294</v>
      </c>
      <c r="G132" s="19">
        <v>3.57369477226557E14</v>
      </c>
      <c r="H132" s="19" t="s">
        <v>2568</v>
      </c>
      <c r="I132" s="7" t="s">
        <v>2570</v>
      </c>
      <c r="J132" s="7" t="s">
        <v>194</v>
      </c>
      <c r="K132" s="19" t="s">
        <v>196</v>
      </c>
      <c r="L132" s="7" t="s">
        <v>198</v>
      </c>
      <c r="M132" s="26">
        <v>46149.0</v>
      </c>
      <c r="N132" s="7" t="s">
        <v>201</v>
      </c>
      <c r="O132" s="7"/>
      <c r="P132" s="28">
        <f t="array" ref="P132">XLOOKUP(F132,Lista_Equipos_2026,Precio_Equipos_2026," *** OJO *** ",0)</f>
        <v>10999</v>
      </c>
      <c r="Q132" s="7" t="str">
        <f t="array" ref="Q132">IF(OR($B132="",ISBLANK(XLOOKUP($B132,Números_Asignados,Nombres_Directorio,"",0))),"",XLOOKUP($B132,Números_Asignados,Nombres_Directorio,"",0))</f>
        <v>Bryan Arturo Ramírez Alonso</v>
      </c>
      <c r="R132" s="7" t="str">
        <f t="array" ref="R132">IF(OR($B132="",ISBLANK(XLOOKUP($B132,Números_Asignados,Sucursal_Asignada,"",0))),"",XLOOKUP($B132,Números_Asignados,Sucursal_Asignada,"",0))</f>
        <v>Poncitlán</v>
      </c>
      <c r="S132" s="7" t="str">
        <f t="array" ref="S132">IF(OR($B132="",ISBLANK(XLOOKUP($B132,Números_Asignados,Departamento_Asignado,"",0))),"",XLOOKUP($B132,Números_Asignados,Departamento_Asignado,"",0))</f>
        <v>Refacciones</v>
      </c>
      <c r="T132" s="7" t="str">
        <f t="array" ref="T132">IF(OR($B132="",ISBLANK(XLOOKUP($B132,Números_Asignados,Puesto_Asignado,"",0))),"",XLOOKUP($B132,Números_Asignados,Puesto_Asignado,"",0))</f>
        <v>Asesor de Refacciones Campo</v>
      </c>
      <c r="U132" s="7" t="str">
        <f t="array" ref="U132">IF(OR($B132="",ISBLANK(XLOOKUP($B132,Números_Asignados,Correos_Gmail,"",0))),"",XLOOKUP($B132,Números_Asignados,Correos_Gmail,"",0))</f>
        <v>bryan.ramirez@agrocisa.com.mx</v>
      </c>
      <c r="V132" s="7" t="str">
        <f t="array" ref="V132">IF(OR($B132="",ISBLANK(XLOOKUP($B132,Números_Asignados,Correos_Institucionales,"",0))),"",XLOOKUP($B132,Números_Asignados,Correos_Institucionales,"",0))</f>
        <v>bryan.ramirez@agrocisa.com.mx</v>
      </c>
      <c r="W132" s="5"/>
    </row>
    <row r="133" ht="15.75" customHeight="1">
      <c r="A133" s="7">
        <v>3.781868864E9</v>
      </c>
      <c r="B133" s="7">
        <v>3.781868864E9</v>
      </c>
      <c r="C133" s="7">
        <v>4.0</v>
      </c>
      <c r="D133" s="9">
        <v>599.0</v>
      </c>
      <c r="E133" s="7">
        <v>22.5</v>
      </c>
      <c r="F133" s="9" t="s">
        <v>294</v>
      </c>
      <c r="G133" s="19">
        <v>3.57369477215154E14</v>
      </c>
      <c r="H133" s="19" t="s">
        <v>2600</v>
      </c>
      <c r="I133" s="7" t="s">
        <v>2601</v>
      </c>
      <c r="J133" s="7" t="s">
        <v>194</v>
      </c>
      <c r="K133" s="19" t="s">
        <v>196</v>
      </c>
      <c r="L133" s="7" t="s">
        <v>198</v>
      </c>
      <c r="M133" s="26">
        <v>46149.0</v>
      </c>
      <c r="N133" s="7" t="s">
        <v>201</v>
      </c>
      <c r="O133" s="7"/>
      <c r="P133" s="28">
        <f t="array" ref="P133">XLOOKUP(F133,Lista_Equipos_2026,Precio_Equipos_2026," *** OJO *** ",0)</f>
        <v>10999</v>
      </c>
      <c r="Q133" s="7" t="str">
        <f t="array" ref="Q133">IF(OR($B133="",ISBLANK(XLOOKUP($B133,Números_Asignados,Nombres_Directorio,"",0))),"",XLOOKUP($B133,Números_Asignados,Nombres_Directorio,"",0))</f>
        <v>Orlando Yael Ceja Briseño</v>
      </c>
      <c r="R133" s="7" t="str">
        <f t="array" ref="R133">IF(OR($B133="",ISBLANK(XLOOKUP($B133,Números_Asignados,Sucursal_Asignada,"",0))),"",XLOOKUP($B133,Números_Asignados,Sucursal_Asignada,"",0))</f>
        <v>Poncitlán</v>
      </c>
      <c r="S133" s="7" t="str">
        <f t="array" ref="S133">IF(OR($B133="",ISBLANK(XLOOKUP($B133,Números_Asignados,Departamento_Asignado,"",0))),"",XLOOKUP($B133,Números_Asignados,Departamento_Asignado,"",0))</f>
        <v>Refacciones</v>
      </c>
      <c r="T133" s="7" t="str">
        <f t="array" ref="T133">IF(OR($B133="",ISBLANK(XLOOKUP($B133,Números_Asignados,Puesto_Asignado,"",0))),"",XLOOKUP($B133,Números_Asignados,Puesto_Asignado,"",0))</f>
        <v>Encargado de Refacciones Sucursal</v>
      </c>
      <c r="U133" s="7" t="str">
        <f t="array" ref="U133">IF(OR($B133="",ISBLANK(XLOOKUP($B133,Números_Asignados,Correos_Gmail,"",0))),"",XLOOKUP($B133,Números_Asignados,Correos_Gmail,"",0))</f>
        <v>orlando.ceja@agrocisa.com.mx</v>
      </c>
      <c r="V133" s="7" t="str">
        <f t="array" ref="V133">IF(OR($B133="",ISBLANK(XLOOKUP($B133,Números_Asignados,Correos_Institucionales,"",0))),"",XLOOKUP($B133,Números_Asignados,Correos_Institucionales,"",0))</f>
        <v>orlando.ceja@agrocisa.com.mx</v>
      </c>
    </row>
    <row r="134" ht="15.75" customHeight="1">
      <c r="A134" s="7">
        <v>3.316091879E9</v>
      </c>
      <c r="B134" s="7">
        <v>3.316091879E9</v>
      </c>
      <c r="C134" s="7">
        <v>1.0</v>
      </c>
      <c r="D134" s="9">
        <v>269.0</v>
      </c>
      <c r="E134" s="7">
        <v>9.0</v>
      </c>
      <c r="F134" s="9" t="s">
        <v>294</v>
      </c>
      <c r="G134" s="19">
        <v>3.52010505765308E14</v>
      </c>
      <c r="H134" s="19" t="s">
        <v>2630</v>
      </c>
      <c r="I134" s="7" t="s">
        <v>2631</v>
      </c>
      <c r="J134" s="7" t="s">
        <v>194</v>
      </c>
      <c r="K134" s="19" t="s">
        <v>196</v>
      </c>
      <c r="L134" s="7" t="s">
        <v>198</v>
      </c>
      <c r="M134" s="26">
        <v>46149.0</v>
      </c>
      <c r="N134" s="7" t="s">
        <v>201</v>
      </c>
      <c r="O134" s="7"/>
      <c r="P134" s="28">
        <f t="array" ref="P134">XLOOKUP(F134,Lista_Equipos_2026,Precio_Equipos_2026," *** OJO *** ",0)</f>
        <v>10999</v>
      </c>
      <c r="Q134" s="7" t="str">
        <f t="array" ref="Q134">IF(OR($B134="",ISBLANK(XLOOKUP($B134,Números_Asignados,Nombres_Directorio,"",0))),"",XLOOKUP($B134,Números_Asignados,Nombres_Directorio,"",0))</f>
        <v>Patricia Yunuen Vázquez Villa </v>
      </c>
      <c r="R134" s="7" t="str">
        <f t="array" ref="R134">IF(OR($B134="",ISBLANK(XLOOKUP($B134,Números_Asignados,Sucursal_Asignada,"",0))),"",XLOOKUP($B134,Números_Asignados,Sucursal_Asignada,"",0))</f>
        <v>Poncitlán</v>
      </c>
      <c r="S134" s="7" t="str">
        <f t="array" ref="S134">IF(OR($B134="",ISBLANK(XLOOKUP($B134,Números_Asignados,Departamento_Asignado,"",0))),"",XLOOKUP($B134,Números_Asignados,Departamento_Asignado,"",0))</f>
        <v>Servicio</v>
      </c>
      <c r="T134" s="7" t="str">
        <f t="array" ref="T134">IF(OR($B134="",ISBLANK(XLOOKUP($B134,Números_Asignados,Puesto_Asignado,"",0))),"",XLOOKUP($B134,Números_Asignados,Puesto_Asignado,"",0))</f>
        <v>Auxiliar Administrativo</v>
      </c>
      <c r="U134" s="7" t="str">
        <f t="array" ref="U134">IF(OR($B134="",ISBLANK(XLOOKUP($B134,Números_Asignados,Correos_Gmail,"",0))),"",XLOOKUP($B134,Números_Asignados,Correos_Gmail,"",0))</f>
        <v>pvazquez.agro@gmail.com</v>
      </c>
      <c r="V134" s="7" t="str">
        <f t="array" ref="V134">IF(OR($B134="",ISBLANK(XLOOKUP($B134,Números_Asignados,Correos_Institucionales,"",0))),"",XLOOKUP($B134,Números_Asignados,Correos_Institucionales,"",0))</f>
        <v>patricia.vazquez@agrocisa.com.mx</v>
      </c>
      <c r="W134" s="5"/>
    </row>
    <row r="135" ht="15.75" customHeight="1">
      <c r="A135" s="7">
        <v>3.931001479E9</v>
      </c>
      <c r="B135" s="7">
        <v>3.931001479E9</v>
      </c>
      <c r="C135" s="7">
        <v>4.0</v>
      </c>
      <c r="D135" s="9">
        <v>599.0</v>
      </c>
      <c r="E135" s="7">
        <v>22.5</v>
      </c>
      <c r="F135" s="9" t="s">
        <v>294</v>
      </c>
      <c r="G135" s="19">
        <v>3.57369477216293E14</v>
      </c>
      <c r="H135" s="19" t="s">
        <v>2655</v>
      </c>
      <c r="I135" s="7" t="s">
        <v>2656</v>
      </c>
      <c r="J135" s="7" t="s">
        <v>194</v>
      </c>
      <c r="K135" s="19" t="s">
        <v>196</v>
      </c>
      <c r="L135" s="7" t="s">
        <v>198</v>
      </c>
      <c r="M135" s="26">
        <v>46149.0</v>
      </c>
      <c r="N135" s="7" t="s">
        <v>201</v>
      </c>
      <c r="O135" s="7"/>
      <c r="P135" s="28">
        <f t="array" ref="P135">XLOOKUP(F135,Lista_Equipos_2026,Precio_Equipos_2026," *** OJO *** ",0)</f>
        <v>10999</v>
      </c>
      <c r="Q135" s="7" t="str">
        <f t="array" ref="Q135">IF(OR($B135="",ISBLANK(XLOOKUP($B135,Números_Asignados,Nombres_Directorio,"",0))),"",XLOOKUP($B135,Números_Asignados,Nombres_Directorio,"",0))</f>
        <v>César Enrique Flores Franco</v>
      </c>
      <c r="R135" s="7" t="str">
        <f t="array" ref="R135">IF(OR($B135="",ISBLANK(XLOOKUP($B135,Números_Asignados,Sucursal_Asignada,"",0))),"",XLOOKUP($B135,Números_Asignados,Sucursal_Asignada,"",0))</f>
        <v>Poncitlán</v>
      </c>
      <c r="S135" s="7" t="str">
        <f t="array" ref="S135">IF(OR($B135="",ISBLANK(XLOOKUP($B135,Números_Asignados,Departamento_Asignado,"",0))),"",XLOOKUP($B135,Números_Asignados,Departamento_Asignado,"",0))</f>
        <v>Servicio</v>
      </c>
      <c r="T135" s="7" t="str">
        <f t="array" ref="T135">IF(OR($B135="",ISBLANK(XLOOKUP($B135,Números_Asignados,Puesto_Asignado,"",0))),"",XLOOKUP($B135,Números_Asignados,Puesto_Asignado,"",0))</f>
        <v>Jefe de Taller</v>
      </c>
      <c r="U135" s="7" t="str">
        <f t="array" ref="U135">IF(OR($B135="",ISBLANK(XLOOKUP($B135,Números_Asignados,Correos_Gmail,"",0))),"",XLOOKUP($B135,Números_Asignados,Correos_Gmail,"",0))</f>
        <v>tallerponcitlan@agrocisa.com.mx</v>
      </c>
      <c r="V135" s="7" t="str">
        <f t="array" ref="V135">IF(OR($B135="",ISBLANK(XLOOKUP($B135,Números_Asignados,Correos_Institucionales,"",0))),"",XLOOKUP($B135,Números_Asignados,Correos_Institucionales,"",0))</f>
        <v>tallerponcitlan@agrocisa.com.mx</v>
      </c>
      <c r="W135" s="5"/>
    </row>
    <row r="136" ht="15.75" customHeight="1">
      <c r="A136" s="7">
        <v>3.316132351E9</v>
      </c>
      <c r="B136" s="7">
        <v>3.316132351E9</v>
      </c>
      <c r="C136" s="7">
        <v>4.0</v>
      </c>
      <c r="D136" s="9">
        <v>599.0</v>
      </c>
      <c r="E136" s="7">
        <v>22.5</v>
      </c>
      <c r="F136" s="9" t="s">
        <v>413</v>
      </c>
      <c r="G136" s="19">
        <v>3.52242801089477E14</v>
      </c>
      <c r="H136" s="19" t="s">
        <v>2692</v>
      </c>
      <c r="I136" s="7" t="s">
        <v>2694</v>
      </c>
      <c r="J136" s="7" t="s">
        <v>194</v>
      </c>
      <c r="K136" s="19" t="s">
        <v>196</v>
      </c>
      <c r="L136" s="7" t="s">
        <v>198</v>
      </c>
      <c r="M136" s="26">
        <v>46142.0</v>
      </c>
      <c r="N136" s="7" t="s">
        <v>201</v>
      </c>
      <c r="O136" s="7"/>
      <c r="P136" s="28">
        <f t="array" ref="P136">XLOOKUP(F136,Lista_Equipos_2026,Precio_Equipos_2026," *** OJO *** ",0)</f>
        <v>15499</v>
      </c>
      <c r="Q136" s="7" t="str">
        <f t="array" ref="Q136">IF(OR($B136="",ISBLANK(XLOOKUP($B136,Números_Asignados,Nombres_Directorio,"",0))),"",XLOOKUP($B136,Números_Asignados,Nombres_Directorio,"",0))</f>
        <v>Martín Salcedo Vargas</v>
      </c>
      <c r="R136" s="7" t="str">
        <f t="array" ref="R136">IF(OR($B136="",ISBLANK(XLOOKUP($B136,Números_Asignados,Sucursal_Asignada,"",0))),"",XLOOKUP($B136,Números_Asignados,Sucursal_Asignada,"",0))</f>
        <v>Zona Altos</v>
      </c>
      <c r="S136" s="7" t="str">
        <f t="array" ref="S136">IF(OR($B136="",ISBLANK(XLOOKUP($B136,Números_Asignados,Departamento_Asignado,"",0))),"",XLOOKUP($B136,Números_Asignados,Departamento_Asignado,"",0))</f>
        <v>Maquinaria Agrícola y Construcción</v>
      </c>
      <c r="T136" s="7" t="str">
        <f t="array" ref="T136">IF(OR($B136="",ISBLANK(XLOOKUP($B136,Números_Asignados,Puesto_Asignado,"",0))),"",XLOOKUP($B136,Números_Asignados,Puesto_Asignado,"",0))</f>
        <v>Gerente de Sucursal</v>
      </c>
      <c r="U136" s="7" t="str">
        <f t="array" ref="U136">IF(OR($B136="",ISBLANK(XLOOKUP($B136,Números_Asignados,Correos_Gmail,"",0))),"",XLOOKUP($B136,Números_Asignados,Correos_Gmail,"",0))</f>
        <v>martin.salcedo@agrocisa.com.mx</v>
      </c>
      <c r="V136" s="7" t="str">
        <f t="array" ref="V136">IF(OR($B136="",ISBLANK(XLOOKUP($B136,Números_Asignados,Correos_Institucionales,"",0))),"",XLOOKUP($B136,Números_Asignados,Correos_Institucionales,"",0))</f>
        <v>martin.salcedo@agrocisa.com.mx</v>
      </c>
      <c r="W136" s="5"/>
    </row>
    <row r="137" ht="15.75" customHeight="1">
      <c r="A137" s="7">
        <v>3.78186886E9</v>
      </c>
      <c r="B137" s="7">
        <v>3.78186886E9</v>
      </c>
      <c r="C137" s="7">
        <v>4.0</v>
      </c>
      <c r="D137" s="9">
        <v>599.0</v>
      </c>
      <c r="E137" s="7">
        <v>22.5</v>
      </c>
      <c r="F137" s="9" t="s">
        <v>294</v>
      </c>
      <c r="G137" s="19">
        <v>3.57369477215014E14</v>
      </c>
      <c r="H137" s="19" t="s">
        <v>2720</v>
      </c>
      <c r="I137" s="7" t="s">
        <v>2723</v>
      </c>
      <c r="J137" s="19" t="s">
        <v>194</v>
      </c>
      <c r="K137" s="19" t="s">
        <v>196</v>
      </c>
      <c r="L137" s="7" t="s">
        <v>198</v>
      </c>
      <c r="M137" s="26">
        <v>46174.0</v>
      </c>
      <c r="N137" s="7" t="s">
        <v>201</v>
      </c>
      <c r="O137" s="7"/>
      <c r="P137" s="28">
        <f t="array" ref="P137">XLOOKUP(F137,Lista_Equipos_2026,Precio_Equipos_2026," *** OJO *** ",0)</f>
        <v>10999</v>
      </c>
      <c r="Q137" s="7" t="str">
        <f t="array" ref="Q137">IF(OR($B137="",ISBLANK(XLOOKUP($B137,Números_Asignados,Nombres_Directorio,"",0))),"",XLOOKUP($B137,Números_Asignados,Nombres_Directorio,"",0))</f>
        <v>María Guadalupe Díaz Hernández</v>
      </c>
      <c r="R137" s="7" t="str">
        <f t="array" ref="R137">IF(OR($B137="",ISBLANK(XLOOKUP($B137,Números_Asignados,Sucursal_Asignada,"",0))),"",XLOOKUP($B137,Números_Asignados,Sucursal_Asignada,"",0))</f>
        <v>Zona Altos</v>
      </c>
      <c r="S137" s="7" t="str">
        <f t="array" ref="S137">IF(OR($B137="",ISBLANK(XLOOKUP($B137,Números_Asignados,Departamento_Asignado,"",0))),"",XLOOKUP($B137,Números_Asignados,Departamento_Asignado,"",0))</f>
        <v>Maquinaria Agrícola y Construcción</v>
      </c>
      <c r="T137" s="7" t="str">
        <f t="array" ref="T137">IF(OR($B137="",ISBLANK(XLOOKUP($B137,Números_Asignados,Puesto_Asignado,"",0))),"",XLOOKUP($B137,Números_Asignados,Puesto_Asignado,"",0))</f>
        <v>Asesor de Ventas</v>
      </c>
      <c r="U137" s="7" t="str">
        <f t="array" ref="U137">IF(OR($B137="",ISBLANK(XLOOKUP($B137,Números_Asignados,Correos_Gmail,"",0))),"",XLOOKUP($B137,Números_Asignados,Correos_Gmail,"",0))</f>
        <v>ventaszonatepa@agrocisa.com.mx</v>
      </c>
      <c r="V137" s="7" t="str">
        <f t="array" ref="V137">IF(OR($B137="",ISBLANK(XLOOKUP($B137,Números_Asignados,Correos_Institucionales,"",0))),"",XLOOKUP($B137,Números_Asignados,Correos_Institucionales,"",0))</f>
        <v>maria.diaz@agrocisa.com.mx</v>
      </c>
    </row>
    <row r="138" ht="15.75" customHeight="1">
      <c r="A138" s="7">
        <v>3.952680842E9</v>
      </c>
      <c r="B138" s="7">
        <v>3.952680842E9</v>
      </c>
      <c r="C138" s="7">
        <v>4.0</v>
      </c>
      <c r="D138" s="9">
        <v>599.0</v>
      </c>
      <c r="E138" s="7">
        <v>22.5</v>
      </c>
      <c r="F138" s="9" t="s">
        <v>294</v>
      </c>
      <c r="G138" s="19">
        <v>3.57369477228686E14</v>
      </c>
      <c r="H138" s="7" t="s">
        <v>2754</v>
      </c>
      <c r="I138" s="7" t="s">
        <v>2755</v>
      </c>
      <c r="J138" s="7" t="s">
        <v>194</v>
      </c>
      <c r="K138" s="7" t="s">
        <v>196</v>
      </c>
      <c r="L138" s="7" t="s">
        <v>198</v>
      </c>
      <c r="M138" s="26">
        <v>46160.0</v>
      </c>
      <c r="N138" s="7" t="s">
        <v>201</v>
      </c>
      <c r="O138" s="7"/>
      <c r="P138" s="28">
        <f t="array" ref="P138">XLOOKUP(F138,Lista_Equipos_2026,Precio_Equipos_2026," *** OJO *** ",0)</f>
        <v>10999</v>
      </c>
      <c r="Q138" s="7" t="str">
        <f t="array" ref="Q138">IF(OR($B138="",ISBLANK(XLOOKUP($B138,Números_Asignados,Nombres_Directorio,"",0))),"",XLOOKUP($B138,Números_Asignados,Nombres_Directorio,"",0))</f>
        <v>Vacante</v>
      </c>
      <c r="R138" s="7" t="str">
        <f t="array" ref="R138">IF(OR($B138="",ISBLANK(XLOOKUP($B138,Números_Asignados,Sucursal_Asignada,"",0))),"",XLOOKUP($B138,Números_Asignados,Sucursal_Asignada,"",0))</f>
        <v>Zona Altos</v>
      </c>
      <c r="S138" s="7" t="str">
        <f t="array" ref="S138">IF(OR($B138="",ISBLANK(XLOOKUP($B138,Números_Asignados,Departamento_Asignado,"",0))),"",XLOOKUP($B138,Números_Asignados,Departamento_Asignado,"",0))</f>
        <v>Maquinaria Agrícola y Construcción</v>
      </c>
      <c r="T138" s="7" t="str">
        <f t="array" ref="T138">IF(OR($B138="",ISBLANK(XLOOKUP($B138,Números_Asignados,Puesto_Asignado,"",0))),"",XLOOKUP($B138,Números_Asignados,Puesto_Asignado,"",0))</f>
        <v>Asesor de Ventas</v>
      </c>
      <c r="U138" s="7" t="str">
        <f t="array" ref="U138">IF(OR($B138="",ISBLANK(XLOOKUP($B138,Números_Asignados,Correos_Gmail,"",0))),"",XLOOKUP($B138,Números_Asignados,Correos_Gmail,"",0))</f>
        <v>pablo.maldonado@agrocisa.com.mx</v>
      </c>
      <c r="V138" s="7" t="str">
        <f t="array" ref="V138">IF(OR($B138="",ISBLANK(XLOOKUP($B138,Números_Asignados,Correos_Institucionales,"",0))),"",XLOOKUP($B138,Números_Asignados,Correos_Institucionales,"",0))</f>
        <v>pablo.maldonado@agrocisa.com.mx</v>
      </c>
    </row>
    <row r="139" ht="15.75" customHeight="1">
      <c r="A139" s="7"/>
      <c r="B139" s="7">
        <v>4.432725034E9</v>
      </c>
      <c r="C139" s="7">
        <v>1.0</v>
      </c>
      <c r="D139" s="9">
        <v>269.0</v>
      </c>
      <c r="E139" s="7">
        <v>9.0</v>
      </c>
      <c r="F139" s="9" t="s">
        <v>2777</v>
      </c>
      <c r="G139" s="19">
        <v>8.63736063191378E14</v>
      </c>
      <c r="H139" s="7" t="s">
        <v>2779</v>
      </c>
      <c r="I139" s="7" t="s">
        <v>2781</v>
      </c>
      <c r="J139" s="7"/>
      <c r="K139" s="7"/>
      <c r="L139" s="7"/>
      <c r="M139" s="26">
        <v>46189.0</v>
      </c>
      <c r="N139" s="7"/>
      <c r="O139" s="7"/>
      <c r="P139" s="28">
        <v>800.0</v>
      </c>
      <c r="Q139" s="7" t="str">
        <f t="array" ref="Q139">IF(OR($B139="",ISBLANK(XLOOKUP($B139,Números_Asignados,Nombres_Directorio,"",0))),"",XLOOKUP($B139,Números_Asignados,Nombres_Directorio,"",0))</f>
        <v>Joel Velázquez Jaime</v>
      </c>
      <c r="R139" s="7" t="str">
        <f t="array" ref="R139">IF(OR($B139="",ISBLANK(XLOOKUP($B139,Números_Asignados,Sucursal_Asignada,"",0))),"",XLOOKUP($B139,Números_Asignados,Sucursal_Asignada,"",0))</f>
        <v>Morelia</v>
      </c>
      <c r="S139" s="7" t="str">
        <f t="array" ref="S139">IF(OR($B139="",ISBLANK(XLOOKUP($B139,Números_Asignados,Departamento_Asignado,"",0))),"",XLOOKUP($B139,Números_Asignados,Departamento_Asignado,"",0))</f>
        <v>Maquinaria Agrícola</v>
      </c>
      <c r="T139" s="7" t="str">
        <f t="array" ref="T139">IF(OR($B139="",ISBLANK(XLOOKUP($B139,Números_Asignados,Puesto_Asignado,"",0))),"",XLOOKUP($B139,Números_Asignados,Puesto_Asignado,"",0))</f>
        <v>Asesor de Ventas</v>
      </c>
      <c r="U139" s="7" t="str">
        <f t="array" ref="U139">IF(OR($B139="",ISBLANK(XLOOKUP($B139,Números_Asignados,Correos_Gmail,"",0))),"",XLOOKUP($B139,Números_Asignados,Correos_Gmail,"",0))</f>
        <v>joel.velazquez@agrocisa.com.mx</v>
      </c>
      <c r="V139" s="7" t="str">
        <f t="array" ref="V139">IF(OR($B139="",ISBLANK(XLOOKUP($B139,Números_Asignados,Correos_Institucionales,"",0))),"",XLOOKUP($B139,Números_Asignados,Correos_Institucionales,"",0))</f>
        <v>joel.velazquez@agrocisa.com.mx</v>
      </c>
    </row>
    <row r="140" ht="15.7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57"/>
      <c r="N140" s="57"/>
      <c r="O140" s="57"/>
      <c r="P140" s="62"/>
      <c r="Q140" s="62"/>
      <c r="R140" s="62"/>
      <c r="S140" s="62"/>
      <c r="T140" s="62"/>
      <c r="U140" s="62"/>
      <c r="V140" s="62"/>
    </row>
    <row r="141" ht="15.7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57"/>
      <c r="N141" s="57"/>
      <c r="O141" s="57"/>
      <c r="P141" s="62"/>
      <c r="Q141" s="62"/>
      <c r="R141" s="62"/>
      <c r="S141" s="62"/>
      <c r="T141" s="62"/>
      <c r="U141" s="62"/>
      <c r="V141" s="62"/>
    </row>
    <row r="142" ht="15.7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57"/>
      <c r="N142" s="57"/>
      <c r="O142" s="57"/>
      <c r="P142" s="62"/>
      <c r="Q142" s="62"/>
      <c r="R142" s="62"/>
      <c r="S142" s="62"/>
      <c r="T142" s="62"/>
      <c r="U142" s="62"/>
      <c r="V142" s="62"/>
    </row>
    <row r="143" ht="15.7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57"/>
      <c r="N143" s="57"/>
      <c r="O143" s="57"/>
      <c r="P143" s="62"/>
      <c r="Q143" s="62"/>
      <c r="R143" s="62"/>
      <c r="S143" s="62"/>
      <c r="T143" s="62"/>
      <c r="U143" s="62"/>
      <c r="V143" s="62"/>
    </row>
    <row r="144" ht="15.7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57"/>
      <c r="N144" s="57"/>
      <c r="O144" s="57"/>
      <c r="P144" s="62"/>
      <c r="Q144" s="62"/>
      <c r="R144" s="62"/>
      <c r="S144" s="62"/>
      <c r="T144" s="62"/>
      <c r="U144" s="62"/>
      <c r="V144" s="62"/>
    </row>
    <row r="145" ht="15.7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57"/>
      <c r="N145" s="57"/>
      <c r="O145" s="57"/>
      <c r="P145" s="62"/>
      <c r="Q145" s="62"/>
      <c r="R145" s="62"/>
      <c r="S145" s="62"/>
      <c r="T145" s="62"/>
      <c r="U145" s="62"/>
      <c r="V145" s="62"/>
    </row>
    <row r="146" ht="15.7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57"/>
      <c r="N146" s="57"/>
      <c r="O146" s="57"/>
      <c r="P146" s="62"/>
      <c r="Q146" s="62"/>
      <c r="R146" s="62"/>
      <c r="S146" s="62"/>
      <c r="T146" s="62"/>
      <c r="U146" s="62"/>
      <c r="V146" s="62"/>
    </row>
    <row r="147" ht="15.7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57"/>
      <c r="N147" s="57"/>
      <c r="O147" s="57"/>
      <c r="P147" s="62"/>
      <c r="Q147" s="62"/>
      <c r="R147" s="62"/>
      <c r="S147" s="62"/>
      <c r="T147" s="62"/>
      <c r="U147" s="62"/>
      <c r="V147" s="62"/>
    </row>
    <row r="148" ht="15.7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57"/>
      <c r="N148" s="57"/>
      <c r="O148" s="57"/>
      <c r="P148" s="62"/>
      <c r="Q148" s="62"/>
      <c r="R148" s="62"/>
      <c r="S148" s="62"/>
      <c r="T148" s="62"/>
      <c r="U148" s="62"/>
      <c r="V148" s="62"/>
    </row>
    <row r="149" ht="15.7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57"/>
      <c r="N149" s="57"/>
      <c r="O149" s="57"/>
      <c r="P149" s="62"/>
      <c r="Q149" s="62"/>
      <c r="R149" s="62"/>
      <c r="S149" s="62"/>
      <c r="T149" s="62"/>
      <c r="U149" s="62"/>
      <c r="V149" s="62"/>
    </row>
    <row r="150" ht="15.7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57"/>
      <c r="N150" s="57"/>
      <c r="O150" s="57"/>
      <c r="P150" s="62"/>
      <c r="Q150" s="62"/>
      <c r="R150" s="62"/>
      <c r="S150" s="62"/>
      <c r="T150" s="62"/>
      <c r="U150" s="62"/>
      <c r="V150" s="62"/>
    </row>
    <row r="151" ht="15.7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57"/>
      <c r="N151" s="57"/>
      <c r="O151" s="57"/>
      <c r="P151" s="62"/>
      <c r="Q151" s="62"/>
      <c r="R151" s="62"/>
      <c r="S151" s="62"/>
      <c r="T151" s="62"/>
      <c r="U151" s="62"/>
      <c r="V151" s="62"/>
    </row>
    <row r="152" ht="15.7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57"/>
      <c r="N152" s="57"/>
      <c r="O152" s="57"/>
      <c r="P152" s="62"/>
      <c r="Q152" s="62"/>
      <c r="R152" s="62"/>
      <c r="S152" s="62"/>
      <c r="T152" s="62"/>
      <c r="U152" s="62"/>
      <c r="V152" s="62"/>
    </row>
    <row r="153" ht="15.7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57"/>
      <c r="N153" s="57"/>
      <c r="O153" s="57"/>
      <c r="P153" s="62"/>
      <c r="Q153" s="62"/>
      <c r="R153" s="62"/>
      <c r="S153" s="62"/>
      <c r="T153" s="62"/>
      <c r="U153" s="62"/>
      <c r="V153" s="62"/>
    </row>
    <row r="154" ht="15.7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57"/>
      <c r="N154" s="57"/>
      <c r="O154" s="57"/>
      <c r="P154" s="62"/>
      <c r="Q154" s="62"/>
      <c r="R154" s="62"/>
      <c r="S154" s="62"/>
      <c r="T154" s="62"/>
      <c r="U154" s="62"/>
      <c r="V154" s="62"/>
    </row>
    <row r="155" ht="15.7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57"/>
      <c r="N155" s="57"/>
      <c r="O155" s="57"/>
      <c r="P155" s="62"/>
      <c r="Q155" s="62"/>
      <c r="R155" s="62"/>
      <c r="S155" s="62"/>
      <c r="T155" s="62"/>
      <c r="U155" s="62"/>
      <c r="V155" s="62"/>
    </row>
    <row r="156" ht="15.7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57"/>
      <c r="N156" s="57"/>
      <c r="O156" s="57"/>
      <c r="P156" s="62"/>
      <c r="Q156" s="62"/>
      <c r="R156" s="62"/>
      <c r="S156" s="62"/>
      <c r="T156" s="62"/>
      <c r="U156" s="62"/>
      <c r="V156" s="62"/>
    </row>
    <row r="157" ht="15.7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57"/>
      <c r="N157" s="57"/>
      <c r="O157" s="57"/>
      <c r="P157" s="62"/>
      <c r="Q157" s="62"/>
      <c r="R157" s="62"/>
      <c r="S157" s="62"/>
      <c r="T157" s="62"/>
      <c r="U157" s="62"/>
      <c r="V157" s="62"/>
    </row>
    <row r="158" ht="15.7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57"/>
      <c r="N158" s="57"/>
      <c r="O158" s="57"/>
      <c r="P158" s="62"/>
      <c r="Q158" s="62"/>
      <c r="R158" s="62"/>
      <c r="S158" s="62"/>
      <c r="T158" s="62"/>
      <c r="U158" s="62"/>
      <c r="V158" s="62"/>
    </row>
    <row r="159" ht="15.7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57"/>
      <c r="N159" s="57"/>
      <c r="O159" s="57"/>
      <c r="P159" s="62"/>
      <c r="Q159" s="62"/>
      <c r="R159" s="62"/>
      <c r="S159" s="62"/>
      <c r="T159" s="62"/>
      <c r="U159" s="62"/>
      <c r="V159" s="62"/>
    </row>
    <row r="160" ht="15.7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57"/>
      <c r="N160" s="57"/>
      <c r="O160" s="57"/>
      <c r="P160" s="62"/>
      <c r="Q160" s="62"/>
      <c r="R160" s="62"/>
      <c r="S160" s="62"/>
      <c r="T160" s="62"/>
      <c r="U160" s="62"/>
      <c r="V160" s="62"/>
    </row>
    <row r="161" ht="15.7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57"/>
      <c r="N161" s="57"/>
      <c r="O161" s="57"/>
      <c r="P161" s="62"/>
      <c r="Q161" s="62"/>
      <c r="R161" s="62"/>
      <c r="S161" s="62"/>
      <c r="T161" s="62"/>
      <c r="U161" s="62"/>
      <c r="V161" s="62"/>
    </row>
    <row r="162" ht="15.7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57"/>
      <c r="N162" s="57"/>
      <c r="O162" s="57"/>
      <c r="P162" s="62"/>
      <c r="Q162" s="62"/>
      <c r="R162" s="62"/>
      <c r="S162" s="62"/>
      <c r="T162" s="62"/>
      <c r="U162" s="62"/>
      <c r="V162" s="62"/>
    </row>
    <row r="163" ht="15.7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57"/>
      <c r="N163" s="57"/>
      <c r="O163" s="57"/>
      <c r="P163" s="62"/>
      <c r="Q163" s="62"/>
      <c r="R163" s="62"/>
      <c r="S163" s="62"/>
      <c r="T163" s="62"/>
      <c r="U163" s="62"/>
      <c r="V163" s="62"/>
    </row>
    <row r="164" ht="15.7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57"/>
      <c r="N164" s="57"/>
      <c r="O164" s="57"/>
      <c r="P164" s="62"/>
      <c r="Q164" s="62"/>
      <c r="R164" s="62"/>
      <c r="S164" s="62"/>
      <c r="T164" s="62"/>
      <c r="U164" s="62"/>
      <c r="V164" s="62"/>
    </row>
    <row r="165" ht="15.7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57"/>
      <c r="N165" s="57"/>
      <c r="O165" s="57"/>
      <c r="P165" s="62"/>
      <c r="Q165" s="62"/>
      <c r="R165" s="62"/>
      <c r="S165" s="62"/>
      <c r="T165" s="62"/>
      <c r="U165" s="62"/>
      <c r="V165" s="62"/>
    </row>
    <row r="166" ht="15.7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57"/>
      <c r="N166" s="57"/>
      <c r="O166" s="57"/>
      <c r="P166" s="62"/>
      <c r="Q166" s="62"/>
      <c r="R166" s="62"/>
      <c r="S166" s="62"/>
      <c r="T166" s="62"/>
      <c r="U166" s="62"/>
      <c r="V166" s="62"/>
    </row>
    <row r="167" ht="15.7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57"/>
      <c r="N167" s="57"/>
      <c r="O167" s="57"/>
      <c r="P167" s="62"/>
      <c r="Q167" s="62"/>
      <c r="R167" s="62"/>
      <c r="S167" s="62"/>
      <c r="T167" s="62"/>
      <c r="U167" s="62"/>
      <c r="V167" s="62"/>
    </row>
    <row r="168" ht="15.7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57"/>
      <c r="N168" s="57"/>
      <c r="O168" s="57"/>
      <c r="P168" s="62"/>
      <c r="Q168" s="62"/>
      <c r="R168" s="62"/>
      <c r="S168" s="62"/>
      <c r="T168" s="62"/>
      <c r="U168" s="62"/>
      <c r="V168" s="62"/>
    </row>
    <row r="169" ht="15.7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57"/>
      <c r="N169" s="57"/>
      <c r="O169" s="57"/>
      <c r="P169" s="62"/>
      <c r="Q169" s="62"/>
      <c r="R169" s="62"/>
      <c r="S169" s="62"/>
      <c r="T169" s="62"/>
      <c r="U169" s="62"/>
      <c r="V169" s="62"/>
    </row>
    <row r="170" ht="15.7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57"/>
      <c r="N170" s="57"/>
      <c r="O170" s="57"/>
      <c r="P170" s="62"/>
      <c r="Q170" s="62"/>
      <c r="R170" s="62"/>
      <c r="S170" s="62"/>
      <c r="T170" s="62"/>
      <c r="U170" s="62"/>
      <c r="V170" s="62"/>
    </row>
    <row r="171" ht="15.7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57"/>
      <c r="N171" s="57"/>
      <c r="O171" s="57"/>
      <c r="P171" s="62"/>
      <c r="Q171" s="62"/>
      <c r="R171" s="62"/>
      <c r="S171" s="62"/>
      <c r="T171" s="62"/>
      <c r="U171" s="62"/>
      <c r="V171" s="62"/>
    </row>
    <row r="172" ht="15.7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57"/>
      <c r="N172" s="57"/>
      <c r="O172" s="57"/>
      <c r="P172" s="62"/>
      <c r="Q172" s="62"/>
      <c r="R172" s="62"/>
      <c r="S172" s="62"/>
      <c r="T172" s="62"/>
      <c r="U172" s="62"/>
      <c r="V172" s="62"/>
    </row>
    <row r="173" ht="15.7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57"/>
      <c r="N173" s="57"/>
      <c r="O173" s="57"/>
      <c r="P173" s="62"/>
      <c r="Q173" s="62"/>
      <c r="R173" s="62"/>
      <c r="S173" s="62"/>
      <c r="T173" s="62"/>
      <c r="U173" s="62"/>
      <c r="V173" s="62"/>
    </row>
    <row r="174" ht="15.7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57"/>
      <c r="N174" s="57"/>
      <c r="O174" s="57"/>
      <c r="P174" s="62"/>
      <c r="Q174" s="62"/>
      <c r="R174" s="62"/>
      <c r="S174" s="62"/>
      <c r="T174" s="62"/>
      <c r="U174" s="62"/>
      <c r="V174" s="62"/>
    </row>
    <row r="175" ht="15.7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57"/>
      <c r="N175" s="57"/>
      <c r="O175" s="57"/>
      <c r="P175" s="62"/>
      <c r="Q175" s="62"/>
      <c r="R175" s="62"/>
      <c r="S175" s="62"/>
      <c r="T175" s="62"/>
      <c r="U175" s="62"/>
      <c r="V175" s="62"/>
    </row>
    <row r="176" ht="15.7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57"/>
      <c r="N176" s="57"/>
      <c r="O176" s="57"/>
      <c r="P176" s="62"/>
      <c r="Q176" s="62"/>
      <c r="R176" s="62"/>
      <c r="S176" s="62"/>
      <c r="T176" s="62"/>
      <c r="U176" s="62"/>
      <c r="V176" s="62"/>
    </row>
    <row r="177" ht="15.7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57"/>
      <c r="N177" s="57"/>
      <c r="O177" s="57"/>
      <c r="P177" s="62"/>
      <c r="Q177" s="62"/>
      <c r="R177" s="62"/>
      <c r="S177" s="62"/>
      <c r="T177" s="62"/>
      <c r="U177" s="62"/>
      <c r="V177" s="62"/>
    </row>
    <row r="178" ht="15.7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57"/>
      <c r="N178" s="57"/>
      <c r="O178" s="57"/>
      <c r="P178" s="62"/>
      <c r="Q178" s="62"/>
      <c r="R178" s="62"/>
      <c r="S178" s="62"/>
      <c r="T178" s="62"/>
      <c r="U178" s="62"/>
      <c r="V178" s="62"/>
    </row>
    <row r="179" ht="15.7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57"/>
      <c r="N179" s="57"/>
      <c r="O179" s="57"/>
      <c r="P179" s="62"/>
      <c r="Q179" s="62"/>
      <c r="R179" s="62"/>
      <c r="S179" s="62"/>
      <c r="T179" s="62"/>
      <c r="U179" s="62"/>
      <c r="V179" s="62"/>
    </row>
    <row r="180" ht="15.7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57"/>
      <c r="N180" s="57"/>
      <c r="O180" s="57"/>
      <c r="P180" s="62"/>
      <c r="Q180" s="62"/>
      <c r="R180" s="62"/>
      <c r="S180" s="62"/>
      <c r="T180" s="62"/>
      <c r="U180" s="62"/>
      <c r="V180" s="62"/>
    </row>
    <row r="181" ht="15.7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57"/>
      <c r="N181" s="57"/>
      <c r="O181" s="57"/>
      <c r="P181" s="62"/>
      <c r="Q181" s="62"/>
      <c r="R181" s="62"/>
      <c r="S181" s="62"/>
      <c r="T181" s="62"/>
      <c r="U181" s="62"/>
      <c r="V181" s="62"/>
    </row>
    <row r="182" ht="15.7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57"/>
      <c r="N182" s="57"/>
      <c r="O182" s="57"/>
      <c r="P182" s="62"/>
      <c r="Q182" s="62"/>
      <c r="R182" s="62"/>
      <c r="S182" s="62"/>
      <c r="T182" s="62"/>
      <c r="U182" s="62"/>
      <c r="V182" s="62"/>
    </row>
    <row r="183" ht="15.7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57"/>
      <c r="N183" s="57"/>
      <c r="O183" s="57"/>
      <c r="P183" s="62"/>
      <c r="Q183" s="62"/>
      <c r="R183" s="62"/>
      <c r="S183" s="62"/>
      <c r="T183" s="62"/>
      <c r="U183" s="62"/>
      <c r="V183" s="62"/>
    </row>
    <row r="184" ht="15.7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57"/>
      <c r="N184" s="57"/>
      <c r="O184" s="57"/>
      <c r="P184" s="62"/>
      <c r="Q184" s="62"/>
      <c r="R184" s="62"/>
      <c r="S184" s="62"/>
      <c r="T184" s="62"/>
      <c r="U184" s="62"/>
      <c r="V184" s="62"/>
    </row>
    <row r="185" ht="15.7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57"/>
      <c r="N185" s="57"/>
      <c r="O185" s="57"/>
      <c r="P185" s="62"/>
      <c r="Q185" s="62"/>
      <c r="R185" s="62"/>
      <c r="S185" s="62"/>
      <c r="T185" s="62"/>
      <c r="U185" s="62"/>
      <c r="V185" s="62"/>
    </row>
    <row r="186" ht="15.7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57"/>
      <c r="N186" s="57"/>
      <c r="O186" s="57"/>
      <c r="P186" s="62"/>
      <c r="Q186" s="62"/>
      <c r="R186" s="62"/>
      <c r="S186" s="62"/>
      <c r="T186" s="62"/>
      <c r="U186" s="62"/>
      <c r="V186" s="62"/>
    </row>
    <row r="187" ht="15.7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57"/>
      <c r="N187" s="57"/>
      <c r="O187" s="57"/>
      <c r="P187" s="62"/>
      <c r="Q187" s="62"/>
      <c r="R187" s="62"/>
      <c r="S187" s="62"/>
      <c r="T187" s="62"/>
      <c r="U187" s="62"/>
      <c r="V187" s="62"/>
    </row>
    <row r="188" ht="15.7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57"/>
      <c r="N188" s="57"/>
      <c r="O188" s="57"/>
      <c r="P188" s="62"/>
      <c r="Q188" s="62"/>
      <c r="R188" s="62"/>
      <c r="S188" s="62"/>
      <c r="T188" s="62"/>
      <c r="U188" s="62"/>
      <c r="V188" s="62"/>
    </row>
    <row r="189" ht="15.7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57"/>
      <c r="N189" s="57"/>
      <c r="O189" s="57"/>
      <c r="P189" s="62"/>
      <c r="Q189" s="62"/>
      <c r="R189" s="62"/>
      <c r="S189" s="62"/>
      <c r="T189" s="62"/>
      <c r="U189" s="62"/>
      <c r="V189" s="62"/>
    </row>
    <row r="190" ht="15.7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57"/>
      <c r="N190" s="57"/>
      <c r="O190" s="57"/>
      <c r="P190" s="62"/>
      <c r="Q190" s="62"/>
      <c r="R190" s="62"/>
      <c r="S190" s="62"/>
      <c r="T190" s="62"/>
      <c r="U190" s="62"/>
      <c r="V190" s="62"/>
    </row>
    <row r="191" ht="15.7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57"/>
      <c r="N191" s="57"/>
      <c r="O191" s="57"/>
      <c r="P191" s="62"/>
      <c r="Q191" s="62"/>
      <c r="R191" s="62"/>
      <c r="S191" s="62"/>
      <c r="T191" s="62"/>
      <c r="U191" s="62"/>
      <c r="V191" s="62"/>
    </row>
    <row r="192" ht="15.7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57"/>
      <c r="N192" s="57"/>
      <c r="O192" s="57"/>
      <c r="P192" s="62"/>
      <c r="Q192" s="62"/>
      <c r="R192" s="62"/>
      <c r="S192" s="62"/>
      <c r="T192" s="62"/>
      <c r="U192" s="62"/>
      <c r="V192" s="62"/>
    </row>
    <row r="193" ht="15.7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57"/>
      <c r="N193" s="57"/>
      <c r="O193" s="57"/>
      <c r="P193" s="62"/>
      <c r="Q193" s="62"/>
      <c r="R193" s="62"/>
      <c r="S193" s="62"/>
      <c r="T193" s="62"/>
      <c r="U193" s="62"/>
      <c r="V193" s="62"/>
    </row>
    <row r="194" ht="15.7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57"/>
      <c r="N194" s="57"/>
      <c r="O194" s="57"/>
      <c r="P194" s="62"/>
      <c r="Q194" s="62"/>
      <c r="R194" s="62"/>
      <c r="S194" s="62"/>
      <c r="T194" s="62"/>
      <c r="U194" s="62"/>
      <c r="V194" s="62"/>
    </row>
    <row r="195" ht="15.7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57"/>
      <c r="N195" s="57"/>
      <c r="O195" s="57"/>
      <c r="P195" s="62"/>
      <c r="Q195" s="62"/>
      <c r="R195" s="62"/>
      <c r="S195" s="62"/>
      <c r="T195" s="62"/>
      <c r="U195" s="62"/>
      <c r="V195" s="62"/>
    </row>
    <row r="196" ht="15.7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57"/>
      <c r="N196" s="57"/>
      <c r="O196" s="57"/>
      <c r="P196" s="62"/>
      <c r="Q196" s="62"/>
      <c r="R196" s="62"/>
      <c r="S196" s="62"/>
      <c r="T196" s="62"/>
      <c r="U196" s="62"/>
      <c r="V196" s="62"/>
    </row>
    <row r="197" ht="15.7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57"/>
      <c r="N197" s="57"/>
      <c r="O197" s="57"/>
      <c r="P197" s="62"/>
      <c r="Q197" s="62"/>
      <c r="R197" s="62"/>
      <c r="S197" s="62"/>
      <c r="T197" s="62"/>
      <c r="U197" s="62"/>
      <c r="V197" s="62"/>
    </row>
    <row r="198" ht="15.7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57"/>
      <c r="N198" s="57"/>
      <c r="O198" s="57"/>
      <c r="P198" s="62"/>
      <c r="Q198" s="62"/>
      <c r="R198" s="62"/>
      <c r="S198" s="62"/>
      <c r="T198" s="62"/>
      <c r="U198" s="62"/>
      <c r="V198" s="62"/>
    </row>
    <row r="199" ht="15.7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57"/>
      <c r="N199" s="57"/>
      <c r="O199" s="57"/>
      <c r="P199" s="62"/>
      <c r="Q199" s="62"/>
      <c r="R199" s="62"/>
      <c r="S199" s="62"/>
      <c r="T199" s="62"/>
      <c r="U199" s="62"/>
      <c r="V199" s="62"/>
    </row>
    <row r="200" ht="15.7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57"/>
      <c r="N200" s="57"/>
      <c r="O200" s="57"/>
      <c r="P200" s="62"/>
      <c r="Q200" s="62"/>
      <c r="R200" s="62"/>
      <c r="S200" s="62"/>
      <c r="T200" s="62"/>
      <c r="U200" s="62"/>
      <c r="V200" s="62"/>
    </row>
    <row r="201" ht="15.7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57"/>
      <c r="N201" s="57"/>
      <c r="O201" s="57"/>
      <c r="P201" s="62"/>
      <c r="Q201" s="62"/>
      <c r="R201" s="62"/>
      <c r="S201" s="62"/>
      <c r="T201" s="62"/>
      <c r="U201" s="62"/>
      <c r="V201" s="62"/>
    </row>
    <row r="202" ht="15.7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57"/>
      <c r="N202" s="57"/>
      <c r="O202" s="57"/>
      <c r="P202" s="62"/>
      <c r="Q202" s="62"/>
      <c r="R202" s="62"/>
      <c r="S202" s="62"/>
      <c r="T202" s="62"/>
      <c r="U202" s="62"/>
      <c r="V202" s="62"/>
    </row>
    <row r="203" ht="15.7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57"/>
      <c r="N203" s="57"/>
      <c r="O203" s="57"/>
      <c r="P203" s="62"/>
      <c r="Q203" s="62"/>
      <c r="R203" s="62"/>
      <c r="S203" s="62"/>
      <c r="T203" s="62"/>
      <c r="U203" s="62"/>
      <c r="V203" s="62"/>
    </row>
    <row r="204" ht="15.7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57"/>
      <c r="N204" s="57"/>
      <c r="O204" s="57"/>
      <c r="P204" s="62"/>
      <c r="Q204" s="62"/>
      <c r="R204" s="62"/>
      <c r="S204" s="62"/>
      <c r="T204" s="62"/>
      <c r="U204" s="62"/>
      <c r="V204" s="62"/>
    </row>
    <row r="205" ht="15.7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57"/>
      <c r="N205" s="57"/>
      <c r="O205" s="57"/>
      <c r="P205" s="62"/>
      <c r="Q205" s="62"/>
      <c r="R205" s="62"/>
      <c r="S205" s="62"/>
      <c r="T205" s="62"/>
      <c r="U205" s="62"/>
      <c r="V205" s="62"/>
    </row>
    <row r="206" ht="15.7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57"/>
      <c r="N206" s="57"/>
      <c r="O206" s="57"/>
      <c r="P206" s="62"/>
      <c r="Q206" s="62"/>
      <c r="R206" s="62"/>
      <c r="S206" s="62"/>
      <c r="T206" s="62"/>
      <c r="U206" s="62"/>
      <c r="V206" s="62"/>
    </row>
    <row r="207" ht="15.7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57"/>
      <c r="N207" s="57"/>
      <c r="O207" s="57"/>
      <c r="P207" s="62"/>
      <c r="Q207" s="62"/>
      <c r="R207" s="62"/>
      <c r="S207" s="62"/>
      <c r="T207" s="62"/>
      <c r="U207" s="62"/>
      <c r="V207" s="62"/>
    </row>
    <row r="208" ht="15.7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57"/>
      <c r="N208" s="57"/>
      <c r="O208" s="57"/>
      <c r="P208" s="62"/>
      <c r="Q208" s="62"/>
      <c r="R208" s="62"/>
      <c r="S208" s="62"/>
      <c r="T208" s="62"/>
      <c r="U208" s="62"/>
      <c r="V208" s="62"/>
    </row>
    <row r="209" ht="15.7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57"/>
      <c r="N209" s="57"/>
      <c r="O209" s="57"/>
      <c r="P209" s="62"/>
      <c r="Q209" s="62"/>
      <c r="R209" s="62"/>
      <c r="S209" s="62"/>
      <c r="T209" s="62"/>
      <c r="U209" s="62"/>
      <c r="V209" s="62"/>
    </row>
    <row r="210" ht="15.7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57"/>
      <c r="N210" s="57"/>
      <c r="O210" s="57"/>
      <c r="P210" s="62"/>
      <c r="Q210" s="62"/>
      <c r="R210" s="62"/>
      <c r="S210" s="62"/>
      <c r="T210" s="62"/>
      <c r="U210" s="62"/>
      <c r="V210" s="62"/>
    </row>
    <row r="211" ht="15.7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57"/>
      <c r="N211" s="57"/>
      <c r="O211" s="57"/>
      <c r="P211" s="62"/>
      <c r="Q211" s="62"/>
      <c r="R211" s="62"/>
      <c r="S211" s="62"/>
      <c r="T211" s="62"/>
      <c r="U211" s="62"/>
      <c r="V211" s="62"/>
    </row>
    <row r="212" ht="15.7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57"/>
      <c r="N212" s="57"/>
      <c r="O212" s="57"/>
      <c r="P212" s="62"/>
      <c r="Q212" s="62"/>
      <c r="R212" s="62"/>
      <c r="S212" s="62"/>
      <c r="T212" s="62"/>
      <c r="U212" s="62"/>
      <c r="V212" s="62"/>
    </row>
    <row r="213" ht="15.7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57"/>
      <c r="N213" s="57"/>
      <c r="O213" s="57"/>
      <c r="P213" s="62"/>
      <c r="Q213" s="62"/>
      <c r="R213" s="62"/>
      <c r="S213" s="62"/>
      <c r="T213" s="62"/>
      <c r="U213" s="62"/>
      <c r="V213" s="62"/>
    </row>
    <row r="214" ht="15.7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57"/>
      <c r="N214" s="57"/>
      <c r="O214" s="57"/>
      <c r="P214" s="62"/>
      <c r="Q214" s="62"/>
      <c r="R214" s="62"/>
      <c r="S214" s="62"/>
      <c r="T214" s="62"/>
      <c r="U214" s="62"/>
      <c r="V214" s="62"/>
    </row>
    <row r="215" ht="15.7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57"/>
      <c r="N215" s="57"/>
      <c r="O215" s="57"/>
      <c r="P215" s="62"/>
      <c r="Q215" s="62"/>
      <c r="R215" s="62"/>
      <c r="S215" s="62"/>
      <c r="T215" s="62"/>
      <c r="U215" s="62"/>
      <c r="V215" s="62"/>
    </row>
    <row r="216" ht="15.7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57"/>
      <c r="N216" s="57"/>
      <c r="O216" s="57"/>
      <c r="P216" s="62"/>
      <c r="Q216" s="62"/>
      <c r="R216" s="62"/>
      <c r="S216" s="62"/>
      <c r="T216" s="62"/>
      <c r="U216" s="62"/>
      <c r="V216" s="62"/>
    </row>
    <row r="217" ht="15.7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57"/>
      <c r="N217" s="57"/>
      <c r="O217" s="57"/>
      <c r="P217" s="62"/>
      <c r="Q217" s="62"/>
      <c r="R217" s="62"/>
      <c r="S217" s="62"/>
      <c r="T217" s="62"/>
      <c r="U217" s="62"/>
      <c r="V217" s="62"/>
    </row>
    <row r="218" ht="15.7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57"/>
      <c r="N218" s="57"/>
      <c r="O218" s="57"/>
      <c r="P218" s="62"/>
      <c r="Q218" s="62"/>
      <c r="R218" s="62"/>
      <c r="S218" s="62"/>
      <c r="T218" s="62"/>
      <c r="U218" s="62"/>
      <c r="V218" s="62"/>
    </row>
    <row r="219" ht="15.7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57"/>
      <c r="N219" s="57"/>
      <c r="O219" s="57"/>
      <c r="P219" s="62"/>
      <c r="Q219" s="62"/>
      <c r="R219" s="62"/>
      <c r="S219" s="62"/>
      <c r="T219" s="62"/>
      <c r="U219" s="62"/>
      <c r="V219" s="62"/>
    </row>
    <row r="220" ht="15.7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57"/>
      <c r="N220" s="57"/>
      <c r="O220" s="57"/>
      <c r="P220" s="62"/>
      <c r="Q220" s="62"/>
      <c r="R220" s="62"/>
      <c r="S220" s="62"/>
      <c r="T220" s="62"/>
      <c r="U220" s="62"/>
      <c r="V220" s="62"/>
    </row>
    <row r="221" ht="15.7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57"/>
      <c r="N221" s="57"/>
      <c r="O221" s="57"/>
      <c r="P221" s="62"/>
      <c r="Q221" s="62"/>
      <c r="R221" s="62"/>
      <c r="S221" s="62"/>
      <c r="T221" s="62"/>
      <c r="U221" s="62"/>
      <c r="V221" s="62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57"/>
      <c r="N222" s="57"/>
      <c r="O222" s="57"/>
      <c r="P222" s="62"/>
      <c r="Q222" s="62"/>
      <c r="R222" s="62"/>
      <c r="S222" s="62"/>
      <c r="T222" s="62"/>
      <c r="U222" s="62"/>
      <c r="V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57"/>
      <c r="N223" s="57"/>
      <c r="O223" s="57"/>
      <c r="P223" s="62"/>
      <c r="Q223" s="62"/>
      <c r="R223" s="62"/>
      <c r="S223" s="62"/>
      <c r="T223" s="62"/>
      <c r="U223" s="62"/>
      <c r="V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57"/>
      <c r="N224" s="57"/>
      <c r="O224" s="57"/>
      <c r="P224" s="62"/>
      <c r="Q224" s="62"/>
      <c r="R224" s="62"/>
      <c r="S224" s="62"/>
      <c r="T224" s="62"/>
      <c r="U224" s="62"/>
      <c r="V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57"/>
      <c r="N225" s="57"/>
      <c r="O225" s="57"/>
      <c r="P225" s="62"/>
      <c r="Q225" s="62"/>
      <c r="R225" s="62"/>
      <c r="S225" s="62"/>
      <c r="T225" s="62"/>
      <c r="U225" s="62"/>
      <c r="V225" s="62"/>
    </row>
    <row r="226" ht="15.7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57"/>
      <c r="N226" s="57"/>
      <c r="O226" s="57"/>
      <c r="P226" s="62"/>
      <c r="Q226" s="62"/>
      <c r="R226" s="62"/>
      <c r="S226" s="62"/>
      <c r="T226" s="62"/>
      <c r="U226" s="62"/>
      <c r="V226" s="62"/>
    </row>
    <row r="227" ht="15.7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57"/>
      <c r="N227" s="57"/>
      <c r="O227" s="57"/>
      <c r="P227" s="62"/>
      <c r="Q227" s="62"/>
      <c r="R227" s="62"/>
      <c r="S227" s="62"/>
      <c r="T227" s="62"/>
      <c r="U227" s="62"/>
      <c r="V227" s="62"/>
    </row>
    <row r="228" ht="15.7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57"/>
      <c r="N228" s="57"/>
      <c r="O228" s="57"/>
      <c r="P228" s="62"/>
      <c r="Q228" s="62"/>
      <c r="R228" s="62"/>
      <c r="S228" s="62"/>
      <c r="T228" s="62"/>
      <c r="U228" s="62"/>
      <c r="V228" s="62"/>
    </row>
    <row r="229" ht="15.7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57"/>
      <c r="N229" s="57"/>
      <c r="O229" s="57"/>
      <c r="P229" s="62"/>
      <c r="Q229" s="62"/>
      <c r="R229" s="62"/>
      <c r="S229" s="62"/>
      <c r="T229" s="62"/>
      <c r="U229" s="62"/>
      <c r="V229" s="62"/>
    </row>
    <row r="230" ht="15.7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57"/>
      <c r="N230" s="57"/>
      <c r="O230" s="57"/>
      <c r="P230" s="62"/>
      <c r="Q230" s="62"/>
      <c r="R230" s="62"/>
      <c r="S230" s="62"/>
      <c r="T230" s="62"/>
      <c r="U230" s="62"/>
      <c r="V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57"/>
      <c r="N231" s="57"/>
      <c r="O231" s="57"/>
      <c r="P231" s="62"/>
      <c r="Q231" s="62"/>
      <c r="R231" s="62"/>
      <c r="S231" s="62"/>
      <c r="T231" s="62"/>
      <c r="U231" s="62"/>
      <c r="V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57"/>
      <c r="N232" s="57"/>
      <c r="O232" s="57"/>
      <c r="P232" s="62"/>
      <c r="Q232" s="62"/>
      <c r="R232" s="62"/>
      <c r="S232" s="62"/>
      <c r="T232" s="62"/>
      <c r="U232" s="62"/>
      <c r="V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57"/>
      <c r="N233" s="57"/>
      <c r="O233" s="57"/>
      <c r="P233" s="62"/>
      <c r="Q233" s="62"/>
      <c r="R233" s="62"/>
      <c r="S233" s="62"/>
      <c r="T233" s="62"/>
      <c r="U233" s="62"/>
      <c r="V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57"/>
      <c r="N234" s="57"/>
      <c r="O234" s="57"/>
      <c r="P234" s="62"/>
      <c r="Q234" s="62"/>
      <c r="R234" s="62"/>
      <c r="S234" s="62"/>
      <c r="T234" s="62"/>
      <c r="U234" s="62"/>
      <c r="V234" s="62"/>
    </row>
    <row r="235" ht="15.7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57"/>
      <c r="N235" s="57"/>
      <c r="O235" s="57"/>
      <c r="P235" s="62"/>
      <c r="Q235" s="62"/>
      <c r="R235" s="62"/>
      <c r="S235" s="62"/>
      <c r="T235" s="62"/>
      <c r="U235" s="62"/>
      <c r="V235" s="62"/>
    </row>
    <row r="236" ht="15.7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57"/>
      <c r="N236" s="57"/>
      <c r="O236" s="57"/>
      <c r="P236" s="62"/>
      <c r="Q236" s="62"/>
      <c r="R236" s="62"/>
      <c r="S236" s="62"/>
      <c r="T236" s="62"/>
      <c r="U236" s="62"/>
      <c r="V236" s="62"/>
    </row>
    <row r="237" ht="15.7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57"/>
      <c r="N237" s="57"/>
      <c r="O237" s="57"/>
      <c r="P237" s="62"/>
      <c r="Q237" s="62"/>
      <c r="R237" s="62"/>
      <c r="S237" s="62"/>
      <c r="T237" s="62"/>
      <c r="U237" s="62"/>
      <c r="V237" s="62"/>
    </row>
    <row r="238" ht="15.7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57"/>
      <c r="N238" s="57"/>
      <c r="O238" s="57"/>
      <c r="P238" s="62"/>
      <c r="Q238" s="62"/>
      <c r="R238" s="62"/>
      <c r="S238" s="62"/>
      <c r="T238" s="62"/>
      <c r="U238" s="62"/>
      <c r="V238" s="62"/>
    </row>
    <row r="239" ht="15.7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57"/>
      <c r="N239" s="57"/>
      <c r="O239" s="57"/>
      <c r="P239" s="62"/>
      <c r="Q239" s="62"/>
      <c r="R239" s="62"/>
      <c r="S239" s="62"/>
      <c r="T239" s="62"/>
      <c r="U239" s="62"/>
      <c r="V239" s="62"/>
    </row>
    <row r="240" ht="15.7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57"/>
      <c r="N240" s="57"/>
      <c r="O240" s="57"/>
      <c r="P240" s="62"/>
      <c r="Q240" s="62"/>
      <c r="R240" s="62"/>
      <c r="S240" s="62"/>
      <c r="T240" s="62"/>
      <c r="U240" s="62"/>
      <c r="V240" s="62"/>
    </row>
    <row r="241" ht="15.7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57"/>
      <c r="N241" s="57"/>
      <c r="O241" s="57"/>
      <c r="P241" s="62"/>
      <c r="Q241" s="62"/>
      <c r="R241" s="62"/>
      <c r="S241" s="62"/>
      <c r="T241" s="62"/>
      <c r="U241" s="62"/>
      <c r="V241" s="62"/>
    </row>
    <row r="242" ht="15.7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57"/>
      <c r="N242" s="57"/>
      <c r="O242" s="57"/>
      <c r="P242" s="62"/>
      <c r="Q242" s="62"/>
      <c r="R242" s="62"/>
      <c r="S242" s="62"/>
      <c r="T242" s="62"/>
      <c r="U242" s="62"/>
      <c r="V242" s="62"/>
    </row>
    <row r="243" ht="15.7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57"/>
      <c r="N243" s="57"/>
      <c r="O243" s="57"/>
      <c r="P243" s="62"/>
      <c r="Q243" s="62"/>
      <c r="R243" s="62"/>
      <c r="S243" s="62"/>
      <c r="T243" s="62"/>
      <c r="U243" s="62"/>
      <c r="V243" s="62"/>
    </row>
    <row r="244" ht="15.7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57"/>
      <c r="N244" s="57"/>
      <c r="O244" s="57"/>
      <c r="P244" s="62"/>
      <c r="Q244" s="62"/>
      <c r="R244" s="62"/>
      <c r="S244" s="62"/>
      <c r="T244" s="62"/>
      <c r="U244" s="62"/>
      <c r="V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57"/>
      <c r="N245" s="57"/>
      <c r="O245" s="57"/>
      <c r="P245" s="62"/>
      <c r="Q245" s="62"/>
      <c r="R245" s="62"/>
      <c r="S245" s="62"/>
      <c r="T245" s="62"/>
      <c r="U245" s="62"/>
      <c r="V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57"/>
      <c r="N246" s="57"/>
      <c r="O246" s="57"/>
      <c r="P246" s="62"/>
      <c r="Q246" s="62"/>
      <c r="R246" s="62"/>
      <c r="S246" s="62"/>
      <c r="T246" s="62"/>
      <c r="U246" s="62"/>
      <c r="V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57"/>
      <c r="N247" s="57"/>
      <c r="O247" s="57"/>
      <c r="P247" s="62"/>
      <c r="Q247" s="62"/>
      <c r="R247" s="62"/>
      <c r="S247" s="62"/>
      <c r="T247" s="62"/>
      <c r="U247" s="62"/>
      <c r="V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57"/>
      <c r="N248" s="57"/>
      <c r="O248" s="57"/>
      <c r="P248" s="62"/>
      <c r="Q248" s="62"/>
      <c r="R248" s="62"/>
      <c r="S248" s="62"/>
      <c r="T248" s="62"/>
      <c r="U248" s="62"/>
      <c r="V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57"/>
      <c r="N249" s="57"/>
      <c r="O249" s="57"/>
      <c r="P249" s="62"/>
      <c r="Q249" s="62"/>
      <c r="R249" s="62"/>
      <c r="S249" s="62"/>
      <c r="T249" s="62"/>
      <c r="U249" s="62"/>
      <c r="V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57"/>
      <c r="N250" s="57"/>
      <c r="O250" s="57"/>
      <c r="P250" s="62"/>
      <c r="Q250" s="62"/>
      <c r="R250" s="62"/>
      <c r="S250" s="62"/>
      <c r="T250" s="62"/>
      <c r="U250" s="62"/>
      <c r="V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57"/>
      <c r="N251" s="57"/>
      <c r="O251" s="57"/>
      <c r="P251" s="62"/>
      <c r="Q251" s="62"/>
      <c r="R251" s="62"/>
      <c r="S251" s="62"/>
      <c r="T251" s="62"/>
      <c r="U251" s="62"/>
      <c r="V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57"/>
      <c r="N252" s="57"/>
      <c r="O252" s="57"/>
      <c r="P252" s="62"/>
      <c r="Q252" s="62"/>
      <c r="R252" s="62"/>
      <c r="S252" s="62"/>
      <c r="T252" s="62"/>
      <c r="U252" s="62"/>
      <c r="V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57"/>
      <c r="N253" s="57"/>
      <c r="O253" s="57"/>
      <c r="P253" s="62"/>
      <c r="Q253" s="62"/>
      <c r="R253" s="62"/>
      <c r="S253" s="62"/>
      <c r="T253" s="62"/>
      <c r="U253" s="62"/>
      <c r="V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57"/>
      <c r="N254" s="57"/>
      <c r="O254" s="57"/>
      <c r="P254" s="62"/>
      <c r="Q254" s="62"/>
      <c r="R254" s="62"/>
      <c r="S254" s="62"/>
      <c r="T254" s="62"/>
      <c r="U254" s="62"/>
      <c r="V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57"/>
      <c r="N255" s="57"/>
      <c r="O255" s="57"/>
      <c r="P255" s="62"/>
      <c r="Q255" s="62"/>
      <c r="R255" s="62"/>
      <c r="S255" s="62"/>
      <c r="T255" s="62"/>
      <c r="U255" s="62"/>
      <c r="V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57"/>
      <c r="N256" s="57"/>
      <c r="O256" s="57"/>
      <c r="P256" s="62"/>
      <c r="Q256" s="62"/>
      <c r="R256" s="62"/>
      <c r="S256" s="62"/>
      <c r="T256" s="62"/>
      <c r="U256" s="62"/>
      <c r="V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57"/>
      <c r="N257" s="57"/>
      <c r="O257" s="57"/>
      <c r="P257" s="62"/>
      <c r="Q257" s="62"/>
      <c r="R257" s="62"/>
      <c r="S257" s="62"/>
      <c r="T257" s="62"/>
      <c r="U257" s="62"/>
      <c r="V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57"/>
      <c r="N258" s="57"/>
      <c r="O258" s="57"/>
      <c r="P258" s="62"/>
      <c r="Q258" s="62"/>
      <c r="R258" s="62"/>
      <c r="S258" s="62"/>
      <c r="T258" s="62"/>
      <c r="U258" s="62"/>
      <c r="V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57"/>
      <c r="N259" s="57"/>
      <c r="O259" s="57"/>
      <c r="P259" s="62"/>
      <c r="Q259" s="62"/>
      <c r="R259" s="62"/>
      <c r="S259" s="62"/>
      <c r="T259" s="62"/>
      <c r="U259" s="62"/>
      <c r="V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57"/>
      <c r="N260" s="57"/>
      <c r="O260" s="57"/>
      <c r="P260" s="62"/>
      <c r="Q260" s="62"/>
      <c r="R260" s="62"/>
      <c r="S260" s="62"/>
      <c r="T260" s="62"/>
      <c r="U260" s="62"/>
      <c r="V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57"/>
      <c r="N261" s="57"/>
      <c r="O261" s="57"/>
      <c r="P261" s="62"/>
      <c r="Q261" s="62"/>
      <c r="R261" s="62"/>
      <c r="S261" s="62"/>
      <c r="T261" s="62"/>
      <c r="U261" s="62"/>
      <c r="V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57"/>
      <c r="N262" s="57"/>
      <c r="O262" s="57"/>
      <c r="P262" s="62"/>
      <c r="Q262" s="62"/>
      <c r="R262" s="62"/>
      <c r="S262" s="62"/>
      <c r="T262" s="62"/>
      <c r="U262" s="62"/>
      <c r="V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57"/>
      <c r="N263" s="57"/>
      <c r="O263" s="57"/>
      <c r="P263" s="62"/>
      <c r="Q263" s="62"/>
      <c r="R263" s="62"/>
      <c r="S263" s="62"/>
      <c r="T263" s="62"/>
      <c r="U263" s="62"/>
      <c r="V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57"/>
      <c r="N264" s="57"/>
      <c r="O264" s="57"/>
      <c r="P264" s="62"/>
      <c r="Q264" s="62"/>
      <c r="R264" s="62"/>
      <c r="S264" s="62"/>
      <c r="T264" s="62"/>
      <c r="U264" s="62"/>
      <c r="V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57"/>
      <c r="N265" s="57"/>
      <c r="O265" s="57"/>
      <c r="P265" s="62"/>
      <c r="Q265" s="62"/>
      <c r="R265" s="62"/>
      <c r="S265" s="62"/>
      <c r="T265" s="62"/>
      <c r="U265" s="62"/>
      <c r="V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57"/>
      <c r="N266" s="57"/>
      <c r="O266" s="57"/>
      <c r="P266" s="62"/>
      <c r="Q266" s="62"/>
      <c r="R266" s="62"/>
      <c r="S266" s="62"/>
      <c r="T266" s="62"/>
      <c r="U266" s="62"/>
      <c r="V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57"/>
      <c r="N267" s="57"/>
      <c r="O267" s="57"/>
      <c r="P267" s="62"/>
      <c r="Q267" s="62"/>
      <c r="R267" s="62"/>
      <c r="S267" s="62"/>
      <c r="T267" s="62"/>
      <c r="U267" s="62"/>
      <c r="V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57"/>
      <c r="N268" s="57"/>
      <c r="O268" s="57"/>
      <c r="P268" s="62"/>
      <c r="Q268" s="62"/>
      <c r="R268" s="62"/>
      <c r="S268" s="62"/>
      <c r="T268" s="62"/>
      <c r="U268" s="62"/>
      <c r="V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57"/>
      <c r="N269" s="57"/>
      <c r="O269" s="57"/>
      <c r="P269" s="62"/>
      <c r="Q269" s="62"/>
      <c r="R269" s="62"/>
      <c r="S269" s="62"/>
      <c r="T269" s="62"/>
      <c r="U269" s="62"/>
      <c r="V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57"/>
      <c r="N270" s="57"/>
      <c r="O270" s="57"/>
      <c r="P270" s="62"/>
      <c r="Q270" s="62"/>
      <c r="R270" s="62"/>
      <c r="S270" s="62"/>
      <c r="T270" s="62"/>
      <c r="U270" s="62"/>
      <c r="V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57"/>
      <c r="N271" s="57"/>
      <c r="O271" s="57"/>
      <c r="P271" s="62"/>
      <c r="Q271" s="62"/>
      <c r="R271" s="62"/>
      <c r="S271" s="62"/>
      <c r="T271" s="62"/>
      <c r="U271" s="62"/>
      <c r="V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57"/>
      <c r="N272" s="57"/>
      <c r="O272" s="57"/>
      <c r="P272" s="62"/>
      <c r="Q272" s="62"/>
      <c r="R272" s="62"/>
      <c r="S272" s="62"/>
      <c r="T272" s="62"/>
      <c r="U272" s="62"/>
      <c r="V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57"/>
      <c r="N273" s="57"/>
      <c r="O273" s="57"/>
      <c r="P273" s="62"/>
      <c r="Q273" s="62"/>
      <c r="R273" s="62"/>
      <c r="S273" s="62"/>
      <c r="T273" s="62"/>
      <c r="U273" s="62"/>
      <c r="V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57"/>
      <c r="N274" s="57"/>
      <c r="O274" s="57"/>
      <c r="P274" s="62"/>
      <c r="Q274" s="62"/>
      <c r="R274" s="62"/>
      <c r="S274" s="62"/>
      <c r="T274" s="62"/>
      <c r="U274" s="62"/>
      <c r="V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57"/>
      <c r="N275" s="57"/>
      <c r="O275" s="57"/>
      <c r="P275" s="62"/>
      <c r="Q275" s="62"/>
      <c r="R275" s="62"/>
      <c r="S275" s="62"/>
      <c r="T275" s="62"/>
      <c r="U275" s="62"/>
      <c r="V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57"/>
      <c r="N276" s="57"/>
      <c r="O276" s="57"/>
      <c r="P276" s="62"/>
      <c r="Q276" s="62"/>
      <c r="R276" s="62"/>
      <c r="S276" s="62"/>
      <c r="T276" s="62"/>
      <c r="U276" s="62"/>
      <c r="V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57"/>
      <c r="N277" s="57"/>
      <c r="O277" s="57"/>
      <c r="P277" s="62"/>
      <c r="Q277" s="62"/>
      <c r="R277" s="62"/>
      <c r="S277" s="62"/>
      <c r="T277" s="62"/>
      <c r="U277" s="62"/>
      <c r="V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57"/>
      <c r="N278" s="57"/>
      <c r="O278" s="57"/>
      <c r="P278" s="62"/>
      <c r="Q278" s="62"/>
      <c r="R278" s="62"/>
      <c r="S278" s="62"/>
      <c r="T278" s="62"/>
      <c r="U278" s="62"/>
      <c r="V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57"/>
      <c r="N279" s="57"/>
      <c r="O279" s="57"/>
      <c r="P279" s="62"/>
      <c r="Q279" s="62"/>
      <c r="R279" s="62"/>
      <c r="S279" s="62"/>
      <c r="T279" s="62"/>
      <c r="U279" s="62"/>
      <c r="V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57"/>
      <c r="N280" s="57"/>
      <c r="O280" s="57"/>
      <c r="P280" s="62"/>
      <c r="Q280" s="62"/>
      <c r="R280" s="62"/>
      <c r="S280" s="62"/>
      <c r="T280" s="62"/>
      <c r="U280" s="62"/>
      <c r="V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57"/>
      <c r="N281" s="57"/>
      <c r="O281" s="57"/>
      <c r="P281" s="62"/>
      <c r="Q281" s="62"/>
      <c r="R281" s="62"/>
      <c r="S281" s="62"/>
      <c r="T281" s="62"/>
      <c r="U281" s="62"/>
      <c r="V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57"/>
      <c r="N282" s="57"/>
      <c r="O282" s="57"/>
      <c r="P282" s="62"/>
      <c r="Q282" s="62"/>
      <c r="R282" s="62"/>
      <c r="S282" s="62"/>
      <c r="T282" s="62"/>
      <c r="U282" s="62"/>
      <c r="V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57"/>
      <c r="N283" s="57"/>
      <c r="O283" s="57"/>
      <c r="P283" s="62"/>
      <c r="Q283" s="62"/>
      <c r="R283" s="62"/>
      <c r="S283" s="62"/>
      <c r="T283" s="62"/>
      <c r="U283" s="62"/>
      <c r="V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57"/>
      <c r="N284" s="57"/>
      <c r="O284" s="57"/>
      <c r="P284" s="62"/>
      <c r="Q284" s="62"/>
      <c r="R284" s="62"/>
      <c r="S284" s="62"/>
      <c r="T284" s="62"/>
      <c r="U284" s="62"/>
      <c r="V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57"/>
      <c r="N285" s="57"/>
      <c r="O285" s="57"/>
      <c r="P285" s="62"/>
      <c r="Q285" s="62"/>
      <c r="R285" s="62"/>
      <c r="S285" s="62"/>
      <c r="T285" s="62"/>
      <c r="U285" s="62"/>
      <c r="V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57"/>
      <c r="N286" s="57"/>
      <c r="O286" s="57"/>
      <c r="P286" s="62"/>
      <c r="Q286" s="62"/>
      <c r="R286" s="62"/>
      <c r="S286" s="62"/>
      <c r="T286" s="62"/>
      <c r="U286" s="62"/>
      <c r="V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57"/>
      <c r="N287" s="57"/>
      <c r="O287" s="57"/>
      <c r="P287" s="62"/>
      <c r="Q287" s="62"/>
      <c r="R287" s="62"/>
      <c r="S287" s="62"/>
      <c r="T287" s="62"/>
      <c r="U287" s="62"/>
      <c r="V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57"/>
      <c r="N288" s="57"/>
      <c r="O288" s="57"/>
      <c r="P288" s="62"/>
      <c r="Q288" s="62"/>
      <c r="R288" s="62"/>
      <c r="S288" s="62"/>
      <c r="T288" s="62"/>
      <c r="U288" s="62"/>
      <c r="V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57"/>
      <c r="N289" s="57"/>
      <c r="O289" s="57"/>
      <c r="P289" s="62"/>
      <c r="Q289" s="62"/>
      <c r="R289" s="62"/>
      <c r="S289" s="62"/>
      <c r="T289" s="62"/>
      <c r="U289" s="62"/>
      <c r="V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57"/>
      <c r="N290" s="57"/>
      <c r="O290" s="57"/>
      <c r="P290" s="62"/>
      <c r="Q290" s="62"/>
      <c r="R290" s="62"/>
      <c r="S290" s="62"/>
      <c r="T290" s="62"/>
      <c r="U290" s="62"/>
      <c r="V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57"/>
      <c r="N291" s="57"/>
      <c r="O291" s="57"/>
      <c r="P291" s="62"/>
      <c r="Q291" s="62"/>
      <c r="R291" s="62"/>
      <c r="S291" s="62"/>
      <c r="T291" s="62"/>
      <c r="U291" s="62"/>
      <c r="V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57"/>
      <c r="N292" s="57"/>
      <c r="O292" s="57"/>
      <c r="P292" s="62"/>
      <c r="Q292" s="62"/>
      <c r="R292" s="62"/>
      <c r="S292" s="62"/>
      <c r="T292" s="62"/>
      <c r="U292" s="62"/>
      <c r="V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57"/>
      <c r="N293" s="57"/>
      <c r="O293" s="57"/>
      <c r="P293" s="62"/>
      <c r="Q293" s="62"/>
      <c r="R293" s="62"/>
      <c r="S293" s="62"/>
      <c r="T293" s="62"/>
      <c r="U293" s="62"/>
      <c r="V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57"/>
      <c r="N294" s="57"/>
      <c r="O294" s="57"/>
      <c r="P294" s="62"/>
      <c r="Q294" s="62"/>
      <c r="R294" s="62"/>
      <c r="S294" s="62"/>
      <c r="T294" s="62"/>
      <c r="U294" s="62"/>
      <c r="V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57"/>
      <c r="N295" s="57"/>
      <c r="O295" s="57"/>
      <c r="P295" s="62"/>
      <c r="Q295" s="62"/>
      <c r="R295" s="62"/>
      <c r="S295" s="62"/>
      <c r="T295" s="62"/>
      <c r="U295" s="62"/>
      <c r="V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57"/>
      <c r="N296" s="57"/>
      <c r="O296" s="57"/>
      <c r="P296" s="62"/>
      <c r="Q296" s="62"/>
      <c r="R296" s="62"/>
      <c r="S296" s="62"/>
      <c r="T296" s="62"/>
      <c r="U296" s="62"/>
      <c r="V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57"/>
      <c r="N297" s="57"/>
      <c r="O297" s="57"/>
      <c r="P297" s="62"/>
      <c r="Q297" s="62"/>
      <c r="R297" s="62"/>
      <c r="S297" s="62"/>
      <c r="T297" s="62"/>
      <c r="U297" s="62"/>
      <c r="V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57"/>
      <c r="N298" s="57"/>
      <c r="O298" s="57"/>
      <c r="P298" s="62"/>
      <c r="Q298" s="62"/>
      <c r="R298" s="62"/>
      <c r="S298" s="62"/>
      <c r="T298" s="62"/>
      <c r="U298" s="62"/>
      <c r="V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57"/>
      <c r="N299" s="57"/>
      <c r="O299" s="57"/>
      <c r="P299" s="62"/>
      <c r="Q299" s="62"/>
      <c r="R299" s="62"/>
      <c r="S299" s="62"/>
      <c r="T299" s="62"/>
      <c r="U299" s="62"/>
      <c r="V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57"/>
      <c r="N300" s="57"/>
      <c r="O300" s="57"/>
      <c r="P300" s="62"/>
      <c r="Q300" s="62"/>
      <c r="R300" s="62"/>
      <c r="S300" s="62"/>
      <c r="T300" s="62"/>
      <c r="U300" s="62"/>
      <c r="V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57"/>
      <c r="N301" s="57"/>
      <c r="O301" s="57"/>
      <c r="P301" s="62"/>
      <c r="Q301" s="62"/>
      <c r="R301" s="62"/>
      <c r="S301" s="62"/>
      <c r="T301" s="62"/>
      <c r="U301" s="62"/>
      <c r="V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57"/>
      <c r="N302" s="57"/>
      <c r="O302" s="57"/>
      <c r="P302" s="62"/>
      <c r="Q302" s="62"/>
      <c r="R302" s="62"/>
      <c r="S302" s="62"/>
      <c r="T302" s="62"/>
      <c r="U302" s="62"/>
      <c r="V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57"/>
      <c r="N303" s="57"/>
      <c r="O303" s="57"/>
      <c r="P303" s="62"/>
      <c r="Q303" s="62"/>
      <c r="R303" s="62"/>
      <c r="S303" s="62"/>
      <c r="T303" s="62"/>
      <c r="U303" s="62"/>
      <c r="V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57"/>
      <c r="N304" s="57"/>
      <c r="O304" s="57"/>
      <c r="P304" s="62"/>
      <c r="Q304" s="62"/>
      <c r="R304" s="62"/>
      <c r="S304" s="62"/>
      <c r="T304" s="62"/>
      <c r="U304" s="62"/>
      <c r="V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57"/>
      <c r="N305" s="57"/>
      <c r="O305" s="57"/>
      <c r="P305" s="62"/>
      <c r="Q305" s="62"/>
      <c r="R305" s="62"/>
      <c r="S305" s="62"/>
      <c r="T305" s="62"/>
      <c r="U305" s="62"/>
      <c r="V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57"/>
      <c r="N306" s="57"/>
      <c r="O306" s="57"/>
      <c r="P306" s="62"/>
      <c r="Q306" s="62"/>
      <c r="R306" s="62"/>
      <c r="S306" s="62"/>
      <c r="T306" s="62"/>
      <c r="U306" s="62"/>
      <c r="V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57"/>
      <c r="N307" s="57"/>
      <c r="O307" s="57"/>
      <c r="P307" s="62"/>
      <c r="Q307" s="62"/>
      <c r="R307" s="62"/>
      <c r="S307" s="62"/>
      <c r="T307" s="62"/>
      <c r="U307" s="62"/>
      <c r="V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57"/>
      <c r="N308" s="57"/>
      <c r="O308" s="57"/>
      <c r="P308" s="62"/>
      <c r="Q308" s="62"/>
      <c r="R308" s="62"/>
      <c r="S308" s="62"/>
      <c r="T308" s="62"/>
      <c r="U308" s="62"/>
      <c r="V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57"/>
      <c r="N309" s="57"/>
      <c r="O309" s="57"/>
      <c r="P309" s="62"/>
      <c r="Q309" s="62"/>
      <c r="R309" s="62"/>
      <c r="S309" s="62"/>
      <c r="T309" s="62"/>
      <c r="U309" s="62"/>
      <c r="V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57"/>
      <c r="N310" s="57"/>
      <c r="O310" s="57"/>
      <c r="P310" s="62"/>
      <c r="Q310" s="62"/>
      <c r="R310" s="62"/>
      <c r="S310" s="62"/>
      <c r="T310" s="62"/>
      <c r="U310" s="62"/>
      <c r="V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57"/>
      <c r="N311" s="57"/>
      <c r="O311" s="57"/>
      <c r="P311" s="62"/>
      <c r="Q311" s="62"/>
      <c r="R311" s="62"/>
      <c r="S311" s="62"/>
      <c r="T311" s="62"/>
      <c r="U311" s="62"/>
      <c r="V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57"/>
      <c r="N312" s="57"/>
      <c r="O312" s="57"/>
      <c r="P312" s="62"/>
      <c r="Q312" s="62"/>
      <c r="R312" s="62"/>
      <c r="S312" s="62"/>
      <c r="T312" s="62"/>
      <c r="U312" s="62"/>
      <c r="V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57"/>
      <c r="N313" s="57"/>
      <c r="O313" s="57"/>
      <c r="P313" s="62"/>
      <c r="Q313" s="62"/>
      <c r="R313" s="62"/>
      <c r="S313" s="62"/>
      <c r="T313" s="62"/>
      <c r="U313" s="62"/>
      <c r="V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57"/>
      <c r="N314" s="57"/>
      <c r="O314" s="57"/>
      <c r="P314" s="62"/>
      <c r="Q314" s="62"/>
      <c r="R314" s="62"/>
      <c r="S314" s="62"/>
      <c r="T314" s="62"/>
      <c r="U314" s="62"/>
      <c r="V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57"/>
      <c r="N315" s="57"/>
      <c r="O315" s="57"/>
      <c r="P315" s="62"/>
      <c r="Q315" s="62"/>
      <c r="R315" s="62"/>
      <c r="S315" s="62"/>
      <c r="T315" s="62"/>
      <c r="U315" s="62"/>
      <c r="V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57"/>
      <c r="N316" s="57"/>
      <c r="O316" s="57"/>
      <c r="P316" s="62"/>
      <c r="Q316" s="62"/>
      <c r="R316" s="62"/>
      <c r="S316" s="62"/>
      <c r="T316" s="62"/>
      <c r="U316" s="62"/>
      <c r="V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57"/>
      <c r="N317" s="57"/>
      <c r="O317" s="57"/>
      <c r="P317" s="62"/>
      <c r="Q317" s="62"/>
      <c r="R317" s="62"/>
      <c r="S317" s="62"/>
      <c r="T317" s="62"/>
      <c r="U317" s="62"/>
      <c r="V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57"/>
      <c r="N318" s="57"/>
      <c r="O318" s="57"/>
      <c r="P318" s="62"/>
      <c r="Q318" s="62"/>
      <c r="R318" s="62"/>
      <c r="S318" s="62"/>
      <c r="T318" s="62"/>
      <c r="U318" s="62"/>
      <c r="V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57"/>
      <c r="N319" s="57"/>
      <c r="O319" s="57"/>
      <c r="P319" s="62"/>
      <c r="Q319" s="62"/>
      <c r="R319" s="62"/>
      <c r="S319" s="62"/>
      <c r="T319" s="62"/>
      <c r="U319" s="62"/>
      <c r="V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57"/>
      <c r="N320" s="57"/>
      <c r="O320" s="57"/>
      <c r="P320" s="62"/>
      <c r="Q320" s="62"/>
      <c r="R320" s="62"/>
      <c r="S320" s="62"/>
      <c r="T320" s="62"/>
      <c r="U320" s="62"/>
      <c r="V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57"/>
      <c r="N321" s="57"/>
      <c r="O321" s="57"/>
      <c r="P321" s="62"/>
      <c r="Q321" s="62"/>
      <c r="R321" s="62"/>
      <c r="S321" s="62"/>
      <c r="T321" s="62"/>
      <c r="U321" s="62"/>
      <c r="V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57"/>
      <c r="N322" s="57"/>
      <c r="O322" s="57"/>
      <c r="P322" s="62"/>
      <c r="Q322" s="62"/>
      <c r="R322" s="62"/>
      <c r="S322" s="62"/>
      <c r="T322" s="62"/>
      <c r="U322" s="62"/>
      <c r="V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57"/>
      <c r="N323" s="57"/>
      <c r="O323" s="57"/>
      <c r="P323" s="62"/>
      <c r="Q323" s="62"/>
      <c r="R323" s="62"/>
      <c r="S323" s="62"/>
      <c r="T323" s="62"/>
      <c r="U323" s="62"/>
      <c r="V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57"/>
      <c r="N324" s="57"/>
      <c r="O324" s="57"/>
      <c r="P324" s="62"/>
      <c r="Q324" s="62"/>
      <c r="R324" s="62"/>
      <c r="S324" s="62"/>
      <c r="T324" s="62"/>
      <c r="U324" s="62"/>
      <c r="V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57"/>
      <c r="N325" s="57"/>
      <c r="O325" s="57"/>
      <c r="P325" s="62"/>
      <c r="Q325" s="62"/>
      <c r="R325" s="62"/>
      <c r="S325" s="62"/>
      <c r="T325" s="62"/>
      <c r="U325" s="62"/>
      <c r="V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57"/>
      <c r="N326" s="57"/>
      <c r="O326" s="57"/>
      <c r="P326" s="62"/>
      <c r="Q326" s="62"/>
      <c r="R326" s="62"/>
      <c r="S326" s="62"/>
      <c r="T326" s="62"/>
      <c r="U326" s="62"/>
      <c r="V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57"/>
      <c r="N327" s="57"/>
      <c r="O327" s="57"/>
      <c r="P327" s="62"/>
      <c r="Q327" s="62"/>
      <c r="R327" s="62"/>
      <c r="S327" s="62"/>
      <c r="T327" s="62"/>
      <c r="U327" s="62"/>
      <c r="V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57"/>
      <c r="N328" s="57"/>
      <c r="O328" s="57"/>
      <c r="P328" s="62"/>
      <c r="Q328" s="62"/>
      <c r="R328" s="62"/>
      <c r="S328" s="62"/>
      <c r="T328" s="62"/>
      <c r="U328" s="62"/>
      <c r="V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57"/>
      <c r="N329" s="57"/>
      <c r="O329" s="57"/>
      <c r="P329" s="62"/>
      <c r="Q329" s="62"/>
      <c r="R329" s="62"/>
      <c r="S329" s="62"/>
      <c r="T329" s="62"/>
      <c r="U329" s="62"/>
      <c r="V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57"/>
      <c r="N330" s="57"/>
      <c r="O330" s="57"/>
      <c r="P330" s="62"/>
      <c r="Q330" s="62"/>
      <c r="R330" s="62"/>
      <c r="S330" s="62"/>
      <c r="T330" s="62"/>
      <c r="U330" s="62"/>
      <c r="V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57"/>
      <c r="N331" s="57"/>
      <c r="O331" s="57"/>
      <c r="P331" s="62"/>
      <c r="Q331" s="62"/>
      <c r="R331" s="62"/>
      <c r="S331" s="62"/>
      <c r="T331" s="62"/>
      <c r="U331" s="62"/>
      <c r="V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57"/>
      <c r="N332" s="57"/>
      <c r="O332" s="57"/>
      <c r="P332" s="62"/>
      <c r="Q332" s="62"/>
      <c r="R332" s="62"/>
      <c r="S332" s="62"/>
      <c r="T332" s="62"/>
      <c r="U332" s="62"/>
      <c r="V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57"/>
      <c r="N333" s="57"/>
      <c r="O333" s="57"/>
      <c r="P333" s="62"/>
      <c r="Q333" s="62"/>
      <c r="R333" s="62"/>
      <c r="S333" s="62"/>
      <c r="T333" s="62"/>
      <c r="U333" s="62"/>
      <c r="V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57"/>
      <c r="N334" s="57"/>
      <c r="O334" s="57"/>
      <c r="P334" s="62"/>
      <c r="Q334" s="62"/>
      <c r="R334" s="62"/>
      <c r="S334" s="62"/>
      <c r="T334" s="62"/>
      <c r="U334" s="62"/>
      <c r="V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57"/>
      <c r="N335" s="57"/>
      <c r="O335" s="57"/>
      <c r="P335" s="62"/>
      <c r="Q335" s="62"/>
      <c r="R335" s="62"/>
      <c r="S335" s="62"/>
      <c r="T335" s="62"/>
      <c r="U335" s="62"/>
      <c r="V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57"/>
      <c r="N336" s="57"/>
      <c r="O336" s="57"/>
      <c r="P336" s="62"/>
      <c r="Q336" s="62"/>
      <c r="R336" s="62"/>
      <c r="S336" s="62"/>
      <c r="T336" s="62"/>
      <c r="U336" s="62"/>
      <c r="V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57"/>
      <c r="N337" s="57"/>
      <c r="O337" s="57"/>
      <c r="P337" s="62"/>
      <c r="Q337" s="62"/>
      <c r="R337" s="62"/>
      <c r="S337" s="62"/>
      <c r="T337" s="62"/>
      <c r="U337" s="62"/>
      <c r="V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57"/>
      <c r="N338" s="57"/>
      <c r="O338" s="57"/>
      <c r="P338" s="62"/>
      <c r="Q338" s="62"/>
      <c r="R338" s="62"/>
      <c r="S338" s="62"/>
      <c r="T338" s="62"/>
      <c r="U338" s="62"/>
      <c r="V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57"/>
      <c r="N339" s="57"/>
      <c r="O339" s="57"/>
      <c r="P339" s="62"/>
      <c r="Q339" s="62"/>
      <c r="R339" s="62"/>
      <c r="S339" s="62"/>
      <c r="T339" s="62"/>
      <c r="U339" s="62"/>
      <c r="V339" s="62"/>
    </row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V$139"/>
  <dataValidations>
    <dataValidation type="list" allowBlank="1" showErrorMessage="1" sqref="J2:J138">
      <formula1>Condición</formula1>
    </dataValidation>
    <dataValidation type="list" allowBlank="1" showErrorMessage="1" sqref="K2:K138">
      <formula1>Cargadores</formula1>
    </dataValidation>
    <dataValidation type="list" allowBlank="1" showErrorMessage="1" sqref="B2:B138">
      <formula1>Lista_Números</formula1>
    </dataValidation>
    <dataValidation type="list" allowBlank="1" showErrorMessage="1" sqref="L2:L138">
      <formula1>Caja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86"/>
    <col customWidth="1" min="2" max="2" width="14.29"/>
    <col customWidth="1" min="3" max="3" width="9.71"/>
    <col customWidth="1" min="4" max="4" width="17.86"/>
    <col customWidth="1" min="5" max="5" width="26.86"/>
    <col customWidth="1" min="6" max="6" width="35.0"/>
    <col customWidth="1" min="7" max="7" width="30.29"/>
    <col customWidth="1" min="8" max="8" width="8.71"/>
    <col customWidth="1" min="9" max="9" width="48.57"/>
    <col customWidth="1" min="10" max="10" width="18.86"/>
    <col customWidth="1" min="11" max="11" width="11.71"/>
    <col customWidth="1" min="12" max="12" width="11.29"/>
    <col customWidth="1" min="13" max="13" width="23.29"/>
    <col customWidth="1" min="14" max="14" width="18.0"/>
    <col customWidth="1" min="15" max="15" width="16.86"/>
    <col customWidth="1" min="16" max="16" width="30.86"/>
    <col customWidth="1" min="17" max="17" width="36.57"/>
    <col customWidth="1" min="18" max="18" width="11.57"/>
    <col customWidth="1" min="19" max="19" width="31.86"/>
    <col customWidth="1" min="20" max="20" width="36.57"/>
    <col customWidth="1" min="21" max="21" width="34.14"/>
    <col customWidth="1" min="22" max="22" width="34.86"/>
  </cols>
  <sheetData>
    <row r="1">
      <c r="A1" s="1" t="s">
        <v>381</v>
      </c>
      <c r="B1" s="1" t="s">
        <v>162</v>
      </c>
      <c r="C1" s="1" t="s">
        <v>382</v>
      </c>
      <c r="D1" s="1" t="s">
        <v>383</v>
      </c>
      <c r="E1" s="1" t="s">
        <v>167</v>
      </c>
      <c r="F1" s="1" t="s">
        <v>385</v>
      </c>
      <c r="G1" s="1" t="s">
        <v>386</v>
      </c>
      <c r="H1" s="1" t="s">
        <v>387</v>
      </c>
      <c r="I1" s="1" t="s">
        <v>388</v>
      </c>
      <c r="J1" s="1" t="s">
        <v>389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395</v>
      </c>
      <c r="P1" s="1" t="s">
        <v>396</v>
      </c>
      <c r="Q1" s="1" t="s">
        <v>14</v>
      </c>
      <c r="R1" s="1" t="s">
        <v>6</v>
      </c>
      <c r="S1" s="1" t="s">
        <v>7</v>
      </c>
      <c r="T1" s="1" t="s">
        <v>9</v>
      </c>
      <c r="U1" s="1" t="s">
        <v>30</v>
      </c>
      <c r="V1" s="1" t="s">
        <v>31</v>
      </c>
    </row>
    <row r="2">
      <c r="A2" s="30" t="s">
        <v>150</v>
      </c>
      <c r="B2" s="31"/>
      <c r="C2" s="31"/>
      <c r="D2" s="31"/>
      <c r="E2" s="32"/>
      <c r="F2" s="30"/>
      <c r="G2" s="30" t="s">
        <v>401</v>
      </c>
      <c r="H2" s="30" t="s">
        <v>402</v>
      </c>
      <c r="I2" s="30"/>
      <c r="J2" s="30"/>
      <c r="K2" s="30"/>
      <c r="L2" s="30"/>
      <c r="M2" s="30"/>
      <c r="N2" s="30" t="s">
        <v>404</v>
      </c>
      <c r="O2" s="30"/>
      <c r="P2" s="33"/>
      <c r="Q2" s="30" t="str">
        <f t="array" ref="Q2">IF(OR($A2="",ISBLANK(XLOOKUP($A2,CPU_Asignado,Nombres_Directorio,"",0))),"",XLOOKUP($A2,CPU_Asignado,Nombres_Directorio,"",0))</f>
        <v>Ricardo Durán Ulloa</v>
      </c>
      <c r="R2" s="30" t="str">
        <f t="array" ref="R2">IF(OR($A2="",ISBLANK(XLOOKUP($A2,CPU_Asignado,Sucursal_Asignada,"",0))),"",XLOOKUP($A2,CPU_Asignado,Sucursal_Asignada,"",0))</f>
        <v>La Barca</v>
      </c>
      <c r="S2" s="30" t="str">
        <f t="array" ref="S2">IF(OR($A2="",ISBLANK(XLOOKUP($A2,CPU_Asignado,Departamento_Asignado,"",0))),"",XLOOKUP($A2,CPU_Asignado,Departamento_Asignado,"",0))</f>
        <v>Corporativo</v>
      </c>
      <c r="T2" s="30" t="str">
        <f t="array" ref="T2">IF(OR($A2="",ISBLANK(XLOOKUP($A2,CPU_Asignado,Nombres_Directorio,"",0))),"",XLOOKUP($A2,CPU_Asignado,Nombres_Directorio,"",0))</f>
        <v>Ricardo Durán Ulloa</v>
      </c>
      <c r="U2" s="30" t="str">
        <f t="array" ref="U2">IF(OR($A2="",ISBLANK(XLOOKUP($A2,CPU_Asignado,Correos_Gmail,"",0))),"",XLOOKUP($A2,CPU_Asignado,Correos_Gmail,"",0))</f>
        <v>rduran.agro@gmail.com</v>
      </c>
      <c r="V2" s="30" t="str">
        <f t="array" ref="V2">IF(OR($A2="",ISBLANK(XLOOKUP($A2,CPU_Asignado,Correos_Institucionales,"",0))),"",XLOOKUP($A2,CPU_Asignado,Correos_Institucionales,"",0))</f>
        <v>ricardo.duran@agrocisa.com.mx</v>
      </c>
    </row>
    <row r="3">
      <c r="A3" s="7" t="s">
        <v>128</v>
      </c>
      <c r="B3" s="28"/>
      <c r="C3" s="28"/>
      <c r="D3" s="28"/>
      <c r="E3" s="36" t="s">
        <v>444</v>
      </c>
      <c r="F3" s="7" t="s">
        <v>445</v>
      </c>
      <c r="G3" s="7" t="s">
        <v>447</v>
      </c>
      <c r="H3" s="7" t="s">
        <v>448</v>
      </c>
      <c r="I3" s="7" t="s">
        <v>449</v>
      </c>
      <c r="J3" s="7" t="s">
        <v>451</v>
      </c>
      <c r="K3" s="7" t="s">
        <v>454</v>
      </c>
      <c r="L3" s="7" t="s">
        <v>455</v>
      </c>
      <c r="M3" s="7" t="s">
        <v>456</v>
      </c>
      <c r="N3" s="7" t="s">
        <v>457</v>
      </c>
      <c r="O3" s="7"/>
      <c r="P3" s="7" t="s">
        <v>458</v>
      </c>
      <c r="Q3" s="7" t="str">
        <f t="array" ref="Q3">IF(OR($A3="",ISBLANK(XLOOKUP($A3,CPU_Asignado,Nombres_Directorio,"",0))),"",XLOOKUP($A3,CPU_Asignado,Nombres_Directorio,"",0))</f>
        <v>Kathya Margarita Cerpa Velazco</v>
      </c>
      <c r="R3" s="7" t="str">
        <f t="array" ref="R3">IF(OR($A3="",ISBLANK(XLOOKUP($A3,CPU_Asignado,Sucursal_Asignada,"",0))),"",XLOOKUP($A3,CPU_Asignado,Sucursal_Asignada,"",0))</f>
        <v>La Barca</v>
      </c>
      <c r="S3" s="7" t="str">
        <f t="array" ref="S3">IF(OR($A3="",ISBLANK(XLOOKUP($A3,CPU_Asignado,Departamento_Asignado,"",0))),"",XLOOKUP($A3,CPU_Asignado,Departamento_Asignado,"",0))</f>
        <v>Corporativo</v>
      </c>
      <c r="T3" s="7" t="str">
        <f t="array" ref="T3">IF(OR($A3="",ISBLANK(XLOOKUP($A3,CPU_Asignado,Nombres_Directorio,"",0))),"",XLOOKUP($A3,CPU_Asignado,Nombres_Directorio,"",0))</f>
        <v>Kathya Margarita Cerpa Velazco</v>
      </c>
      <c r="U3" s="7" t="str">
        <f t="array" ref="U3">IF(OR($A3="",ISBLANK(XLOOKUP($A3,CPU_Asignado,Correos_Gmail,"",0))),"",XLOOKUP($A3,CPU_Asignado,Correos_Gmail,"",0))</f>
        <v>kacerpa.agro@gmail.com</v>
      </c>
      <c r="V3" s="7" t="str">
        <f t="array" ref="V3">IF(OR($A3="",ISBLANK(XLOOKUP($A3,CPU_Asignado,Correos_Institucionales,"",0))),"",XLOOKUP($A3,CPU_Asignado,Correos_Institucionales,"",0))</f>
        <v>kathya.cerpa@agrocisa.com.mx</v>
      </c>
    </row>
    <row r="4">
      <c r="A4" s="7" t="s">
        <v>492</v>
      </c>
      <c r="B4" s="28"/>
      <c r="C4" s="28"/>
      <c r="D4" s="28"/>
      <c r="E4" s="36" t="s">
        <v>444</v>
      </c>
      <c r="F4" s="7" t="s">
        <v>494</v>
      </c>
      <c r="G4" s="7" t="s">
        <v>495</v>
      </c>
      <c r="H4" s="7" t="s">
        <v>448</v>
      </c>
      <c r="I4" s="7" t="s">
        <v>496</v>
      </c>
      <c r="J4" s="7" t="s">
        <v>497</v>
      </c>
      <c r="K4" s="7" t="s">
        <v>499</v>
      </c>
      <c r="L4" s="7" t="s">
        <v>242</v>
      </c>
      <c r="M4" s="7" t="s">
        <v>500</v>
      </c>
      <c r="N4" s="7" t="s">
        <v>501</v>
      </c>
      <c r="O4" s="7"/>
      <c r="P4" s="7" t="s">
        <v>503</v>
      </c>
      <c r="Q4" s="7" t="str">
        <f t="array" ref="Q4">IF(OR($A4="",ISBLANK(XLOOKUP($A4,CPU_Asignado,Nombres_Directorio,"",0))),"",XLOOKUP($A4,CPU_Asignado,Nombres_Directorio,"",0))</f>
        <v/>
      </c>
      <c r="R4" s="7" t="str">
        <f t="array" ref="R4">IF(OR($A4="",ISBLANK(XLOOKUP($A4,CPU_Asignado,Sucursal_Asignada,"",0))),"",XLOOKUP($A4,CPU_Asignado,Sucursal_Asignada,"",0))</f>
        <v/>
      </c>
      <c r="S4" s="7" t="str">
        <f t="array" ref="S4">IF(OR($A4="",ISBLANK(XLOOKUP($A4,CPU_Asignado,Departamento_Asignado,"",0))),"",XLOOKUP($A4,CPU_Asignado,Departamento_Asignado,"",0))</f>
        <v/>
      </c>
      <c r="T4" s="7" t="str">
        <f t="array" ref="T4">IF(OR($A4="",ISBLANK(XLOOKUP($A4,CPU_Asignado,Nombres_Directorio,"",0))),"",XLOOKUP($A4,CPU_Asignado,Nombres_Directorio,"",0))</f>
        <v/>
      </c>
      <c r="U4" s="7" t="str">
        <f t="array" ref="U4">IF(OR($A4="",ISBLANK(XLOOKUP($A4,CPU_Asignado,Correos_Gmail,"",0))),"",XLOOKUP($A4,CPU_Asignado,Correos_Gmail,"",0))</f>
        <v/>
      </c>
      <c r="V4" s="7" t="str">
        <f t="array" ref="V4">IF(OR($A4="",ISBLANK(XLOOKUP($A4,CPU_Asignado,Correos_Institucionales,"",0))),"",XLOOKUP($A4,CPU_Asignado,Correos_Institucionales,"",0))</f>
        <v/>
      </c>
    </row>
    <row r="5">
      <c r="A5" s="7" t="s">
        <v>537</v>
      </c>
      <c r="B5" s="28"/>
      <c r="C5" s="28"/>
      <c r="D5" s="28"/>
      <c r="E5" s="36" t="s">
        <v>444</v>
      </c>
      <c r="F5" s="7" t="s">
        <v>539</v>
      </c>
      <c r="G5" s="7" t="s">
        <v>540</v>
      </c>
      <c r="H5" s="7" t="s">
        <v>541</v>
      </c>
      <c r="I5" s="7" t="s">
        <v>542</v>
      </c>
      <c r="J5" s="7" t="s">
        <v>544</v>
      </c>
      <c r="K5" s="7" t="s">
        <v>499</v>
      </c>
      <c r="L5" s="7" t="s">
        <v>242</v>
      </c>
      <c r="M5" s="7" t="s">
        <v>500</v>
      </c>
      <c r="N5" s="7" t="s">
        <v>546</v>
      </c>
      <c r="O5" s="7" t="s">
        <v>547</v>
      </c>
      <c r="P5" s="7" t="s">
        <v>503</v>
      </c>
      <c r="Q5" s="7" t="str">
        <f t="array" ref="Q5">IF(OR($A5="",ISBLANK(XLOOKUP($A5,CPU_Asignado,Nombres_Directorio,"",0))),"",XLOOKUP($A5,CPU_Asignado,Nombres_Directorio,"",0))</f>
        <v/>
      </c>
      <c r="R5" s="7" t="str">
        <f t="array" ref="R5">IF(OR($A5="",ISBLANK(XLOOKUP($A5,CPU_Asignado,Sucursal_Asignada,"",0))),"",XLOOKUP($A5,CPU_Asignado,Sucursal_Asignada,"",0))</f>
        <v/>
      </c>
      <c r="S5" s="7" t="str">
        <f t="array" ref="S5">IF(OR($A5="",ISBLANK(XLOOKUP($A5,CPU_Asignado,Departamento_Asignado,"",0))),"",XLOOKUP($A5,CPU_Asignado,Departamento_Asignado,"",0))</f>
        <v/>
      </c>
      <c r="T5" s="7" t="str">
        <f t="array" ref="T5">IF(OR($A5="",ISBLANK(XLOOKUP($A5,CPU_Asignado,Nombres_Directorio,"",0))),"",XLOOKUP($A5,CPU_Asignado,Nombres_Directorio,"",0))</f>
        <v/>
      </c>
      <c r="U5" s="7" t="str">
        <f t="array" ref="U5">IF(OR($A5="",ISBLANK(XLOOKUP($A5,CPU_Asignado,Correos_Gmail,"",0))),"",XLOOKUP($A5,CPU_Asignado,Correos_Gmail,"",0))</f>
        <v/>
      </c>
      <c r="V5" s="7" t="str">
        <f t="array" ref="V5">IF(OR($A5="",ISBLANK(XLOOKUP($A5,CPU_Asignado,Correos_Institucionales,"",0))),"",XLOOKUP($A5,CPU_Asignado,Correos_Institucionales,"",0))</f>
        <v/>
      </c>
    </row>
    <row r="6">
      <c r="A6" s="37" t="s">
        <v>489</v>
      </c>
      <c r="B6" s="38"/>
      <c r="C6" s="38"/>
      <c r="D6" s="38"/>
      <c r="E6" s="36" t="s">
        <v>444</v>
      </c>
      <c r="F6" s="7" t="s">
        <v>580</v>
      </c>
      <c r="G6" s="7" t="s">
        <v>581</v>
      </c>
      <c r="H6" s="7" t="s">
        <v>448</v>
      </c>
      <c r="I6" s="7" t="s">
        <v>582</v>
      </c>
      <c r="J6" s="7" t="s">
        <v>497</v>
      </c>
      <c r="K6" s="7" t="s">
        <v>499</v>
      </c>
      <c r="L6" s="7" t="s">
        <v>455</v>
      </c>
      <c r="M6" s="7" t="s">
        <v>500</v>
      </c>
      <c r="N6" s="7" t="s">
        <v>586</v>
      </c>
      <c r="O6" s="7"/>
      <c r="P6" s="7" t="s">
        <v>587</v>
      </c>
      <c r="Q6" s="7" t="str">
        <f t="array" ref="Q6">IF(OR($A6="",ISBLANK(XLOOKUP($A6,CPU_Asignado,Nombres_Directorio,"",0))),"",XLOOKUP($A6,CPU_Asignado,Nombres_Directorio,"",0))</f>
        <v>Félix Antonio Román Becerra</v>
      </c>
      <c r="R6" s="7" t="str">
        <f t="array" ref="R6">IF(OR($A6="",ISBLANK(XLOOKUP($A6,CPU_Asignado,Sucursal_Asignada,"",0))),"",XLOOKUP($A6,CPU_Asignado,Sucursal_Asignada,"",0))</f>
        <v>La Barca</v>
      </c>
      <c r="S6" s="7" t="str">
        <f t="array" ref="S6">IF(OR($A6="",ISBLANK(XLOOKUP($A6,CPU_Asignado,Departamento_Asignado,"",0))),"",XLOOKUP($A6,CPU_Asignado,Departamento_Asignado,"",0))</f>
        <v>Refacciones</v>
      </c>
      <c r="T6" s="7" t="str">
        <f t="array" ref="T6">IF(OR($A6="",ISBLANK(XLOOKUP($A6,CPU_Asignado,Nombres_Directorio,"",0))),"",XLOOKUP($A6,CPU_Asignado,Nombres_Directorio,"",0))</f>
        <v>Félix Antonio Román Becerra</v>
      </c>
      <c r="U6" s="7" t="str">
        <f t="array" ref="U6">IF(OR($A6="",ISBLANK(XLOOKUP($A6,CPU_Asignado,Correos_Gmail,"",0))),"",XLOOKUP($A6,CPU_Asignado,Correos_Gmail,"",0))</f>
        <v>felix.roman@agrocisa.com.mx</v>
      </c>
      <c r="V6" s="7" t="str">
        <f t="array" ref="V6">IF(OR($A6="",ISBLANK(XLOOKUP($A6,CPU_Asignado,Correos_Institucionales,"",0))),"",XLOOKUP($A6,CPU_Asignado,Correos_Institucionales,"",0))</f>
        <v>felix.roman@agrocisa.com.mx</v>
      </c>
    </row>
    <row r="7">
      <c r="A7" s="7" t="s">
        <v>376</v>
      </c>
      <c r="B7" s="28"/>
      <c r="C7" s="28"/>
      <c r="D7" s="28"/>
      <c r="E7" s="36" t="s">
        <v>444</v>
      </c>
      <c r="F7" s="7" t="s">
        <v>445</v>
      </c>
      <c r="G7" s="7" t="s">
        <v>619</v>
      </c>
      <c r="H7" s="7" t="s">
        <v>541</v>
      </c>
      <c r="I7" s="7" t="s">
        <v>621</v>
      </c>
      <c r="J7" s="7" t="s">
        <v>497</v>
      </c>
      <c r="K7" s="7" t="s">
        <v>499</v>
      </c>
      <c r="L7" s="7" t="s">
        <v>455</v>
      </c>
      <c r="M7" s="7" t="s">
        <v>500</v>
      </c>
      <c r="N7" s="7" t="s">
        <v>624</v>
      </c>
      <c r="O7" s="7"/>
      <c r="P7" s="7" t="s">
        <v>625</v>
      </c>
      <c r="Q7" s="7" t="str">
        <f t="array" ref="Q7">IF(OR($A7="",ISBLANK(XLOOKUP($A7,CPU_Asignado,Nombres_Directorio,"",0))),"",XLOOKUP($A7,CPU_Asignado,Nombres_Directorio,"",0))</f>
        <v>Mariana Esmeralda Garcia Alvarado</v>
      </c>
      <c r="R7" s="7" t="str">
        <f t="array" ref="R7">IF(OR($A7="",ISBLANK(XLOOKUP($A7,CPU_Asignado,Sucursal_Asignada,"",0))),"",XLOOKUP($A7,CPU_Asignado,Sucursal_Asignada,"",0))</f>
        <v>La Barca</v>
      </c>
      <c r="S7" s="7" t="str">
        <f t="array" ref="S7">IF(OR($A7="",ISBLANK(XLOOKUP($A7,CPU_Asignado,Departamento_Asignado,"",0))),"",XLOOKUP($A7,CPU_Asignado,Departamento_Asignado,"",0))</f>
        <v>Maquinaria Agrícola</v>
      </c>
      <c r="T7" s="7" t="str">
        <f t="array" ref="T7">IF(OR($A7="",ISBLANK(XLOOKUP($A7,CPU_Asignado,Nombres_Directorio,"",0))),"",XLOOKUP($A7,CPU_Asignado,Nombres_Directorio,"",0))</f>
        <v>Mariana Esmeralda Garcia Alvarado</v>
      </c>
      <c r="U7" s="7" t="str">
        <f t="array" ref="U7">IF(OR($A7="",ISBLANK(XLOOKUP($A7,CPU_Asignado,Correos_Gmail,"",0))),"",XLOOKUP($A7,CPU_Asignado,Correos_Gmail,"",0))</f>
        <v>recepcion@agrocisa.com.mx</v>
      </c>
      <c r="V7" s="7" t="str">
        <f t="array" ref="V7">IF(OR($A7="",ISBLANK(XLOOKUP($A7,CPU_Asignado,Correos_Institucionales,"",0))),"",XLOOKUP($A7,CPU_Asignado,Correos_Institucionales,"",0))</f>
        <v>recepcion@agrocisa.com.mx</v>
      </c>
    </row>
    <row r="8">
      <c r="A8" s="37" t="s">
        <v>663</v>
      </c>
      <c r="B8" s="38"/>
      <c r="C8" s="38"/>
      <c r="D8" s="38"/>
      <c r="E8" s="36" t="s">
        <v>444</v>
      </c>
      <c r="F8" s="7" t="s">
        <v>445</v>
      </c>
      <c r="G8" s="7" t="s">
        <v>667</v>
      </c>
      <c r="H8" s="7" t="s">
        <v>448</v>
      </c>
      <c r="I8" s="7" t="s">
        <v>669</v>
      </c>
      <c r="J8" s="7" t="s">
        <v>497</v>
      </c>
      <c r="K8" s="7" t="s">
        <v>499</v>
      </c>
      <c r="L8" s="7" t="s">
        <v>455</v>
      </c>
      <c r="M8" s="7" t="s">
        <v>454</v>
      </c>
      <c r="N8" s="7" t="s">
        <v>672</v>
      </c>
      <c r="O8" s="7" t="s">
        <v>673</v>
      </c>
      <c r="P8" s="7" t="s">
        <v>674</v>
      </c>
      <c r="Q8" s="7" t="str">
        <f t="array" ref="Q8">IF(OR($A8="",ISBLANK(XLOOKUP($A8,CPU_Asignado,Nombres_Directorio,"",0))),"",XLOOKUP($A8,CPU_Asignado,Nombres_Directorio,"",0))</f>
        <v/>
      </c>
      <c r="R8" s="7" t="str">
        <f t="array" ref="R8">IF(OR($A8="",ISBLANK(XLOOKUP($A8,CPU_Asignado,Sucursal_Asignada,"",0))),"",XLOOKUP($A8,CPU_Asignado,Sucursal_Asignada,"",0))</f>
        <v/>
      </c>
      <c r="S8" s="7" t="str">
        <f t="array" ref="S8">IF(OR($A8="",ISBLANK(XLOOKUP($A8,CPU_Asignado,Departamento_Asignado,"",0))),"",XLOOKUP($A8,CPU_Asignado,Departamento_Asignado,"",0))</f>
        <v/>
      </c>
      <c r="T8" s="7" t="str">
        <f t="array" ref="T8">IF(OR($A8="",ISBLANK(XLOOKUP($A8,CPU_Asignado,Nombres_Directorio,"",0))),"",XLOOKUP($A8,CPU_Asignado,Nombres_Directorio,"",0))</f>
        <v/>
      </c>
      <c r="U8" s="7" t="str">
        <f t="array" ref="U8">IF(OR($A8="",ISBLANK(XLOOKUP($A8,CPU_Asignado,Correos_Gmail,"",0))),"",XLOOKUP($A8,CPU_Asignado,Correos_Gmail,"",0))</f>
        <v/>
      </c>
      <c r="V8" s="7" t="str">
        <f t="array" ref="V8">IF(OR($A8="",ISBLANK(XLOOKUP($A8,CPU_Asignado,Correos_Institucionales,"",0))),"",XLOOKUP($A8,CPU_Asignado,Correos_Institucionales,"",0))</f>
        <v/>
      </c>
    </row>
    <row r="9">
      <c r="A9" s="7" t="s">
        <v>397</v>
      </c>
      <c r="B9" s="28"/>
      <c r="C9" s="28">
        <v>4500.0</v>
      </c>
      <c r="D9" s="28"/>
      <c r="E9" s="36" t="s">
        <v>721</v>
      </c>
      <c r="F9" s="7" t="s">
        <v>445</v>
      </c>
      <c r="G9" s="7" t="s">
        <v>495</v>
      </c>
      <c r="H9" s="7" t="s">
        <v>448</v>
      </c>
      <c r="I9" s="7" t="s">
        <v>449</v>
      </c>
      <c r="J9" s="7" t="s">
        <v>723</v>
      </c>
      <c r="K9" s="7" t="s">
        <v>499</v>
      </c>
      <c r="L9" s="7" t="s">
        <v>455</v>
      </c>
      <c r="M9" s="7" t="s">
        <v>454</v>
      </c>
      <c r="N9" s="40" t="s">
        <v>727</v>
      </c>
      <c r="O9" s="7"/>
      <c r="P9" s="7" t="s">
        <v>729</v>
      </c>
      <c r="Q9" s="7" t="str">
        <f t="array" ref="Q9">IF(OR($A9="",ISBLANK(XLOOKUP($A9,CPU_Asignado,Nombres_Directorio,"",0))),"",XLOOKUP($A9,CPU_Asignado,Nombres_Directorio,"",0))</f>
        <v>Arleth Paola Martínez Carreón</v>
      </c>
      <c r="R9" s="7" t="str">
        <f t="array" ref="R9">IF(OR($A9="",ISBLANK(XLOOKUP($A9,CPU_Asignado,Sucursal_Asignada,"",0))),"",XLOOKUP($A9,CPU_Asignado,Sucursal_Asignada,"",0))</f>
        <v>La Barca</v>
      </c>
      <c r="S9" s="7" t="str">
        <f t="array" ref="S9">IF(OR($A9="",ISBLANK(XLOOKUP($A9,CPU_Asignado,Departamento_Asignado,"",0))),"",XLOOKUP($A9,CPU_Asignado,Departamento_Asignado,"",0))</f>
        <v>Maquinaria Agrícola y Construcción</v>
      </c>
      <c r="T9" s="7" t="str">
        <f t="array" ref="T9">IF(OR($A9="",ISBLANK(XLOOKUP($A9,CPU_Asignado,Nombres_Directorio,"",0))),"",XLOOKUP($A9,CPU_Asignado,Nombres_Directorio,"",0))</f>
        <v>Arleth Paola Martínez Carreón</v>
      </c>
      <c r="U9" s="7" t="str">
        <f t="array" ref="U9">IF(OR($A9="",ISBLANK(XLOOKUP($A9,CPU_Asignado,Correos_Gmail,"",0))),"",XLOOKUP($A9,CPU_Asignado,Correos_Gmail,"",0))</f>
        <v>ventaslabarca@agrocisa.com.mx</v>
      </c>
      <c r="V9" s="7" t="str">
        <f t="array" ref="V9">IF(OR($A9="",ISBLANK(XLOOKUP($A9,CPU_Asignado,Correos_Institucionales,"",0))),"",XLOOKUP($A9,CPU_Asignado,Correos_Institucionales,"",0))</f>
        <v>ventaslabarca@agrocisa.com.mx</v>
      </c>
    </row>
    <row r="10">
      <c r="A10" s="7" t="s">
        <v>293</v>
      </c>
      <c r="B10" s="28"/>
      <c r="C10" s="28"/>
      <c r="D10" s="28"/>
      <c r="E10" s="36" t="s">
        <v>444</v>
      </c>
      <c r="F10" s="7"/>
      <c r="G10" s="7"/>
      <c r="H10" s="7"/>
      <c r="I10" s="7"/>
      <c r="J10" s="7"/>
      <c r="K10" s="7"/>
      <c r="L10" s="7"/>
      <c r="M10" s="7"/>
      <c r="N10" s="7" t="s">
        <v>762</v>
      </c>
      <c r="O10" s="7"/>
      <c r="P10" s="7" t="s">
        <v>674</v>
      </c>
      <c r="Q10" s="7" t="str">
        <f t="array" ref="Q10">IF(OR($A10="",ISBLANK(XLOOKUP($A10,CPU_Asignado,Nombres_Directorio,"",0))),"",XLOOKUP($A10,CPU_Asignado,Nombres_Directorio,"",0))</f>
        <v>Lucia Barboza Santiago</v>
      </c>
      <c r="R10" s="7" t="str">
        <f t="array" ref="R10">IF(OR($A10="",ISBLANK(XLOOKUP($A10,CPU_Asignado,Sucursal_Asignada,"",0))),"",XLOOKUP($A10,CPU_Asignado,Sucursal_Asignada,"",0))</f>
        <v>La Barca</v>
      </c>
      <c r="S10" s="7" t="str">
        <f t="array" ref="S10">IF(OR($A10="",ISBLANK(XLOOKUP($A10,CPU_Asignado,Departamento_Asignado,"",0))),"",XLOOKUP($A10,CPU_Asignado,Departamento_Asignado,"",0))</f>
        <v>Crédito y Cobranza</v>
      </c>
      <c r="T10" s="7" t="str">
        <f t="array" ref="T10">IF(OR($A10="",ISBLANK(XLOOKUP($A10,CPU_Asignado,Nombres_Directorio,"",0))),"",XLOOKUP($A10,CPU_Asignado,Nombres_Directorio,"",0))</f>
        <v>Lucia Barboza Santiago</v>
      </c>
      <c r="U10" s="7" t="str">
        <f t="array" ref="U10">IF(OR($A10="",ISBLANK(XLOOKUP($A10,CPU_Asignado,Correos_Gmail,"",0))),"",XLOOKUP($A10,CPU_Asignado,Correos_Gmail,"",0))</f>
        <v>lbarboza.agro@gmail.com</v>
      </c>
      <c r="V10" s="7" t="str">
        <f t="array" ref="V10">IF(OR($A10="",ISBLANK(XLOOKUP($A10,CPU_Asignado,Correos_Institucionales,"",0))),"",XLOOKUP($A10,CPU_Asignado,Correos_Institucionales,"",0))</f>
        <v>lucia.barboza@agrocisa.com.mx</v>
      </c>
    </row>
    <row r="11">
      <c r="A11" s="7" t="s">
        <v>597</v>
      </c>
      <c r="B11" s="28" t="s">
        <v>788</v>
      </c>
      <c r="C11" s="28">
        <v>4500.0</v>
      </c>
      <c r="D11" s="28"/>
      <c r="E11" s="36" t="s">
        <v>444</v>
      </c>
      <c r="F11" s="7" t="s">
        <v>445</v>
      </c>
      <c r="G11" s="7" t="s">
        <v>495</v>
      </c>
      <c r="H11" s="7" t="s">
        <v>448</v>
      </c>
      <c r="I11" s="7" t="s">
        <v>791</v>
      </c>
      <c r="J11" s="7" t="s">
        <v>497</v>
      </c>
      <c r="K11" s="7" t="s">
        <v>499</v>
      </c>
      <c r="L11" s="7" t="s">
        <v>455</v>
      </c>
      <c r="M11" s="7" t="s">
        <v>500</v>
      </c>
      <c r="N11" s="7" t="s">
        <v>794</v>
      </c>
      <c r="O11" s="7"/>
      <c r="P11" s="7" t="s">
        <v>587</v>
      </c>
      <c r="Q11" s="7" t="str">
        <f t="array" ref="Q11">IF(OR($A11="",ISBLANK(XLOOKUP($A11,CPU_Asignado,Nombres_Directorio,"",0))),"",XLOOKUP($A11,CPU_Asignado,Nombres_Directorio,"",0))</f>
        <v>Rafael Godínez Ramirez</v>
      </c>
      <c r="R11" s="7" t="str">
        <f t="array" ref="R11">IF(OR($A11="",ISBLANK(XLOOKUP($A11,CPU_Asignado,Sucursal_Asignada,"",0))),"",XLOOKUP($A11,CPU_Asignado,Sucursal_Asignada,"",0))</f>
        <v>La Piedad</v>
      </c>
      <c r="S11" s="7" t="str">
        <f t="array" ref="S11">IF(OR($A11="",ISBLANK(XLOOKUP($A11,CPU_Asignado,Departamento_Asignado,"",0))),"",XLOOKUP($A11,CPU_Asignado,Departamento_Asignado,"",0))</f>
        <v>Maquinaria Agrícola</v>
      </c>
      <c r="T11" s="7" t="str">
        <f t="array" ref="T11">IF(OR($A11="",ISBLANK(XLOOKUP($A11,CPU_Asignado,Nombres_Directorio,"",0))),"",XLOOKUP($A11,CPU_Asignado,Nombres_Directorio,"",0))</f>
        <v>Rafael Godínez Ramirez</v>
      </c>
      <c r="U11" s="7" t="str">
        <f t="array" ref="U11">IF(OR($A11="",ISBLANK(XLOOKUP($A11,CPU_Asignado,Correos_Gmail,"",0))),"",XLOOKUP($A11,CPU_Asignado,Correos_Gmail,"",0))</f>
        <v>zonabajiolp14@agrocisa.com.mx</v>
      </c>
      <c r="V11" s="7" t="str">
        <f t="array" ref="V11">IF(OR($A11="",ISBLANK(XLOOKUP($A11,CPU_Asignado,Correos_Institucionales,"",0))),"",XLOOKUP($A11,CPU_Asignado,Correos_Institucionales,"",0))</f>
        <v>zonabajiolp14@agrocisa.com.mx</v>
      </c>
    </row>
    <row r="12">
      <c r="A12" s="40" t="s">
        <v>101</v>
      </c>
      <c r="B12" s="41"/>
      <c r="C12" s="41"/>
      <c r="D12" s="41"/>
      <c r="E12" s="42" t="s">
        <v>444</v>
      </c>
      <c r="F12" s="40"/>
      <c r="G12" s="40"/>
      <c r="H12" s="40"/>
      <c r="I12" s="40"/>
      <c r="J12" s="40"/>
      <c r="K12" s="40"/>
      <c r="L12" s="40"/>
      <c r="M12" s="40"/>
      <c r="N12" s="40" t="s">
        <v>835</v>
      </c>
      <c r="O12" s="40"/>
      <c r="P12" s="40" t="s">
        <v>836</v>
      </c>
      <c r="Q12" s="40" t="str">
        <f t="array" ref="Q12">IF(OR($A12="",ISBLANK(XLOOKUP($A12,CPU_Asignado,Nombres_Directorio,"",0))),"",XLOOKUP($A12,CPU_Asignado,Nombres_Directorio,"",0))</f>
        <v>Alejandra Guadalupe Estrada Lomelí</v>
      </c>
      <c r="R12" s="40" t="str">
        <f t="array" ref="R12">IF(OR($A12="",ISBLANK(XLOOKUP($A12,CPU_Asignado,Sucursal_Asignada,"",0))),"",XLOOKUP($A12,CPU_Asignado,Sucursal_Asignada,"",0))</f>
        <v>La Barca</v>
      </c>
      <c r="S12" s="40" t="str">
        <f t="array" ref="S12">IF(OR($A12="",ISBLANK(XLOOKUP($A12,CPU_Asignado,Departamento_Asignado,"",0))),"",XLOOKUP($A12,CPU_Asignado,Departamento_Asignado,"",0))</f>
        <v>Contabilidad</v>
      </c>
      <c r="T12" s="40" t="str">
        <f t="array" ref="T12">IF(OR($A12="",ISBLANK(XLOOKUP($A12,CPU_Asignado,Nombres_Directorio,"",0))),"",XLOOKUP($A12,CPU_Asignado,Nombres_Directorio,"",0))</f>
        <v>Alejandra Guadalupe Estrada Lomelí</v>
      </c>
      <c r="U12" s="40" t="str">
        <f t="array" ref="U12">IF(OR($A12="",ISBLANK(XLOOKUP($A12,CPU_Asignado,Correos_Gmail,"",0))),"",XLOOKUP($A12,CPU_Asignado,Correos_Gmail,"",0))</f>
        <v/>
      </c>
      <c r="V12" s="40" t="str">
        <f t="array" ref="V12">IF(OR($A12="",ISBLANK(XLOOKUP($A12,CPU_Asignado,Correos_Institucionales,"",0))),"",XLOOKUP($A12,CPU_Asignado,Correos_Institucionales,"",0))</f>
        <v>alejandra.estrada@agrocisa.com.mx</v>
      </c>
    </row>
    <row r="13">
      <c r="A13" s="7" t="s">
        <v>110</v>
      </c>
      <c r="B13" s="28"/>
      <c r="C13" s="28"/>
      <c r="D13" s="28"/>
      <c r="E13" s="36" t="s">
        <v>444</v>
      </c>
      <c r="F13" s="7" t="s">
        <v>580</v>
      </c>
      <c r="G13" s="7" t="s">
        <v>868</v>
      </c>
      <c r="H13" s="7" t="s">
        <v>448</v>
      </c>
      <c r="I13" s="7" t="s">
        <v>869</v>
      </c>
      <c r="J13" s="7" t="s">
        <v>451</v>
      </c>
      <c r="K13" s="7" t="s">
        <v>454</v>
      </c>
      <c r="L13" s="7" t="s">
        <v>455</v>
      </c>
      <c r="M13" s="7" t="s">
        <v>456</v>
      </c>
      <c r="N13" s="7" t="s">
        <v>870</v>
      </c>
      <c r="O13" s="7"/>
      <c r="P13" s="7" t="s">
        <v>836</v>
      </c>
      <c r="Q13" s="7" t="str">
        <f t="array" ref="Q13">IF(OR($A13="",ISBLANK(XLOOKUP($A13,CPU_Asignado,Nombres_Directorio,"",0))),"",XLOOKUP($A13,CPU_Asignado,Nombres_Directorio,"",0))</f>
        <v>Nancy Esmeralda Carrillo González</v>
      </c>
      <c r="R13" s="7" t="str">
        <f t="array" ref="R13">IF(OR($A13="",ISBLANK(XLOOKUP($A13,CPU_Asignado,Sucursal_Asignada,"",0))),"",XLOOKUP($A13,CPU_Asignado,Sucursal_Asignada,"",0))</f>
        <v>La Barca</v>
      </c>
      <c r="S13" s="7" t="str">
        <f t="array" ref="S13">IF(OR($A13="",ISBLANK(XLOOKUP($A13,CPU_Asignado,Departamento_Asignado,"",0))),"",XLOOKUP($A13,CPU_Asignado,Departamento_Asignado,"",0))</f>
        <v>Contabilidad</v>
      </c>
      <c r="T13" s="7" t="str">
        <f t="array" ref="T13">IF(OR($A13="",ISBLANK(XLOOKUP($A13,CPU_Asignado,Nombres_Directorio,"",0))),"",XLOOKUP($A13,CPU_Asignado,Nombres_Directorio,"",0))</f>
        <v>Nancy Esmeralda Carrillo González</v>
      </c>
      <c r="U13" s="7" t="str">
        <f t="array" ref="U13">IF(OR($A13="",ISBLANK(XLOOKUP($A13,CPU_Asignado,Correos_Gmail,"",0))),"",XLOOKUP($A13,CPU_Asignado,Correos_Gmail,"",0))</f>
        <v>ncarrillo.agro@gmail.com</v>
      </c>
      <c r="V13" s="7" t="str">
        <f t="array" ref="V13">IF(OR($A13="",ISBLANK(XLOOKUP($A13,CPU_Asignado,Correos_Institucionales,"",0))),"",XLOOKUP($A13,CPU_Asignado,Correos_Institucionales,"",0))</f>
        <v>nancy.carrillo@agrocisa.com.mx</v>
      </c>
    </row>
    <row r="14">
      <c r="A14" s="40" t="s">
        <v>105</v>
      </c>
      <c r="B14" s="41"/>
      <c r="C14" s="41">
        <v>5000.0</v>
      </c>
      <c r="D14" s="41"/>
      <c r="E14" s="42" t="s">
        <v>873</v>
      </c>
      <c r="F14" s="40"/>
      <c r="G14" s="40"/>
      <c r="H14" s="40"/>
      <c r="I14" s="40"/>
      <c r="J14" s="40"/>
      <c r="K14" s="40"/>
      <c r="L14" s="40"/>
      <c r="M14" s="40" t="s">
        <v>456</v>
      </c>
      <c r="N14" s="40" t="s">
        <v>874</v>
      </c>
      <c r="O14" s="40"/>
      <c r="P14" s="40" t="s">
        <v>836</v>
      </c>
      <c r="Q14" s="40" t="str">
        <f t="array" ref="Q14">IF(OR($A14="",ISBLANK(XLOOKUP($A14,CPU_Asignado,Nombres_Directorio,"",0))),"",XLOOKUP($A14,CPU_Asignado,Nombres_Directorio,"",0))</f>
        <v>María Rodríguez González</v>
      </c>
      <c r="R14" s="40" t="str">
        <f t="array" ref="R14">IF(OR($A14="",ISBLANK(XLOOKUP($A14,CPU_Asignado,Sucursal_Asignada,"",0))),"",XLOOKUP($A14,CPU_Asignado,Sucursal_Asignada,"",0))</f>
        <v>La Barca</v>
      </c>
      <c r="S14" s="40" t="str">
        <f t="array" ref="S14">IF(OR($A14="",ISBLANK(XLOOKUP($A14,CPU_Asignado,Departamento_Asignado,"",0))),"",XLOOKUP($A14,CPU_Asignado,Departamento_Asignado,"",0))</f>
        <v>Contabilidad</v>
      </c>
      <c r="T14" s="40" t="str">
        <f t="array" ref="T14">IF(OR($A14="",ISBLANK(XLOOKUP($A14,CPU_Asignado,Nombres_Directorio,"",0))),"",XLOOKUP($A14,CPU_Asignado,Nombres_Directorio,"",0))</f>
        <v>María Rodríguez González</v>
      </c>
      <c r="U14" s="40" t="str">
        <f t="array" ref="U14">IF(OR($A14="",ISBLANK(XLOOKUP($A14,CPU_Asignado,Correos_Gmail,"",0))),"",XLOOKUP($A14,CPU_Asignado,Correos_Gmail,"",0))</f>
        <v>mariarodriguez.agro@gmail.com</v>
      </c>
      <c r="V14" s="40" t="str">
        <f t="array" ref="V14">IF(OR($A14="",ISBLANK(XLOOKUP($A14,CPU_Asignado,Correos_Institucionales,"",0))),"",XLOOKUP($A14,CPU_Asignado,Correos_Institucionales,"",0))</f>
        <v>maria.rodriguez@agrocisa.com.mx</v>
      </c>
    </row>
    <row r="15">
      <c r="A15" s="40" t="s">
        <v>115</v>
      </c>
      <c r="B15" s="41"/>
      <c r="C15" s="41"/>
      <c r="D15" s="41"/>
      <c r="E15" s="42" t="s">
        <v>444</v>
      </c>
      <c r="F15" s="40"/>
      <c r="G15" s="40"/>
      <c r="H15" s="40"/>
      <c r="I15" s="40"/>
      <c r="J15" s="40"/>
      <c r="K15" s="40"/>
      <c r="L15" s="40"/>
      <c r="M15" s="40" t="s">
        <v>456</v>
      </c>
      <c r="N15" s="40" t="s">
        <v>877</v>
      </c>
      <c r="O15" s="40"/>
      <c r="P15" s="40" t="s">
        <v>836</v>
      </c>
      <c r="Q15" s="40" t="str">
        <f t="array" ref="Q15">IF(OR($A15="",ISBLANK(XLOOKUP($A15,CPU_Asignado,Nombres_Directorio,"",0))),"",XLOOKUP($A15,CPU_Asignado,Nombres_Directorio,"",0))</f>
        <v>Ramona Araceli Palos Chairez</v>
      </c>
      <c r="R15" s="40" t="str">
        <f t="array" ref="R15">IF(OR($A15="",ISBLANK(XLOOKUP($A15,CPU_Asignado,Sucursal_Asignada,"",0))),"",XLOOKUP($A15,CPU_Asignado,Sucursal_Asignada,"",0))</f>
        <v>La Barca</v>
      </c>
      <c r="S15" s="40" t="str">
        <f t="array" ref="S15">IF(OR($A15="",ISBLANK(XLOOKUP($A15,CPU_Asignado,Departamento_Asignado,"",0))),"",XLOOKUP($A15,CPU_Asignado,Departamento_Asignado,"",0))</f>
        <v>Contabilidad</v>
      </c>
      <c r="T15" s="40" t="str">
        <f t="array" ref="T15">IF(OR($A15="",ISBLANK(XLOOKUP($A15,CPU_Asignado,Nombres_Directorio,"",0))),"",XLOOKUP($A15,CPU_Asignado,Nombres_Directorio,"",0))</f>
        <v>Ramona Araceli Palos Chairez</v>
      </c>
      <c r="U15" s="40" t="str">
        <f t="array" ref="U15">IF(OR($A15="",ISBLANK(XLOOKUP($A15,CPU_Asignado,Correos_Gmail,"",0))),"",XLOOKUP($A15,CPU_Asignado,Correos_Gmail,"",0))</f>
        <v>arpalos.agro@gmail.com</v>
      </c>
      <c r="V15" s="40" t="str">
        <f t="array" ref="V15">IF(OR($A15="",ISBLANK(XLOOKUP($A15,CPU_Asignado,Correos_Institucionales,"",0))),"",XLOOKUP($A15,CPU_Asignado,Correos_Institucionales,"",0))</f>
        <v>araceli.palos@agrocisa.com.mx</v>
      </c>
    </row>
    <row r="16">
      <c r="A16" s="7" t="s">
        <v>282</v>
      </c>
      <c r="B16" s="28"/>
      <c r="C16" s="28">
        <v>5600.0</v>
      </c>
      <c r="D16" s="28"/>
      <c r="E16" s="36" t="s">
        <v>881</v>
      </c>
      <c r="F16" s="7" t="s">
        <v>882</v>
      </c>
      <c r="G16" s="7" t="s">
        <v>667</v>
      </c>
      <c r="H16" s="7" t="s">
        <v>448</v>
      </c>
      <c r="I16" s="7" t="s">
        <v>669</v>
      </c>
      <c r="J16" s="7" t="s">
        <v>497</v>
      </c>
      <c r="K16" s="7" t="s">
        <v>499</v>
      </c>
      <c r="L16" s="7" t="s">
        <v>455</v>
      </c>
      <c r="M16" s="7" t="s">
        <v>500</v>
      </c>
      <c r="N16" s="7" t="s">
        <v>885</v>
      </c>
      <c r="O16" s="7"/>
      <c r="P16" s="7" t="s">
        <v>729</v>
      </c>
      <c r="Q16" s="7" t="str">
        <f t="array" ref="Q16">IF(OR($A16="",ISBLANK(XLOOKUP($A16,CPU_Asignado,Nombres_Directorio,"",0))),"",XLOOKUP($A16,CPU_Asignado,Nombres_Directorio,"",0))</f>
        <v>Patricia Lorena Covarrubias Tello</v>
      </c>
      <c r="R16" s="7" t="str">
        <f t="array" ref="R16">IF(OR($A16="",ISBLANK(XLOOKUP($A16,CPU_Asignado,Sucursal_Asignada,"",0))),"",XLOOKUP($A16,CPU_Asignado,Sucursal_Asignada,"",0))</f>
        <v>La Barca</v>
      </c>
      <c r="S16" s="7" t="str">
        <f t="array" ref="S16">IF(OR($A16="",ISBLANK(XLOOKUP($A16,CPU_Asignado,Departamento_Asignado,"",0))),"",XLOOKUP($A16,CPU_Asignado,Departamento_Asignado,"",0))</f>
        <v>Crédito y Cobranza</v>
      </c>
      <c r="T16" s="7" t="str">
        <f t="array" ref="T16">IF(OR($A16="",ISBLANK(XLOOKUP($A16,CPU_Asignado,Nombres_Directorio,"",0))),"",XLOOKUP($A16,CPU_Asignado,Nombres_Directorio,"",0))</f>
        <v>Patricia Lorena Covarrubias Tello</v>
      </c>
      <c r="U16" s="7" t="str">
        <f t="array" ref="U16">IF(OR($A16="",ISBLANK(XLOOKUP($A16,CPU_Asignado,Correos_Gmail,"",0))),"",XLOOKUP($A16,CPU_Asignado,Correos_Gmail,"",0))</f>
        <v>auxiliarcredito.agro@gmail.com</v>
      </c>
      <c r="V16" s="7" t="str">
        <f t="array" ref="V16">IF(OR($A16="",ISBLANK(XLOOKUP($A16,CPU_Asignado,Correos_Institucionales,"",0))),"",XLOOKUP($A16,CPU_Asignado,Correos_Institucionales,"",0))</f>
        <v>credito01@agrocisa.com.mx</v>
      </c>
    </row>
    <row r="17">
      <c r="A17" s="7" t="s">
        <v>273</v>
      </c>
      <c r="B17" s="28"/>
      <c r="C17" s="28"/>
      <c r="D17" s="28"/>
      <c r="E17" s="36" t="s">
        <v>444</v>
      </c>
      <c r="F17" s="7" t="s">
        <v>445</v>
      </c>
      <c r="G17" s="7" t="s">
        <v>447</v>
      </c>
      <c r="H17" s="7" t="s">
        <v>448</v>
      </c>
      <c r="I17" s="7" t="s">
        <v>449</v>
      </c>
      <c r="J17" s="7" t="s">
        <v>497</v>
      </c>
      <c r="K17" s="7" t="s">
        <v>499</v>
      </c>
      <c r="L17" s="7" t="s">
        <v>455</v>
      </c>
      <c r="M17" s="7" t="s">
        <v>500</v>
      </c>
      <c r="N17" s="7" t="s">
        <v>888</v>
      </c>
      <c r="O17" s="7"/>
      <c r="P17" s="7" t="s">
        <v>503</v>
      </c>
      <c r="Q17" s="7" t="str">
        <f t="array" ref="Q17">IF(OR($A17="",ISBLANK(XLOOKUP($A17,CPU_Asignado,Nombres_Directorio,"",0))),"",XLOOKUP($A17,CPU_Asignado,Nombres_Directorio,"",0))</f>
        <v>Dulce María Guadalupe Sahagún Serna</v>
      </c>
      <c r="R17" s="7" t="str">
        <f t="array" ref="R17">IF(OR($A17="",ISBLANK(XLOOKUP($A17,CPU_Asignado,Sucursal_Asignada,"",0))),"",XLOOKUP($A17,CPU_Asignado,Sucursal_Asignada,"",0))</f>
        <v>La Barca</v>
      </c>
      <c r="S17" s="7" t="str">
        <f t="array" ref="S17">IF(OR($A17="",ISBLANK(XLOOKUP($A17,CPU_Asignado,Departamento_Asignado,"",0))),"",XLOOKUP($A17,CPU_Asignado,Departamento_Asignado,"",0))</f>
        <v>Crédito y Cobranza</v>
      </c>
      <c r="T17" s="7" t="str">
        <f t="array" ref="T17">IF(OR($A17="",ISBLANK(XLOOKUP($A17,CPU_Asignado,Nombres_Directorio,"",0))),"",XLOOKUP($A17,CPU_Asignado,Nombres_Directorio,"",0))</f>
        <v>Dulce María Guadalupe Sahagún Serna</v>
      </c>
      <c r="U17" s="7" t="str">
        <f t="array" ref="U17">IF(OR($A17="",ISBLANK(XLOOKUP($A17,CPU_Asignado,Correos_Gmail,"",0))),"",XLOOKUP($A17,CPU_Asignado,Correos_Gmail,"",0))</f>
        <v>credito03.agro@gmail.com</v>
      </c>
      <c r="V17" s="7" t="str">
        <f t="array" ref="V17">IF(OR($A17="",ISBLANK(XLOOKUP($A17,CPU_Asignado,Correos_Institucionales,"",0))),"",XLOOKUP($A17,CPU_Asignado,Correos_Institucionales,"",0))</f>
        <v>credito03@agrocisa.com.mx</v>
      </c>
    </row>
    <row r="18">
      <c r="A18" s="7" t="s">
        <v>260</v>
      </c>
      <c r="B18" s="28"/>
      <c r="C18" s="28"/>
      <c r="D18" s="28"/>
      <c r="E18" s="36" t="s">
        <v>444</v>
      </c>
      <c r="F18" s="7" t="s">
        <v>889</v>
      </c>
      <c r="G18" s="7" t="s">
        <v>890</v>
      </c>
      <c r="H18" s="7" t="s">
        <v>448</v>
      </c>
      <c r="I18" s="7" t="s">
        <v>891</v>
      </c>
      <c r="J18" s="7" t="s">
        <v>497</v>
      </c>
      <c r="K18" s="7" t="s">
        <v>499</v>
      </c>
      <c r="L18" s="7" t="s">
        <v>455</v>
      </c>
      <c r="M18" s="7" t="s">
        <v>892</v>
      </c>
      <c r="N18" s="7" t="s">
        <v>893</v>
      </c>
      <c r="O18" s="7"/>
      <c r="P18" s="7" t="s">
        <v>729</v>
      </c>
      <c r="Q18" s="7" t="str">
        <f t="array" ref="Q18">IF(OR($A18="",ISBLANK(XLOOKUP($A18,CPU_Asignado,Nombres_Directorio,"",0))),"",XLOOKUP($A18,CPU_Asignado,Nombres_Directorio,"",0))</f>
        <v>Brenda Guadalupe Martínez Aguilar</v>
      </c>
      <c r="R18" s="7" t="str">
        <f t="array" ref="R18">IF(OR($A18="",ISBLANK(XLOOKUP($A18,CPU_Asignado,Sucursal_Asignada,"",0))),"",XLOOKUP($A18,CPU_Asignado,Sucursal_Asignada,"",0))</f>
        <v>La Barca</v>
      </c>
      <c r="S18" s="7" t="str">
        <f t="array" ref="S18">IF(OR($A18="",ISBLANK(XLOOKUP($A18,CPU_Asignado,Departamento_Asignado,"",0))),"",XLOOKUP($A18,CPU_Asignado,Departamento_Asignado,"",0))</f>
        <v>Crédito y Cobranza</v>
      </c>
      <c r="T18" s="7" t="str">
        <f t="array" ref="T18">IF(OR($A18="",ISBLANK(XLOOKUP($A18,CPU_Asignado,Nombres_Directorio,"",0))),"",XLOOKUP($A18,CPU_Asignado,Nombres_Directorio,"",0))</f>
        <v>Brenda Guadalupe Martínez Aguilar</v>
      </c>
      <c r="U18" s="7" t="str">
        <f t="array" ref="U18">IF(OR($A18="",ISBLANK(XLOOKUP($A18,CPU_Asignado,Correos_Gmail,"",0))),"",XLOOKUP($A18,CPU_Asignado,Correos_Gmail,"",0))</f>
        <v>brenda.martinez@agrocisa.com.mx</v>
      </c>
      <c r="V18" s="7" t="str">
        <f t="array" ref="V18">IF(OR($A18="",ISBLANK(XLOOKUP($A18,CPU_Asignado,Correos_Institucionales,"",0))),"",XLOOKUP($A18,CPU_Asignado,Correos_Institucionales,"",0))</f>
        <v>brenda.martinez@agrocisa.com.mx</v>
      </c>
    </row>
    <row r="19">
      <c r="A19" s="7" t="s">
        <v>79</v>
      </c>
      <c r="B19" s="28" t="s">
        <v>788</v>
      </c>
      <c r="C19" s="28"/>
      <c r="D19" s="28"/>
      <c r="E19" s="36" t="s">
        <v>444</v>
      </c>
      <c r="F19" s="7" t="s">
        <v>580</v>
      </c>
      <c r="G19" s="7" t="s">
        <v>868</v>
      </c>
      <c r="H19" s="7" t="s">
        <v>448</v>
      </c>
      <c r="I19" s="7" t="s">
        <v>869</v>
      </c>
      <c r="J19" s="7" t="s">
        <v>451</v>
      </c>
      <c r="K19" s="7" t="s">
        <v>454</v>
      </c>
      <c r="L19" s="7" t="s">
        <v>455</v>
      </c>
      <c r="M19" s="7" t="s">
        <v>456</v>
      </c>
      <c r="N19" s="7" t="s">
        <v>896</v>
      </c>
      <c r="O19" s="7"/>
      <c r="P19" s="7" t="s">
        <v>625</v>
      </c>
      <c r="Q19" s="7" t="str">
        <f t="array" ref="Q19">IF(OR($A19="",ISBLANK(XLOOKUP($A19,CPU_Asignado,Nombres_Directorio,"",0))),"",XLOOKUP($A19,CPU_Asignado,Nombres_Directorio,"",0))</f>
        <v>Isela María Guadalupe Rodríguez Estrada</v>
      </c>
      <c r="R19" s="7" t="str">
        <f t="array" ref="R19">IF(OR($A19="",ISBLANK(XLOOKUP($A19,CPU_Asignado,Sucursal_Asignada,"",0))),"",XLOOKUP($A19,CPU_Asignado,Sucursal_Asignada,"",0))</f>
        <v>La Barca</v>
      </c>
      <c r="S19" s="7" t="str">
        <f t="array" ref="S19">IF(OR($A19="",ISBLANK(XLOOKUP($A19,CPU_Asignado,Departamento_Asignado,"",0))),"",XLOOKUP($A19,CPU_Asignado,Departamento_Asignado,"",0))</f>
        <v>Capital Humano</v>
      </c>
      <c r="T19" s="7" t="str">
        <f t="array" ref="T19">IF(OR($A19="",ISBLANK(XLOOKUP($A19,CPU_Asignado,Nombres_Directorio,"",0))),"",XLOOKUP($A19,CPU_Asignado,Nombres_Directorio,"",0))</f>
        <v>Isela María Guadalupe Rodríguez Estrada</v>
      </c>
      <c r="U19" s="7" t="str">
        <f t="array" ref="U19">IF(OR($A19="",ISBLANK(XLOOKUP($A19,CPU_Asignado,Correos_Gmail,"",0))),"",XLOOKUP($A19,CPU_Asignado,Correos_Gmail,"",0))</f>
        <v>isela.rhagrocisa@gmail.com</v>
      </c>
      <c r="V19" s="7" t="str">
        <f t="array" ref="V19">IF(OR($A19="",ISBLANK(XLOOKUP($A19,CPU_Asignado,Correos_Institucionales,"",0))),"",XLOOKUP($A19,CPU_Asignado,Correos_Institucionales,"",0))</f>
        <v>isela.rodriguez@agrocisa.com.mx</v>
      </c>
    </row>
    <row r="20">
      <c r="A20" s="7" t="s">
        <v>69</v>
      </c>
      <c r="B20" s="28" t="s">
        <v>788</v>
      </c>
      <c r="C20" s="38"/>
      <c r="D20" s="38"/>
      <c r="E20" s="36" t="s">
        <v>444</v>
      </c>
      <c r="F20" s="7" t="s">
        <v>445</v>
      </c>
      <c r="G20" s="7" t="s">
        <v>899</v>
      </c>
      <c r="H20" s="7" t="s">
        <v>900</v>
      </c>
      <c r="I20" s="7" t="s">
        <v>901</v>
      </c>
      <c r="J20" s="7" t="s">
        <v>497</v>
      </c>
      <c r="K20" s="7" t="s">
        <v>499</v>
      </c>
      <c r="L20" s="7" t="s">
        <v>242</v>
      </c>
      <c r="M20" s="7" t="s">
        <v>902</v>
      </c>
      <c r="N20" s="7" t="s">
        <v>903</v>
      </c>
      <c r="O20" s="7"/>
      <c r="P20" s="7" t="s">
        <v>674</v>
      </c>
      <c r="Q20" s="7" t="str">
        <f t="array" ref="Q20">IF(OR($A20="",ISBLANK(XLOOKUP($A20,CPU_Asignado,Nombres_Directorio,"",0))),"",XLOOKUP($A20,CPU_Asignado,Nombres_Directorio,"",0))</f>
        <v>Mariana Álvarez Estrada</v>
      </c>
      <c r="R20" s="7" t="str">
        <f t="array" ref="R20">IF(OR($A20="",ISBLANK(XLOOKUP($A20,CPU_Asignado,Sucursal_Asignada,"",0))),"",XLOOKUP($A20,CPU_Asignado,Sucursal_Asignada,"",0))</f>
        <v>La Barca</v>
      </c>
      <c r="S20" s="7" t="str">
        <f t="array" ref="S20">IF(OR($A20="",ISBLANK(XLOOKUP($A20,CPU_Asignado,Departamento_Asignado,"",0))),"",XLOOKUP($A20,CPU_Asignado,Departamento_Asignado,"",0))</f>
        <v>Agricultura Inteligente</v>
      </c>
      <c r="T20" s="7" t="str">
        <f t="array" ref="T20">IF(OR($A20="",ISBLANK(XLOOKUP($A20,CPU_Asignado,Nombres_Directorio,"",0))),"",XLOOKUP($A20,CPU_Asignado,Nombres_Directorio,"",0))</f>
        <v>Mariana Álvarez Estrada</v>
      </c>
      <c r="U20" s="7" t="str">
        <f t="array" ref="U20">IF(OR($A20="",ISBLANK(XLOOKUP($A20,CPU_Asignado,Correos_Gmail,"",0))),"",XLOOKUP($A20,CPU_Asignado,Correos_Gmail,"",0))</f>
        <v>mariana.alvarez@agrocisa.com.mx</v>
      </c>
      <c r="V20" s="7" t="str">
        <f t="array" ref="V20">IF(OR($A20="",ISBLANK(XLOOKUP($A20,CPU_Asignado,Correos_Institucionales,"",0))),"",XLOOKUP($A20,CPU_Asignado,Correos_Institucionales,"",0))</f>
        <v>mariana.alvarez@agrocisa.com.mx</v>
      </c>
    </row>
    <row r="21" ht="15.75" customHeight="1">
      <c r="A21" s="7" t="s">
        <v>906</v>
      </c>
      <c r="B21" s="28"/>
      <c r="C21" s="28"/>
      <c r="D21" s="28"/>
      <c r="E21" s="36" t="s">
        <v>444</v>
      </c>
      <c r="F21" s="7" t="s">
        <v>580</v>
      </c>
      <c r="G21" s="7" t="s">
        <v>907</v>
      </c>
      <c r="H21" s="7" t="s">
        <v>448</v>
      </c>
      <c r="I21" s="7" t="s">
        <v>908</v>
      </c>
      <c r="J21" s="7" t="s">
        <v>909</v>
      </c>
      <c r="K21" s="7" t="s">
        <v>454</v>
      </c>
      <c r="L21" s="7" t="s">
        <v>455</v>
      </c>
      <c r="M21" s="7" t="s">
        <v>456</v>
      </c>
      <c r="N21" s="7" t="s">
        <v>910</v>
      </c>
      <c r="O21" s="7"/>
      <c r="P21" s="7" t="s">
        <v>911</v>
      </c>
      <c r="Q21" s="7" t="str">
        <f t="array" ref="Q21">IF(OR($A21="",ISBLANK(XLOOKUP($A21,CPU_Asignado,Nombres_Directorio,"",0))),"",XLOOKUP($A21,CPU_Asignado,Nombres_Directorio,"",0))</f>
        <v/>
      </c>
      <c r="R21" s="7" t="str">
        <f t="array" ref="R21">IF(OR($A21="",ISBLANK(XLOOKUP($A21,CPU_Asignado,Sucursal_Asignada,"",0))),"",XLOOKUP($A21,CPU_Asignado,Sucursal_Asignada,"",0))</f>
        <v/>
      </c>
      <c r="S21" s="7" t="str">
        <f t="array" ref="S21">IF(OR($A21="",ISBLANK(XLOOKUP($A21,CPU_Asignado,Departamento_Asignado,"",0))),"",XLOOKUP($A21,CPU_Asignado,Departamento_Asignado,"",0))</f>
        <v/>
      </c>
      <c r="T21" s="7" t="str">
        <f t="array" ref="T21">IF(OR($A21="",ISBLANK(XLOOKUP($A21,CPU_Asignado,Nombres_Directorio,"",0))),"",XLOOKUP($A21,CPU_Asignado,Nombres_Directorio,"",0))</f>
        <v/>
      </c>
      <c r="U21" s="7" t="str">
        <f t="array" ref="U21">IF(OR($A21="",ISBLANK(XLOOKUP($A21,CPU_Asignado,Correos_Gmail,"",0))),"",XLOOKUP($A21,CPU_Asignado,Correos_Gmail,"",0))</f>
        <v/>
      </c>
      <c r="V21" s="7" t="str">
        <f t="array" ref="V21">IF(OR($A21="",ISBLANK(XLOOKUP($A21,CPU_Asignado,Correos_Institucionales,"",0))),"",XLOOKUP($A21,CPU_Asignado,Correos_Institucionales,"",0))</f>
        <v/>
      </c>
    </row>
    <row r="22" ht="15.75" customHeight="1">
      <c r="A22" s="7" t="s">
        <v>485</v>
      </c>
      <c r="B22" s="28"/>
      <c r="C22" s="28"/>
      <c r="D22" s="28"/>
      <c r="E22" s="36" t="s">
        <v>444</v>
      </c>
      <c r="F22" s="7" t="s">
        <v>926</v>
      </c>
      <c r="G22" s="7" t="s">
        <v>581</v>
      </c>
      <c r="H22" s="7" t="s">
        <v>448</v>
      </c>
      <c r="I22" s="7" t="s">
        <v>669</v>
      </c>
      <c r="J22" s="7" t="s">
        <v>497</v>
      </c>
      <c r="K22" s="7" t="s">
        <v>499</v>
      </c>
      <c r="L22" s="7" t="s">
        <v>455</v>
      </c>
      <c r="M22" s="7" t="s">
        <v>456</v>
      </c>
      <c r="N22" s="7" t="s">
        <v>927</v>
      </c>
      <c r="O22" s="7"/>
      <c r="P22" s="7" t="s">
        <v>911</v>
      </c>
      <c r="Q22" s="7" t="str">
        <f t="array" ref="Q22">IF(OR($A22="",ISBLANK(XLOOKUP($A22,CPU_Asignado,Nombres_Directorio,"",0))),"",XLOOKUP($A22,CPU_Asignado,Nombres_Directorio,"",0))</f>
        <v>Damián Zaragoza Hernández</v>
      </c>
      <c r="R22" s="7" t="str">
        <f t="array" ref="R22">IF(OR($A22="",ISBLANK(XLOOKUP($A22,CPU_Asignado,Sucursal_Asignada,"",0))),"",XLOOKUP($A22,CPU_Asignado,Sucursal_Asignada,"",0))</f>
        <v>La Barca</v>
      </c>
      <c r="S22" s="7" t="str">
        <f t="array" ref="S22">IF(OR($A22="",ISBLANK(XLOOKUP($A22,CPU_Asignado,Departamento_Asignado,"",0))),"",XLOOKUP($A22,CPU_Asignado,Departamento_Asignado,"",0))</f>
        <v>Refacciones</v>
      </c>
      <c r="T22" s="7" t="str">
        <f t="array" ref="T22">IF(OR($A22="",ISBLANK(XLOOKUP($A22,CPU_Asignado,Nombres_Directorio,"",0))),"",XLOOKUP($A22,CPU_Asignado,Nombres_Directorio,"",0))</f>
        <v>Damián Zaragoza Hernández</v>
      </c>
      <c r="U22" s="7" t="str">
        <f t="array" ref="U22">IF(OR($A22="",ISBLANK(XLOOKUP($A22,CPU_Asignado,Correos_Gmail,"",0))),"",XLOOKUP($A22,CPU_Asignado,Correos_Gmail,"",0))</f>
        <v>damian.zaragoza@agrocisa.com.mx</v>
      </c>
      <c r="V22" s="7" t="str">
        <f t="array" ref="V22">IF(OR($A22="",ISBLANK(XLOOKUP($A22,CPU_Asignado,Correos_Institucionales,"",0))),"",XLOOKUP($A22,CPU_Asignado,Correos_Institucionales,"",0))</f>
        <v>damian.zaragoza@agrocisa.com.mx</v>
      </c>
    </row>
    <row r="23" ht="15.75" customHeight="1">
      <c r="A23" s="7" t="s">
        <v>938</v>
      </c>
      <c r="B23" s="28"/>
      <c r="C23" s="28"/>
      <c r="D23" s="28"/>
      <c r="E23" s="36" t="s">
        <v>444</v>
      </c>
      <c r="F23" s="7" t="s">
        <v>580</v>
      </c>
      <c r="G23" s="7" t="s">
        <v>907</v>
      </c>
      <c r="H23" s="7" t="s">
        <v>448</v>
      </c>
      <c r="I23" s="7" t="s">
        <v>908</v>
      </c>
      <c r="J23" s="7" t="s">
        <v>909</v>
      </c>
      <c r="K23" s="7" t="s">
        <v>454</v>
      </c>
      <c r="L23" s="7" t="s">
        <v>455</v>
      </c>
      <c r="M23" s="7" t="s">
        <v>456</v>
      </c>
      <c r="N23" s="7" t="s">
        <v>939</v>
      </c>
      <c r="O23" s="7"/>
      <c r="P23" s="7" t="s">
        <v>911</v>
      </c>
      <c r="Q23" s="7" t="str">
        <f t="array" ref="Q23">IF(OR($A23="",ISBLANK(XLOOKUP($A23,CPU_Asignado,Nombres_Directorio,"",0))),"",XLOOKUP($A23,CPU_Asignado,Nombres_Directorio,"",0))</f>
        <v/>
      </c>
      <c r="R23" s="7" t="str">
        <f t="array" ref="R23">IF(OR($A23="",ISBLANK(XLOOKUP($A23,CPU_Asignado,Sucursal_Asignada,"",0))),"",XLOOKUP($A23,CPU_Asignado,Sucursal_Asignada,"",0))</f>
        <v/>
      </c>
      <c r="S23" s="7" t="str">
        <f t="array" ref="S23">IF(OR($A23="",ISBLANK(XLOOKUP($A23,CPU_Asignado,Departamento_Asignado,"",0))),"",XLOOKUP($A23,CPU_Asignado,Departamento_Asignado,"",0))</f>
        <v/>
      </c>
      <c r="T23" s="7" t="str">
        <f t="array" ref="T23">IF(OR($A23="",ISBLANK(XLOOKUP($A23,CPU_Asignado,Nombres_Directorio,"",0))),"",XLOOKUP($A23,CPU_Asignado,Nombres_Directorio,"",0))</f>
        <v/>
      </c>
      <c r="U23" s="7" t="str">
        <f t="array" ref="U23">IF(OR($A23="",ISBLANK(XLOOKUP($A23,CPU_Asignado,Correos_Gmail,"",0))),"",XLOOKUP($A23,CPU_Asignado,Correos_Gmail,"",0))</f>
        <v/>
      </c>
      <c r="V23" s="7" t="str">
        <f t="array" ref="V23">IF(OR($A23="",ISBLANK(XLOOKUP($A23,CPU_Asignado,Correos_Institucionales,"",0))),"",XLOOKUP($A23,CPU_Asignado,Correos_Institucionales,"",0))</f>
        <v/>
      </c>
    </row>
    <row r="24" ht="15.75" customHeight="1">
      <c r="A24" s="7" t="s">
        <v>952</v>
      </c>
      <c r="B24" s="28"/>
      <c r="C24" s="28"/>
      <c r="D24" s="28"/>
      <c r="E24" s="36" t="s">
        <v>444</v>
      </c>
      <c r="F24" s="7" t="s">
        <v>953</v>
      </c>
      <c r="G24" s="7" t="s">
        <v>954</v>
      </c>
      <c r="H24" s="7" t="s">
        <v>448</v>
      </c>
      <c r="I24" s="7" t="s">
        <v>955</v>
      </c>
      <c r="J24" s="7" t="s">
        <v>451</v>
      </c>
      <c r="K24" s="7" t="s">
        <v>454</v>
      </c>
      <c r="L24" s="7" t="s">
        <v>455</v>
      </c>
      <c r="M24" s="7" t="s">
        <v>456</v>
      </c>
      <c r="N24" s="7" t="s">
        <v>956</v>
      </c>
      <c r="O24" s="7" t="s">
        <v>957</v>
      </c>
      <c r="P24" s="7" t="s">
        <v>836</v>
      </c>
      <c r="Q24" s="7" t="str">
        <f t="array" ref="Q24">IF(OR($A24="",ISBLANK(XLOOKUP($A24,CPU_Asignado,Nombres_Directorio,"",0))),"",XLOOKUP($A24,CPU_Asignado,Nombres_Directorio,"",0))</f>
        <v/>
      </c>
      <c r="R24" s="7" t="str">
        <f t="array" ref="R24">IF(OR($A24="",ISBLANK(XLOOKUP($A24,CPU_Asignado,Sucursal_Asignada,"",0))),"",XLOOKUP($A24,CPU_Asignado,Sucursal_Asignada,"",0))</f>
        <v/>
      </c>
      <c r="S24" s="7" t="str">
        <f t="array" ref="S24">IF(OR($A24="",ISBLANK(XLOOKUP($A24,CPU_Asignado,Departamento_Asignado,"",0))),"",XLOOKUP($A24,CPU_Asignado,Departamento_Asignado,"",0))</f>
        <v/>
      </c>
      <c r="T24" s="7" t="str">
        <f t="array" ref="T24">IF(OR($A24="",ISBLANK(XLOOKUP($A24,CPU_Asignado,Nombres_Directorio,"",0))),"",XLOOKUP($A24,CPU_Asignado,Nombres_Directorio,"",0))</f>
        <v/>
      </c>
      <c r="U24" s="7" t="str">
        <f t="array" ref="U24">IF(OR($A24="",ISBLANK(XLOOKUP($A24,CPU_Asignado,Correos_Gmail,"",0))),"",XLOOKUP($A24,CPU_Asignado,Correos_Gmail,"",0))</f>
        <v/>
      </c>
      <c r="V24" s="7" t="str">
        <f t="array" ref="V24">IF(OR($A24="",ISBLANK(XLOOKUP($A24,CPU_Asignado,Correos_Institucionales,"",0))),"",XLOOKUP($A24,CPU_Asignado,Correos_Institucionales,"",0))</f>
        <v/>
      </c>
    </row>
    <row r="25" ht="15.75" customHeight="1">
      <c r="A25" s="7" t="s">
        <v>508</v>
      </c>
      <c r="B25" s="28"/>
      <c r="C25" s="28"/>
      <c r="D25" s="28"/>
      <c r="E25" s="36" t="s">
        <v>444</v>
      </c>
      <c r="F25" s="7" t="s">
        <v>494</v>
      </c>
      <c r="G25" s="7" t="s">
        <v>495</v>
      </c>
      <c r="H25" s="7" t="s">
        <v>448</v>
      </c>
      <c r="I25" s="7" t="s">
        <v>449</v>
      </c>
      <c r="J25" s="7" t="s">
        <v>497</v>
      </c>
      <c r="K25" s="7" t="s">
        <v>499</v>
      </c>
      <c r="L25" s="7" t="s">
        <v>455</v>
      </c>
      <c r="M25" s="7" t="s">
        <v>500</v>
      </c>
      <c r="N25" s="7" t="s">
        <v>968</v>
      </c>
      <c r="O25" s="7"/>
      <c r="P25" s="7" t="s">
        <v>836</v>
      </c>
      <c r="Q25" s="7" t="str">
        <f t="array" ref="Q25">IF(OR($A25="",ISBLANK(XLOOKUP($A25,CPU_Asignado,Nombres_Directorio,"",0))),"",XLOOKUP($A25,CPU_Asignado,Nombres_Directorio,"",0))</f>
        <v>Ashly Guadalupe López Martínez</v>
      </c>
      <c r="R25" s="7" t="str">
        <f t="array" ref="R25">IF(OR($A25="",ISBLANK(XLOOKUP($A25,CPU_Asignado,Sucursal_Asignada,"",0))),"",XLOOKUP($A25,CPU_Asignado,Sucursal_Asignada,"",0))</f>
        <v>La Barca</v>
      </c>
      <c r="S25" s="7" t="str">
        <f t="array" ref="S25">IF(OR($A25="",ISBLANK(XLOOKUP($A25,CPU_Asignado,Departamento_Asignado,"",0))),"",XLOOKUP($A25,CPU_Asignado,Departamento_Asignado,"",0))</f>
        <v>Servicio</v>
      </c>
      <c r="T25" s="7" t="str">
        <f t="array" ref="T25">IF(OR($A25="",ISBLANK(XLOOKUP($A25,CPU_Asignado,Nombres_Directorio,"",0))),"",XLOOKUP($A25,CPU_Asignado,Nombres_Directorio,"",0))</f>
        <v>Ashly Guadalupe López Martínez</v>
      </c>
      <c r="U25" s="7" t="str">
        <f t="array" ref="U25">IF(OR($A25="",ISBLANK(XLOOKUP($A25,CPU_Asignado,Correos_Gmail,"",0))),"",XLOOKUP($A25,CPU_Asignado,Correos_Gmail,"",0))</f>
        <v>garantiaslabarca@agrocisa.com.mx</v>
      </c>
      <c r="V25" s="7" t="str">
        <f t="array" ref="V25">IF(OR($A25="",ISBLANK(XLOOKUP($A25,CPU_Asignado,Correos_Institucionales,"",0))),"",XLOOKUP($A25,CPU_Asignado,Correos_Institucionales,"",0))</f>
        <v>ashly.lopez@agrocisa.com.mx</v>
      </c>
    </row>
    <row r="26" ht="15.75" customHeight="1">
      <c r="A26" s="7" t="s">
        <v>502</v>
      </c>
      <c r="B26" s="28"/>
      <c r="C26" s="28"/>
      <c r="D26" s="28"/>
      <c r="E26" s="36" t="s">
        <v>444</v>
      </c>
      <c r="F26" s="7" t="s">
        <v>975</v>
      </c>
      <c r="G26" s="7" t="s">
        <v>976</v>
      </c>
      <c r="H26" s="7" t="s">
        <v>448</v>
      </c>
      <c r="I26" s="7" t="s">
        <v>977</v>
      </c>
      <c r="J26" s="7" t="s">
        <v>497</v>
      </c>
      <c r="K26" s="7" t="s">
        <v>499</v>
      </c>
      <c r="L26" s="7" t="s">
        <v>455</v>
      </c>
      <c r="M26" s="7" t="s">
        <v>902</v>
      </c>
      <c r="N26" s="7" t="s">
        <v>978</v>
      </c>
      <c r="O26" s="7"/>
      <c r="P26" s="7" t="s">
        <v>836</v>
      </c>
      <c r="Q26" s="7" t="str">
        <f t="array" ref="Q26">IF(OR($A26="",ISBLANK(XLOOKUP($A26,CPU_Asignado,Nombres_Directorio,"",0))),"",XLOOKUP($A26,CPU_Asignado,Nombres_Directorio,"",0))</f>
        <v>Andrea Becerra Cisneros</v>
      </c>
      <c r="R26" s="7" t="str">
        <f t="array" ref="R26">IF(OR($A26="",ISBLANK(XLOOKUP($A26,CPU_Asignado,Sucursal_Asignada,"",0))),"",XLOOKUP($A26,CPU_Asignado,Sucursal_Asignada,"",0))</f>
        <v>La Barca</v>
      </c>
      <c r="S26" s="7" t="str">
        <f t="array" ref="S26">IF(OR($A26="",ISBLANK(XLOOKUP($A26,CPU_Asignado,Departamento_Asignado,"",0))),"",XLOOKUP($A26,CPU_Asignado,Departamento_Asignado,"",0))</f>
        <v>Servicio</v>
      </c>
      <c r="T26" s="7" t="str">
        <f t="array" ref="T26">IF(OR($A26="",ISBLANK(XLOOKUP($A26,CPU_Asignado,Nombres_Directorio,"",0))),"",XLOOKUP($A26,CPU_Asignado,Nombres_Directorio,"",0))</f>
        <v>Andrea Becerra Cisneros</v>
      </c>
      <c r="U26" s="7" t="str">
        <f t="array" ref="U26">IF(OR($A26="",ISBLANK(XLOOKUP($A26,CPU_Asignado,Correos_Gmail,"",0))),"",XLOOKUP($A26,CPU_Asignado,Correos_Gmail,"",0))</f>
        <v>serviciolabarca@agrocisa.com.mx</v>
      </c>
      <c r="V26" s="7" t="str">
        <f t="array" ref="V26">IF(OR($A26="",ISBLANK(XLOOKUP($A26,CPU_Asignado,Correos_Institucionales,"",0))),"",XLOOKUP($A26,CPU_Asignado,Correos_Institucionales,"",0))</f>
        <v>serviciolabarca@agrocisa.com.mx</v>
      </c>
    </row>
    <row r="27" ht="15.75" customHeight="1">
      <c r="A27" s="7" t="s">
        <v>552</v>
      </c>
      <c r="B27" s="28"/>
      <c r="C27" s="28">
        <v>12000.0</v>
      </c>
      <c r="D27" s="28"/>
      <c r="E27" s="36" t="s">
        <v>991</v>
      </c>
      <c r="F27" s="7" t="s">
        <v>445</v>
      </c>
      <c r="G27" s="7" t="s">
        <v>992</v>
      </c>
      <c r="H27" s="7" t="s">
        <v>900</v>
      </c>
      <c r="I27" s="7" t="s">
        <v>994</v>
      </c>
      <c r="J27" s="7" t="s">
        <v>497</v>
      </c>
      <c r="K27" s="7" t="s">
        <v>499</v>
      </c>
      <c r="L27" s="7" t="s">
        <v>455</v>
      </c>
      <c r="M27" s="7" t="s">
        <v>456</v>
      </c>
      <c r="N27" s="7" t="s">
        <v>995</v>
      </c>
      <c r="O27" s="7" t="s">
        <v>996</v>
      </c>
      <c r="P27" s="5" t="s">
        <v>836</v>
      </c>
      <c r="Q27" s="7" t="str">
        <f t="array" ref="Q27">IF(OR($A27="",ISBLANK(XLOOKUP($A27,CPU_Asignado,Nombres_Directorio,"",0))),"",XLOOKUP($A27,CPU_Asignado,Nombres_Directorio,"",0))</f>
        <v>Félix Eugenio Ávalos Hernández</v>
      </c>
      <c r="R27" s="7" t="str">
        <f t="array" ref="R27">IF(OR($A27="",ISBLANK(XLOOKUP($A27,CPU_Asignado,Sucursal_Asignada,"",0))),"",XLOOKUP($A27,CPU_Asignado,Sucursal_Asignada,"",0))</f>
        <v>La Barca</v>
      </c>
      <c r="S27" s="7" t="str">
        <f t="array" ref="S27">IF(OR($A27="",ISBLANK(XLOOKUP($A27,CPU_Asignado,Departamento_Asignado,"",0))),"",XLOOKUP($A27,CPU_Asignado,Departamento_Asignado,"",0))</f>
        <v>Servicio</v>
      </c>
      <c r="T27" s="7" t="str">
        <f t="array" ref="T27">IF(OR($A27="",ISBLANK(XLOOKUP($A27,CPU_Asignado,Nombres_Directorio,"",0))),"",XLOOKUP($A27,CPU_Asignado,Nombres_Directorio,"",0))</f>
        <v>Félix Eugenio Ávalos Hernández</v>
      </c>
      <c r="U27" s="7" t="str">
        <f t="array" ref="U27">IF(OR($A27="",ISBLANK(XLOOKUP($A27,CPU_Asignado,Correos_Gmail,"",0))),"",XLOOKUP($A27,CPU_Asignado,Correos_Gmail,"",0))</f>
        <v>telematrix.agrocisa@gmail.com</v>
      </c>
      <c r="V27" s="7" t="str">
        <f t="array" ref="V27">IF(OR($A27="",ISBLANK(XLOOKUP($A27,CPU_Asignado,Correos_Institucionales,"",0))),"",XLOOKUP($A27,CPU_Asignado,Correos_Institucionales,"",0))</f>
        <v>telemetria@agrocisa.com.mx</v>
      </c>
    </row>
    <row r="28" ht="15.75" customHeight="1">
      <c r="A28" s="7" t="s">
        <v>617</v>
      </c>
      <c r="B28" s="28" t="s">
        <v>788</v>
      </c>
      <c r="C28" s="28">
        <v>450.0</v>
      </c>
      <c r="D28" s="28"/>
      <c r="E28" s="36" t="s">
        <v>444</v>
      </c>
      <c r="F28" s="7" t="s">
        <v>1000</v>
      </c>
      <c r="G28" s="7" t="s">
        <v>1001</v>
      </c>
      <c r="H28" s="7" t="s">
        <v>1002</v>
      </c>
      <c r="I28" s="7" t="s">
        <v>1003</v>
      </c>
      <c r="J28" s="7" t="s">
        <v>909</v>
      </c>
      <c r="K28" s="7" t="s">
        <v>499</v>
      </c>
      <c r="L28" s="7" t="s">
        <v>242</v>
      </c>
      <c r="M28" s="7" t="s">
        <v>892</v>
      </c>
      <c r="N28" s="7" t="s">
        <v>1004</v>
      </c>
      <c r="O28" s="7"/>
      <c r="P28" s="7" t="s">
        <v>1005</v>
      </c>
      <c r="Q28" s="47" t="str">
        <f t="array" ref="Q28">IF(OR($A28="",ISBLANK(XLOOKUP($A28,CPU_Asignado,Nombres_Directorio,"",0))),"",XLOOKUP($A28,CPU_Asignado,Nombres_Directorio,"",0))</f>
        <v>Marco Antonio Falcón Ramirez</v>
      </c>
      <c r="R28" s="47" t="str">
        <f t="array" ref="R28">IF(OR($A28="",ISBLANK(XLOOKUP($A28,CPU_Asignado,Sucursal_Asignada,"",0))),"",XLOOKUP($A28,CPU_Asignado,Sucursal_Asignada,"",0))</f>
        <v>La Piedad</v>
      </c>
      <c r="S28" s="7" t="str">
        <f t="array" ref="S28">IF(OR($A28="",ISBLANK(XLOOKUP($A28,CPU_Asignado,Departamento_Asignado,"",0))),"",XLOOKUP($A28,CPU_Asignado,Departamento_Asignado,"",0))</f>
        <v>Maquinaria Construcción</v>
      </c>
      <c r="T28" s="7" t="str">
        <f t="array" ref="T28">IF(OR($A28="",ISBLANK(XLOOKUP($A28,CPU_Asignado,Nombres_Directorio,"",0))),"",XLOOKUP($A28,CPU_Asignado,Nombres_Directorio,"",0))</f>
        <v>Marco Antonio Falcón Ramirez</v>
      </c>
      <c r="U28" s="7" t="str">
        <f t="array" ref="U28">IF(OR($A28="",ISBLANK(XLOOKUP($A28,CPU_Asignado,Correos_Gmail,"",0))),"",XLOOKUP($A28,CPU_Asignado,Correos_Gmail,"",0))</f>
        <v>construccionlapiedad@agrocisa.com.mx</v>
      </c>
      <c r="V28" s="7" t="str">
        <f t="array" ref="V28">IF(OR($A28="",ISBLANK(XLOOKUP($A28,CPU_Asignado,Correos_Institucionales,"",0))),"",XLOOKUP($A28,CPU_Asignado,Correos_Institucionales,"",0))</f>
        <v>construccionlapiedad@agrocisa.com.mx</v>
      </c>
    </row>
    <row r="29" ht="15.75" customHeight="1">
      <c r="A29" s="7" t="s">
        <v>638</v>
      </c>
      <c r="B29" s="28"/>
      <c r="C29" s="28">
        <v>4300.0</v>
      </c>
      <c r="D29" s="28"/>
      <c r="E29" s="36" t="s">
        <v>1013</v>
      </c>
      <c r="F29" s="7" t="s">
        <v>580</v>
      </c>
      <c r="G29" s="7" t="s">
        <v>581</v>
      </c>
      <c r="H29" s="7" t="s">
        <v>448</v>
      </c>
      <c r="I29" s="7" t="s">
        <v>582</v>
      </c>
      <c r="J29" s="7" t="s">
        <v>497</v>
      </c>
      <c r="K29" s="7" t="s">
        <v>499</v>
      </c>
      <c r="L29" s="7" t="s">
        <v>455</v>
      </c>
      <c r="M29" s="7" t="s">
        <v>454</v>
      </c>
      <c r="N29" s="7"/>
      <c r="O29" s="7"/>
      <c r="P29" s="7" t="s">
        <v>1005</v>
      </c>
      <c r="Q29" s="47" t="str">
        <f t="array" ref="Q29">IF(OR($A29="",ISBLANK(XLOOKUP($A29,CPU_Asignado,Nombres_Directorio,"",0))),"",XLOOKUP($A29,CPU_Asignado,Nombres_Directorio,"",0))</f>
        <v>Elsa Guadalupe Ramírez López</v>
      </c>
      <c r="R29" s="47" t="str">
        <f t="array" ref="R29">IF(OR($A29="",ISBLANK(XLOOKUP($A29,CPU_Asignado,Sucursal_Asignada,"",0))),"",XLOOKUP($A29,CPU_Asignado,Sucursal_Asignada,"",0))</f>
        <v>La Piedad</v>
      </c>
      <c r="S29" s="7" t="str">
        <f t="array" ref="S29">IF(OR($A29="",ISBLANK(XLOOKUP($A29,CPU_Asignado,Departamento_Asignado,"",0))),"",XLOOKUP($A29,CPU_Asignado,Departamento_Asignado,"",0))</f>
        <v>Refacciones</v>
      </c>
      <c r="T29" s="7" t="str">
        <f t="array" ref="T29">IF(OR($A29="",ISBLANK(XLOOKUP($A29,CPU_Asignado,Nombres_Directorio,"",0))),"",XLOOKUP($A29,CPU_Asignado,Nombres_Directorio,"",0))</f>
        <v>Elsa Guadalupe Ramírez López</v>
      </c>
      <c r="U29" s="7" t="str">
        <f t="array" ref="U29">IF(OR($A29="",ISBLANK(XLOOKUP($A29,CPU_Asignado,Correos_Gmail,"",0))),"",XLOOKUP($A29,CPU_Asignado,Correos_Gmail,"",0))</f>
        <v>refaccioneslapiedad@agrocisa.com.mx</v>
      </c>
      <c r="V29" s="7" t="str">
        <f t="array" ref="V29">IF(OR($A29="",ISBLANK(XLOOKUP($A29,CPU_Asignado,Correos_Institucionales,"",0))),"",XLOOKUP($A29,CPU_Asignado,Correos_Institucionales,"",0))</f>
        <v>elsa.ramirez@agrocisa.com.mx</v>
      </c>
    </row>
    <row r="30" ht="15.75" customHeight="1">
      <c r="A30" s="7" t="s">
        <v>578</v>
      </c>
      <c r="B30" s="28"/>
      <c r="C30" s="28"/>
      <c r="D30" s="28"/>
      <c r="E30" s="36" t="s">
        <v>444</v>
      </c>
      <c r="F30" s="7" t="s">
        <v>445</v>
      </c>
      <c r="G30" s="7" t="s">
        <v>1022</v>
      </c>
      <c r="H30" s="7" t="s">
        <v>541</v>
      </c>
      <c r="I30" s="7" t="s">
        <v>1023</v>
      </c>
      <c r="J30" s="7" t="s">
        <v>451</v>
      </c>
      <c r="K30" s="7" t="s">
        <v>454</v>
      </c>
      <c r="L30" s="7" t="s">
        <v>242</v>
      </c>
      <c r="M30" s="7" t="s">
        <v>1024</v>
      </c>
      <c r="N30" s="7" t="s">
        <v>1025</v>
      </c>
      <c r="O30" s="7"/>
      <c r="P30" s="7" t="s">
        <v>1005</v>
      </c>
      <c r="Q30" s="7" t="str">
        <f t="array" ref="Q30">IF(OR($A30="",ISBLANK(XLOOKUP($A30,CPU_Asignado,Nombres_Directorio,"",0))),"",XLOOKUP($A30,CPU_Asignado,Nombres_Directorio,"",0))</f>
        <v>Diana Montserrat Osorio Hernández</v>
      </c>
      <c r="R30" s="7" t="str">
        <f t="array" ref="R30">IF(OR($A30="",ISBLANK(XLOOKUP($A30,CPU_Asignado,Sucursal_Asignada,"",0))),"",XLOOKUP($A30,CPU_Asignado,Sucursal_Asignada,"",0))</f>
        <v>La Piedad</v>
      </c>
      <c r="S30" s="7" t="str">
        <f t="array" ref="S30">IF(OR($A30="",ISBLANK(XLOOKUP($A30,CPU_Asignado,Departamento_Asignado,"",0))),"",XLOOKUP($A30,CPU_Asignado,Departamento_Asignado,"",0))</f>
        <v>Crédito y Cobranza</v>
      </c>
      <c r="T30" s="7" t="str">
        <f t="array" ref="T30">IF(OR($A30="",ISBLANK(XLOOKUP($A30,CPU_Asignado,Nombres_Directorio,"",0))),"",XLOOKUP($A30,CPU_Asignado,Nombres_Directorio,"",0))</f>
        <v>Diana Montserrat Osorio Hernández</v>
      </c>
      <c r="U30" s="7" t="str">
        <f t="array" ref="U30">IF(OR($A30="",ISBLANK(XLOOKUP($A30,CPU_Asignado,Correos_Gmail,"",0))),"",XLOOKUP($A30,CPU_Asignado,Correos_Gmail,"",0))</f>
        <v>diosorio.agro@gmail.com</v>
      </c>
      <c r="V30" s="7" t="str">
        <f t="array" ref="V30">IF(OR($A30="",ISBLANK(XLOOKUP($A30,CPU_Asignado,Correos_Institucionales,"",0))),"",XLOOKUP($A30,CPU_Asignado,Correos_Institucionales,"",0))</f>
        <v>caja.lp@agrocisa.com.mx</v>
      </c>
    </row>
    <row r="31" ht="15.75" customHeight="1">
      <c r="A31" s="7" t="s">
        <v>232</v>
      </c>
      <c r="B31" s="28" t="s">
        <v>1034</v>
      </c>
      <c r="C31" s="28">
        <v>4500.0</v>
      </c>
      <c r="D31" s="28"/>
      <c r="E31" s="36" t="s">
        <v>444</v>
      </c>
      <c r="F31" s="7" t="s">
        <v>1000</v>
      </c>
      <c r="G31" s="7" t="s">
        <v>1035</v>
      </c>
      <c r="H31" s="7" t="s">
        <v>1002</v>
      </c>
      <c r="I31" s="7" t="s">
        <v>1036</v>
      </c>
      <c r="J31" s="7" t="s">
        <v>1037</v>
      </c>
      <c r="K31" s="7" t="s">
        <v>499</v>
      </c>
      <c r="L31" s="7" t="s">
        <v>242</v>
      </c>
      <c r="M31" s="7" t="s">
        <v>1038</v>
      </c>
      <c r="N31" s="7" t="s">
        <v>1039</v>
      </c>
      <c r="O31" s="7"/>
      <c r="P31" s="7" t="s">
        <v>1005</v>
      </c>
      <c r="Q31" s="7" t="str">
        <f t="array" ref="Q31">IF(OR($A31="",ISBLANK(XLOOKUP($A31,CPU_Asignado,Nombres_Directorio,"",0))),"",XLOOKUP($A31,CPU_Asignado,Nombres_Directorio,"",0))</f>
        <v>Juan Pablo Mendez Guzmán</v>
      </c>
      <c r="R31" s="7" t="str">
        <f t="array" ref="R31">IF(OR($A31="",ISBLANK(XLOOKUP($A31,CPU_Asignado,Sucursal_Asignada,"",0))),"",XLOOKUP($A31,CPU_Asignado,Sucursal_Asignada,"",0))</f>
        <v>La Piedad</v>
      </c>
      <c r="S31" s="7" t="str">
        <f t="array" ref="S31">IF(OR($A31="",ISBLANK(XLOOKUP($A31,CPU_Asignado,Departamento_Asignado,"",0))),"",XLOOKUP($A31,CPU_Asignado,Departamento_Asignado,"",0))</f>
        <v>Maquinaria Agrícola</v>
      </c>
      <c r="T31" s="7" t="str">
        <f t="array" ref="T31">IF(OR($A31="",ISBLANK(XLOOKUP($A31,CPU_Asignado,Nombres_Directorio,"",0))),"",XLOOKUP($A31,CPU_Asignado,Nombres_Directorio,"",0))</f>
        <v>Juan Pablo Mendez Guzmán</v>
      </c>
      <c r="U31" s="7" t="str">
        <f t="array" ref="U31">IF(OR($A31="",ISBLANK(XLOOKUP($A31,CPU_Asignado,Correos_Gmail,"",0))),"",XLOOKUP($A31,CPU_Asignado,Correos_Gmail,"",0))</f>
        <v>ventaszonabajio.agro@gmail.com</v>
      </c>
      <c r="V31" s="7" t="str">
        <f t="array" ref="V31">IF(OR($A31="",ISBLANK(XLOOKUP($A31,CPU_Asignado,Correos_Institucionales,"",0))),"",XLOOKUP($A31,CPU_Asignado,Correos_Institucionales,"",0))</f>
        <v>juan.mendez@agrocisa.com.mx</v>
      </c>
    </row>
    <row r="32" ht="15.75" customHeight="1">
      <c r="A32" s="7" t="s">
        <v>632</v>
      </c>
      <c r="B32" s="28"/>
      <c r="C32" s="28"/>
      <c r="D32" s="28"/>
      <c r="E32" s="36" t="s">
        <v>444</v>
      </c>
      <c r="F32" s="7" t="s">
        <v>1045</v>
      </c>
      <c r="G32" s="7" t="s">
        <v>667</v>
      </c>
      <c r="H32" s="7" t="s">
        <v>541</v>
      </c>
      <c r="I32" s="7" t="s">
        <v>582</v>
      </c>
      <c r="J32" s="7" t="s">
        <v>497</v>
      </c>
      <c r="K32" s="7" t="s">
        <v>499</v>
      </c>
      <c r="L32" s="7" t="s">
        <v>242</v>
      </c>
      <c r="M32" s="7" t="s">
        <v>1046</v>
      </c>
      <c r="N32" s="7" t="s">
        <v>1047</v>
      </c>
      <c r="O32" s="7"/>
      <c r="P32" s="7" t="s">
        <v>1005</v>
      </c>
      <c r="Q32" s="47" t="str">
        <f t="array" ref="Q32">IF(OR($A32="",ISBLANK(XLOOKUP($A32,CPU_Asignado,Nombres_Directorio,"",0))),"",XLOOKUP($A32,CPU_Asignado,Nombres_Directorio,"",0))</f>
        <v>Uziel Sánchez Martínez</v>
      </c>
      <c r="R32" s="47" t="str">
        <f t="array" ref="R32">IF(OR($A32="",ISBLANK(XLOOKUP($A32,CPU_Asignado,Sucursal_Asignada,"",0))),"",XLOOKUP($A32,CPU_Asignado,Sucursal_Asignada,"",0))</f>
        <v>La Piedad</v>
      </c>
      <c r="S32" s="7" t="str">
        <f t="array" ref="S32">IF(OR($A32="",ISBLANK(XLOOKUP($A32,CPU_Asignado,Departamento_Asignado,"",0))),"",XLOOKUP($A32,CPU_Asignado,Departamento_Asignado,"",0))</f>
        <v>Refacciones</v>
      </c>
      <c r="T32" s="7" t="str">
        <f t="array" ref="T32">IF(OR($A32="",ISBLANK(XLOOKUP($A32,CPU_Asignado,Nombres_Directorio,"",0))),"",XLOOKUP($A32,CPU_Asignado,Nombres_Directorio,"",0))</f>
        <v>Uziel Sánchez Martínez</v>
      </c>
      <c r="U32" s="7" t="str">
        <f t="array" ref="U32">IF(OR($A32="",ISBLANK(XLOOKUP($A32,CPU_Asignado,Correos_Gmail,"",0))),"",XLOOKUP($A32,CPU_Asignado,Correos_Gmail,"",0))</f>
        <v>uzsanchez.agro@gmail.com</v>
      </c>
      <c r="V32" s="7" t="str">
        <f t="array" ref="V32">IF(OR($A32="",ISBLANK(XLOOKUP($A32,CPU_Asignado,Correos_Institucionales,"",0))),"",XLOOKUP($A32,CPU_Asignado,Correos_Institucionales,"",0))</f>
        <v>uziel.sanchez@agrocisa.com.mx</v>
      </c>
    </row>
    <row r="33" ht="15.75" customHeight="1">
      <c r="A33" s="7" t="s">
        <v>626</v>
      </c>
      <c r="B33" s="28"/>
      <c r="C33" s="28">
        <v>3500.0</v>
      </c>
      <c r="D33" s="28"/>
      <c r="E33" s="36" t="s">
        <v>1013</v>
      </c>
      <c r="F33" s="7" t="s">
        <v>445</v>
      </c>
      <c r="G33" s="7" t="s">
        <v>495</v>
      </c>
      <c r="H33" s="7" t="s">
        <v>448</v>
      </c>
      <c r="I33" s="7" t="s">
        <v>449</v>
      </c>
      <c r="J33" s="7" t="s">
        <v>497</v>
      </c>
      <c r="K33" s="7" t="s">
        <v>499</v>
      </c>
      <c r="L33" s="7" t="s">
        <v>455</v>
      </c>
      <c r="M33" s="7" t="s">
        <v>1046</v>
      </c>
      <c r="N33" s="7" t="s">
        <v>1050</v>
      </c>
      <c r="O33" s="7"/>
      <c r="P33" s="7" t="s">
        <v>1005</v>
      </c>
      <c r="Q33" s="7" t="str">
        <f t="array" ref="Q33">IF(OR($A33="",ISBLANK(XLOOKUP($A33,CPU_Asignado,Nombres_Directorio,"",0))),"",XLOOKUP($A33,CPU_Asignado,Nombres_Directorio,"",0))</f>
        <v>Manuel Martínez Rizo</v>
      </c>
      <c r="R33" s="7" t="str">
        <f t="array" ref="R33">IF(OR($A33="",ISBLANK(XLOOKUP($A33,CPU_Asignado,Sucursal_Asignada,"",0))),"",XLOOKUP($A33,CPU_Asignado,Sucursal_Asignada,"",0))</f>
        <v>La Piedad</v>
      </c>
      <c r="S33" s="7" t="str">
        <f t="array" ref="S33">IF(OR($A33="",ISBLANK(XLOOKUP($A33,CPU_Asignado,Departamento_Asignado,"",0))),"",XLOOKUP($A33,CPU_Asignado,Departamento_Asignado,"",0))</f>
        <v>Refacciones</v>
      </c>
      <c r="T33" s="7" t="str">
        <f t="array" ref="T33">IF(OR($A33="",ISBLANK(XLOOKUP($A33,CPU_Asignado,Nombres_Directorio,"",0))),"",XLOOKUP($A33,CPU_Asignado,Nombres_Directorio,"",0))</f>
        <v>Manuel Martínez Rizo</v>
      </c>
      <c r="U33" s="7" t="str">
        <f t="array" ref="U33">IF(OR($A33="",ISBLANK(XLOOKUP($A33,CPU_Asignado,Correos_Gmail,"",0))),"",XLOOKUP($A33,CPU_Asignado,Correos_Gmail,"",0))</f>
        <v>refaccioneslapieda01@agrocisa.com.mx</v>
      </c>
      <c r="V33" s="7" t="str">
        <f t="array" ref="V33">IF(OR($A33="",ISBLANK(XLOOKUP($A33,CPU_Asignado,Correos_Institucionales,"",0))),"",XLOOKUP($A33,CPU_Asignado,Correos_Institucionales,"",0))</f>
        <v>manuel.martinez@agrocisa.com.mx</v>
      </c>
    </row>
    <row r="34" ht="15.75" customHeight="1">
      <c r="A34" s="7" t="s">
        <v>643</v>
      </c>
      <c r="B34" s="28"/>
      <c r="C34" s="28">
        <v>4000.0</v>
      </c>
      <c r="D34" s="28"/>
      <c r="E34" s="36" t="s">
        <v>1053</v>
      </c>
      <c r="F34" s="7" t="s">
        <v>445</v>
      </c>
      <c r="G34" s="7" t="s">
        <v>1054</v>
      </c>
      <c r="H34" s="7" t="s">
        <v>448</v>
      </c>
      <c r="I34" s="7" t="s">
        <v>1055</v>
      </c>
      <c r="J34" s="7" t="s">
        <v>497</v>
      </c>
      <c r="K34" s="7" t="s">
        <v>499</v>
      </c>
      <c r="L34" s="7" t="s">
        <v>242</v>
      </c>
      <c r="M34" s="7" t="s">
        <v>500</v>
      </c>
      <c r="N34" s="7" t="s">
        <v>1056</v>
      </c>
      <c r="O34" s="7"/>
      <c r="P34" s="48"/>
      <c r="Q34" s="47" t="str">
        <f t="array" ref="Q34">IF(OR($A34="",ISBLANK(XLOOKUP($A34,CPU_Asignado,Nombres_Directorio,"",0))),"",XLOOKUP($A34,CPU_Asignado,Nombres_Directorio,"",0))</f>
        <v>María Fernanda Navarro Salazar</v>
      </c>
      <c r="R34" s="47" t="str">
        <f t="array" ref="R34">IF(OR($A34="",ISBLANK(XLOOKUP($A34,CPU_Asignado,Sucursal_Asignada,"",0))),"",XLOOKUP($A34,CPU_Asignado,Sucursal_Asignada,"",0))</f>
        <v>La Piedad</v>
      </c>
      <c r="S34" s="7" t="str">
        <f t="array" ref="S34">IF(OR($A34="",ISBLANK(XLOOKUP($A34,CPU_Asignado,Departamento_Asignado,"",0))),"",XLOOKUP($A34,CPU_Asignado,Departamento_Asignado,"",0))</f>
        <v>Servicio</v>
      </c>
      <c r="T34" s="7" t="str">
        <f t="array" ref="T34">IF(OR($A34="",ISBLANK(XLOOKUP($A34,CPU_Asignado,Nombres_Directorio,"",0))),"",XLOOKUP($A34,CPU_Asignado,Nombres_Directorio,"",0))</f>
        <v>María Fernanda Navarro Salazar</v>
      </c>
      <c r="U34" s="7" t="str">
        <f t="array" ref="U34">IF(OR($A34="",ISBLANK(XLOOKUP($A34,CPU_Asignado,Correos_Gmail,"",0))),"",XLOOKUP($A34,CPU_Asignado,Correos_Gmail,"",0))</f>
        <v>serviciolp.agro@gmail.com</v>
      </c>
      <c r="V34" s="7" t="str">
        <f t="array" ref="V34">IF(OR($A34="",ISBLANK(XLOOKUP($A34,CPU_Asignado,Correos_Institucionales,"",0))),"",XLOOKUP($A34,CPU_Asignado,Correos_Institucionales,"",0))</f>
        <v>serviciolapiedad@agrocisa.com.mx</v>
      </c>
    </row>
    <row r="35" ht="15.75" customHeight="1">
      <c r="A35" s="7" t="s">
        <v>263</v>
      </c>
      <c r="B35" s="28"/>
      <c r="C35" s="28">
        <v>4000.0</v>
      </c>
      <c r="D35" s="28"/>
      <c r="E35" s="36" t="s">
        <v>1053</v>
      </c>
      <c r="F35" s="7" t="s">
        <v>539</v>
      </c>
      <c r="G35" s="7" t="s">
        <v>495</v>
      </c>
      <c r="H35" s="7" t="s">
        <v>448</v>
      </c>
      <c r="I35" s="7" t="s">
        <v>449</v>
      </c>
      <c r="J35" s="7" t="s">
        <v>497</v>
      </c>
      <c r="K35" s="7" t="s">
        <v>499</v>
      </c>
      <c r="L35" s="7" t="s">
        <v>242</v>
      </c>
      <c r="M35" s="7" t="s">
        <v>902</v>
      </c>
      <c r="N35" s="7" t="s">
        <v>1059</v>
      </c>
      <c r="O35" s="7"/>
      <c r="P35" s="49"/>
      <c r="Q35" s="7" t="str">
        <f t="array" ref="Q35">IF(OR($A35="",ISBLANK(XLOOKUP($A35,CPU_Asignado,Nombres_Directorio,"",0))),"",XLOOKUP($A35,CPU_Asignado,Nombres_Directorio,"",0))</f>
        <v/>
      </c>
      <c r="R35" s="7" t="str">
        <f t="array" ref="R35">IF(OR($A35="",ISBLANK(XLOOKUP($A35,CPU_Asignado,Sucursal_Asignada,"",0))),"",XLOOKUP($A35,CPU_Asignado,Sucursal_Asignada,"",0))</f>
        <v/>
      </c>
      <c r="S35" s="7" t="str">
        <f t="array" ref="S35">IF(OR($A35="",ISBLANK(XLOOKUP($A35,CPU_Asignado,Departamento_Asignado,"",0))),"",XLOOKUP($A35,CPU_Asignado,Departamento_Asignado,"",0))</f>
        <v/>
      </c>
      <c r="T35" s="7" t="str">
        <f t="array" ref="T35">IF(OR($A35="",ISBLANK(XLOOKUP($A35,CPU_Asignado,Nombres_Directorio,"",0))),"",XLOOKUP($A35,CPU_Asignado,Nombres_Directorio,"",0))</f>
        <v/>
      </c>
      <c r="U35" s="7" t="str">
        <f t="array" ref="U35">IF(OR($A35="",ISBLANK(XLOOKUP($A35,CPU_Asignado,Correos_Gmail,"",0))),"",XLOOKUP($A35,CPU_Asignado,Correos_Gmail,"",0))</f>
        <v/>
      </c>
      <c r="V35" s="7" t="str">
        <f t="array" ref="V35">IF(OR($A35="",ISBLANK(XLOOKUP($A35,CPU_Asignado,Correos_Institucionales,"",0))),"",XLOOKUP($A35,CPU_Asignado,Correos_Institucionales,"",0))</f>
        <v/>
      </c>
    </row>
    <row r="36" ht="15.75" customHeight="1">
      <c r="A36" s="7" t="s">
        <v>647</v>
      </c>
      <c r="B36" s="28"/>
      <c r="C36" s="28">
        <v>3500.0</v>
      </c>
      <c r="D36" s="28"/>
      <c r="E36" s="36" t="s">
        <v>1062</v>
      </c>
      <c r="F36" s="7" t="s">
        <v>445</v>
      </c>
      <c r="G36" s="7" t="s">
        <v>1063</v>
      </c>
      <c r="H36" s="7" t="s">
        <v>541</v>
      </c>
      <c r="I36" s="7" t="s">
        <v>1064</v>
      </c>
      <c r="J36" s="7" t="s">
        <v>909</v>
      </c>
      <c r="K36" s="7" t="s">
        <v>499</v>
      </c>
      <c r="L36" s="7" t="s">
        <v>242</v>
      </c>
      <c r="M36" s="7" t="s">
        <v>500</v>
      </c>
      <c r="N36" s="7" t="s">
        <v>1065</v>
      </c>
      <c r="O36" s="7"/>
      <c r="P36" s="7" t="s">
        <v>1005</v>
      </c>
      <c r="Q36" s="7" t="str">
        <f t="array" ref="Q36">IF(OR($A36="",ISBLANK(XLOOKUP($A36,CPU_Asignado,Nombres_Directorio,"",0))),"",XLOOKUP($A36,CPU_Asignado,Nombres_Directorio,"",0))</f>
        <v>Abraham Rodríguez Mendoza</v>
      </c>
      <c r="R36" s="7" t="str">
        <f t="array" ref="R36">IF(OR($A36="",ISBLANK(XLOOKUP($A36,CPU_Asignado,Sucursal_Asignada,"",0))),"",XLOOKUP($A36,CPU_Asignado,Sucursal_Asignada,"",0))</f>
        <v>La Piedad</v>
      </c>
      <c r="S36" s="7" t="str">
        <f t="array" ref="S36">IF(OR($A36="",ISBLANK(XLOOKUP($A36,CPU_Asignado,Departamento_Asignado,"",0))),"",XLOOKUP($A36,CPU_Asignado,Departamento_Asignado,"",0))</f>
        <v>Servicio</v>
      </c>
      <c r="T36" s="7" t="str">
        <f t="array" ref="T36">IF(OR($A36="",ISBLANK(XLOOKUP($A36,CPU_Asignado,Nombres_Directorio,"",0))),"",XLOOKUP($A36,CPU_Asignado,Nombres_Directorio,"",0))</f>
        <v>Abraham Rodríguez Mendoza</v>
      </c>
      <c r="U36" s="7" t="str">
        <f t="array" ref="U36">IF(OR($A36="",ISBLANK(XLOOKUP($A36,CPU_Asignado,Correos_Gmail,"",0))),"",XLOOKUP($A36,CPU_Asignado,Correos_Gmail,"",0))</f>
        <v>tallerlapiedad@agrocisa.com.mx</v>
      </c>
      <c r="V36" s="7" t="str">
        <f t="array" ref="V36">IF(OR($A36="",ISBLANK(XLOOKUP($A36,CPU_Asignado,Correos_Institucionales,"",0))),"",XLOOKUP($A36,CPU_Asignado,Correos_Institucionales,"",0))</f>
        <v>tallerlapiedad@agrocisa.com.mx</v>
      </c>
    </row>
    <row r="37" ht="15.75" customHeight="1">
      <c r="A37" s="7" t="s">
        <v>602</v>
      </c>
      <c r="B37" s="28"/>
      <c r="C37" s="28">
        <v>6300.0</v>
      </c>
      <c r="D37" s="28"/>
      <c r="E37" s="36" t="s">
        <v>1068</v>
      </c>
      <c r="F37" s="7" t="s">
        <v>445</v>
      </c>
      <c r="G37" s="7" t="s">
        <v>495</v>
      </c>
      <c r="H37" s="7" t="s">
        <v>448</v>
      </c>
      <c r="I37" s="7" t="s">
        <v>869</v>
      </c>
      <c r="J37" s="7" t="s">
        <v>451</v>
      </c>
      <c r="K37" s="7" t="s">
        <v>454</v>
      </c>
      <c r="L37" s="7" t="s">
        <v>455</v>
      </c>
      <c r="M37" s="7" t="s">
        <v>456</v>
      </c>
      <c r="N37" s="7" t="s">
        <v>1069</v>
      </c>
      <c r="O37" s="7"/>
      <c r="P37" s="7" t="s">
        <v>1005</v>
      </c>
      <c r="Q37" s="7" t="str">
        <f t="array" ref="Q37">IF(OR($A37="",ISBLANK(XLOOKUP($A37,CPU_Asignado,Nombres_Directorio,"",0))),"",XLOOKUP($A37,CPU_Asignado,Nombres_Directorio,"",0))</f>
        <v>Alicia Viridiana Rodríguez Paredes</v>
      </c>
      <c r="R37" s="7" t="str">
        <f t="array" ref="R37">IF(OR($A37="",ISBLANK(XLOOKUP($A37,CPU_Asignado,Sucursal_Asignada,"",0))),"",XLOOKUP($A37,CPU_Asignado,Sucursal_Asignada,"",0))</f>
        <v>La Piedad</v>
      </c>
      <c r="S37" s="7" t="str">
        <f t="array" ref="S37">IF(OR($A37="",ISBLANK(XLOOKUP($A37,CPU_Asignado,Departamento_Asignado,"",0))),"",XLOOKUP($A37,CPU_Asignado,Departamento_Asignado,"",0))</f>
        <v>Maquinaria Agrícola y Construcción</v>
      </c>
      <c r="T37" s="7" t="str">
        <f t="array" ref="T37">IF(OR($A37="",ISBLANK(XLOOKUP($A37,CPU_Asignado,Nombres_Directorio,"",0))),"",XLOOKUP($A37,CPU_Asignado,Nombres_Directorio,"",0))</f>
        <v>Alicia Viridiana Rodríguez Paredes</v>
      </c>
      <c r="U37" s="7" t="str">
        <f t="array" ref="U37">IF(OR($A37="",ISBLANK(XLOOKUP($A37,CPU_Asignado,Correos_Gmail,"",0))),"",XLOOKUP($A37,CPU_Asignado,Correos_Gmail,"",0))</f>
        <v>ventaslapiedad.agro@gmail.com</v>
      </c>
      <c r="V37" s="7" t="str">
        <f t="array" ref="V37">IF(OR($A37="",ISBLANK(XLOOKUP($A37,CPU_Asignado,Correos_Institucionales,"",0))),"",XLOOKUP($A37,CPU_Asignado,Correos_Institucionales,"",0))</f>
        <v>ventaslapiedad@agrocisa.com.mx</v>
      </c>
    </row>
    <row r="38" ht="15.75" customHeight="1">
      <c r="A38" s="7" t="s">
        <v>720</v>
      </c>
      <c r="B38" s="28"/>
      <c r="C38" s="28">
        <v>5500.0</v>
      </c>
      <c r="D38" s="28"/>
      <c r="E38" s="36" t="s">
        <v>1076</v>
      </c>
      <c r="F38" s="7" t="s">
        <v>445</v>
      </c>
      <c r="G38" s="7" t="s">
        <v>495</v>
      </c>
      <c r="H38" s="7" t="s">
        <v>448</v>
      </c>
      <c r="I38" s="7" t="s">
        <v>496</v>
      </c>
      <c r="J38" s="7" t="s">
        <v>451</v>
      </c>
      <c r="K38" s="7" t="s">
        <v>454</v>
      </c>
      <c r="L38" s="7" t="s">
        <v>455</v>
      </c>
      <c r="M38" s="7" t="s">
        <v>500</v>
      </c>
      <c r="N38" s="7" t="s">
        <v>1077</v>
      </c>
      <c r="O38" s="7"/>
      <c r="P38" s="7" t="s">
        <v>1078</v>
      </c>
      <c r="Q38" s="7" t="str">
        <f t="array" ref="Q38">IF(OR($A38="",ISBLANK(XLOOKUP($A38,CPU_Asignado,Nombres_Directorio,"",0))),"",XLOOKUP($A38,CPU_Asignado,Nombres_Directorio,"",0))</f>
        <v>Gabriela González Hinojosa</v>
      </c>
      <c r="R38" s="7" t="str">
        <f t="array" ref="R38">IF(OR($A38="",ISBLANK(XLOOKUP($A38,CPU_Asignado,Sucursal_Asignada,"",0))),"",XLOOKUP($A38,CPU_Asignado,Sucursal_Asignada,"",0))</f>
        <v>Morelia</v>
      </c>
      <c r="S38" s="7" t="str">
        <f t="array" ref="S38">IF(OR($A38="",ISBLANK(XLOOKUP($A38,CPU_Asignado,Departamento_Asignado,"",0))),"",XLOOKUP($A38,CPU_Asignado,Departamento_Asignado,"",0))</f>
        <v>Servicio</v>
      </c>
      <c r="T38" s="7" t="str">
        <f t="array" ref="T38">IF(OR($A38="",ISBLANK(XLOOKUP($A38,CPU_Asignado,Nombres_Directorio,"",0))),"",XLOOKUP($A38,CPU_Asignado,Nombres_Directorio,"",0))</f>
        <v>Gabriela González Hinojosa</v>
      </c>
      <c r="U38" s="7" t="str">
        <f t="array" ref="U38">IF(OR($A38="",ISBLANK(XLOOKUP($A38,CPU_Asignado,Correos_Gmail,"",0))),"",XLOOKUP($A38,CPU_Asignado,Correos_Gmail,"",0))</f>
        <v>servicio.mo.agro@gmail.com</v>
      </c>
      <c r="V38" s="7" t="str">
        <f t="array" ref="V38">IF(OR($A38="",ISBLANK(XLOOKUP($A38,CPU_Asignado,Correos_Institucionales,"",0))),"",XLOOKUP($A38,CPU_Asignado,Correos_Institucionales,"",0))</f>
        <v>serviciomorelia@agrocisa.com.mx</v>
      </c>
    </row>
    <row r="39" ht="15.75" customHeight="1">
      <c r="A39" s="7" t="s">
        <v>650</v>
      </c>
      <c r="B39" s="28"/>
      <c r="C39" s="28"/>
      <c r="D39" s="28"/>
      <c r="E39" s="36" t="s">
        <v>444</v>
      </c>
      <c r="F39" s="7" t="s">
        <v>580</v>
      </c>
      <c r="G39" s="7" t="s">
        <v>447</v>
      </c>
      <c r="H39" s="7" t="s">
        <v>448</v>
      </c>
      <c r="I39" s="7" t="s">
        <v>449</v>
      </c>
      <c r="J39" s="7" t="s">
        <v>497</v>
      </c>
      <c r="K39" s="7" t="s">
        <v>499</v>
      </c>
      <c r="L39" s="7" t="s">
        <v>455</v>
      </c>
      <c r="M39" s="7" t="s">
        <v>500</v>
      </c>
      <c r="N39" s="7" t="s">
        <v>1119</v>
      </c>
      <c r="O39" s="7"/>
      <c r="P39" s="47" t="s">
        <v>1078</v>
      </c>
      <c r="Q39" s="47" t="str">
        <f t="array" ref="Q39">IF(OR($A39="",ISBLANK(XLOOKUP($A39,CPU_Asignado,Nombres_Directorio,"",0))),"",XLOOKUP($A39,CPU_Asignado,Nombres_Directorio,"",0))</f>
        <v>Ana Karen Rocel Guerrero</v>
      </c>
      <c r="R39" s="47" t="str">
        <f t="array" ref="R39">IF(OR($A39="",ISBLANK(XLOOKUP($A39,CPU_Asignado,Sucursal_Asignada,"",0))),"",XLOOKUP($A39,CPU_Asignado,Sucursal_Asignada,"",0))</f>
        <v>Morelia</v>
      </c>
      <c r="S39" s="7" t="str">
        <f t="array" ref="S39">IF(OR($A39="",ISBLANK(XLOOKUP($A39,CPU_Asignado,Departamento_Asignado,"",0))),"",XLOOKUP($A39,CPU_Asignado,Departamento_Asignado,"",0))</f>
        <v>Crédito y Cobranza</v>
      </c>
      <c r="T39" s="7" t="str">
        <f t="array" ref="T39">IF(OR($A39="",ISBLANK(XLOOKUP($A39,CPU_Asignado,Nombres_Directorio,"",0))),"",XLOOKUP($A39,CPU_Asignado,Nombres_Directorio,"",0))</f>
        <v>Ana Karen Rocel Guerrero</v>
      </c>
      <c r="U39" s="7" t="str">
        <f t="array" ref="U39">IF(OR($A39="",ISBLANK(XLOOKUP($A39,CPU_Asignado,Correos_Gmail,"",0))),"",XLOOKUP($A39,CPU_Asignado,Correos_Gmail,"",0))</f>
        <v>cajamorelia@agrocisa.com.mx</v>
      </c>
      <c r="V39" s="7" t="str">
        <f t="array" ref="V39">IF(OR($A39="",ISBLANK(XLOOKUP($A39,CPU_Asignado,Correos_Institucionales,"",0))),"",XLOOKUP($A39,CPU_Asignado,Correos_Institucionales,"",0))</f>
        <v>cajamorelia@agrocisa.com.mx</v>
      </c>
    </row>
    <row r="40" ht="15.75" customHeight="1">
      <c r="A40" s="7" t="s">
        <v>698</v>
      </c>
      <c r="B40" s="28"/>
      <c r="C40" s="28"/>
      <c r="D40" s="28"/>
      <c r="E40" s="36" t="s">
        <v>444</v>
      </c>
      <c r="F40" s="7" t="s">
        <v>580</v>
      </c>
      <c r="G40" s="7" t="s">
        <v>868</v>
      </c>
      <c r="H40" s="7" t="s">
        <v>448</v>
      </c>
      <c r="I40" s="7" t="s">
        <v>869</v>
      </c>
      <c r="J40" s="7" t="s">
        <v>451</v>
      </c>
      <c r="K40" s="7" t="s">
        <v>454</v>
      </c>
      <c r="L40" s="7" t="s">
        <v>455</v>
      </c>
      <c r="M40" s="7" t="s">
        <v>456</v>
      </c>
      <c r="N40" s="7" t="s">
        <v>1135</v>
      </c>
      <c r="O40" s="7"/>
      <c r="P40" s="7" t="s">
        <v>1078</v>
      </c>
      <c r="Q40" s="7" t="str">
        <f t="array" ref="Q40">IF(OR($A40="",ISBLANK(XLOOKUP($A40,CPU_Asignado,Nombres_Directorio,"",0))),"",XLOOKUP($A40,CPU_Asignado,Nombres_Directorio,"",0))</f>
        <v>Luis Ángel Reyes Tena </v>
      </c>
      <c r="R40" s="7" t="str">
        <f t="array" ref="R40">IF(OR($A40="",ISBLANK(XLOOKUP($A40,CPU_Asignado,Sucursal_Asignada,"",0))),"",XLOOKUP($A40,CPU_Asignado,Sucursal_Asignada,"",0))</f>
        <v>Morelia</v>
      </c>
      <c r="S40" s="7" t="str">
        <f t="array" ref="S40">IF(OR($A40="",ISBLANK(XLOOKUP($A40,CPU_Asignado,Departamento_Asignado,"",0))),"",XLOOKUP($A40,CPU_Asignado,Departamento_Asignado,"",0))</f>
        <v>Refacciones</v>
      </c>
      <c r="T40" s="7" t="str">
        <f t="array" ref="T40">IF(OR($A40="",ISBLANK(XLOOKUP($A40,CPU_Asignado,Nombres_Directorio,"",0))),"",XLOOKUP($A40,CPU_Asignado,Nombres_Directorio,"",0))</f>
        <v>Luis Ángel Reyes Tena </v>
      </c>
      <c r="U40" s="7" t="str">
        <f t="array" ref="U40">IF(OR($A40="",ISBLANK(XLOOKUP($A40,CPU_Asignado,Correos_Gmail,"",0))),"",XLOOKUP($A40,CPU_Asignado,Correos_Gmail,"",0))</f>
        <v>luis.reyes@agrocisa.com.mx</v>
      </c>
      <c r="V40" s="7" t="str">
        <f t="array" ref="V40">IF(OR($A40="",ISBLANK(XLOOKUP($A40,CPU_Asignado,Correos_Institucionales,"",0))),"",XLOOKUP($A40,CPU_Asignado,Correos_Institucionales,"",0))</f>
        <v>luis.reyes@agrocisa.com.mx</v>
      </c>
    </row>
    <row r="41" ht="15.75" customHeight="1">
      <c r="A41" s="7" t="s">
        <v>712</v>
      </c>
      <c r="B41" s="28"/>
      <c r="C41" s="28"/>
      <c r="D41" s="28"/>
      <c r="E41" s="36" t="s">
        <v>444</v>
      </c>
      <c r="F41" s="7" t="s">
        <v>580</v>
      </c>
      <c r="G41" s="7" t="s">
        <v>667</v>
      </c>
      <c r="H41" s="7" t="s">
        <v>541</v>
      </c>
      <c r="I41" s="7" t="s">
        <v>582</v>
      </c>
      <c r="J41" s="7" t="s">
        <v>909</v>
      </c>
      <c r="K41" s="7" t="s">
        <v>499</v>
      </c>
      <c r="L41" s="7" t="s">
        <v>242</v>
      </c>
      <c r="M41" s="7" t="s">
        <v>500</v>
      </c>
      <c r="N41" s="7" t="s">
        <v>1138</v>
      </c>
      <c r="O41" s="7"/>
      <c r="P41" s="7" t="s">
        <v>1078</v>
      </c>
      <c r="Q41" s="7" t="str">
        <f t="array" ref="Q41">IF(OR($A41="",ISBLANK(XLOOKUP($A41,CPU_Asignado,Nombres_Directorio,"",0))),"",XLOOKUP($A41,CPU_Asignado,Nombres_Directorio,"",0))</f>
        <v>Yadira Torres Barajas</v>
      </c>
      <c r="R41" s="7" t="str">
        <f t="array" ref="R41">IF(OR($A41="",ISBLANK(XLOOKUP($A41,CPU_Asignado,Sucursal_Asignada,"",0))),"",XLOOKUP($A41,CPU_Asignado,Sucursal_Asignada,"",0))</f>
        <v>Morelia</v>
      </c>
      <c r="S41" s="7" t="str">
        <f t="array" ref="S41">IF(OR($A41="",ISBLANK(XLOOKUP($A41,CPU_Asignado,Departamento_Asignado,"",0))),"",XLOOKUP($A41,CPU_Asignado,Departamento_Asignado,"",0))</f>
        <v>Refacciones</v>
      </c>
      <c r="T41" s="7" t="str">
        <f t="array" ref="T41">IF(OR($A41="",ISBLANK(XLOOKUP($A41,CPU_Asignado,Nombres_Directorio,"",0))),"",XLOOKUP($A41,CPU_Asignado,Nombres_Directorio,"",0))</f>
        <v>Yadira Torres Barajas</v>
      </c>
      <c r="U41" s="7" t="str">
        <f t="array" ref="U41">IF(OR($A41="",ISBLANK(XLOOKUP($A41,CPU_Asignado,Correos_Gmail,"",0))),"",XLOOKUP($A41,CPU_Asignado,Correos_Gmail,"",0))</f>
        <v>refamostradormorelia.agro@gmail.com</v>
      </c>
      <c r="V41" s="7" t="str">
        <f t="array" ref="V41">IF(OR($A41="",ISBLANK(XLOOKUP($A41,CPU_Asignado,Correos_Institucionales,"",0))),"",XLOOKUP($A41,CPU_Asignado,Correos_Institucionales,"",0))</f>
        <v>yadira.torres@agrocisa.com.mx</v>
      </c>
    </row>
    <row r="42" ht="15.75" customHeight="1">
      <c r="A42" s="7" t="s">
        <v>703</v>
      </c>
      <c r="B42" s="28"/>
      <c r="C42" s="28">
        <v>6000.0</v>
      </c>
      <c r="D42" s="28"/>
      <c r="E42" s="36" t="s">
        <v>1076</v>
      </c>
      <c r="F42" s="7" t="s">
        <v>580</v>
      </c>
      <c r="G42" s="7" t="s">
        <v>495</v>
      </c>
      <c r="H42" s="7" t="s">
        <v>448</v>
      </c>
      <c r="I42" s="7" t="s">
        <v>1143</v>
      </c>
      <c r="J42" s="7" t="s">
        <v>497</v>
      </c>
      <c r="K42" s="7" t="s">
        <v>499</v>
      </c>
      <c r="L42" s="7" t="s">
        <v>455</v>
      </c>
      <c r="M42" s="7" t="s">
        <v>500</v>
      </c>
      <c r="N42" s="7" t="s">
        <v>1144</v>
      </c>
      <c r="O42" s="7"/>
      <c r="P42" s="7" t="s">
        <v>1078</v>
      </c>
      <c r="Q42" s="7" t="str">
        <f t="array" ref="Q42">IF(OR($A42="",ISBLANK(XLOOKUP($A42,CPU_Asignado,Nombres_Directorio,"",0))),"",XLOOKUP($A42,CPU_Asignado,Nombres_Directorio,"",0))</f>
        <v>Jaime Salazar Guzmán</v>
      </c>
      <c r="R42" s="7" t="str">
        <f t="array" ref="R42">IF(OR($A42="",ISBLANK(XLOOKUP($A42,CPU_Asignado,Sucursal_Asignada,"",0))),"",XLOOKUP($A42,CPU_Asignado,Sucursal_Asignada,"",0))</f>
        <v>Morelia</v>
      </c>
      <c r="S42" s="7" t="str">
        <f t="array" ref="S42">IF(OR($A42="",ISBLANK(XLOOKUP($A42,CPU_Asignado,Departamento_Asignado,"",0))),"",XLOOKUP($A42,CPU_Asignado,Departamento_Asignado,"",0))</f>
        <v>Refacciones</v>
      </c>
      <c r="T42" s="7" t="str">
        <f t="array" ref="T42">IF(OR($A42="",ISBLANK(XLOOKUP($A42,CPU_Asignado,Nombres_Directorio,"",0))),"",XLOOKUP($A42,CPU_Asignado,Nombres_Directorio,"",0))</f>
        <v>Jaime Salazar Guzmán</v>
      </c>
      <c r="U42" s="7" t="str">
        <f t="array" ref="U42">IF(OR($A42="",ISBLANK(XLOOKUP($A42,CPU_Asignado,Correos_Gmail,"",0))),"",XLOOKUP($A42,CPU_Asignado,Correos_Gmail,"",0))</f>
        <v>jaimesalazar.agro@gmail.com</v>
      </c>
      <c r="V42" s="7" t="str">
        <f t="array" ref="V42">IF(OR($A42="",ISBLANK(XLOOKUP($A42,CPU_Asignado,Correos_Institucionales,"",0))),"",XLOOKUP($A42,CPU_Asignado,Correos_Institucionales,"",0))</f>
        <v>jaime.salazar@agrocisa.com.mx</v>
      </c>
    </row>
    <row r="43" ht="15.75" customHeight="1">
      <c r="A43" s="7" t="s">
        <v>728</v>
      </c>
      <c r="B43" s="28"/>
      <c r="C43" s="28">
        <v>5500.0</v>
      </c>
      <c r="D43" s="28"/>
      <c r="E43" s="36" t="s">
        <v>1076</v>
      </c>
      <c r="F43" s="7" t="s">
        <v>494</v>
      </c>
      <c r="G43" s="7" t="s">
        <v>495</v>
      </c>
      <c r="H43" s="7" t="s">
        <v>448</v>
      </c>
      <c r="I43" s="7" t="s">
        <v>449</v>
      </c>
      <c r="J43" s="7" t="s">
        <v>497</v>
      </c>
      <c r="K43" s="7" t="s">
        <v>499</v>
      </c>
      <c r="L43" s="7" t="s">
        <v>242</v>
      </c>
      <c r="M43" s="7" t="s">
        <v>500</v>
      </c>
      <c r="N43" s="7" t="s">
        <v>1147</v>
      </c>
      <c r="O43" s="7"/>
      <c r="P43" s="7" t="s">
        <v>1078</v>
      </c>
      <c r="Q43" s="7" t="str">
        <f t="array" ref="Q43">IF(OR($A43="",ISBLANK(XLOOKUP($A43,CPU_Asignado,Nombres_Directorio,"",0))),"",XLOOKUP($A43,CPU_Asignado,Nombres_Directorio,"",0))</f>
        <v>Vacante Jefe de Taller Morelia</v>
      </c>
      <c r="R43" s="7" t="str">
        <f t="array" ref="R43">IF(OR($A43="",ISBLANK(XLOOKUP($A43,CPU_Asignado,Sucursal_Asignada,"",0))),"",XLOOKUP($A43,CPU_Asignado,Sucursal_Asignada,"",0))</f>
        <v>Morelia</v>
      </c>
      <c r="S43" s="7" t="str">
        <f t="array" ref="S43">IF(OR($A43="",ISBLANK(XLOOKUP($A43,CPU_Asignado,Departamento_Asignado,"",0))),"",XLOOKUP($A43,CPU_Asignado,Departamento_Asignado,"",0))</f>
        <v>Servicio</v>
      </c>
      <c r="T43" s="7" t="str">
        <f t="array" ref="T43">IF(OR($A43="",ISBLANK(XLOOKUP($A43,CPU_Asignado,Nombres_Directorio,"",0))),"",XLOOKUP($A43,CPU_Asignado,Nombres_Directorio,"",0))</f>
        <v>Vacante Jefe de Taller Morelia</v>
      </c>
      <c r="U43" s="7" t="str">
        <f t="array" ref="U43">IF(OR($A43="",ISBLANK(XLOOKUP($A43,CPU_Asignado,Correos_Gmail,"",0))),"",XLOOKUP($A43,CPU_Asignado,Correos_Gmail,"",0))</f>
        <v>tallermor.agro@gmail.com</v>
      </c>
      <c r="V43" s="7" t="str">
        <f t="array" ref="V43">IF(OR($A43="",ISBLANK(XLOOKUP($A43,CPU_Asignado,Correos_Institucionales,"",0))),"",XLOOKUP($A43,CPU_Asignado,Correos_Institucionales,"",0))</f>
        <v>tallermorelia@agrocisa.com.mx</v>
      </c>
    </row>
    <row r="44" ht="15.75" customHeight="1">
      <c r="A44" s="7" t="s">
        <v>707</v>
      </c>
      <c r="B44" s="28"/>
      <c r="C44" s="28"/>
      <c r="D44" s="28"/>
      <c r="E44" s="36" t="s">
        <v>444</v>
      </c>
      <c r="F44" s="7" t="s">
        <v>580</v>
      </c>
      <c r="G44" s="7" t="s">
        <v>667</v>
      </c>
      <c r="H44" s="7" t="s">
        <v>541</v>
      </c>
      <c r="I44" s="7" t="s">
        <v>582</v>
      </c>
      <c r="J44" s="7" t="s">
        <v>497</v>
      </c>
      <c r="K44" s="7" t="s">
        <v>499</v>
      </c>
      <c r="L44" s="7" t="s">
        <v>455</v>
      </c>
      <c r="M44" s="7" t="s">
        <v>500</v>
      </c>
      <c r="N44" s="7" t="s">
        <v>1150</v>
      </c>
      <c r="O44" s="7"/>
      <c r="P44" s="7" t="s">
        <v>1078</v>
      </c>
      <c r="Q44" s="7" t="str">
        <f t="array" ref="Q44">IF(OR($A44="",ISBLANK(XLOOKUP($A44,CPU_Asignado,Nombres_Directorio,"",0))),"",XLOOKUP($A44,CPU_Asignado,Nombres_Directorio,"",0))</f>
        <v>Vacante</v>
      </c>
      <c r="R44" s="7" t="str">
        <f t="array" ref="R44">IF(OR($A44="",ISBLANK(XLOOKUP($A44,CPU_Asignado,Sucursal_Asignada,"",0))),"",XLOOKUP($A44,CPU_Asignado,Sucursal_Asignada,"",0))</f>
        <v>Morelia</v>
      </c>
      <c r="S44" s="7" t="str">
        <f t="array" ref="S44">IF(OR($A44="",ISBLANK(XLOOKUP($A44,CPU_Asignado,Departamento_Asignado,"",0))),"",XLOOKUP($A44,CPU_Asignado,Departamento_Asignado,"",0))</f>
        <v>Refacciones</v>
      </c>
      <c r="T44" s="7" t="str">
        <f t="array" ref="T44">IF(OR($A44="",ISBLANK(XLOOKUP($A44,CPU_Asignado,Nombres_Directorio,"",0))),"",XLOOKUP($A44,CPU_Asignado,Nombres_Directorio,"",0))</f>
        <v>Vacante</v>
      </c>
      <c r="U44" s="7" t="str">
        <f t="array" ref="U44">IF(OR($A44="",ISBLANK(XLOOKUP($A44,CPU_Asignado,Correos_Gmail,"",0))),"",XLOOKUP($A44,CPU_Asignado,Correos_Gmail,"",0))</f>
        <v>refacciones.mozona02.agro@gmail.com</v>
      </c>
      <c r="V44" s="7" t="str">
        <f t="array" ref="V44">IF(OR($A44="",ISBLANK(XLOOKUP($A44,CPU_Asignado,Correos_Institucionales,"",0))),"",XLOOKUP($A44,CPU_Asignado,Correos_Institucionales,"",0))</f>
        <v>juan.marquez@agrocisa.com.mx</v>
      </c>
    </row>
    <row r="45" ht="15.75" customHeight="1">
      <c r="A45" s="7" t="s">
        <v>688</v>
      </c>
      <c r="B45" s="28"/>
      <c r="C45" s="28">
        <v>8500.0</v>
      </c>
      <c r="D45" s="28"/>
      <c r="E45" s="36" t="s">
        <v>1076</v>
      </c>
      <c r="F45" s="7" t="s">
        <v>580</v>
      </c>
      <c r="G45" s="7" t="s">
        <v>667</v>
      </c>
      <c r="H45" s="7" t="s">
        <v>448</v>
      </c>
      <c r="I45" s="7" t="s">
        <v>1156</v>
      </c>
      <c r="J45" s="7" t="s">
        <v>909</v>
      </c>
      <c r="K45" s="7" t="s">
        <v>454</v>
      </c>
      <c r="L45" s="7" t="s">
        <v>455</v>
      </c>
      <c r="M45" s="7" t="s">
        <v>456</v>
      </c>
      <c r="N45" s="7" t="s">
        <v>1158</v>
      </c>
      <c r="O45" s="7"/>
      <c r="P45" s="7" t="s">
        <v>1078</v>
      </c>
      <c r="Q45" s="7" t="str">
        <f t="array" ref="Q45">IF(OR($A45="",ISBLANK(XLOOKUP($A45,CPU_Asignado,Nombres_Directorio,"",0))),"",XLOOKUP($A45,CPU_Asignado,Nombres_Directorio,"",0))</f>
        <v>Karla Edith Escalante Rodríguez</v>
      </c>
      <c r="R45" s="7" t="str">
        <f t="array" ref="R45">IF(OR($A45="",ISBLANK(XLOOKUP($A45,CPU_Asignado,Sucursal_Asignada,"",0))),"",XLOOKUP($A45,CPU_Asignado,Sucursal_Asignada,"",0))</f>
        <v>Morelia</v>
      </c>
      <c r="S45" s="7" t="str">
        <f t="array" ref="S45">IF(OR($A45="",ISBLANK(XLOOKUP($A45,CPU_Asignado,Departamento_Asignado,"",0))),"",XLOOKUP($A45,CPU_Asignado,Departamento_Asignado,"",0))</f>
        <v>Maquinaria Agrícola y Construcción</v>
      </c>
      <c r="T45" s="7" t="str">
        <f t="array" ref="T45">IF(OR($A45="",ISBLANK(XLOOKUP($A45,CPU_Asignado,Nombres_Directorio,"",0))),"",XLOOKUP($A45,CPU_Asignado,Nombres_Directorio,"",0))</f>
        <v>Karla Edith Escalante Rodríguez</v>
      </c>
      <c r="U45" s="7" t="str">
        <f t="array" ref="U45">IF(OR($A45="",ISBLANK(XLOOKUP($A45,CPU_Asignado,Correos_Gmail,"",0))),"",XLOOKUP($A45,CPU_Asignado,Correos_Gmail,"",0))</f>
        <v>ventasmorelia.agro@gmail.com</v>
      </c>
      <c r="V45" s="7" t="str">
        <f t="array" ref="V45">IF(OR($A45="",ISBLANK(XLOOKUP($A45,CPU_Asignado,Correos_Institucionales,"",0))),"",XLOOKUP($A45,CPU_Asignado,Correos_Institucionales,"",0))</f>
        <v>ventas.morelia@agrocisa.com.mx</v>
      </c>
    </row>
    <row r="46" ht="15.75" customHeight="1">
      <c r="A46" s="7" t="s">
        <v>787</v>
      </c>
      <c r="B46" s="28"/>
      <c r="C46" s="28"/>
      <c r="D46" s="28"/>
      <c r="E46" s="36" t="s">
        <v>444</v>
      </c>
      <c r="F46" s="7" t="s">
        <v>445</v>
      </c>
      <c r="G46" s="7" t="s">
        <v>1022</v>
      </c>
      <c r="H46" s="7" t="s">
        <v>541</v>
      </c>
      <c r="I46" s="7" t="s">
        <v>1064</v>
      </c>
      <c r="J46" s="7" t="s">
        <v>497</v>
      </c>
      <c r="K46" s="7" t="s">
        <v>499</v>
      </c>
      <c r="L46" s="7" t="s">
        <v>455</v>
      </c>
      <c r="M46" s="7" t="s">
        <v>454</v>
      </c>
      <c r="N46" s="7" t="s">
        <v>1163</v>
      </c>
      <c r="O46" s="7"/>
      <c r="P46" s="7" t="s">
        <v>1164</v>
      </c>
      <c r="Q46" s="7" t="str">
        <f t="array" ref="Q46">IF(OR($A46="",ISBLANK(XLOOKUP($A46,CPU_Asignado,Nombres_Directorio,"",0))),"",XLOOKUP($A46,CPU_Asignado,Nombres_Directorio,"",0))</f>
        <v>Pedro Castañeda Vázquez</v>
      </c>
      <c r="R46" s="7" t="str">
        <f t="array" ref="R46">IF(OR($A46="",ISBLANK(XLOOKUP($A46,CPU_Asignado,Sucursal_Asignada,"",0))),"",XLOOKUP($A46,CPU_Asignado,Sucursal_Asignada,"",0))</f>
        <v>Pénjamo</v>
      </c>
      <c r="S46" s="7" t="str">
        <f t="array" ref="S46">IF(OR($A46="",ISBLANK(XLOOKUP($A46,CPU_Asignado,Departamento_Asignado,"",0))),"",XLOOKUP($A46,CPU_Asignado,Departamento_Asignado,"",0))</f>
        <v>Refacciones</v>
      </c>
      <c r="T46" s="7" t="str">
        <f t="array" ref="T46">IF(OR($A46="",ISBLANK(XLOOKUP($A46,CPU_Asignado,Nombres_Directorio,"",0))),"",XLOOKUP($A46,CPU_Asignado,Nombres_Directorio,"",0))</f>
        <v>Pedro Castañeda Vázquez</v>
      </c>
      <c r="U46" s="7" t="str">
        <f t="array" ref="U46">IF(OR($A46="",ISBLANK(XLOOKUP($A46,CPU_Asignado,Correos_Gmail,"",0))),"",XLOOKUP($A46,CPU_Asignado,Correos_Gmail,"",0))</f>
        <v>pcastaneda.agro@gmail.com</v>
      </c>
      <c r="V46" s="7" t="str">
        <f t="array" ref="V46">IF(OR($A46="",ISBLANK(XLOOKUP($A46,CPU_Asignado,Correos_Institucionales,"",0))),"",XLOOKUP($A46,CPU_Asignado,Correos_Institucionales,"",0))</f>
        <v>pedro.castaneda@agrocisa.com.mx</v>
      </c>
    </row>
    <row r="47" ht="15.75" customHeight="1">
      <c r="A47" s="7" t="s">
        <v>739</v>
      </c>
      <c r="B47" s="28"/>
      <c r="C47" s="28">
        <v>4000.0</v>
      </c>
      <c r="D47" s="28"/>
      <c r="E47" s="36" t="s">
        <v>1167</v>
      </c>
      <c r="F47" s="7" t="s">
        <v>580</v>
      </c>
      <c r="G47" s="7" t="s">
        <v>667</v>
      </c>
      <c r="H47" s="7" t="s">
        <v>541</v>
      </c>
      <c r="I47" s="7" t="s">
        <v>582</v>
      </c>
      <c r="J47" s="7" t="s">
        <v>497</v>
      </c>
      <c r="K47" s="7" t="s">
        <v>499</v>
      </c>
      <c r="L47" s="7" t="s">
        <v>455</v>
      </c>
      <c r="M47" s="7" t="s">
        <v>454</v>
      </c>
      <c r="N47" s="7" t="s">
        <v>1168</v>
      </c>
      <c r="O47" s="7"/>
      <c r="P47" s="7" t="s">
        <v>1164</v>
      </c>
      <c r="Q47" s="7" t="str">
        <f t="array" ref="Q47">IF(OR($A47="",ISBLANK(XLOOKUP($A47,CPU_Asignado,Nombres_Directorio,"",0))),"",XLOOKUP($A47,CPU_Asignado,Nombres_Directorio,"",0))</f>
        <v>Nancy Yaneth Arroyo Cabello</v>
      </c>
      <c r="R47" s="7" t="str">
        <f t="array" ref="R47">IF(OR($A47="",ISBLANK(XLOOKUP($A47,CPU_Asignado,Sucursal_Asignada,"",0))),"",XLOOKUP($A47,CPU_Asignado,Sucursal_Asignada,"",0))</f>
        <v>Pénjamo</v>
      </c>
      <c r="S47" s="7" t="str">
        <f t="array" ref="S47">IF(OR($A47="",ISBLANK(XLOOKUP($A47,CPU_Asignado,Departamento_Asignado,"",0))),"",XLOOKUP($A47,CPU_Asignado,Departamento_Asignado,"",0))</f>
        <v>Maquinaria Agrícola y Construcción</v>
      </c>
      <c r="T47" s="7" t="str">
        <f t="array" ref="T47">IF(OR($A47="",ISBLANK(XLOOKUP($A47,CPU_Asignado,Nombres_Directorio,"",0))),"",XLOOKUP($A47,CPU_Asignado,Nombres_Directorio,"",0))</f>
        <v>Nancy Yaneth Arroyo Cabello</v>
      </c>
      <c r="U47" s="7" t="str">
        <f t="array" ref="U47">IF(OR($A47="",ISBLANK(XLOOKUP($A47,CPU_Asignado,Correos_Gmail,"",0))),"",XLOOKUP($A47,CPU_Asignado,Correos_Gmail,"",0))</f>
        <v>ventaspenjamo@agrocisa.com.mx</v>
      </c>
      <c r="V47" s="7" t="str">
        <f t="array" ref="V47">IF(OR($A47="",ISBLANK(XLOOKUP($A47,CPU_Asignado,Correos_Institucionales,"",0))),"",XLOOKUP($A47,CPU_Asignado,Correos_Institucionales,"",0))</f>
        <v>ventaspenjamo@agrocisa.com.mx</v>
      </c>
    </row>
    <row r="48" ht="15.75" customHeight="1">
      <c r="A48" s="7" t="s">
        <v>736</v>
      </c>
      <c r="B48" s="28"/>
      <c r="C48" s="28"/>
      <c r="D48" s="28"/>
      <c r="E48" s="36" t="s">
        <v>444</v>
      </c>
      <c r="F48" s="7" t="s">
        <v>539</v>
      </c>
      <c r="G48" s="7" t="s">
        <v>1063</v>
      </c>
      <c r="H48" s="7" t="s">
        <v>541</v>
      </c>
      <c r="I48" s="7" t="s">
        <v>1064</v>
      </c>
      <c r="J48" s="7" t="s">
        <v>909</v>
      </c>
      <c r="K48" s="7" t="s">
        <v>499</v>
      </c>
      <c r="L48" s="7" t="s">
        <v>455</v>
      </c>
      <c r="M48" s="7" t="s">
        <v>454</v>
      </c>
      <c r="N48" s="7" t="s">
        <v>1171</v>
      </c>
      <c r="O48" s="7"/>
      <c r="P48" s="7" t="s">
        <v>1164</v>
      </c>
      <c r="Q48" s="7" t="str">
        <f t="array" ref="Q48">IF(OR($A48="",ISBLANK(XLOOKUP($A48,CPU_Asignado,Nombres_Directorio,"",0))),"",XLOOKUP($A48,CPU_Asignado,Nombres_Directorio,"",0))</f>
        <v>María Guadalupe Gutiérrez Magaña</v>
      </c>
      <c r="R48" s="7" t="str">
        <f t="array" ref="R48">IF(OR($A48="",ISBLANK(XLOOKUP($A48,CPU_Asignado,Sucursal_Asignada,"",0))),"",XLOOKUP($A48,CPU_Asignado,Sucursal_Asignada,"",0))</f>
        <v>Pénjamo</v>
      </c>
      <c r="S48" s="7" t="str">
        <f t="array" ref="S48">IF(OR($A48="",ISBLANK(XLOOKUP($A48,CPU_Asignado,Departamento_Asignado,"",0))),"",XLOOKUP($A48,CPU_Asignado,Departamento_Asignado,"",0))</f>
        <v>Crédito y Cobranza</v>
      </c>
      <c r="T48" s="7" t="str">
        <f t="array" ref="T48">IF(OR($A48="",ISBLANK(XLOOKUP($A48,CPU_Asignado,Nombres_Directorio,"",0))),"",XLOOKUP($A48,CPU_Asignado,Nombres_Directorio,"",0))</f>
        <v>María Guadalupe Gutiérrez Magaña</v>
      </c>
      <c r="U48" s="7" t="str">
        <f t="array" ref="U48">IF(OR($A48="",ISBLANK(XLOOKUP($A48,CPU_Asignado,Correos_Gmail,"",0))),"",XLOOKUP($A48,CPU_Asignado,Correos_Gmail,"",0))</f>
        <v>lgutierrez.agro@gmail.com</v>
      </c>
      <c r="V48" s="7" t="str">
        <f t="array" ref="V48">IF(OR($A48="",ISBLANK(XLOOKUP($A48,CPU_Asignado,Correos_Institucionales,"",0))),"",XLOOKUP($A48,CPU_Asignado,Correos_Institucionales,"",0))</f>
        <v>guadalupe.gutierrez@agrocisa.com.mx</v>
      </c>
    </row>
    <row r="49" ht="15.75" customHeight="1">
      <c r="A49" s="7" t="s">
        <v>793</v>
      </c>
      <c r="B49" s="28"/>
      <c r="C49" s="28"/>
      <c r="D49" s="28"/>
      <c r="E49" s="36" t="s">
        <v>444</v>
      </c>
      <c r="F49" s="7" t="s">
        <v>445</v>
      </c>
      <c r="G49" s="7" t="s">
        <v>667</v>
      </c>
      <c r="H49" s="7" t="s">
        <v>541</v>
      </c>
      <c r="I49" s="7" t="s">
        <v>582</v>
      </c>
      <c r="J49" s="7" t="s">
        <v>451</v>
      </c>
      <c r="K49" s="7" t="s">
        <v>454</v>
      </c>
      <c r="L49" s="7" t="s">
        <v>455</v>
      </c>
      <c r="M49" s="7" t="s">
        <v>1178</v>
      </c>
      <c r="N49" s="7" t="s">
        <v>1179</v>
      </c>
      <c r="O49" s="7"/>
      <c r="P49" s="7" t="s">
        <v>1164</v>
      </c>
      <c r="Q49" s="7" t="str">
        <f t="array" ref="Q49">IF(OR($A49="",ISBLANK(XLOOKUP($A49,CPU_Asignado,Nombres_Directorio,"",0))),"",XLOOKUP($A49,CPU_Asignado,Nombres_Directorio,"",0))</f>
        <v>Lorena González Macías</v>
      </c>
      <c r="R49" s="7" t="str">
        <f t="array" ref="R49">IF(OR($A49="",ISBLANK(XLOOKUP($A49,CPU_Asignado,Sucursal_Asignada,"",0))),"",XLOOKUP($A49,CPU_Asignado,Sucursal_Asignada,"",0))</f>
        <v>Pénjamo</v>
      </c>
      <c r="S49" s="7" t="str">
        <f t="array" ref="S49">IF(OR($A49="",ISBLANK(XLOOKUP($A49,CPU_Asignado,Departamento_Asignado,"",0))),"",XLOOKUP($A49,CPU_Asignado,Departamento_Asignado,"",0))</f>
        <v>Servicio</v>
      </c>
      <c r="T49" s="7" t="str">
        <f t="array" ref="T49">IF(OR($A49="",ISBLANK(XLOOKUP($A49,CPU_Asignado,Nombres_Directorio,"",0))),"",XLOOKUP($A49,CPU_Asignado,Nombres_Directorio,"",0))</f>
        <v>Lorena González Macías</v>
      </c>
      <c r="U49" s="7" t="str">
        <f t="array" ref="U49">IF(OR($A49="",ISBLANK(XLOOKUP($A49,CPU_Asignado,Correos_Gmail,"",0))),"",XLOOKUP($A49,CPU_Asignado,Correos_Gmail,"",0))</f>
        <v>garantiaspj.agro@gmail.com</v>
      </c>
      <c r="V49" s="7" t="str">
        <f t="array" ref="V49">IF(OR($A49="",ISBLANK(XLOOKUP($A49,CPU_Asignado,Correos_Institucionales,"",0))),"",XLOOKUP($A49,CPU_Asignado,Correos_Institucionales,"",0))</f>
        <v>garantias.pj@agrocisa.com.mx</v>
      </c>
    </row>
    <row r="50" ht="15.75" customHeight="1">
      <c r="A50" s="7" t="s">
        <v>781</v>
      </c>
      <c r="B50" s="28"/>
      <c r="C50" s="28"/>
      <c r="D50" s="28"/>
      <c r="E50" s="36" t="s">
        <v>444</v>
      </c>
      <c r="F50" s="7" t="s">
        <v>580</v>
      </c>
      <c r="G50" s="7" t="s">
        <v>1221</v>
      </c>
      <c r="H50" s="7" t="s">
        <v>448</v>
      </c>
      <c r="I50" s="7" t="s">
        <v>1222</v>
      </c>
      <c r="J50" s="7" t="s">
        <v>451</v>
      </c>
      <c r="K50" s="7" t="s">
        <v>454</v>
      </c>
      <c r="L50" s="7" t="s">
        <v>455</v>
      </c>
      <c r="M50" s="7" t="s">
        <v>1223</v>
      </c>
      <c r="N50" s="7" t="s">
        <v>1224</v>
      </c>
      <c r="O50" s="7"/>
      <c r="P50" s="7" t="s">
        <v>1164</v>
      </c>
      <c r="Q50" s="7" t="str">
        <f t="array" ref="Q50">IF(OR($A50="",ISBLANK(XLOOKUP($A50,CPU_Asignado,Nombres_Directorio,"",0))),"",XLOOKUP($A50,CPU_Asignado,Nombres_Directorio,"",0))</f>
        <v>Brenda Alcocer Alcocer</v>
      </c>
      <c r="R50" s="7" t="str">
        <f t="array" ref="R50">IF(OR($A50="",ISBLANK(XLOOKUP($A50,CPU_Asignado,Sucursal_Asignada,"",0))),"",XLOOKUP($A50,CPU_Asignado,Sucursal_Asignada,"",0))</f>
        <v>Pénjamo</v>
      </c>
      <c r="S50" s="7" t="str">
        <f t="array" ref="S50">IF(OR($A50="",ISBLANK(XLOOKUP($A50,CPU_Asignado,Departamento_Asignado,"",0))),"",XLOOKUP($A50,CPU_Asignado,Departamento_Asignado,"",0))</f>
        <v>Refacciones</v>
      </c>
      <c r="T50" s="7" t="str">
        <f t="array" ref="T50">IF(OR($A50="",ISBLANK(XLOOKUP($A50,CPU_Asignado,Nombres_Directorio,"",0))),"",XLOOKUP($A50,CPU_Asignado,Nombres_Directorio,"",0))</f>
        <v>Brenda Alcocer Alcocer</v>
      </c>
      <c r="U50" s="7" t="str">
        <f t="array" ref="U50">IF(OR($A50="",ISBLANK(XLOOKUP($A50,CPU_Asignado,Correos_Gmail,"",0))),"",XLOOKUP($A50,CPU_Asignado,Correos_Gmail,"",0))</f>
        <v>refapj.agro@gmail.com</v>
      </c>
      <c r="V50" s="7" t="str">
        <f t="array" ref="V50">IF(OR($A50="",ISBLANK(XLOOKUP($A50,CPU_Asignado,Correos_Institucionales,"",0))),"",XLOOKUP($A50,CPU_Asignado,Correos_Institucionales,"",0))</f>
        <v>brenda.alcocer@agrocisa.com.mx</v>
      </c>
    </row>
    <row r="51" ht="15.75" customHeight="1">
      <c r="A51" s="7" t="s">
        <v>776</v>
      </c>
      <c r="B51" s="28"/>
      <c r="C51" s="28"/>
      <c r="D51" s="28"/>
      <c r="E51" s="36" t="s">
        <v>444</v>
      </c>
      <c r="F51" s="7" t="s">
        <v>445</v>
      </c>
      <c r="G51" s="7" t="s">
        <v>667</v>
      </c>
      <c r="H51" s="7" t="s">
        <v>541</v>
      </c>
      <c r="I51" s="7" t="s">
        <v>582</v>
      </c>
      <c r="J51" s="7" t="s">
        <v>451</v>
      </c>
      <c r="K51" s="7" t="s">
        <v>454</v>
      </c>
      <c r="L51" s="7" t="s">
        <v>455</v>
      </c>
      <c r="M51" s="7" t="s">
        <v>1227</v>
      </c>
      <c r="N51" s="7" t="s">
        <v>1228</v>
      </c>
      <c r="O51" s="7"/>
      <c r="P51" s="7" t="s">
        <v>1164</v>
      </c>
      <c r="Q51" s="7" t="str">
        <f t="array" ref="Q51">IF(OR($A51="",ISBLANK(XLOOKUP($A51,CPU_Asignado,Nombres_Directorio,"",0))),"",XLOOKUP($A51,CPU_Asignado,Nombres_Directorio,"",0))</f>
        <v>Vacante Asesor de Refacciones Campo</v>
      </c>
      <c r="R51" s="7" t="str">
        <f t="array" ref="R51">IF(OR($A51="",ISBLANK(XLOOKUP($A51,CPU_Asignado,Sucursal_Asignada,"",0))),"",XLOOKUP($A51,CPU_Asignado,Sucursal_Asignada,"",0))</f>
        <v>Pénjamo</v>
      </c>
      <c r="S51" s="7" t="str">
        <f t="array" ref="S51">IF(OR($A51="",ISBLANK(XLOOKUP($A51,CPU_Asignado,Departamento_Asignado,"",0))),"",XLOOKUP($A51,CPU_Asignado,Departamento_Asignado,"",0))</f>
        <v>Refacciones</v>
      </c>
      <c r="T51" s="7" t="str">
        <f t="array" ref="T51">IF(OR($A51="",ISBLANK(XLOOKUP($A51,CPU_Asignado,Nombres_Directorio,"",0))),"",XLOOKUP($A51,CPU_Asignado,Nombres_Directorio,"",0))</f>
        <v>Vacante Asesor de Refacciones Campo</v>
      </c>
      <c r="U51" s="7" t="str">
        <f t="array" ref="U51">IF(OR($A51="",ISBLANK(XLOOKUP($A51,CPU_Asignado,Correos_Gmail,"",0))),"",XLOOKUP($A51,CPU_Asignado,Correos_Gmail,"",0))</f>
        <v>uriel.martinez@agrocisa.com.mx</v>
      </c>
      <c r="V51" s="7" t="str">
        <f t="array" ref="V51">IF(OR($A51="",ISBLANK(XLOOKUP($A51,CPU_Asignado,Correos_Institucionales,"",0))),"",XLOOKUP($A51,CPU_Asignado,Correos_Institucionales,"",0))</f>
        <v>uriel.martinez@agrocisa.com.mx</v>
      </c>
    </row>
    <row r="52" ht="15.75" customHeight="1">
      <c r="A52" s="7" t="s">
        <v>1229</v>
      </c>
      <c r="B52" s="28"/>
      <c r="C52" s="28"/>
      <c r="D52" s="28"/>
      <c r="E52" s="36" t="s">
        <v>444</v>
      </c>
      <c r="F52" s="7" t="s">
        <v>580</v>
      </c>
      <c r="G52" s="7" t="s">
        <v>1221</v>
      </c>
      <c r="H52" s="7" t="s">
        <v>448</v>
      </c>
      <c r="I52" s="7" t="s">
        <v>1222</v>
      </c>
      <c r="J52" s="7" t="s">
        <v>451</v>
      </c>
      <c r="K52" s="7" t="s">
        <v>454</v>
      </c>
      <c r="L52" s="7" t="s">
        <v>455</v>
      </c>
      <c r="M52" s="7" t="s">
        <v>500</v>
      </c>
      <c r="N52" s="7" t="s">
        <v>1232</v>
      </c>
      <c r="O52" s="7"/>
      <c r="P52" s="7" t="s">
        <v>1233</v>
      </c>
      <c r="Q52" s="7" t="str">
        <f t="array" ref="Q52">IF(OR($A52="",ISBLANK(XLOOKUP($A52,CPU_Asignado,Nombres_Directorio,"",0))),"",XLOOKUP($A52,CPU_Asignado,Nombres_Directorio,"",0))</f>
        <v/>
      </c>
      <c r="R52" s="7" t="str">
        <f t="array" ref="R52">IF(OR($A52="",ISBLANK(XLOOKUP($A52,CPU_Asignado,Sucursal_Asignada,"",0))),"",XLOOKUP($A52,CPU_Asignado,Sucursal_Asignada,"",0))</f>
        <v/>
      </c>
      <c r="S52" s="7" t="str">
        <f t="array" ref="S52">IF(OR($A52="",ISBLANK(XLOOKUP($A52,CPU_Asignado,Departamento_Asignado,"",0))),"",XLOOKUP($A52,CPU_Asignado,Departamento_Asignado,"",0))</f>
        <v/>
      </c>
      <c r="T52" s="7" t="str">
        <f t="array" ref="T52">IF(OR($A52="",ISBLANK(XLOOKUP($A52,CPU_Asignado,Nombres_Directorio,"",0))),"",XLOOKUP($A52,CPU_Asignado,Nombres_Directorio,"",0))</f>
        <v/>
      </c>
      <c r="U52" s="7" t="str">
        <f t="array" ref="U52">IF(OR($A52="",ISBLANK(XLOOKUP($A52,CPU_Asignado,Correos_Gmail,"",0))),"",XLOOKUP($A52,CPU_Asignado,Correos_Gmail,"",0))</f>
        <v/>
      </c>
      <c r="V52" s="7" t="str">
        <f t="array" ref="V52">IF(OR($A52="",ISBLANK(XLOOKUP($A52,CPU_Asignado,Correos_Institucionales,"",0))),"",XLOOKUP($A52,CPU_Asignado,Correos_Institucionales,"",0))</f>
        <v/>
      </c>
    </row>
    <row r="53" ht="15.75" customHeight="1">
      <c r="A53" s="7" t="s">
        <v>1234</v>
      </c>
      <c r="B53" s="28"/>
      <c r="C53" s="28"/>
      <c r="D53" s="28"/>
      <c r="E53" s="36" t="s">
        <v>444</v>
      </c>
      <c r="F53" s="7" t="s">
        <v>926</v>
      </c>
      <c r="G53" s="7" t="s">
        <v>495</v>
      </c>
      <c r="H53" s="7" t="s">
        <v>448</v>
      </c>
      <c r="I53" s="7" t="s">
        <v>496</v>
      </c>
      <c r="J53" s="7" t="s">
        <v>497</v>
      </c>
      <c r="K53" s="7" t="s">
        <v>499</v>
      </c>
      <c r="L53" s="7" t="s">
        <v>455</v>
      </c>
      <c r="M53" s="7" t="s">
        <v>1235</v>
      </c>
      <c r="N53" s="7" t="s">
        <v>1236</v>
      </c>
      <c r="O53" s="7"/>
      <c r="P53" s="7" t="s">
        <v>1233</v>
      </c>
      <c r="Q53" s="7" t="str">
        <f t="array" ref="Q53">IF(OR($A53="",ISBLANK(XLOOKUP($A53,CPU_Asignado,Nombres_Directorio,"",0))),"",XLOOKUP($A53,CPU_Asignado,Nombres_Directorio,"",0))</f>
        <v/>
      </c>
      <c r="R53" s="7" t="str">
        <f t="array" ref="R53">IF(OR($A53="",ISBLANK(XLOOKUP($A53,CPU_Asignado,Sucursal_Asignada,"",0))),"",XLOOKUP($A53,CPU_Asignado,Sucursal_Asignada,"",0))</f>
        <v/>
      </c>
      <c r="S53" s="7" t="str">
        <f t="array" ref="S53">IF(OR($A53="",ISBLANK(XLOOKUP($A53,CPU_Asignado,Departamento_Asignado,"",0))),"",XLOOKUP($A53,CPU_Asignado,Departamento_Asignado,"",0))</f>
        <v/>
      </c>
      <c r="T53" s="7" t="str">
        <f t="array" ref="T53">IF(OR($A53="",ISBLANK(XLOOKUP($A53,CPU_Asignado,Nombres_Directorio,"",0))),"",XLOOKUP($A53,CPU_Asignado,Nombres_Directorio,"",0))</f>
        <v/>
      </c>
      <c r="U53" s="7" t="str">
        <f t="array" ref="U53">IF(OR($A53="",ISBLANK(XLOOKUP($A53,CPU_Asignado,Correos_Gmail,"",0))),"",XLOOKUP($A53,CPU_Asignado,Correos_Gmail,"",0))</f>
        <v/>
      </c>
      <c r="V53" s="7" t="str">
        <f t="array" ref="V53">IF(OR($A53="",ISBLANK(XLOOKUP($A53,CPU_Asignado,Correos_Institucionales,"",0))),"",XLOOKUP($A53,CPU_Asignado,Correos_Institucionales,"",0))</f>
        <v/>
      </c>
    </row>
    <row r="54" ht="15.75" customHeight="1">
      <c r="A54" s="7" t="s">
        <v>1241</v>
      </c>
      <c r="B54" s="28"/>
      <c r="C54" s="28"/>
      <c r="D54" s="28"/>
      <c r="E54" s="36" t="s">
        <v>444</v>
      </c>
      <c r="F54" s="7" t="s">
        <v>445</v>
      </c>
      <c r="G54" s="7" t="s">
        <v>1242</v>
      </c>
      <c r="H54" s="7" t="s">
        <v>1002</v>
      </c>
      <c r="I54" s="7" t="s">
        <v>1243</v>
      </c>
      <c r="J54" s="7" t="s">
        <v>451</v>
      </c>
      <c r="K54" s="7" t="s">
        <v>454</v>
      </c>
      <c r="L54" s="7" t="s">
        <v>242</v>
      </c>
      <c r="M54" s="7" t="s">
        <v>1235</v>
      </c>
      <c r="N54" s="7" t="s">
        <v>1244</v>
      </c>
      <c r="O54" s="7"/>
      <c r="P54" s="7" t="s">
        <v>1233</v>
      </c>
      <c r="Q54" s="7" t="str">
        <f t="array" ref="Q54">IF(OR($A54="",ISBLANK(XLOOKUP($A54,CPU_Asignado,Nombres_Directorio,"",0))),"",XLOOKUP($A54,CPU_Asignado,Nombres_Directorio,"",0))</f>
        <v/>
      </c>
      <c r="R54" s="7" t="str">
        <f t="array" ref="R54">IF(OR($A54="",ISBLANK(XLOOKUP($A54,CPU_Asignado,Sucursal_Asignada,"",0))),"",XLOOKUP($A54,CPU_Asignado,Sucursal_Asignada,"",0))</f>
        <v/>
      </c>
      <c r="S54" s="7" t="str">
        <f t="array" ref="S54">IF(OR($A54="",ISBLANK(XLOOKUP($A54,CPU_Asignado,Departamento_Asignado,"",0))),"",XLOOKUP($A54,CPU_Asignado,Departamento_Asignado,"",0))</f>
        <v/>
      </c>
      <c r="T54" s="7" t="str">
        <f t="array" ref="T54">IF(OR($A54="",ISBLANK(XLOOKUP($A54,CPU_Asignado,Nombres_Directorio,"",0))),"",XLOOKUP($A54,CPU_Asignado,Nombres_Directorio,"",0))</f>
        <v/>
      </c>
      <c r="U54" s="7" t="str">
        <f t="array" ref="U54">IF(OR($A54="",ISBLANK(XLOOKUP($A54,CPU_Asignado,Correos_Gmail,"",0))),"",XLOOKUP($A54,CPU_Asignado,Correos_Gmail,"",0))</f>
        <v/>
      </c>
      <c r="V54" s="7" t="str">
        <f t="array" ref="V54">IF(OR($A54="",ISBLANK(XLOOKUP($A54,CPU_Asignado,Correos_Institucionales,"",0))),"",XLOOKUP($A54,CPU_Asignado,Correos_Institucionales,"",0))</f>
        <v/>
      </c>
    </row>
    <row r="55" ht="15.75" customHeight="1">
      <c r="A55" s="40" t="s">
        <v>1256</v>
      </c>
      <c r="B55" s="28"/>
      <c r="C55" s="28"/>
      <c r="D55" s="28"/>
      <c r="E55" s="36" t="s">
        <v>444</v>
      </c>
      <c r="F55" s="7" t="s">
        <v>580</v>
      </c>
      <c r="G55" s="7" t="s">
        <v>495</v>
      </c>
      <c r="H55" s="7" t="s">
        <v>448</v>
      </c>
      <c r="I55" s="7" t="s">
        <v>449</v>
      </c>
      <c r="J55" s="7" t="s">
        <v>497</v>
      </c>
      <c r="K55" s="7" t="s">
        <v>499</v>
      </c>
      <c r="L55" s="7" t="s">
        <v>455</v>
      </c>
      <c r="M55" s="7" t="s">
        <v>1235</v>
      </c>
      <c r="N55" s="7" t="s">
        <v>1257</v>
      </c>
      <c r="O55" s="7"/>
      <c r="P55" s="7" t="s">
        <v>1258</v>
      </c>
      <c r="Q55" s="7" t="str">
        <f t="array" ref="Q55">IF(OR($A55="",ISBLANK(XLOOKUP($A55,CPU_Asignado,Nombres_Directorio,"",0))),"",XLOOKUP($A55,CPU_Asignado,Nombres_Directorio,"",0))</f>
        <v/>
      </c>
      <c r="R55" s="7" t="str">
        <f t="array" ref="R55">IF(OR($A55="",ISBLANK(XLOOKUP($A55,CPU_Asignado,Sucursal_Asignada,"",0))),"",XLOOKUP($A55,CPU_Asignado,Sucursal_Asignada,"",0))</f>
        <v/>
      </c>
      <c r="S55" s="7" t="str">
        <f t="array" ref="S55">IF(OR($A55="",ISBLANK(XLOOKUP($A55,CPU_Asignado,Departamento_Asignado,"",0))),"",XLOOKUP($A55,CPU_Asignado,Departamento_Asignado,"",0))</f>
        <v/>
      </c>
      <c r="T55" s="7" t="str">
        <f t="array" ref="T55">IF(OR($A55="",ISBLANK(XLOOKUP($A55,CPU_Asignado,Nombres_Directorio,"",0))),"",XLOOKUP($A55,CPU_Asignado,Nombres_Directorio,"",0))</f>
        <v/>
      </c>
      <c r="U55" s="7" t="str">
        <f t="array" ref="U55">IF(OR($A55="",ISBLANK(XLOOKUP($A55,CPU_Asignado,Correos_Gmail,"",0))),"",XLOOKUP($A55,CPU_Asignado,Correos_Gmail,"",0))</f>
        <v/>
      </c>
      <c r="V55" s="7" t="str">
        <f t="array" ref="V55">IF(OR($A55="",ISBLANK(XLOOKUP($A55,CPU_Asignado,Correos_Institucionales,"",0))),"",XLOOKUP($A55,CPU_Asignado,Correos_Institucionales,"",0))</f>
        <v/>
      </c>
    </row>
    <row r="56" ht="15.75" customHeight="1">
      <c r="A56" s="7" t="s">
        <v>1287</v>
      </c>
      <c r="B56" s="28"/>
      <c r="C56" s="28"/>
      <c r="D56" s="28"/>
      <c r="E56" s="36" t="s">
        <v>444</v>
      </c>
      <c r="F56" s="7" t="s">
        <v>445</v>
      </c>
      <c r="G56" s="7" t="s">
        <v>1288</v>
      </c>
      <c r="H56" s="7" t="s">
        <v>448</v>
      </c>
      <c r="I56" s="7" t="s">
        <v>1289</v>
      </c>
      <c r="J56" s="7" t="s">
        <v>497</v>
      </c>
      <c r="K56" s="7" t="s">
        <v>499</v>
      </c>
      <c r="L56" s="7" t="s">
        <v>455</v>
      </c>
      <c r="M56" s="7" t="s">
        <v>500</v>
      </c>
      <c r="N56" s="7" t="s">
        <v>1290</v>
      </c>
      <c r="O56" s="7"/>
      <c r="P56" s="7" t="s">
        <v>1258</v>
      </c>
      <c r="Q56" s="7" t="str">
        <f t="array" ref="Q56">IF(OR($A56="",ISBLANK(XLOOKUP($A56,CPU_Asignado,Nombres_Directorio,"",0))),"",XLOOKUP($A56,CPU_Asignado,Nombres_Directorio,"",0))</f>
        <v/>
      </c>
      <c r="R56" s="7" t="str">
        <f t="array" ref="R56">IF(OR($A56="",ISBLANK(XLOOKUP($A56,CPU_Asignado,Sucursal_Asignada,"",0))),"",XLOOKUP($A56,CPU_Asignado,Sucursal_Asignada,"",0))</f>
        <v/>
      </c>
      <c r="S56" s="7" t="str">
        <f t="array" ref="S56">IF(OR($A56="",ISBLANK(XLOOKUP($A56,CPU_Asignado,Departamento_Asignado,"",0))),"",XLOOKUP($A56,CPU_Asignado,Departamento_Asignado,"",0))</f>
        <v/>
      </c>
      <c r="T56" s="7" t="str">
        <f t="array" ref="T56">IF(OR($A56="",ISBLANK(XLOOKUP($A56,CPU_Asignado,Nombres_Directorio,"",0))),"",XLOOKUP($A56,CPU_Asignado,Nombres_Directorio,"",0))</f>
        <v/>
      </c>
      <c r="U56" s="7" t="str">
        <f t="array" ref="U56">IF(OR($A56="",ISBLANK(XLOOKUP($A56,CPU_Asignado,Correos_Gmail,"",0))),"",XLOOKUP($A56,CPU_Asignado,Correos_Gmail,"",0))</f>
        <v/>
      </c>
      <c r="V56" s="7" t="str">
        <f t="array" ref="V56">IF(OR($A56="",ISBLANK(XLOOKUP($A56,CPU_Asignado,Correos_Institucionales,"",0))),"",XLOOKUP($A56,CPU_Asignado,Correos_Institucionales,"",0))</f>
        <v/>
      </c>
    </row>
    <row r="57" ht="15.75" customHeight="1">
      <c r="A57" s="7" t="s">
        <v>1299</v>
      </c>
      <c r="B57" s="28"/>
      <c r="C57" s="28"/>
      <c r="D57" s="28"/>
      <c r="E57" s="36" t="s">
        <v>444</v>
      </c>
      <c r="F57" s="7" t="s">
        <v>1300</v>
      </c>
      <c r="G57" s="7" t="s">
        <v>1022</v>
      </c>
      <c r="H57" s="7" t="s">
        <v>541</v>
      </c>
      <c r="I57" s="7" t="s">
        <v>1301</v>
      </c>
      <c r="J57" s="7" t="s">
        <v>451</v>
      </c>
      <c r="K57" s="7" t="s">
        <v>454</v>
      </c>
      <c r="L57" s="7" t="s">
        <v>455</v>
      </c>
      <c r="M57" s="7" t="s">
        <v>500</v>
      </c>
      <c r="N57" s="7" t="s">
        <v>1302</v>
      </c>
      <c r="O57" s="7"/>
      <c r="P57" s="7" t="s">
        <v>1303</v>
      </c>
      <c r="Q57" s="7" t="str">
        <f t="array" ref="Q57">IF(OR($A57="",ISBLANK(XLOOKUP($A57,CPU_Asignado,Nombres_Directorio,"",0))),"",XLOOKUP($A57,CPU_Asignado,Nombres_Directorio,"",0))</f>
        <v/>
      </c>
      <c r="R57" s="7" t="str">
        <f t="array" ref="R57">IF(OR($A57="",ISBLANK(XLOOKUP($A57,CPU_Asignado,Sucursal_Asignada,"",0))),"",XLOOKUP($A57,CPU_Asignado,Sucursal_Asignada,"",0))</f>
        <v/>
      </c>
      <c r="S57" s="7" t="str">
        <f t="array" ref="S57">IF(OR($A57="",ISBLANK(XLOOKUP($A57,CPU_Asignado,Departamento_Asignado,"",0))),"",XLOOKUP($A57,CPU_Asignado,Departamento_Asignado,"",0))</f>
        <v/>
      </c>
      <c r="T57" s="7" t="str">
        <f t="array" ref="T57">IF(OR($A57="",ISBLANK(XLOOKUP($A57,CPU_Asignado,Nombres_Directorio,"",0))),"",XLOOKUP($A57,CPU_Asignado,Nombres_Directorio,"",0))</f>
        <v/>
      </c>
      <c r="U57" s="7" t="str">
        <f t="array" ref="U57">IF(OR($A57="",ISBLANK(XLOOKUP($A57,CPU_Asignado,Correos_Gmail,"",0))),"",XLOOKUP($A57,CPU_Asignado,Correos_Gmail,"",0))</f>
        <v/>
      </c>
      <c r="V57" s="7" t="str">
        <f t="array" ref="V57">IF(OR($A57="",ISBLANK(XLOOKUP($A57,CPU_Asignado,Correos_Institucionales,"",0))),"",XLOOKUP($A57,CPU_Asignado,Correos_Institucionales,"",0))</f>
        <v/>
      </c>
    </row>
    <row r="58" ht="15.75" customHeight="1">
      <c r="A58" s="37" t="s">
        <v>1317</v>
      </c>
      <c r="B58" s="38"/>
      <c r="C58" s="38"/>
      <c r="D58" s="38"/>
      <c r="E58" s="36" t="s">
        <v>444</v>
      </c>
      <c r="F58" s="7" t="s">
        <v>539</v>
      </c>
      <c r="G58" s="7" t="s">
        <v>495</v>
      </c>
      <c r="H58" s="7" t="s">
        <v>448</v>
      </c>
      <c r="I58" s="7" t="s">
        <v>449</v>
      </c>
      <c r="J58" s="7" t="s">
        <v>497</v>
      </c>
      <c r="K58" s="7" t="s">
        <v>499</v>
      </c>
      <c r="L58" s="7" t="s">
        <v>455</v>
      </c>
      <c r="M58" s="7" t="s">
        <v>500</v>
      </c>
      <c r="N58" s="7" t="s">
        <v>1318</v>
      </c>
      <c r="O58" s="7"/>
      <c r="P58" s="7" t="s">
        <v>1303</v>
      </c>
      <c r="Q58" s="7" t="str">
        <f t="array" ref="Q58">IF(OR($A58="",ISBLANK(XLOOKUP($A58,CPU_Asignado,Nombres_Directorio,"",0))),"",XLOOKUP($A58,CPU_Asignado,Nombres_Directorio,"",0))</f>
        <v/>
      </c>
      <c r="R58" s="7" t="str">
        <f t="array" ref="R58">IF(OR($A58="",ISBLANK(XLOOKUP($A58,CPU_Asignado,Sucursal_Asignada,"",0))),"",XLOOKUP($A58,CPU_Asignado,Sucursal_Asignada,"",0))</f>
        <v/>
      </c>
      <c r="S58" s="7" t="str">
        <f t="array" ref="S58">IF(OR($A58="",ISBLANK(XLOOKUP($A58,CPU_Asignado,Departamento_Asignado,"",0))),"",XLOOKUP($A58,CPU_Asignado,Departamento_Asignado,"",0))</f>
        <v/>
      </c>
      <c r="T58" s="7" t="str">
        <f t="array" ref="T58">IF(OR($A58="",ISBLANK(XLOOKUP($A58,CPU_Asignado,Nombres_Directorio,"",0))),"",XLOOKUP($A58,CPU_Asignado,Nombres_Directorio,"",0))</f>
        <v/>
      </c>
      <c r="U58" s="7" t="str">
        <f t="array" ref="U58">IF(OR($A58="",ISBLANK(XLOOKUP($A58,CPU_Asignado,Correos_Gmail,"",0))),"",XLOOKUP($A58,CPU_Asignado,Correos_Gmail,"",0))</f>
        <v/>
      </c>
      <c r="V58" s="7" t="str">
        <f t="array" ref="V58">IF(OR($A58="",ISBLANK(XLOOKUP($A58,CPU_Asignado,Correos_Institucionales,"",0))),"",XLOOKUP($A58,CPU_Asignado,Correos_Institucionales,"",0))</f>
        <v/>
      </c>
    </row>
    <row r="59" ht="15.75" customHeight="1">
      <c r="A59" s="7" t="s">
        <v>848</v>
      </c>
      <c r="B59" s="28"/>
      <c r="C59" s="28"/>
      <c r="D59" s="28"/>
      <c r="E59" s="36" t="s">
        <v>444</v>
      </c>
      <c r="F59" s="7" t="s">
        <v>445</v>
      </c>
      <c r="G59" s="7" t="s">
        <v>1063</v>
      </c>
      <c r="H59" s="7" t="s">
        <v>1002</v>
      </c>
      <c r="I59" s="7" t="s">
        <v>1064</v>
      </c>
      <c r="J59" s="7" t="s">
        <v>451</v>
      </c>
      <c r="K59" s="7" t="s">
        <v>454</v>
      </c>
      <c r="L59" s="7" t="s">
        <v>242</v>
      </c>
      <c r="M59" s="7" t="s">
        <v>1235</v>
      </c>
      <c r="N59" s="7" t="s">
        <v>1325</v>
      </c>
      <c r="O59" s="7"/>
      <c r="P59" s="7" t="s">
        <v>1258</v>
      </c>
      <c r="Q59" s="7" t="str">
        <f t="array" ref="Q59">IF(OR($A59="",ISBLANK(XLOOKUP($A59,CPU_Asignado,Nombres_Directorio,"",0))),"",XLOOKUP($A59,CPU_Asignado,Nombres_Directorio,"",0))</f>
        <v>Patricia Yunuen Vázquez Villa </v>
      </c>
      <c r="R59" s="7" t="str">
        <f t="array" ref="R59">IF(OR($A59="",ISBLANK(XLOOKUP($A59,CPU_Asignado,Sucursal_Asignada,"",0))),"",XLOOKUP($A59,CPU_Asignado,Sucursal_Asignada,"",0))</f>
        <v>Poncitlán</v>
      </c>
      <c r="S59" s="7" t="str">
        <f t="array" ref="S59">IF(OR($A59="",ISBLANK(XLOOKUP($A59,CPU_Asignado,Departamento_Asignado,"",0))),"",XLOOKUP($A59,CPU_Asignado,Departamento_Asignado,"",0))</f>
        <v>Servicio</v>
      </c>
      <c r="T59" s="7" t="str">
        <f t="array" ref="T59">IF(OR($A59="",ISBLANK(XLOOKUP($A59,CPU_Asignado,Nombres_Directorio,"",0))),"",XLOOKUP($A59,CPU_Asignado,Nombres_Directorio,"",0))</f>
        <v>Patricia Yunuen Vázquez Villa </v>
      </c>
      <c r="U59" s="7" t="str">
        <f t="array" ref="U59">IF(OR($A59="",ISBLANK(XLOOKUP($A59,CPU_Asignado,Correos_Gmail,"",0))),"",XLOOKUP($A59,CPU_Asignado,Correos_Gmail,"",0))</f>
        <v>pvazquez.agro@gmail.com</v>
      </c>
      <c r="V59" s="7" t="str">
        <f t="array" ref="V59">IF(OR($A59="",ISBLANK(XLOOKUP($A59,CPU_Asignado,Correos_Institucionales,"",0))),"",XLOOKUP($A59,CPU_Asignado,Correos_Institucionales,"",0))</f>
        <v>patricia.vazquez@agrocisa.com.mx</v>
      </c>
    </row>
    <row r="60" ht="15.75" customHeight="1">
      <c r="A60" s="7" t="s">
        <v>851</v>
      </c>
      <c r="B60" s="28"/>
      <c r="C60" s="28">
        <v>3500.0</v>
      </c>
      <c r="D60" s="28"/>
      <c r="E60" s="36" t="s">
        <v>1334</v>
      </c>
      <c r="F60" s="7" t="s">
        <v>580</v>
      </c>
      <c r="G60" s="7" t="s">
        <v>1022</v>
      </c>
      <c r="H60" s="7" t="s">
        <v>541</v>
      </c>
      <c r="I60" s="7" t="s">
        <v>1064</v>
      </c>
      <c r="J60" s="7" t="s">
        <v>1335</v>
      </c>
      <c r="K60" s="7" t="s">
        <v>454</v>
      </c>
      <c r="L60" s="7" t="s">
        <v>242</v>
      </c>
      <c r="M60" s="7" t="s">
        <v>1235</v>
      </c>
      <c r="N60" s="7" t="s">
        <v>1336</v>
      </c>
      <c r="O60" s="7"/>
      <c r="P60" s="7" t="s">
        <v>1258</v>
      </c>
      <c r="Q60" s="7" t="str">
        <f t="array" ref="Q60">IF(OR($A60="",ISBLANK(XLOOKUP($A60,CPU_Asignado,Nombres_Directorio,"",0))),"",XLOOKUP($A60,CPU_Asignado,Nombres_Directorio,"",0))</f>
        <v>César Enrique Flores Franco</v>
      </c>
      <c r="R60" s="7" t="str">
        <f t="array" ref="R60">IF(OR($A60="",ISBLANK(XLOOKUP($A60,CPU_Asignado,Sucursal_Asignada,"",0))),"",XLOOKUP($A60,CPU_Asignado,Sucursal_Asignada,"",0))</f>
        <v>Poncitlán</v>
      </c>
      <c r="S60" s="7" t="str">
        <f t="array" ref="S60">IF(OR($A60="",ISBLANK(XLOOKUP($A60,CPU_Asignado,Departamento_Asignado,"",0))),"",XLOOKUP($A60,CPU_Asignado,Departamento_Asignado,"",0))</f>
        <v>Servicio</v>
      </c>
      <c r="T60" s="7" t="str">
        <f t="array" ref="T60">IF(OR($A60="",ISBLANK(XLOOKUP($A60,CPU_Asignado,Nombres_Directorio,"",0))),"",XLOOKUP($A60,CPU_Asignado,Nombres_Directorio,"",0))</f>
        <v>César Enrique Flores Franco</v>
      </c>
      <c r="U60" s="7" t="str">
        <f t="array" ref="U60">IF(OR($A60="",ISBLANK(XLOOKUP($A60,CPU_Asignado,Correos_Gmail,"",0))),"",XLOOKUP($A60,CPU_Asignado,Correos_Gmail,"",0))</f>
        <v>tallerponcitlan@agrocisa.com.mx</v>
      </c>
      <c r="V60" s="7" t="str">
        <f t="array" ref="V60">IF(OR($A60="",ISBLANK(XLOOKUP($A60,CPU_Asignado,Correos_Institucionales,"",0))),"",XLOOKUP($A60,CPU_Asignado,Correos_Institucionales,"",0))</f>
        <v>tallerponcitlan@agrocisa.com.mx</v>
      </c>
    </row>
    <row r="61" ht="15.75" customHeight="1">
      <c r="A61" s="37" t="s">
        <v>1344</v>
      </c>
      <c r="B61" s="38"/>
      <c r="C61" s="38"/>
      <c r="D61" s="38"/>
      <c r="E61" s="53" t="s">
        <v>444</v>
      </c>
      <c r="F61" s="37" t="s">
        <v>1345</v>
      </c>
      <c r="G61" s="37" t="s">
        <v>1346</v>
      </c>
      <c r="H61" s="37" t="s">
        <v>1109</v>
      </c>
      <c r="I61" s="37" t="s">
        <v>1347</v>
      </c>
      <c r="J61" s="37" t="s">
        <v>544</v>
      </c>
      <c r="K61" s="37" t="s">
        <v>499</v>
      </c>
      <c r="L61" s="37" t="s">
        <v>242</v>
      </c>
      <c r="M61" s="37" t="s">
        <v>1235</v>
      </c>
      <c r="N61" s="37" t="s">
        <v>1348</v>
      </c>
      <c r="O61" s="37"/>
      <c r="P61" s="37"/>
      <c r="Q61" s="37" t="str">
        <f t="array" ref="Q61">IF(OR($A61="",ISBLANK(XLOOKUP($A61,CPU_Asignado,Nombres_Directorio,"",0))),"",XLOOKUP($A61,CPU_Asignado,Nombres_Directorio,"",0))</f>
        <v/>
      </c>
      <c r="R61" s="37" t="str">
        <f t="array" ref="R61">IF(OR($A61="",ISBLANK(XLOOKUP($A61,CPU_Asignado,Sucursal_Asignada,"",0))),"",XLOOKUP($A61,CPU_Asignado,Sucursal_Asignada,"",0))</f>
        <v/>
      </c>
      <c r="S61" s="37" t="str">
        <f t="array" ref="S61">IF(OR($A61="",ISBLANK(XLOOKUP($A61,CPU_Asignado,Departamento_Asignado,"",0))),"",XLOOKUP($A61,CPU_Asignado,Departamento_Asignado,"",0))</f>
        <v/>
      </c>
      <c r="T61" s="37" t="str">
        <f t="array" ref="T61">IF(OR($A61="",ISBLANK(XLOOKUP($A61,CPU_Asignado,Nombres_Directorio,"",0))),"",XLOOKUP($A61,CPU_Asignado,Nombres_Directorio,"",0))</f>
        <v/>
      </c>
      <c r="U61" s="37" t="str">
        <f t="array" ref="U61">IF(OR($A61="",ISBLANK(XLOOKUP($A61,CPU_Asignado,Correos_Gmail,"",0))),"",XLOOKUP($A61,CPU_Asignado,Correos_Gmail,"",0))</f>
        <v/>
      </c>
      <c r="V61" s="37" t="str">
        <f t="array" ref="V61">IF(OR($A61="",ISBLANK(XLOOKUP($A61,CPU_Asignado,Correos_Institucionales,"",0))),"",XLOOKUP($A61,CPU_Asignado,Correos_Institucionales,"",0))</f>
        <v/>
      </c>
    </row>
    <row r="62" ht="15.75" customHeight="1">
      <c r="A62" s="37" t="s">
        <v>823</v>
      </c>
      <c r="B62" s="38"/>
      <c r="C62" s="38"/>
      <c r="D62" s="38"/>
      <c r="E62" s="36" t="s">
        <v>444</v>
      </c>
      <c r="F62" s="7" t="s">
        <v>494</v>
      </c>
      <c r="G62" s="7" t="s">
        <v>1346</v>
      </c>
      <c r="H62" s="7" t="s">
        <v>1109</v>
      </c>
      <c r="I62" s="7" t="s">
        <v>1347</v>
      </c>
      <c r="J62" s="7" t="s">
        <v>909</v>
      </c>
      <c r="K62" s="7" t="s">
        <v>499</v>
      </c>
      <c r="L62" s="7" t="s">
        <v>242</v>
      </c>
      <c r="M62" s="7" t="s">
        <v>1235</v>
      </c>
      <c r="N62" s="7" t="s">
        <v>1356</v>
      </c>
      <c r="O62" s="7"/>
      <c r="P62" s="7" t="s">
        <v>1258</v>
      </c>
      <c r="Q62" s="7" t="str">
        <f t="array" ref="Q62">IF(OR($A62="",ISBLANK(XLOOKUP($A62,CPU_Asignado,Nombres_Directorio,"",0))),"",XLOOKUP($A62,CPU_Asignado,Nombres_Directorio,"",0))</f>
        <v>Airam Monserrat Vázquez Segura</v>
      </c>
      <c r="R62" s="7" t="str">
        <f t="array" ref="R62">IF(OR($A62="",ISBLANK(XLOOKUP($A62,CPU_Asignado,Sucursal_Asignada,"",0))),"",XLOOKUP($A62,CPU_Asignado,Sucursal_Asignada,"",0))</f>
        <v>Poncitlán</v>
      </c>
      <c r="S62" s="7" t="str">
        <f t="array" ref="S62">IF(OR($A62="",ISBLANK(XLOOKUP($A62,CPU_Asignado,Departamento_Asignado,"",0))),"",XLOOKUP($A62,CPU_Asignado,Departamento_Asignado,"",0))</f>
        <v>Maquinaria Agrícola y Construcción</v>
      </c>
      <c r="T62" s="7" t="str">
        <f t="array" ref="T62">IF(OR($A62="",ISBLANK(XLOOKUP($A62,CPU_Asignado,Nombres_Directorio,"",0))),"",XLOOKUP($A62,CPU_Asignado,Nombres_Directorio,"",0))</f>
        <v>Airam Monserrat Vázquez Segura</v>
      </c>
      <c r="U62" s="7" t="str">
        <f t="array" ref="U62">IF(OR($A62="",ISBLANK(XLOOKUP($A62,CPU_Asignado,Correos_Gmail,"",0))),"",XLOOKUP($A62,CPU_Asignado,Correos_Gmail,"",0))</f>
        <v>ventasponci.agrocisa@gmail.com</v>
      </c>
      <c r="V62" s="7" t="str">
        <f t="array" ref="V62">IF(OR($A62="",ISBLANK(XLOOKUP($A62,CPU_Asignado,Correos_Institucionales,"",0))),"",XLOOKUP($A62,CPU_Asignado,Correos_Institucionales,"",0))</f>
        <v>airam.vazquez@agrocisa.com.mx</v>
      </c>
    </row>
    <row r="63" ht="15.75" customHeight="1">
      <c r="A63" s="7" t="s">
        <v>1364</v>
      </c>
      <c r="B63" s="28"/>
      <c r="C63" s="28"/>
      <c r="D63" s="28"/>
      <c r="E63" s="36" t="s">
        <v>444</v>
      </c>
      <c r="F63" s="7" t="s">
        <v>580</v>
      </c>
      <c r="G63" s="7" t="s">
        <v>922</v>
      </c>
      <c r="H63" s="7" t="s">
        <v>448</v>
      </c>
      <c r="I63" s="7" t="s">
        <v>1222</v>
      </c>
      <c r="J63" s="7" t="s">
        <v>451</v>
      </c>
      <c r="K63" s="7" t="s">
        <v>454</v>
      </c>
      <c r="L63" s="7" t="s">
        <v>455</v>
      </c>
      <c r="M63" s="7" t="s">
        <v>1223</v>
      </c>
      <c r="N63" s="7" t="s">
        <v>1367</v>
      </c>
      <c r="O63" s="7"/>
      <c r="P63" s="7" t="s">
        <v>836</v>
      </c>
      <c r="Q63" s="7" t="str">
        <f t="array" ref="Q63">IF(OR($A63="",ISBLANK(XLOOKUP($A63,CPU_Asignado,Nombres_Directorio,"",0))),"",XLOOKUP($A63,CPU_Asignado,Nombres_Directorio,"",0))</f>
        <v/>
      </c>
      <c r="R63" s="7" t="str">
        <f t="array" ref="R63">IF(OR($A63="",ISBLANK(XLOOKUP($A63,CPU_Asignado,Sucursal_Asignada,"",0))),"",XLOOKUP($A63,CPU_Asignado,Sucursal_Asignada,"",0))</f>
        <v/>
      </c>
      <c r="S63" s="7" t="str">
        <f t="array" ref="S63">IF(OR($A63="",ISBLANK(XLOOKUP($A63,CPU_Asignado,Departamento_Asignado,"",0))),"",XLOOKUP($A63,CPU_Asignado,Departamento_Asignado,"",0))</f>
        <v/>
      </c>
      <c r="T63" s="7" t="str">
        <f t="array" ref="T63">IF(OR($A63="",ISBLANK(XLOOKUP($A63,CPU_Asignado,Nombres_Directorio,"",0))),"",XLOOKUP($A63,CPU_Asignado,Nombres_Directorio,"",0))</f>
        <v/>
      </c>
      <c r="U63" s="7" t="str">
        <f t="array" ref="U63">IF(OR($A63="",ISBLANK(XLOOKUP($A63,CPU_Asignado,Correos_Gmail,"",0))),"",XLOOKUP($A63,CPU_Asignado,Correos_Gmail,"",0))</f>
        <v/>
      </c>
      <c r="V63" s="7" t="str">
        <f t="array" ref="V63">IF(OR($A63="",ISBLANK(XLOOKUP($A63,CPU_Asignado,Correos_Institucionales,"",0))),"",XLOOKUP($A63,CPU_Asignado,Correos_Institucionales,"",0))</f>
        <v/>
      </c>
    </row>
    <row r="64" ht="15.75" customHeight="1">
      <c r="A64" s="40" t="s">
        <v>1256</v>
      </c>
      <c r="B64" s="28"/>
      <c r="C64" s="28">
        <v>3500.0</v>
      </c>
      <c r="D64" s="28"/>
      <c r="E64" s="36" t="s">
        <v>1370</v>
      </c>
      <c r="F64" s="7" t="s">
        <v>1371</v>
      </c>
      <c r="G64" s="7" t="s">
        <v>1372</v>
      </c>
      <c r="H64" s="7" t="s">
        <v>448</v>
      </c>
      <c r="I64" s="7" t="s">
        <v>1373</v>
      </c>
      <c r="J64" s="7" t="s">
        <v>544</v>
      </c>
      <c r="K64" s="7" t="s">
        <v>454</v>
      </c>
      <c r="L64" s="7" t="s">
        <v>455</v>
      </c>
      <c r="M64" s="7" t="s">
        <v>454</v>
      </c>
      <c r="N64" s="7" t="s">
        <v>1374</v>
      </c>
      <c r="O64" s="7"/>
      <c r="P64" s="49"/>
      <c r="Q64" s="7" t="str">
        <f t="array" ref="Q64">IF(OR($A64="",ISBLANK(XLOOKUP($A64,CPU_Asignado,Nombres_Directorio,"",0))),"",XLOOKUP($A64,CPU_Asignado,Nombres_Directorio,"",0))</f>
        <v/>
      </c>
      <c r="R64" s="7" t="str">
        <f t="array" ref="R64">IF(OR($A64="",ISBLANK(XLOOKUP($A64,CPU_Asignado,Sucursal_Asignada,"",0))),"",XLOOKUP($A64,CPU_Asignado,Sucursal_Asignada,"",0))</f>
        <v/>
      </c>
      <c r="S64" s="7" t="str">
        <f t="array" ref="S64">IF(OR($A64="",ISBLANK(XLOOKUP($A64,CPU_Asignado,Departamento_Asignado,"",0))),"",XLOOKUP($A64,CPU_Asignado,Departamento_Asignado,"",0))</f>
        <v/>
      </c>
      <c r="T64" s="7" t="str">
        <f t="array" ref="T64">IF(OR($A64="",ISBLANK(XLOOKUP($A64,CPU_Asignado,Nombres_Directorio,"",0))),"",XLOOKUP($A64,CPU_Asignado,Nombres_Directorio,"",0))</f>
        <v/>
      </c>
      <c r="U64" s="7" t="str">
        <f t="array" ref="U64">IF(OR($A64="",ISBLANK(XLOOKUP($A64,CPU_Asignado,Correos_Gmail,"",0))),"",XLOOKUP($A64,CPU_Asignado,Correos_Gmail,"",0))</f>
        <v/>
      </c>
      <c r="V64" s="7" t="str">
        <f t="array" ref="V64">IF(OR($A64="",ISBLANK(XLOOKUP($A64,CPU_Asignado,Correos_Institucionales,"",0))),"",XLOOKUP($A64,CPU_Asignado,Correos_Institucionales,"",0))</f>
        <v/>
      </c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1"/>
  <dataValidations>
    <dataValidation type="list" allowBlank="1" showErrorMessage="1" sqref="K2:K64">
      <formula1>Tipo_HD</formula1>
    </dataValidation>
    <dataValidation type="list" allowBlank="1" showErrorMessage="1" sqref="B2:B64 M2:M64">
      <formula1>Condición</formula1>
    </dataValidation>
    <dataValidation type="list" allowBlank="1" showErrorMessage="1" sqref="L2:L64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43"/>
    <col customWidth="1" min="2" max="2" width="9.71"/>
    <col customWidth="1" min="3" max="3" width="13.14"/>
    <col customWidth="1" min="4" max="4" width="36.86"/>
    <col customWidth="1" min="5" max="5" width="23.57"/>
    <col customWidth="1" min="6" max="6" width="30.86"/>
    <col customWidth="1" min="7" max="7" width="15.29"/>
    <col customWidth="1" min="8" max="8" width="28.14"/>
    <col customWidth="1" min="9" max="9" width="37.29"/>
    <col customWidth="1" min="10" max="10" width="37.14"/>
    <col customWidth="1" min="11" max="11" width="32.71"/>
    <col customWidth="1" min="12" max="12" width="8.71"/>
    <col customWidth="1" min="13" max="13" width="28.71"/>
    <col customWidth="1" min="14" max="14" width="18.86"/>
    <col customWidth="1" min="15" max="15" width="11.71"/>
    <col customWidth="1" min="16" max="16" width="11.29"/>
    <col customWidth="1" min="17" max="18" width="17.71"/>
    <col customWidth="1" min="19" max="19" width="34.71"/>
    <col customWidth="1" min="20" max="20" width="11.57"/>
    <col customWidth="1" min="21" max="21" width="31.86"/>
    <col customWidth="1" min="22" max="22" width="34.71"/>
    <col customWidth="1" min="23" max="24" width="36.71"/>
    <col customWidth="1" min="25" max="25" width="10.71"/>
  </cols>
  <sheetData>
    <row r="1">
      <c r="A1" s="1" t="s">
        <v>912</v>
      </c>
      <c r="B1" s="1" t="s">
        <v>382</v>
      </c>
      <c r="C1" s="1" t="s">
        <v>913</v>
      </c>
      <c r="D1" s="1" t="s">
        <v>164</v>
      </c>
      <c r="E1" s="1" t="s">
        <v>170</v>
      </c>
      <c r="F1" s="1" t="s">
        <v>167</v>
      </c>
      <c r="G1" s="1" t="s">
        <v>914</v>
      </c>
      <c r="H1" s="1" t="s">
        <v>915</v>
      </c>
      <c r="I1" s="1" t="s">
        <v>916</v>
      </c>
      <c r="J1" s="1" t="s">
        <v>385</v>
      </c>
      <c r="K1" s="1" t="s">
        <v>386</v>
      </c>
      <c r="L1" s="1" t="s">
        <v>387</v>
      </c>
      <c r="M1" s="1" t="s">
        <v>388</v>
      </c>
      <c r="N1" s="1" t="s">
        <v>389</v>
      </c>
      <c r="O1" s="1" t="s">
        <v>391</v>
      </c>
      <c r="P1" s="1" t="s">
        <v>392</v>
      </c>
      <c r="Q1" s="1" t="s">
        <v>394</v>
      </c>
      <c r="R1" s="1" t="s">
        <v>395</v>
      </c>
      <c r="S1" s="1" t="s">
        <v>14</v>
      </c>
      <c r="T1" s="6" t="s">
        <v>6</v>
      </c>
      <c r="U1" s="1" t="s">
        <v>7</v>
      </c>
      <c r="V1" s="1" t="s">
        <v>9</v>
      </c>
      <c r="W1" s="1" t="s">
        <v>30</v>
      </c>
      <c r="X1" s="1" t="s">
        <v>917</v>
      </c>
    </row>
    <row r="2">
      <c r="A2" s="7" t="s">
        <v>214</v>
      </c>
      <c r="B2" s="28">
        <v>8689.0</v>
      </c>
      <c r="C2" s="28" t="s">
        <v>194</v>
      </c>
      <c r="D2" s="28" t="s">
        <v>918</v>
      </c>
      <c r="E2" s="28"/>
      <c r="F2" s="36" t="s">
        <v>919</v>
      </c>
      <c r="G2" s="7" t="s">
        <v>920</v>
      </c>
      <c r="H2" s="7" t="s">
        <v>921</v>
      </c>
      <c r="I2" s="7"/>
      <c r="J2" s="7" t="s">
        <v>445</v>
      </c>
      <c r="K2" s="7" t="s">
        <v>922</v>
      </c>
      <c r="L2" s="7" t="s">
        <v>448</v>
      </c>
      <c r="M2" s="7" t="s">
        <v>923</v>
      </c>
      <c r="N2" s="7" t="s">
        <v>544</v>
      </c>
      <c r="O2" s="7" t="s">
        <v>454</v>
      </c>
      <c r="P2" s="7" t="s">
        <v>455</v>
      </c>
      <c r="Q2" s="7" t="s">
        <v>924</v>
      </c>
      <c r="R2" s="7" t="s">
        <v>925</v>
      </c>
      <c r="S2" s="7" t="str">
        <f t="array" ref="S2">IF(OR($A2="",ISBLANK(XLOOKUP($A2,Laptops_Asignadas,Nombres_Directorio,"",0))),"",XLOOKUP($A2,Laptops_Asignadas,Nombres_Directorio,"",0))</f>
        <v>Yessica Velázquez Villanueva</v>
      </c>
      <c r="T2" s="7" t="str">
        <f t="array" ref="T2">IF(OR($A2="",ISBLANK(XLOOKUP($A2,Laptops_Asignadas,Sucursal_Asignada,"",0))),"",XLOOKUP($A2,Laptops_Asignadas,Sucursal_Asignada,"",0))</f>
        <v>La Barca</v>
      </c>
      <c r="U2" s="7" t="str">
        <f t="array" ref="U2">IF(OR($A2="",ISBLANK(XLOOKUP($A2,Laptops_Asignadas,Departamento_Asignado,"",0))),"",XLOOKUP($A2,Laptops_Asignadas,Departamento_Asignado,"",0))</f>
        <v>Corporativo</v>
      </c>
      <c r="V2" s="7" t="str">
        <f t="array" ref="V2">IF(OR($A2="",ISBLANK(XLOOKUP($A2,Laptops_Asignadas,Nombres_Directorio,"",0))),"",XLOOKUP($A2,Laptops_Asignadas,Nombres_Directorio,"",0))</f>
        <v>Yessica Velázquez Villanueva</v>
      </c>
      <c r="W2" s="7" t="str">
        <f t="array" ref="W2">IF(OR($A2="",ISBLANK(XLOOKUP($A2,Laptops_Asignadas,Correos_Gmail,"",0))),"",XLOOKUP($A2,Laptops_Asignadas,Correos_Gmail,"",0))</f>
        <v>yvelazquez.agro@gmail.com</v>
      </c>
      <c r="X2" s="7" t="str">
        <f t="array" ref="X2">IF(OR($A2="",ISBLANK(XLOOKUP($A2,Laptops_Asignadas,Correos_Institucionales,"",0))),"",XLOOKUP($A2,Laptops_Asignadas,Correos_Institucionales,"",0))</f>
        <v>yessica.velazquez@agrocisa.com.mx</v>
      </c>
      <c r="Y2" s="5" t="str">
        <f>IF(OR(ISERR(VLOOKUP($B2,Directorio,8,0)),ISERROR(VLOOKUP($B2,Directorio,8,0))),"",VLOOKUP($B2,Directorio,8,0))</f>
        <v/>
      </c>
    </row>
    <row r="3">
      <c r="A3" s="7" t="s">
        <v>671</v>
      </c>
      <c r="B3" s="28">
        <v>2800.0</v>
      </c>
      <c r="C3" s="28" t="s">
        <v>788</v>
      </c>
      <c r="D3" s="28" t="s">
        <v>918</v>
      </c>
      <c r="E3" s="28"/>
      <c r="F3" s="36" t="s">
        <v>930</v>
      </c>
      <c r="G3" s="7" t="s">
        <v>931</v>
      </c>
      <c r="H3" s="7" t="s">
        <v>932</v>
      </c>
      <c r="I3" s="7" t="s">
        <v>933</v>
      </c>
      <c r="J3" s="7" t="s">
        <v>934</v>
      </c>
      <c r="K3" s="7" t="s">
        <v>935</v>
      </c>
      <c r="L3" s="7" t="s">
        <v>402</v>
      </c>
      <c r="M3" s="7" t="s">
        <v>936</v>
      </c>
      <c r="N3" s="7" t="s">
        <v>451</v>
      </c>
      <c r="O3" s="7" t="s">
        <v>454</v>
      </c>
      <c r="P3" s="7" t="s">
        <v>455</v>
      </c>
      <c r="Q3" s="7"/>
      <c r="R3" s="7" t="s">
        <v>937</v>
      </c>
      <c r="S3" s="7" t="str">
        <f t="array" ref="S3">IF(OR($A3="",ISBLANK(XLOOKUP($A3,Laptops_Asignadas,Nombres_Directorio,"",0))),"",XLOOKUP($A3,Laptops_Asignadas,Nombres_Directorio,"",0))</f>
        <v>Joel Velázquez Jaime</v>
      </c>
      <c r="T3" s="7" t="str">
        <f t="array" ref="T3">IF(OR($A3="",ISBLANK(XLOOKUP($A3,Laptops_Asignadas,Sucursal_Asignada,"",0))),"",XLOOKUP($A3,Laptops_Asignadas,Sucursal_Asignada,"",0))</f>
        <v>Morelia</v>
      </c>
      <c r="U3" s="7" t="str">
        <f t="array" ref="U3">IF(OR($A3="",ISBLANK(XLOOKUP($A3,Laptops_Asignadas,Departamento_Asignado,"",0))),"",XLOOKUP($A3,Laptops_Asignadas,Departamento_Asignado,"",0))</f>
        <v>Maquinaria Agrícola</v>
      </c>
      <c r="V3" s="7" t="str">
        <f t="array" ref="V3">IF(OR($A3="",ISBLANK(XLOOKUP($A3,Laptops_Asignadas,Nombres_Directorio,"",0))),"",XLOOKUP($A3,Laptops_Asignadas,Nombres_Directorio,"",0))</f>
        <v>Joel Velázquez Jaime</v>
      </c>
      <c r="W3" s="7" t="str">
        <f t="array" ref="W3">IF(OR($A3="",ISBLANK(XLOOKUP($A3,Laptops_Asignadas,Correos_Gmail,"",0))),"",XLOOKUP($A3,Laptops_Asignadas,Correos_Gmail,"",0))</f>
        <v>joel.velazquez@agrocisa.com.mx</v>
      </c>
      <c r="X3" s="7" t="str">
        <f t="array" ref="X3">IF(OR($A3="",ISBLANK(XLOOKUP($A3,Laptops_Asignadas,Correos_Institucionales,"",0))),"",XLOOKUP($A3,Laptops_Asignadas,Correos_Institucionales,"",0))</f>
        <v>joel.velazquez@agrocisa.com.mx</v>
      </c>
    </row>
    <row r="4">
      <c r="A4" s="7" t="s">
        <v>942</v>
      </c>
      <c r="B4" s="28">
        <v>4800.0</v>
      </c>
      <c r="C4" s="28" t="s">
        <v>788</v>
      </c>
      <c r="D4" s="28" t="s">
        <v>918</v>
      </c>
      <c r="E4" s="28" t="s">
        <v>943</v>
      </c>
      <c r="F4" s="36" t="s">
        <v>944</v>
      </c>
      <c r="G4" s="7" t="s">
        <v>920</v>
      </c>
      <c r="H4" s="7" t="s">
        <v>945</v>
      </c>
      <c r="I4" s="46" t="s">
        <v>946</v>
      </c>
      <c r="J4" s="7" t="s">
        <v>445</v>
      </c>
      <c r="K4" s="7" t="s">
        <v>947</v>
      </c>
      <c r="L4" s="7" t="s">
        <v>948</v>
      </c>
      <c r="M4" s="7" t="s">
        <v>949</v>
      </c>
      <c r="N4" s="7" t="s">
        <v>451</v>
      </c>
      <c r="O4" s="7" t="s">
        <v>454</v>
      </c>
      <c r="P4" s="7" t="s">
        <v>242</v>
      </c>
      <c r="Q4" s="7" t="s">
        <v>950</v>
      </c>
      <c r="R4" s="7" t="s">
        <v>951</v>
      </c>
      <c r="S4" s="7" t="str">
        <f t="array" ref="S4">IF(OR($A4="",ISBLANK(XLOOKUP($A4,Laptops_Asignadas,Nombres_Directorio,"",0))),"",XLOOKUP($A4,Laptops_Asignadas,Nombres_Directorio,"",0))</f>
        <v/>
      </c>
      <c r="T4" s="7" t="str">
        <f t="array" ref="T4">IF(OR($A4="",ISBLANK(XLOOKUP($A4,Laptops_Asignadas,Sucursal_Asignada,"",0))),"",XLOOKUP($A4,Laptops_Asignadas,Sucursal_Asignada,"",0))</f>
        <v/>
      </c>
      <c r="U4" s="7" t="str">
        <f t="array" ref="U4">IF(OR($A4="",ISBLANK(XLOOKUP($A4,Laptops_Asignadas,Departamento_Asignado,"",0))),"",XLOOKUP($A4,Laptops_Asignadas,Departamento_Asignado,"",0))</f>
        <v/>
      </c>
      <c r="V4" s="7" t="str">
        <f t="array" ref="V4">IF(OR($A4="",ISBLANK(XLOOKUP($A4,Laptops_Asignadas,Nombres_Directorio,"",0))),"",XLOOKUP($A4,Laptops_Asignadas,Nombres_Directorio,"",0))</f>
        <v/>
      </c>
      <c r="W4" s="7" t="str">
        <f t="array" ref="W4">IF(OR($A4="",ISBLANK(XLOOKUP($A4,Laptops_Asignadas,Correos_Gmail,"",0))),"",XLOOKUP($A4,Laptops_Asignadas,Correos_Gmail,"",0))</f>
        <v/>
      </c>
      <c r="X4" s="7" t="str">
        <f t="array" ref="X4">IF(OR($A4="",ISBLANK(XLOOKUP($A4,Laptops_Asignadas,Correos_Institucionales,"",0))),"",XLOOKUP($A4,Laptops_Asignadas,Correos_Institucionales,"",0))</f>
        <v/>
      </c>
    </row>
    <row r="5">
      <c r="A5" s="7" t="s">
        <v>443</v>
      </c>
      <c r="B5" s="28">
        <v>4000.0</v>
      </c>
      <c r="C5" s="28" t="s">
        <v>788</v>
      </c>
      <c r="D5" s="28" t="s">
        <v>918</v>
      </c>
      <c r="E5" s="28" t="s">
        <v>943</v>
      </c>
      <c r="F5" s="36" t="s">
        <v>958</v>
      </c>
      <c r="G5" s="7" t="s">
        <v>959</v>
      </c>
      <c r="H5" s="7" t="s">
        <v>960</v>
      </c>
      <c r="I5" s="7" t="s">
        <v>961</v>
      </c>
      <c r="J5" s="7" t="s">
        <v>934</v>
      </c>
      <c r="K5" s="7" t="s">
        <v>962</v>
      </c>
      <c r="L5" s="7" t="s">
        <v>402</v>
      </c>
      <c r="M5" s="7" t="s">
        <v>963</v>
      </c>
      <c r="N5" s="7" t="s">
        <v>497</v>
      </c>
      <c r="O5" s="7" t="s">
        <v>499</v>
      </c>
      <c r="P5" s="7" t="s">
        <v>242</v>
      </c>
      <c r="Q5" s="7" t="s">
        <v>964</v>
      </c>
      <c r="R5" s="7" t="s">
        <v>965</v>
      </c>
      <c r="S5" s="7" t="str">
        <f t="array" ref="S5">IF(OR($A5="",ISBLANK(XLOOKUP($A5,Laptops_Asignadas,Nombres_Directorio,"",0))),"",XLOOKUP($A5,Laptops_Asignadas,Nombres_Directorio,"",0))</f>
        <v>Michael Alberto Castro García</v>
      </c>
      <c r="T5" s="7" t="str">
        <f t="array" ref="T5">IF(OR($A5="",ISBLANK(XLOOKUP($A5,Laptops_Asignadas,Sucursal_Asignada,"",0))),"",XLOOKUP($A5,Laptops_Asignadas,Sucursal_Asignada,"",0))</f>
        <v>La Barca</v>
      </c>
      <c r="U5" s="7" t="str">
        <f t="array" ref="U5">IF(OR($A5="",ISBLANK(XLOOKUP($A5,Laptops_Asignadas,Departamento_Asignado,"",0))),"",XLOOKUP($A5,Laptops_Asignadas,Departamento_Asignado,"",0))</f>
        <v>Parque Vehicular</v>
      </c>
      <c r="V5" s="7" t="str">
        <f t="array" ref="V5">IF(OR($A5="",ISBLANK(XLOOKUP($A5,Laptops_Asignadas,Nombres_Directorio,"",0))),"",XLOOKUP($A5,Laptops_Asignadas,Nombres_Directorio,"",0))</f>
        <v>Michael Alberto Castro García</v>
      </c>
      <c r="W5" s="7" t="str">
        <f t="array" ref="W5">IF(OR($A5="",ISBLANK(XLOOKUP($A5,Laptops_Asignadas,Correos_Gmail,"",0))),"",XLOOKUP($A5,Laptops_Asignadas,Correos_Gmail,"",0))</f>
        <v>michael.castro@agrocisa.com.mx</v>
      </c>
      <c r="X5" s="7" t="str">
        <f t="array" ref="X5">IF(OR($A5="",ISBLANK(XLOOKUP($A5,Laptops_Asignadas,Correos_Institucionales,"",0))),"",XLOOKUP($A5,Laptops_Asignadas,Correos_Institucionales,"",0))</f>
        <v>michael.castro@agrocisa.com.mx</v>
      </c>
    </row>
    <row r="6">
      <c r="A6" s="7" t="s">
        <v>251</v>
      </c>
      <c r="B6" s="28">
        <v>5500.0</v>
      </c>
      <c r="C6" s="28" t="s">
        <v>194</v>
      </c>
      <c r="D6" s="28" t="s">
        <v>918</v>
      </c>
      <c r="E6" s="28"/>
      <c r="F6" s="36" t="s">
        <v>919</v>
      </c>
      <c r="G6" s="7" t="s">
        <v>969</v>
      </c>
      <c r="H6" s="7" t="s">
        <v>970</v>
      </c>
      <c r="I6" s="7"/>
      <c r="J6" s="7" t="s">
        <v>971</v>
      </c>
      <c r="K6" s="7" t="s">
        <v>972</v>
      </c>
      <c r="L6" s="7" t="s">
        <v>448</v>
      </c>
      <c r="M6" s="7" t="s">
        <v>973</v>
      </c>
      <c r="N6" s="7" t="s">
        <v>451</v>
      </c>
      <c r="O6" s="7" t="s">
        <v>454</v>
      </c>
      <c r="P6" s="7" t="s">
        <v>455</v>
      </c>
      <c r="Q6" s="7"/>
      <c r="R6" s="7" t="s">
        <v>974</v>
      </c>
      <c r="S6" s="7" t="str">
        <f t="array" ref="S6">IF(OR($A6="",ISBLANK(XLOOKUP($A6,Laptops_Asignadas,Nombres_Directorio,"",0))),"",XLOOKUP($A6,Laptops_Asignadas,Nombres_Directorio,"",0))</f>
        <v>Jorge Humberto Gómez Córdova</v>
      </c>
      <c r="T6" s="7" t="str">
        <f t="array" ref="T6">IF(OR($A6="",ISBLANK(XLOOKUP($A6,Laptops_Asignadas,Sucursal_Asignada,"",0))),"",XLOOKUP($A6,Laptops_Asignadas,Sucursal_Asignada,"",0))</f>
        <v>La Barca</v>
      </c>
      <c r="U6" s="7" t="str">
        <f t="array" ref="U6">IF(OR($A6="",ISBLANK(XLOOKUP($A6,Laptops_Asignadas,Departamento_Asignado,"",0))),"",XLOOKUP($A6,Laptops_Asignadas,Departamento_Asignado,"",0))</f>
        <v>Corporativo</v>
      </c>
      <c r="V6" s="7" t="str">
        <f t="array" ref="V6">IF(OR($A6="",ISBLANK(XLOOKUP($A6,Laptops_Asignadas,Nombres_Directorio,"",0))),"",XLOOKUP($A6,Laptops_Asignadas,Nombres_Directorio,"",0))</f>
        <v>Jorge Humberto Gómez Córdova</v>
      </c>
      <c r="W6" s="7" t="str">
        <f t="array" ref="W6">IF(OR($A6="",ISBLANK(XLOOKUP($A6,Laptops_Asignadas,Correos_Gmail,"",0))),"",XLOOKUP($A6,Laptops_Asignadas,Correos_Gmail,"",0))</f>
        <v>jgomez.agro@gmail.com</v>
      </c>
      <c r="X6" s="7" t="str">
        <f t="array" ref="X6">IF(OR($A6="",ISBLANK(XLOOKUP($A6,Laptops_Asignadas,Correos_Institucionales,"",0))),"",XLOOKUP($A6,Laptops_Asignadas,Correos_Institucionales,"",0))</f>
        <v>jorge.gomez@agrocisa.com.mx</v>
      </c>
    </row>
    <row r="7">
      <c r="A7" s="7" t="s">
        <v>89</v>
      </c>
      <c r="B7" s="28">
        <v>4500.0</v>
      </c>
      <c r="C7" s="28" t="s">
        <v>788</v>
      </c>
      <c r="D7" s="28" t="s">
        <v>918</v>
      </c>
      <c r="E7" s="28"/>
      <c r="F7" s="36" t="s">
        <v>919</v>
      </c>
      <c r="G7" s="7" t="s">
        <v>959</v>
      </c>
      <c r="H7" s="7" t="s">
        <v>981</v>
      </c>
      <c r="I7" s="7" t="s">
        <v>982</v>
      </c>
      <c r="J7" s="7" t="s">
        <v>539</v>
      </c>
      <c r="K7" s="7" t="s">
        <v>962</v>
      </c>
      <c r="L7" s="7" t="s">
        <v>402</v>
      </c>
      <c r="M7" s="7" t="s">
        <v>983</v>
      </c>
      <c r="N7" s="7" t="s">
        <v>451</v>
      </c>
      <c r="O7" s="7" t="s">
        <v>454</v>
      </c>
      <c r="P7" s="7" t="s">
        <v>455</v>
      </c>
      <c r="Q7" s="7" t="s">
        <v>984</v>
      </c>
      <c r="R7" s="7" t="s">
        <v>985</v>
      </c>
      <c r="S7" s="7" t="str">
        <f t="array" ref="S7">IF(OR($A7="",ISBLANK(XLOOKUP($A7,Laptops_Asignadas,Nombres_Directorio,"",0))),"",XLOOKUP($A7,Laptops_Asignadas,Nombres_Directorio,"",0))</f>
        <v>María del Cármen Sánchez García</v>
      </c>
      <c r="T7" s="7" t="str">
        <f t="array" ref="T7">IF(OR($A7="",ISBLANK(XLOOKUP($A7,Laptops_Asignadas,Sucursal_Asignada,"",0))),"",XLOOKUP($A7,Laptops_Asignadas,Sucursal_Asignada,"",0))</f>
        <v>La Barca</v>
      </c>
      <c r="U7" s="7" t="str">
        <f t="array" ref="U7">IF(OR($A7="",ISBLANK(XLOOKUP($A7,Laptops_Asignadas,Departamento_Asignado,"",0))),"",XLOOKUP($A7,Laptops_Asignadas,Departamento_Asignado,"",0))</f>
        <v>Compras</v>
      </c>
      <c r="V7" s="7" t="str">
        <f t="array" ref="V7">IF(OR($A7="",ISBLANK(XLOOKUP($A7,Laptops_Asignadas,Nombres_Directorio,"",0))),"",XLOOKUP($A7,Laptops_Asignadas,Nombres_Directorio,"",0))</f>
        <v>María del Cármen Sánchez García</v>
      </c>
      <c r="W7" s="7" t="str">
        <f t="array" ref="W7">IF(OR($A7="",ISBLANK(XLOOKUP($A7,Laptops_Asignadas,Correos_Gmail,"",0))),"",XLOOKUP($A7,Laptops_Asignadas,Correos_Gmail,"",0))</f>
        <v>auxiliarcompras.agrocisa@gmail.com</v>
      </c>
      <c r="X7" s="7" t="str">
        <f t="array" ref="X7">IF(OR($A7="",ISBLANK(XLOOKUP($A7,Laptops_Asignadas,Correos_Institucionales,"",0))),"",XLOOKUP($A7,Laptops_Asignadas,Correos_Institucionales,"",0))</f>
        <v>compras@agrocisa.com.mx</v>
      </c>
    </row>
    <row r="8">
      <c r="A8" s="7" t="s">
        <v>121</v>
      </c>
      <c r="B8" s="28">
        <v>10728.0</v>
      </c>
      <c r="C8" s="28" t="s">
        <v>194</v>
      </c>
      <c r="D8" s="28" t="s">
        <v>918</v>
      </c>
      <c r="E8" s="28"/>
      <c r="F8" s="36" t="s">
        <v>986</v>
      </c>
      <c r="G8" s="7" t="s">
        <v>969</v>
      </c>
      <c r="H8" s="7" t="s">
        <v>987</v>
      </c>
      <c r="I8" s="7" t="s">
        <v>988</v>
      </c>
      <c r="J8" s="7" t="s">
        <v>580</v>
      </c>
      <c r="K8" s="7" t="s">
        <v>947</v>
      </c>
      <c r="L8" s="7" t="s">
        <v>989</v>
      </c>
      <c r="M8" s="7" t="s">
        <v>990</v>
      </c>
      <c r="N8" s="7" t="s">
        <v>909</v>
      </c>
      <c r="O8" s="7" t="s">
        <v>454</v>
      </c>
      <c r="P8" s="7" t="s">
        <v>455</v>
      </c>
      <c r="Q8" s="7"/>
      <c r="R8" s="7" t="s">
        <v>993</v>
      </c>
      <c r="S8" s="7" t="str">
        <f t="array" ref="S8">IF(OR($A8="",ISBLANK(XLOOKUP($A8,Laptops_Asignadas,Nombres_Directorio,"",0))),"",XLOOKUP($A8,Laptops_Asignadas,Nombres_Directorio,"",0))</f>
        <v>Magdalena Estrada Gómez</v>
      </c>
      <c r="T8" s="7" t="str">
        <f t="array" ref="T8">IF(OR($A8="",ISBLANK(XLOOKUP($A8,Laptops_Asignadas,Sucursal_Asignada,"",0))),"",XLOOKUP($A8,Laptops_Asignadas,Sucursal_Asignada,"",0))</f>
        <v>La Barca</v>
      </c>
      <c r="U8" s="7" t="str">
        <f t="array" ref="U8">IF(OR($A8="",ISBLANK(XLOOKUP($A8,Laptops_Asignadas,Departamento_Asignado,"",0))),"",XLOOKUP($A8,Laptops_Asignadas,Departamento_Asignado,"",0))</f>
        <v>Corporativo</v>
      </c>
      <c r="V8" s="7" t="str">
        <f t="array" ref="V8">IF(OR($A8="",ISBLANK(XLOOKUP($A8,Laptops_Asignadas,Nombres_Directorio,"",0))),"",XLOOKUP($A8,Laptops_Asignadas,Nombres_Directorio,"",0))</f>
        <v>Magdalena Estrada Gómez</v>
      </c>
      <c r="W8" s="7" t="str">
        <f t="array" ref="W8">IF(OR($A8="",ISBLANK(XLOOKUP($A8,Laptops_Asignadas,Correos_Gmail,"",0))),"",XLOOKUP($A8,Laptops_Asignadas,Correos_Gmail,"",0))</f>
        <v>m.estradaagro@gmail.com</v>
      </c>
      <c r="X8" s="7" t="str">
        <f t="array" ref="X8">IF(OR($A8="",ISBLANK(XLOOKUP($A8,Laptops_Asignadas,Correos_Institucionales,"",0))),"",XLOOKUP($A8,Laptops_Asignadas,Correos_Institucionales,"",0))</f>
        <v>magdalena.estrada@agrocisa.com.mx</v>
      </c>
    </row>
    <row r="9">
      <c r="A9" s="7" t="s">
        <v>239</v>
      </c>
      <c r="B9" s="28">
        <v>7000.0</v>
      </c>
      <c r="C9" s="28" t="s">
        <v>194</v>
      </c>
      <c r="D9" s="28" t="s">
        <v>918</v>
      </c>
      <c r="E9" s="28"/>
      <c r="F9" s="36" t="s">
        <v>919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 t="s">
        <v>999</v>
      </c>
      <c r="S9" s="7" t="str">
        <f t="array" ref="S9">IF(OR($A9="",ISBLANK(XLOOKUP($A9,Laptops_Asignadas,Nombres_Directorio,"",0))),"",XLOOKUP($A9,Laptops_Asignadas,Nombres_Directorio,"",0))</f>
        <v>Miguel Ángel González Escoto</v>
      </c>
      <c r="T9" s="7" t="str">
        <f t="array" ref="T9">IF(OR($A9="",ISBLANK(XLOOKUP($A9,Laptops_Asignadas,Sucursal_Asignada,"",0))),"",XLOOKUP($A9,Laptops_Asignadas,Sucursal_Asignada,"",0))</f>
        <v>La Barca</v>
      </c>
      <c r="U9" s="7" t="str">
        <f t="array" ref="U9">IF(OR($A9="",ISBLANK(XLOOKUP($A9,Laptops_Asignadas,Departamento_Asignado,"",0))),"",XLOOKUP($A9,Laptops_Asignadas,Departamento_Asignado,"",0))</f>
        <v>Corporativo</v>
      </c>
      <c r="V9" s="7" t="str">
        <f t="array" ref="V9">IF(OR($A9="",ISBLANK(XLOOKUP($A9,Laptops_Asignadas,Nombres_Directorio,"",0))),"",XLOOKUP($A9,Laptops_Asignadas,Nombres_Directorio,"",0))</f>
        <v>Miguel Ángel González Escoto</v>
      </c>
      <c r="W9" s="7" t="str">
        <f t="array" ref="W9">IF(OR($A9="",ISBLANK(XLOOKUP($A9,Laptops_Asignadas,Correos_Gmail,"",0))),"",XLOOKUP($A9,Laptops_Asignadas,Correos_Gmail,"",0))</f>
        <v>migonzalez.agro@gmail.com</v>
      </c>
      <c r="X9" s="7" t="str">
        <f t="array" ref="X9">IF(OR($A9="",ISBLANK(XLOOKUP($A9,Laptops_Asignadas,Correos_Institucionales,"",0))),"",XLOOKUP($A9,Laptops_Asignadas,Correos_Institucionales,"",0))</f>
        <v>miguel.gonzalez@agrocisa.com.mx</v>
      </c>
    </row>
    <row r="10">
      <c r="A10" s="7" t="s">
        <v>373</v>
      </c>
      <c r="B10" s="28">
        <v>13249.0</v>
      </c>
      <c r="C10" s="28" t="s">
        <v>194</v>
      </c>
      <c r="D10" s="28" t="s">
        <v>918</v>
      </c>
      <c r="E10" s="28"/>
      <c r="F10" s="36" t="s">
        <v>444</v>
      </c>
      <c r="G10" s="7" t="s">
        <v>969</v>
      </c>
      <c r="H10" s="7" t="s">
        <v>1009</v>
      </c>
      <c r="I10" s="7" t="s">
        <v>1010</v>
      </c>
      <c r="J10" s="7" t="s">
        <v>580</v>
      </c>
      <c r="K10" s="7" t="s">
        <v>947</v>
      </c>
      <c r="L10" s="7" t="s">
        <v>402</v>
      </c>
      <c r="M10" s="7" t="s">
        <v>1011</v>
      </c>
      <c r="N10" s="7" t="s">
        <v>451</v>
      </c>
      <c r="O10" s="7" t="s">
        <v>454</v>
      </c>
      <c r="P10" s="7" t="s">
        <v>455</v>
      </c>
      <c r="Q10" s="7"/>
      <c r="R10" s="7" t="s">
        <v>1012</v>
      </c>
      <c r="S10" s="7" t="str">
        <f t="array" ref="S10">IF(OR($A10="",ISBLANK(XLOOKUP($A10,Laptops_Asignadas,Nombres_Directorio,"",0))),"",XLOOKUP($A10,Laptops_Asignadas,Nombres_Directorio,"",0))</f>
        <v>María Guadalupe Aviña Cervantes</v>
      </c>
      <c r="T10" s="7" t="str">
        <f t="array" ref="T10">IF(OR($A10="",ISBLANK(XLOOKUP($A10,Laptops_Asignadas,Sucursal_Asignada,"",0))),"",XLOOKUP($A10,Laptops_Asignadas,Sucursal_Asignada,"",0))</f>
        <v>La Barca</v>
      </c>
      <c r="U10" s="7" t="str">
        <f t="array" ref="U10">IF(OR($A10="",ISBLANK(XLOOKUP($A10,Laptops_Asignadas,Departamento_Asignado,"",0))),"",XLOOKUP($A10,Laptops_Asignadas,Departamento_Asignado,"",0))</f>
        <v>Maquinaria Agrícola</v>
      </c>
      <c r="V10" s="7" t="str">
        <f t="array" ref="V10">IF(OR($A10="",ISBLANK(XLOOKUP($A10,Laptops_Asignadas,Nombres_Directorio,"",0))),"",XLOOKUP($A10,Laptops_Asignadas,Nombres_Directorio,"",0))</f>
        <v>María Guadalupe Aviña Cervantes</v>
      </c>
      <c r="W10" s="7" t="str">
        <f t="array" ref="W10">IF(OR($A10="",ISBLANK(XLOOKUP($A10,Laptops_Asignadas,Correos_Gmail,"",0))),"",XLOOKUP($A10,Laptops_Asignadas,Correos_Gmail,"",0))</f>
        <v>gavina.agro@gmail.com</v>
      </c>
      <c r="X10" s="7" t="str">
        <f t="array" ref="X10">IF(OR($A10="",ISBLANK(XLOOKUP($A10,Laptops_Asignadas,Correos_Institucionales,"",0))),"",XLOOKUP($A10,Laptops_Asignadas,Correos_Institucionales,"",0))</f>
        <v>guadalupe.avina@agrocisa.com.mx</v>
      </c>
    </row>
    <row r="11">
      <c r="A11" s="7" t="s">
        <v>1016</v>
      </c>
      <c r="B11" s="28">
        <v>6500.0</v>
      </c>
      <c r="C11" s="28" t="s">
        <v>788</v>
      </c>
      <c r="D11" s="28" t="s">
        <v>918</v>
      </c>
      <c r="E11" s="28"/>
      <c r="F11" s="36" t="s">
        <v>444</v>
      </c>
      <c r="G11" s="7" t="s">
        <v>969</v>
      </c>
      <c r="H11" s="7" t="s">
        <v>1017</v>
      </c>
      <c r="I11" s="7"/>
      <c r="J11" s="7" t="s">
        <v>1018</v>
      </c>
      <c r="K11" s="7" t="s">
        <v>962</v>
      </c>
      <c r="L11" s="7" t="s">
        <v>448</v>
      </c>
      <c r="M11" s="7" t="s">
        <v>1019</v>
      </c>
      <c r="N11" s="7" t="s">
        <v>451</v>
      </c>
      <c r="O11" s="7" t="s">
        <v>454</v>
      </c>
      <c r="P11" s="7" t="s">
        <v>242</v>
      </c>
      <c r="Q11" s="7" t="s">
        <v>1020</v>
      </c>
      <c r="R11" s="7" t="s">
        <v>1021</v>
      </c>
      <c r="S11" s="7" t="str">
        <f t="array" ref="S11">IF(OR($A11="",ISBLANK(XLOOKUP($A11,Laptops_Asignadas,Nombres_Directorio,"",0))),"",XLOOKUP($A11,Laptops_Asignadas,Nombres_Directorio,"",0))</f>
        <v/>
      </c>
      <c r="T11" s="7" t="str">
        <f t="array" ref="T11">IF(OR($A11="",ISBLANK(XLOOKUP($A11,Laptops_Asignadas,Sucursal_Asignada,"",0))),"",XLOOKUP($A11,Laptops_Asignadas,Sucursal_Asignada,"",0))</f>
        <v/>
      </c>
      <c r="U11" s="7" t="str">
        <f t="array" ref="U11">IF(OR($A11="",ISBLANK(XLOOKUP($A11,Laptops_Asignadas,Departamento_Asignado,"",0))),"",XLOOKUP($A11,Laptops_Asignadas,Departamento_Asignado,"",0))</f>
        <v/>
      </c>
      <c r="V11" s="7" t="str">
        <f t="array" ref="V11">IF(OR($A11="",ISBLANK(XLOOKUP($A11,Laptops_Asignadas,Nombres_Directorio,"",0))),"",XLOOKUP($A11,Laptops_Asignadas,Nombres_Directorio,"",0))</f>
        <v/>
      </c>
      <c r="W11" s="7" t="str">
        <f t="array" ref="W11">IF(OR($A11="",ISBLANK(XLOOKUP($A11,Laptops_Asignadas,Correos_Gmail,"",0))),"",XLOOKUP($A11,Laptops_Asignadas,Correos_Gmail,"",0))</f>
        <v/>
      </c>
      <c r="X11" s="7" t="str">
        <f t="array" ref="X11">IF(OR($A11="",ISBLANK(XLOOKUP($A11,Laptops_Asignadas,Correos_Institucionales,"",0))),"",XLOOKUP($A11,Laptops_Asignadas,Correos_Institucionales,"",0))</f>
        <v/>
      </c>
    </row>
    <row r="12">
      <c r="A12" s="7" t="s">
        <v>859</v>
      </c>
      <c r="B12" s="28">
        <v>4500.0</v>
      </c>
      <c r="C12" s="28" t="s">
        <v>788</v>
      </c>
      <c r="D12" s="28" t="s">
        <v>918</v>
      </c>
      <c r="E12" s="28" t="s">
        <v>1028</v>
      </c>
      <c r="F12" s="36" t="s">
        <v>1029</v>
      </c>
      <c r="G12" s="7" t="s">
        <v>969</v>
      </c>
      <c r="H12" s="7" t="s">
        <v>1017</v>
      </c>
      <c r="I12" s="7">
        <v>2.0362013966E10</v>
      </c>
      <c r="J12" s="7" t="s">
        <v>580</v>
      </c>
      <c r="K12" s="7" t="s">
        <v>1030</v>
      </c>
      <c r="L12" s="7" t="s">
        <v>402</v>
      </c>
      <c r="M12" s="7" t="s">
        <v>1031</v>
      </c>
      <c r="N12" s="7" t="s">
        <v>451</v>
      </c>
      <c r="O12" s="7" t="s">
        <v>454</v>
      </c>
      <c r="P12" s="7" t="s">
        <v>242</v>
      </c>
      <c r="Q12" s="7" t="s">
        <v>1032</v>
      </c>
      <c r="R12" s="7" t="s">
        <v>1033</v>
      </c>
      <c r="S12" s="7" t="str">
        <f t="array" ref="S12">IF(OR($A12="",ISBLANK(XLOOKUP($A12,Laptops_Asignadas,Nombres_Directorio,"",0))),"",XLOOKUP($A12,Laptops_Asignadas,Nombres_Directorio,"",0))</f>
        <v>Vacante</v>
      </c>
      <c r="T12" s="7" t="str">
        <f t="array" ref="T12">IF(OR($A12="",ISBLANK(XLOOKUP($A12,Laptops_Asignadas,Sucursal_Asignada,"",0))),"",XLOOKUP($A12,Laptops_Asignadas,Sucursal_Asignada,"",0))</f>
        <v>Zona Altos</v>
      </c>
      <c r="U12" s="7" t="str">
        <f t="array" ref="U12">IF(OR($A12="",ISBLANK(XLOOKUP($A12,Laptops_Asignadas,Departamento_Asignado,"",0))),"",XLOOKUP($A12,Laptops_Asignadas,Departamento_Asignado,"",0))</f>
        <v>Maquinaria Agrícola y Construcción</v>
      </c>
      <c r="V12" s="7" t="str">
        <f t="array" ref="V12">IF(OR($A12="",ISBLANK(XLOOKUP($A12,Laptops_Asignadas,Nombres_Directorio,"",0))),"",XLOOKUP($A12,Laptops_Asignadas,Nombres_Directorio,"",0))</f>
        <v>Vacante</v>
      </c>
      <c r="W12" s="7" t="str">
        <f t="array" ref="W12">IF(OR($A12="",ISBLANK(XLOOKUP($A12,Laptops_Asignadas,Correos_Gmail,"",0))),"",XLOOKUP($A12,Laptops_Asignadas,Correos_Gmail,"",0))</f>
        <v>pablo.maldonado@agrocisa.com.mx</v>
      </c>
      <c r="X12" s="7" t="str">
        <f t="array" ref="X12">IF(OR($A12="",ISBLANK(XLOOKUP($A12,Laptops_Asignadas,Correos_Institucionales,"",0))),"",XLOOKUP($A12,Laptops_Asignadas,Correos_Institucionales,"",0))</f>
        <v>pablo.maldonado@agrocisa.com.mx</v>
      </c>
    </row>
    <row r="13">
      <c r="A13" s="7" t="s">
        <v>1040</v>
      </c>
      <c r="B13" s="28">
        <v>4500.0</v>
      </c>
      <c r="C13" s="28" t="s">
        <v>788</v>
      </c>
      <c r="D13" s="28" t="s">
        <v>918</v>
      </c>
      <c r="E13" s="28"/>
      <c r="F13" s="36" t="s">
        <v>444</v>
      </c>
      <c r="G13" s="7" t="s">
        <v>969</v>
      </c>
      <c r="H13" s="7" t="s">
        <v>1041</v>
      </c>
      <c r="I13" s="7" t="s">
        <v>1042</v>
      </c>
      <c r="J13" s="7" t="s">
        <v>934</v>
      </c>
      <c r="K13" s="7" t="s">
        <v>1070</v>
      </c>
      <c r="L13" s="7" t="s">
        <v>541</v>
      </c>
      <c r="M13" s="7" t="s">
        <v>1071</v>
      </c>
      <c r="N13" s="7" t="s">
        <v>544</v>
      </c>
      <c r="O13" s="7" t="s">
        <v>454</v>
      </c>
      <c r="P13" s="7" t="s">
        <v>455</v>
      </c>
      <c r="Q13" s="7" t="s">
        <v>1072</v>
      </c>
      <c r="R13" s="7" t="s">
        <v>1073</v>
      </c>
      <c r="S13" s="7" t="str">
        <f t="array" ref="S13">IF(OR($A13="",ISBLANK(XLOOKUP($A13,Laptops_Asignadas,Nombres_Directorio,"",0))),"",XLOOKUP($A13,Laptops_Asignadas,Nombres_Directorio,"",0))</f>
        <v/>
      </c>
      <c r="T13" s="7" t="str">
        <f t="array" ref="T13">IF(OR($A13="",ISBLANK(XLOOKUP($A13,Laptops_Asignadas,Sucursal_Asignada,"",0))),"",XLOOKUP($A13,Laptops_Asignadas,Sucursal_Asignada,"",0))</f>
        <v/>
      </c>
      <c r="U13" s="7" t="str">
        <f t="array" ref="U13">IF(OR($A13="",ISBLANK(XLOOKUP($A13,Laptops_Asignadas,Departamento_Asignado,"",0))),"",XLOOKUP($A13,Laptops_Asignadas,Departamento_Asignado,"",0))</f>
        <v/>
      </c>
      <c r="V13" s="7" t="str">
        <f t="array" ref="V13">IF(OR($A13="",ISBLANK(XLOOKUP($A13,Laptops_Asignadas,Nombres_Directorio,"",0))),"",XLOOKUP($A13,Laptops_Asignadas,Nombres_Directorio,"",0))</f>
        <v/>
      </c>
      <c r="W13" s="7" t="str">
        <f t="array" ref="W13">IF(OR($A13="",ISBLANK(XLOOKUP($A13,Laptops_Asignadas,Correos_Gmail,"",0))),"",XLOOKUP($A13,Laptops_Asignadas,Correos_Gmail,"",0))</f>
        <v/>
      </c>
      <c r="X13" s="7" t="str">
        <f t="array" ref="X13">IF(OR($A13="",ISBLANK(XLOOKUP($A13,Laptops_Asignadas,Correos_Institucionales,"",0))),"",XLOOKUP($A13,Laptops_Asignadas,Correos_Institucionales,"",0))</f>
        <v/>
      </c>
    </row>
    <row r="14">
      <c r="A14" s="7" t="s">
        <v>1079</v>
      </c>
      <c r="B14" s="28">
        <v>5000.0</v>
      </c>
      <c r="C14" s="28" t="s">
        <v>788</v>
      </c>
      <c r="D14" s="28" t="s">
        <v>918</v>
      </c>
      <c r="E14" s="28"/>
      <c r="F14" s="36" t="s">
        <v>444</v>
      </c>
      <c r="G14" s="7" t="s">
        <v>1080</v>
      </c>
      <c r="H14" s="7" t="s">
        <v>1081</v>
      </c>
      <c r="I14" s="7" t="s">
        <v>1082</v>
      </c>
      <c r="J14" s="7" t="s">
        <v>580</v>
      </c>
      <c r="K14" s="7" t="s">
        <v>1030</v>
      </c>
      <c r="L14" s="7" t="s">
        <v>402</v>
      </c>
      <c r="M14" s="7" t="s">
        <v>1031</v>
      </c>
      <c r="N14" s="7" t="s">
        <v>451</v>
      </c>
      <c r="O14" s="7" t="s">
        <v>454</v>
      </c>
      <c r="P14" s="7" t="s">
        <v>455</v>
      </c>
      <c r="Q14" s="7" t="s">
        <v>1083</v>
      </c>
      <c r="R14" s="7" t="s">
        <v>1084</v>
      </c>
      <c r="S14" s="7" t="str">
        <f t="array" ref="S14">IF(OR($A14="",ISBLANK(XLOOKUP($A14,Laptops_Asignadas,Nombres_Directorio,"",0))),"",XLOOKUP($A14,Laptops_Asignadas,Nombres_Directorio,"",0))</f>
        <v/>
      </c>
      <c r="T14" s="7" t="str">
        <f t="array" ref="T14">IF(OR($A14="",ISBLANK(XLOOKUP($A14,Laptops_Asignadas,Sucursal_Asignada,"",0))),"",XLOOKUP($A14,Laptops_Asignadas,Sucursal_Asignada,"",0))</f>
        <v/>
      </c>
      <c r="U14" s="7" t="str">
        <f t="array" ref="U14">IF(OR($A14="",ISBLANK(XLOOKUP($A14,Laptops_Asignadas,Departamento_Asignado,"",0))),"",XLOOKUP($A14,Laptops_Asignadas,Departamento_Asignado,"",0))</f>
        <v/>
      </c>
      <c r="V14" s="7" t="str">
        <f t="array" ref="V14">IF(OR($A14="",ISBLANK(XLOOKUP($A14,Laptops_Asignadas,Nombres_Directorio,"",0))),"",XLOOKUP($A14,Laptops_Asignadas,Nombres_Directorio,"",0))</f>
        <v/>
      </c>
      <c r="W14" s="7" t="str">
        <f t="array" ref="W14">IF(OR($A14="",ISBLANK(XLOOKUP($A14,Laptops_Asignadas,Correos_Gmail,"",0))),"",XLOOKUP($A14,Laptops_Asignadas,Correos_Gmail,"",0))</f>
        <v/>
      </c>
      <c r="X14" s="7" t="str">
        <f t="array" ref="X14">IF(OR($A14="",ISBLANK(XLOOKUP($A14,Laptops_Asignadas,Correos_Institucionales,"",0))),"",XLOOKUP($A14,Laptops_Asignadas,Correos_Institucionales,"",0))</f>
        <v/>
      </c>
    </row>
    <row r="15">
      <c r="A15" s="7" t="s">
        <v>1085</v>
      </c>
      <c r="B15" s="28">
        <v>5500.0</v>
      </c>
      <c r="C15" s="28" t="s">
        <v>788</v>
      </c>
      <c r="D15" s="28" t="s">
        <v>918</v>
      </c>
      <c r="E15" s="28"/>
      <c r="F15" s="36" t="s">
        <v>919</v>
      </c>
      <c r="G15" s="7" t="s">
        <v>969</v>
      </c>
      <c r="H15" s="7" t="s">
        <v>1017</v>
      </c>
      <c r="I15" s="7">
        <v>1.1436631742E10</v>
      </c>
      <c r="J15" s="7" t="s">
        <v>539</v>
      </c>
      <c r="K15" s="7" t="s">
        <v>1030</v>
      </c>
      <c r="L15" s="7" t="s">
        <v>402</v>
      </c>
      <c r="M15" s="7" t="s">
        <v>1031</v>
      </c>
      <c r="N15" s="7" t="s">
        <v>1086</v>
      </c>
      <c r="O15" s="7" t="s">
        <v>499</v>
      </c>
      <c r="P15" s="7" t="s">
        <v>455</v>
      </c>
      <c r="Q15" s="7" t="s">
        <v>1087</v>
      </c>
      <c r="R15" s="7" t="s">
        <v>1088</v>
      </c>
      <c r="S15" s="7" t="str">
        <f t="array" ref="S15">IF(OR($A15="",ISBLANK(XLOOKUP($A15,Laptops_Asignadas,Nombres_Directorio,"",0))),"",XLOOKUP($A15,Laptops_Asignadas,Nombres_Directorio,"",0))</f>
        <v/>
      </c>
      <c r="T15" s="7" t="str">
        <f t="array" ref="T15">IF(OR($A15="",ISBLANK(XLOOKUP($A15,Laptops_Asignadas,Sucursal_Asignada,"",0))),"",XLOOKUP($A15,Laptops_Asignadas,Sucursal_Asignada,"",0))</f>
        <v/>
      </c>
      <c r="U15" s="7" t="str">
        <f t="array" ref="U15">IF(OR($A15="",ISBLANK(XLOOKUP($A15,Laptops_Asignadas,Departamento_Asignado,"",0))),"",XLOOKUP($A15,Laptops_Asignadas,Departamento_Asignado,"",0))</f>
        <v/>
      </c>
      <c r="V15" s="7" t="str">
        <f t="array" ref="V15">IF(OR($A15="",ISBLANK(XLOOKUP($A15,Laptops_Asignadas,Nombres_Directorio,"",0))),"",XLOOKUP($A15,Laptops_Asignadas,Nombres_Directorio,"",0))</f>
        <v/>
      </c>
      <c r="W15" s="7" t="str">
        <f t="array" ref="W15">IF(OR($A15="",ISBLANK(XLOOKUP($A15,Laptops_Asignadas,Correos_Gmail,"",0))),"",XLOOKUP($A15,Laptops_Asignadas,Correos_Gmail,"",0))</f>
        <v/>
      </c>
      <c r="X15" s="7" t="str">
        <f t="array" ref="X15">IF(OR($A15="",ISBLANK(XLOOKUP($A15,Laptops_Asignadas,Correos_Institucionales,"",0))),"",XLOOKUP($A15,Laptops_Asignadas,Correos_Institucionales,"",0))</f>
        <v/>
      </c>
    </row>
    <row r="16">
      <c r="A16" s="7" t="s">
        <v>313</v>
      </c>
      <c r="B16" s="28">
        <v>3500.0</v>
      </c>
      <c r="C16" s="28" t="s">
        <v>788</v>
      </c>
      <c r="D16" s="28" t="s">
        <v>918</v>
      </c>
      <c r="E16" s="28" t="s">
        <v>943</v>
      </c>
      <c r="F16" s="36" t="s">
        <v>1089</v>
      </c>
      <c r="G16" s="7" t="s">
        <v>959</v>
      </c>
      <c r="H16" s="7" t="s">
        <v>1090</v>
      </c>
      <c r="I16" s="7" t="s">
        <v>1091</v>
      </c>
      <c r="J16" s="7" t="s">
        <v>580</v>
      </c>
      <c r="K16" s="7" t="s">
        <v>1092</v>
      </c>
      <c r="L16" s="7" t="s">
        <v>541</v>
      </c>
      <c r="M16" s="7" t="s">
        <v>1093</v>
      </c>
      <c r="N16" s="7" t="s">
        <v>451</v>
      </c>
      <c r="O16" s="7" t="s">
        <v>454</v>
      </c>
      <c r="P16" s="7" t="s">
        <v>242</v>
      </c>
      <c r="Q16" s="7" t="s">
        <v>1094</v>
      </c>
      <c r="R16" s="7" t="s">
        <v>1095</v>
      </c>
      <c r="S16" s="7" t="str">
        <f t="array" ref="S16">IF(OR($A16="",ISBLANK(XLOOKUP($A16,Laptops_Asignadas,Nombres_Directorio,"",0))),"",XLOOKUP($A16,Laptops_Asignadas,Nombres_Directorio,"",0))</f>
        <v>Jeniffer Paulina Resendiz Bravo</v>
      </c>
      <c r="T16" s="7" t="str">
        <f t="array" ref="T16">IF(OR($A16="",ISBLANK(XLOOKUP($A16,Laptops_Asignadas,Sucursal_Asignada,"",0))),"",XLOOKUP($A16,Laptops_Asignadas,Sucursal_Asignada,"",0))</f>
        <v>La Barca</v>
      </c>
      <c r="U16" s="7" t="str">
        <f t="array" ref="U16">IF(OR($A16="",ISBLANK(XLOOKUP($A16,Laptops_Asignadas,Departamento_Asignado,"",0))),"",XLOOKUP($A16,Laptops_Asignadas,Departamento_Asignado,"",0))</f>
        <v>Finanzas</v>
      </c>
      <c r="V16" s="7" t="str">
        <f t="array" ref="V16">IF(OR($A16="",ISBLANK(XLOOKUP($A16,Laptops_Asignadas,Nombres_Directorio,"",0))),"",XLOOKUP($A16,Laptops_Asignadas,Nombres_Directorio,"",0))</f>
        <v>Jeniffer Paulina Resendiz Bravo</v>
      </c>
      <c r="W16" s="7" t="str">
        <f t="array" ref="W16">IF(OR($A16="",ISBLANK(XLOOKUP($A16,Laptops_Asignadas,Correos_Gmail,"",0))),"",XLOOKUP($A16,Laptops_Asignadas,Correos_Gmail,"",0))</f>
        <v>paresendiz.agro@gmail.com</v>
      </c>
      <c r="X16" s="7" t="str">
        <f t="array" ref="X16">IF(OR($A16="",ISBLANK(XLOOKUP($A16,Laptops_Asignadas,Correos_Institucionales,"",0))),"",XLOOKUP($A16,Laptops_Asignadas,Correos_Institucionales,"",0))</f>
        <v>paulina.resendiz@agrocisa.com.mx</v>
      </c>
    </row>
    <row r="17">
      <c r="A17" s="7" t="s">
        <v>434</v>
      </c>
      <c r="B17" s="28">
        <v>4000.0</v>
      </c>
      <c r="C17" s="28" t="s">
        <v>788</v>
      </c>
      <c r="D17" s="28" t="s">
        <v>1096</v>
      </c>
      <c r="E17" s="28"/>
      <c r="F17" s="36" t="s">
        <v>1097</v>
      </c>
      <c r="G17" s="7" t="s">
        <v>959</v>
      </c>
      <c r="H17" s="7" t="s">
        <v>1098</v>
      </c>
      <c r="I17" s="7"/>
      <c r="J17" s="7" t="s">
        <v>934</v>
      </c>
      <c r="K17" s="7" t="s">
        <v>1099</v>
      </c>
      <c r="L17" s="7" t="s">
        <v>448</v>
      </c>
      <c r="M17" s="7" t="s">
        <v>1100</v>
      </c>
      <c r="N17" s="7" t="s">
        <v>497</v>
      </c>
      <c r="O17" s="7" t="s">
        <v>499</v>
      </c>
      <c r="P17" s="7" t="s">
        <v>455</v>
      </c>
      <c r="Q17" s="7" t="s">
        <v>1101</v>
      </c>
      <c r="R17" s="7" t="s">
        <v>1102</v>
      </c>
      <c r="S17" s="7" t="str">
        <f t="array" ref="S17">IF(OR($A17="",ISBLANK(XLOOKUP($A17,Laptops_Asignadas,Nombres_Directorio,"",0))),"",XLOOKUP($A17,Laptops_Asignadas,Nombres_Directorio,"",0))</f>
        <v>Francisco Javier Ornelas Rosales</v>
      </c>
      <c r="T17" s="7" t="str">
        <f t="array" ref="T17">IF(OR($A17="",ISBLANK(XLOOKUP($A17,Laptops_Asignadas,Sucursal_Asignada,"",0))),"",XLOOKUP($A17,Laptops_Asignadas,Sucursal_Asignada,"",0))</f>
        <v>La Barca</v>
      </c>
      <c r="U17" s="7" t="str">
        <f t="array" ref="U17">IF(OR($A17="",ISBLANK(XLOOKUP($A17,Laptops_Asignadas,Departamento_Asignado,"",0))),"",XLOOKUP($A17,Laptops_Asignadas,Departamento_Asignado,"",0))</f>
        <v>Parque Vehicular</v>
      </c>
      <c r="V17" s="7" t="str">
        <f t="array" ref="V17">IF(OR($A17="",ISBLANK(XLOOKUP($A17,Laptops_Asignadas,Nombres_Directorio,"",0))),"",XLOOKUP($A17,Laptops_Asignadas,Nombres_Directorio,"",0))</f>
        <v>Francisco Javier Ornelas Rosales</v>
      </c>
      <c r="W17" s="7" t="str">
        <f t="array" ref="W17">IF(OR($A17="",ISBLANK(XLOOKUP($A17,Laptops_Asignadas,Correos_Gmail,"",0))),"",XLOOKUP($A17,Laptops_Asignadas,Correos_Gmail,"",0))</f>
        <v>auxpaquevehicular.agro@gmail.com</v>
      </c>
      <c r="X17" s="7" t="str">
        <f t="array" ref="X17">IF(OR($A17="",ISBLANK(XLOOKUP($A17,Laptops_Asignadas,Correos_Institucionales,"",0))),"",XLOOKUP($A17,Laptops_Asignadas,Correos_Institucionales,"",0))</f>
        <v>auxparquevehicular@agrocisa.com.mx</v>
      </c>
    </row>
    <row r="18">
      <c r="A18" s="27" t="s">
        <v>1103</v>
      </c>
      <c r="B18" s="50">
        <v>1500.0</v>
      </c>
      <c r="C18" s="50" t="s">
        <v>788</v>
      </c>
      <c r="D18" s="50" t="s">
        <v>1104</v>
      </c>
      <c r="E18" s="50" t="s">
        <v>1105</v>
      </c>
      <c r="F18" s="51" t="s">
        <v>444</v>
      </c>
      <c r="G18" s="27" t="s">
        <v>1080</v>
      </c>
      <c r="H18" s="27" t="s">
        <v>1106</v>
      </c>
      <c r="I18" s="27" t="s">
        <v>1107</v>
      </c>
      <c r="J18" s="27" t="s">
        <v>934</v>
      </c>
      <c r="K18" s="27" t="s">
        <v>1108</v>
      </c>
      <c r="L18" s="27" t="s">
        <v>1109</v>
      </c>
      <c r="M18" s="27" t="s">
        <v>1110</v>
      </c>
      <c r="N18" s="27" t="s">
        <v>544</v>
      </c>
      <c r="O18" s="27" t="s">
        <v>499</v>
      </c>
      <c r="P18" s="27" t="s">
        <v>242</v>
      </c>
      <c r="Q18" s="27" t="s">
        <v>1111</v>
      </c>
      <c r="R18" s="27" t="s">
        <v>1112</v>
      </c>
      <c r="S18" s="27" t="str">
        <f t="array" ref="S18">IF(OR($A18="",ISBLANK(XLOOKUP($A18,Laptops_Asignadas,Nombres_Directorio,"",0))),"",XLOOKUP($A18,Laptops_Asignadas,Nombres_Directorio,"",0))</f>
        <v/>
      </c>
      <c r="T18" s="27" t="str">
        <f t="array" ref="T18">IF(OR($A18="",ISBLANK(XLOOKUP($A18,Laptops_Asignadas,Sucursal_Asignada,"",0))),"",XLOOKUP($A18,Laptops_Asignadas,Sucursal_Asignada,"",0))</f>
        <v/>
      </c>
      <c r="U18" s="27" t="str">
        <f t="array" ref="U18">IF(OR($A18="",ISBLANK(XLOOKUP($A18,Laptops_Asignadas,Departamento_Asignado,"",0))),"",XLOOKUP($A18,Laptops_Asignadas,Departamento_Asignado,"",0))</f>
        <v/>
      </c>
      <c r="V18" s="27" t="str">
        <f t="array" ref="V18">IF(OR($A18="",ISBLANK(XLOOKUP($A18,Laptops_Asignadas,Nombres_Directorio,"",0))),"",XLOOKUP($A18,Laptops_Asignadas,Nombres_Directorio,"",0))</f>
        <v/>
      </c>
      <c r="W18" s="27" t="str">
        <f t="array" ref="W18">IF(OR($A18="",ISBLANK(XLOOKUP($A18,Laptops_Asignadas,Correos_Gmail,"",0))),"",XLOOKUP($A18,Laptops_Asignadas,Correos_Gmail,"",0))</f>
        <v/>
      </c>
      <c r="X18" s="27" t="str">
        <f t="array" ref="X18">IF(OR($A18="",ISBLANK(XLOOKUP($A18,Laptops_Asignadas,Correos_Institucionales,"",0))),"",XLOOKUP($A18,Laptops_Asignadas,Correos_Institucionales,"",0))</f>
        <v/>
      </c>
    </row>
    <row r="19">
      <c r="A19" s="7" t="s">
        <v>50</v>
      </c>
      <c r="B19" s="28">
        <v>6500.0</v>
      </c>
      <c r="C19" s="28" t="s">
        <v>788</v>
      </c>
      <c r="D19" s="28" t="s">
        <v>918</v>
      </c>
      <c r="E19" s="28"/>
      <c r="F19" s="36">
        <v>46206.0</v>
      </c>
      <c r="G19" s="7" t="s">
        <v>969</v>
      </c>
      <c r="H19" s="7" t="s">
        <v>970</v>
      </c>
      <c r="I19" s="7" t="s">
        <v>1113</v>
      </c>
      <c r="J19" s="7" t="s">
        <v>971</v>
      </c>
      <c r="K19" s="7" t="s">
        <v>972</v>
      </c>
      <c r="L19" s="7" t="s">
        <v>448</v>
      </c>
      <c r="M19" s="7" t="s">
        <v>1114</v>
      </c>
      <c r="N19" s="7" t="s">
        <v>497</v>
      </c>
      <c r="O19" s="7" t="s">
        <v>499</v>
      </c>
      <c r="P19" s="7" t="s">
        <v>455</v>
      </c>
      <c r="Q19" s="7"/>
      <c r="R19" s="7" t="s">
        <v>1115</v>
      </c>
      <c r="S19" s="7" t="str">
        <f t="array" ref="S19">IF(OR($A19="",ISBLANK(XLOOKUP($A19,Laptops_Asignadas,Nombres_Directorio,"",0))),"",XLOOKUP($A19,Laptops_Asignadas,Nombres_Directorio,"",0))</f>
        <v>Abdiel Yahir González Razo</v>
      </c>
      <c r="T19" s="7" t="str">
        <f t="array" ref="T19">IF(OR($A19="",ISBLANK(XLOOKUP($A19,Laptops_Asignadas,Sucursal_Asignada,"",0))),"",XLOOKUP($A19,Laptops_Asignadas,Sucursal_Asignada,"",0))</f>
        <v>La Barca</v>
      </c>
      <c r="U19" s="7" t="str">
        <f t="array" ref="U19">IF(OR($A19="",ISBLANK(XLOOKUP($A19,Laptops_Asignadas,Departamento_Asignado,"",0))),"",XLOOKUP($A19,Laptops_Asignadas,Departamento_Asignado,"",0))</f>
        <v>Agricultura Inteligente</v>
      </c>
      <c r="V19" s="7" t="str">
        <f t="array" ref="V19">IF(OR($A19="",ISBLANK(XLOOKUP($A19,Laptops_Asignadas,Nombres_Directorio,"",0))),"",XLOOKUP($A19,Laptops_Asignadas,Nombres_Directorio,"",0))</f>
        <v>Abdiel Yahir González Razo</v>
      </c>
      <c r="W19" s="7" t="str">
        <f t="array" ref="W19">IF(OR($A19="",ISBLANK(XLOOKUP($A19,Laptops_Asignadas,Correos_Gmail,"",0))),"",XLOOKUP($A19,Laptops_Asignadas,Correos_Gmail,"",0))</f>
        <v>paneles.solares@agrocisa.com.mx</v>
      </c>
      <c r="X19" s="7" t="str">
        <f t="array" ref="X19">IF(OR($A19="",ISBLANK(XLOOKUP($A19,Laptops_Asignadas,Correos_Institucionales,"",0))),"",XLOOKUP($A19,Laptops_Asignadas,Correos_Institucionales,"",0))</f>
        <v>paneles.solares@agrocisa.com.mx</v>
      </c>
    </row>
    <row r="20" ht="15.75" customHeight="1">
      <c r="A20" s="40" t="s">
        <v>324</v>
      </c>
      <c r="B20" s="41">
        <v>8332.53</v>
      </c>
      <c r="C20" s="41" t="s">
        <v>194</v>
      </c>
      <c r="D20" s="41" t="s">
        <v>918</v>
      </c>
      <c r="E20" s="41"/>
      <c r="F20" s="42" t="s">
        <v>1116</v>
      </c>
      <c r="G20" s="40" t="s">
        <v>931</v>
      </c>
      <c r="H20" s="40" t="s">
        <v>1117</v>
      </c>
      <c r="I20" s="40" t="s">
        <v>1118</v>
      </c>
      <c r="J20" s="40"/>
      <c r="K20" s="40" t="s">
        <v>935</v>
      </c>
      <c r="L20" s="40" t="s">
        <v>402</v>
      </c>
      <c r="M20" s="40"/>
      <c r="N20" s="40" t="s">
        <v>451</v>
      </c>
      <c r="O20" s="40" t="s">
        <v>454</v>
      </c>
      <c r="P20" s="40" t="s">
        <v>455</v>
      </c>
      <c r="Q20" s="40"/>
      <c r="R20" s="7"/>
      <c r="S20" s="7" t="str">
        <f t="array" ref="S20">IF(OR($A20="",ISBLANK(XLOOKUP($A20,Laptops_Asignadas,Nombres_Directorio,"",0))),"",XLOOKUP($A20,Laptops_Asignadas,Nombres_Directorio,"",0))</f>
        <v>Juana Alejandra García Jiménez</v>
      </c>
      <c r="T20" s="7" t="str">
        <f t="array" ref="T20">IF(OR($A20="",ISBLANK(XLOOKUP($A20,Laptops_Asignadas,Sucursal_Asignada,"",0))),"",XLOOKUP($A20,Laptops_Asignadas,Sucursal_Asignada,"",0))</f>
        <v>La Barca</v>
      </c>
      <c r="U20" s="7" t="str">
        <f t="array" ref="U20">IF(OR($A20="",ISBLANK(XLOOKUP($A20,Laptops_Asignadas,Departamento_Asignado,"",0))),"",XLOOKUP($A20,Laptops_Asignadas,Departamento_Asignado,"",0))</f>
        <v>Jurídico</v>
      </c>
      <c r="V20" s="7" t="str">
        <f t="array" ref="V20">IF(OR($A20="",ISBLANK(XLOOKUP($A20,Laptops_Asignadas,Nombres_Directorio,"",0))),"",XLOOKUP($A20,Laptops_Asignadas,Nombres_Directorio,"",0))</f>
        <v>Juana Alejandra García Jiménez</v>
      </c>
      <c r="W20" s="7" t="str">
        <f t="array" ref="W20">IF(OR($A20="",ISBLANK(XLOOKUP($A20,Laptops_Asignadas,Correos_Gmail,"",0))),"",XLOOKUP($A20,Laptops_Asignadas,Correos_Gmail,"",0))</f>
        <v>alegarcia.agro@gmail.com</v>
      </c>
      <c r="X20" s="7" t="str">
        <f t="array" ref="X20">IF(OR($A20="",ISBLANK(XLOOKUP($A20,Laptops_Asignadas,Correos_Institucionales,"",0))),"",XLOOKUP($A20,Laptops_Asignadas,Correos_Institucionales,"",0))</f>
        <v>juana.garcia@agrocisa.com.mx</v>
      </c>
    </row>
    <row r="21" ht="15.75" customHeight="1">
      <c r="A21" s="40" t="s">
        <v>364</v>
      </c>
      <c r="B21" s="41">
        <v>7600.0</v>
      </c>
      <c r="C21" s="41" t="s">
        <v>194</v>
      </c>
      <c r="D21" s="41" t="s">
        <v>918</v>
      </c>
      <c r="E21" s="41"/>
      <c r="F21" s="42" t="s">
        <v>1120</v>
      </c>
      <c r="G21" s="40" t="s">
        <v>920</v>
      </c>
      <c r="H21" s="40" t="s">
        <v>1121</v>
      </c>
      <c r="I21" s="40" t="s">
        <v>1122</v>
      </c>
      <c r="J21" s="40"/>
      <c r="K21" s="40"/>
      <c r="L21" s="40"/>
      <c r="M21" s="40"/>
      <c r="N21" s="40"/>
      <c r="O21" s="40" t="s">
        <v>454</v>
      </c>
      <c r="P21" s="40"/>
      <c r="Q21" s="40"/>
      <c r="R21" s="7" t="s">
        <v>1123</v>
      </c>
      <c r="S21" s="7" t="str">
        <f t="array" ref="S21">IF(OR($A21="",ISBLANK(XLOOKUP($A21,Laptops_Asignadas,Nombres_Directorio,"",0))),"",XLOOKUP($A21,Laptops_Asignadas,Nombres_Directorio,"",0))</f>
        <v>Luis Ernesto Santiago González</v>
      </c>
      <c r="T21" s="7" t="str">
        <f t="array" ref="T21">IF(OR($A21="",ISBLANK(XLOOKUP($A21,Laptops_Asignadas,Sucursal_Asignada,"",0))),"",XLOOKUP($A21,Laptops_Asignadas,Sucursal_Asignada,"",0))</f>
        <v>La Barca</v>
      </c>
      <c r="U21" s="7" t="str">
        <f t="array" ref="U21">IF(OR($A21="",ISBLANK(XLOOKUP($A21,Laptops_Asignadas,Departamento_Asignado,"",0))),"",XLOOKUP($A21,Laptops_Asignadas,Departamento_Asignado,"",0))</f>
        <v>Maquinaria Agrícola</v>
      </c>
      <c r="V21" s="7" t="str">
        <f t="array" ref="V21">IF(OR($A21="",ISBLANK(XLOOKUP($A21,Laptops_Asignadas,Nombres_Directorio,"",0))),"",XLOOKUP($A21,Laptops_Asignadas,Nombres_Directorio,"",0))</f>
        <v>Luis Ernesto Santiago González</v>
      </c>
      <c r="W21" s="7" t="str">
        <f t="array" ref="W21">IF(OR($A21="",ISBLANK(XLOOKUP($A21,Laptops_Asignadas,Correos_Gmail,"",0))),"",XLOOKUP($A21,Laptops_Asignadas,Correos_Gmail,"",0))</f>
        <v>lsantiago.agro@gmail.com</v>
      </c>
      <c r="X21" s="7" t="str">
        <f t="array" ref="X21">IF(OR($A21="",ISBLANK(XLOOKUP($A21,Laptops_Asignadas,Correos_Institucionales,"",0))),"",XLOOKUP($A21,Laptops_Asignadas,Correos_Institucionales,"",0))</f>
        <v>luis.santiago@agrocisa.com.mx</v>
      </c>
    </row>
    <row r="22" ht="15.75" customHeight="1">
      <c r="A22" s="7" t="s">
        <v>138</v>
      </c>
      <c r="B22" s="28">
        <v>5500.0</v>
      </c>
      <c r="C22" s="28" t="s">
        <v>788</v>
      </c>
      <c r="D22" s="28" t="s">
        <v>918</v>
      </c>
      <c r="E22" s="28"/>
      <c r="F22" s="36" t="s">
        <v>1124</v>
      </c>
      <c r="G22" s="7" t="s">
        <v>1080</v>
      </c>
      <c r="H22" s="7" t="s">
        <v>1125</v>
      </c>
      <c r="I22" s="7" t="s">
        <v>1126</v>
      </c>
      <c r="J22" s="7" t="s">
        <v>971</v>
      </c>
      <c r="K22" s="7" t="s">
        <v>954</v>
      </c>
      <c r="L22" s="7" t="s">
        <v>900</v>
      </c>
      <c r="M22" s="7" t="s">
        <v>1129</v>
      </c>
      <c r="N22" s="7" t="s">
        <v>544</v>
      </c>
      <c r="O22" s="7" t="s">
        <v>454</v>
      </c>
      <c r="P22" s="7" t="s">
        <v>455</v>
      </c>
      <c r="Q22" s="7"/>
      <c r="R22" s="7" t="s">
        <v>1130</v>
      </c>
      <c r="S22" s="7" t="str">
        <f t="array" ref="S22">IF(OR($A22="",ISBLANK(XLOOKUP($A22,Laptops_Asignadas,Nombres_Directorio,"",0))),"",XLOOKUP($A22,Laptops_Asignadas,Nombres_Directorio,"",0))</f>
        <v>Luis Donaldo Sánchez Álvarez</v>
      </c>
      <c r="T22" s="7" t="str">
        <f t="array" ref="T22">IF(OR($A22="",ISBLANK(XLOOKUP($A22,Laptops_Asignadas,Sucursal_Asignada,"",0))),"",XLOOKUP($A22,Laptops_Asignadas,Sucursal_Asignada,"",0))</f>
        <v>La Barca</v>
      </c>
      <c r="U22" s="7" t="str">
        <f t="array" ref="U22">IF(OR($A22="",ISBLANK(XLOOKUP($A22,Laptops_Asignadas,Departamento_Asignado,"",0))),"",XLOOKUP($A22,Laptops_Asignadas,Departamento_Asignado,"",0))</f>
        <v>Corporativo</v>
      </c>
      <c r="V22" s="7" t="str">
        <f t="array" ref="V22">IF(OR($A22="",ISBLANK(XLOOKUP($A22,Laptops_Asignadas,Nombres_Directorio,"",0))),"",XLOOKUP($A22,Laptops_Asignadas,Nombres_Directorio,"",0))</f>
        <v>Luis Donaldo Sánchez Álvarez</v>
      </c>
      <c r="W22" s="7" t="str">
        <f t="array" ref="W22">IF(OR($A22="",ISBLANK(XLOOKUP($A22,Laptops_Asignadas,Correos_Gmail,"",0))),"",XLOOKUP($A22,Laptops_Asignadas,Correos_Gmail,"",0))</f>
        <v>capitalhumano.agrocisa@gmail.com</v>
      </c>
      <c r="X22" s="7" t="str">
        <f t="array" ref="X22">IF(OR($A22="",ISBLANK(XLOOKUP($A22,Laptops_Asignadas,Correos_Institucionales,"",0))),"",XLOOKUP($A22,Laptops_Asignadas,Correos_Institucionales,"",0))</f>
        <v>capitalhumano@agrocisa.com.mx</v>
      </c>
    </row>
    <row r="23" ht="15.75" customHeight="1">
      <c r="A23" s="27" t="s">
        <v>1131</v>
      </c>
      <c r="B23" s="50">
        <v>8000.0</v>
      </c>
      <c r="C23" s="50" t="s">
        <v>1132</v>
      </c>
      <c r="D23" s="50" t="s">
        <v>918</v>
      </c>
      <c r="E23" s="50" t="s">
        <v>1133</v>
      </c>
      <c r="F23" s="51" t="s">
        <v>444</v>
      </c>
      <c r="G23" s="27" t="s">
        <v>959</v>
      </c>
      <c r="H23" s="27" t="s">
        <v>1098</v>
      </c>
      <c r="I23" s="27" t="s">
        <v>1134</v>
      </c>
      <c r="J23" s="27" t="s">
        <v>580</v>
      </c>
      <c r="K23" s="27" t="s">
        <v>1099</v>
      </c>
      <c r="L23" s="27" t="s">
        <v>448</v>
      </c>
      <c r="M23" s="27" t="s">
        <v>1100</v>
      </c>
      <c r="N23" s="27" t="s">
        <v>497</v>
      </c>
      <c r="O23" s="27" t="s">
        <v>499</v>
      </c>
      <c r="P23" s="27" t="s">
        <v>242</v>
      </c>
      <c r="Q23" s="27" t="s">
        <v>1151</v>
      </c>
      <c r="R23" s="27" t="s">
        <v>1152</v>
      </c>
      <c r="S23" s="27" t="str">
        <f t="array" ref="S23">IF(OR($A23="",ISBLANK(XLOOKUP($A23,Laptops_Asignadas,Nombres_Directorio,"",0))),"",XLOOKUP($A23,Laptops_Asignadas,Nombres_Directorio,"",0))</f>
        <v/>
      </c>
      <c r="T23" s="27" t="str">
        <f t="array" ref="T23">IF(OR($A23="",ISBLANK(XLOOKUP($A23,Laptops_Asignadas,Sucursal_Asignada,"",0))),"",XLOOKUP($A23,Laptops_Asignadas,Sucursal_Asignada,"",0))</f>
        <v/>
      </c>
      <c r="U23" s="27" t="str">
        <f t="array" ref="U23">IF(OR($A23="",ISBLANK(XLOOKUP($A23,Laptops_Asignadas,Departamento_Asignado,"",0))),"",XLOOKUP($A23,Laptops_Asignadas,Departamento_Asignado,"",0))</f>
        <v/>
      </c>
      <c r="V23" s="27" t="str">
        <f t="array" ref="V23">IF(OR($A23="",ISBLANK(XLOOKUP($A23,Laptops_Asignadas,Nombres_Directorio,"",0))),"",XLOOKUP($A23,Laptops_Asignadas,Nombres_Directorio,"",0))</f>
        <v/>
      </c>
      <c r="W23" s="27" t="str">
        <f t="array" ref="W23">IF(OR($A23="",ISBLANK(XLOOKUP($A23,Laptops_Asignadas,Correos_Gmail,"",0))),"",XLOOKUP($A23,Laptops_Asignadas,Correos_Gmail,"",0))</f>
        <v/>
      </c>
      <c r="X23" s="27" t="str">
        <f t="array" ref="X23">IF(OR($A23="",ISBLANK(XLOOKUP($A23,Laptops_Asignadas,Correos_Institucionales,"",0))),"",XLOOKUP($A23,Laptops_Asignadas,Correos_Institucionales,"",0))</f>
        <v/>
      </c>
    </row>
    <row r="24" ht="15.75" customHeight="1">
      <c r="A24" s="27" t="s">
        <v>1155</v>
      </c>
      <c r="B24" s="50">
        <v>11000.0</v>
      </c>
      <c r="C24" s="50" t="s">
        <v>1132</v>
      </c>
      <c r="D24" s="50" t="s">
        <v>918</v>
      </c>
      <c r="E24" s="50" t="s">
        <v>1133</v>
      </c>
      <c r="F24" s="51" t="s">
        <v>444</v>
      </c>
      <c r="G24" s="27" t="s">
        <v>1080</v>
      </c>
      <c r="H24" s="27" t="s">
        <v>1125</v>
      </c>
      <c r="I24" s="27" t="s">
        <v>1157</v>
      </c>
      <c r="J24" s="27" t="s">
        <v>1159</v>
      </c>
      <c r="K24" s="27" t="s">
        <v>954</v>
      </c>
      <c r="L24" s="27" t="s">
        <v>1160</v>
      </c>
      <c r="M24" s="27" t="s">
        <v>1129</v>
      </c>
      <c r="N24" s="27" t="s">
        <v>544</v>
      </c>
      <c r="O24" s="27" t="s">
        <v>454</v>
      </c>
      <c r="P24" s="27" t="s">
        <v>455</v>
      </c>
      <c r="Q24" s="27"/>
      <c r="R24" s="27"/>
      <c r="S24" s="27" t="str">
        <f t="array" ref="S24">IF(OR($A24="",ISBLANK(XLOOKUP($A24,Laptops_Asignadas,Nombres_Directorio,"",0))),"",XLOOKUP($A24,Laptops_Asignadas,Nombres_Directorio,"",0))</f>
        <v/>
      </c>
      <c r="T24" s="27" t="str">
        <f t="array" ref="T24">IF(OR($A24="",ISBLANK(XLOOKUP($A24,Laptops_Asignadas,Sucursal_Asignada,"",0))),"",XLOOKUP($A24,Laptops_Asignadas,Sucursal_Asignada,"",0))</f>
        <v/>
      </c>
      <c r="U24" s="27" t="str">
        <f t="array" ref="U24">IF(OR($A24="",ISBLANK(XLOOKUP($A24,Laptops_Asignadas,Departamento_Asignado,"",0))),"",XLOOKUP($A24,Laptops_Asignadas,Departamento_Asignado,"",0))</f>
        <v/>
      </c>
      <c r="V24" s="27" t="str">
        <f t="array" ref="V24">IF(OR($A24="",ISBLANK(XLOOKUP($A24,Laptops_Asignadas,Nombres_Directorio,"",0))),"",XLOOKUP($A24,Laptops_Asignadas,Nombres_Directorio,"",0))</f>
        <v/>
      </c>
      <c r="W24" s="27" t="str">
        <f t="array" ref="W24">IF(OR($A24="",ISBLANK(XLOOKUP($A24,Laptops_Asignadas,Correos_Gmail,"",0))),"",XLOOKUP($A24,Laptops_Asignadas,Correos_Gmail,"",0))</f>
        <v/>
      </c>
      <c r="X24" s="27" t="str">
        <f t="array" ref="X24">IF(OR($A24="",ISBLANK(XLOOKUP($A24,Laptops_Asignadas,Correos_Institucionales,"",0))),"",XLOOKUP($A24,Laptops_Asignadas,Correos_Institucionales,"",0))</f>
        <v/>
      </c>
    </row>
    <row r="25" ht="15.75" customHeight="1">
      <c r="A25" s="7" t="s">
        <v>857</v>
      </c>
      <c r="B25" s="28">
        <v>2800.0</v>
      </c>
      <c r="C25" s="28" t="s">
        <v>788</v>
      </c>
      <c r="D25" s="28" t="s">
        <v>918</v>
      </c>
      <c r="E25" s="28" t="s">
        <v>943</v>
      </c>
      <c r="F25" s="36">
        <v>46174.0</v>
      </c>
      <c r="G25" s="7" t="s">
        <v>931</v>
      </c>
      <c r="H25" s="7" t="s">
        <v>932</v>
      </c>
      <c r="I25" s="7" t="s">
        <v>1172</v>
      </c>
      <c r="J25" s="7" t="s">
        <v>934</v>
      </c>
      <c r="K25" s="7" t="s">
        <v>935</v>
      </c>
      <c r="L25" s="7" t="s">
        <v>448</v>
      </c>
      <c r="M25" s="7" t="s">
        <v>1173</v>
      </c>
      <c r="N25" s="7" t="s">
        <v>497</v>
      </c>
      <c r="O25" s="7" t="s">
        <v>499</v>
      </c>
      <c r="P25" s="7" t="s">
        <v>242</v>
      </c>
      <c r="Q25" s="7" t="s">
        <v>1174</v>
      </c>
      <c r="R25" s="7" t="s">
        <v>1175</v>
      </c>
      <c r="S25" s="7" t="str">
        <f t="array" ref="S25">IF(OR($A25="",ISBLANK(XLOOKUP($A25,Laptops_Asignadas,Nombres_Directorio,"",0))),"",XLOOKUP($A25,Laptops_Asignadas,Nombres_Directorio,"",0))</f>
        <v>María Guadalupe Díaz Hernández</v>
      </c>
      <c r="T25" s="7" t="str">
        <f t="array" ref="T25">IF(OR($A25="",ISBLANK(XLOOKUP($A25,Laptops_Asignadas,Sucursal_Asignada,"",0))),"",XLOOKUP($A25,Laptops_Asignadas,Sucursal_Asignada,"",0))</f>
        <v>Zona Altos</v>
      </c>
      <c r="U25" s="7" t="str">
        <f t="array" ref="U25">IF(OR($A25="",ISBLANK(XLOOKUP($A25,Laptops_Asignadas,Departamento_Asignado,"",0))),"",XLOOKUP($A25,Laptops_Asignadas,Departamento_Asignado,"",0))</f>
        <v>Maquinaria Agrícola y Construcción</v>
      </c>
      <c r="V25" s="7" t="str">
        <f t="array" ref="V25">IF(OR($A25="",ISBLANK(XLOOKUP($A25,Laptops_Asignadas,Nombres_Directorio,"",0))),"",XLOOKUP($A25,Laptops_Asignadas,Nombres_Directorio,"",0))</f>
        <v>María Guadalupe Díaz Hernández</v>
      </c>
      <c r="W25" s="7" t="str">
        <f t="array" ref="W25">IF(OR($A25="",ISBLANK(XLOOKUP($A25,Laptops_Asignadas,Correos_Gmail,"",0))),"",XLOOKUP($A25,Laptops_Asignadas,Correos_Gmail,"",0))</f>
        <v>ventaszonatepa@agrocisa.com.mx</v>
      </c>
      <c r="X25" s="7" t="str">
        <f t="array" ref="X25">IF(OR($A25="",ISBLANK(XLOOKUP($A25,Laptops_Asignadas,Correos_Institucionales,"",0))),"",XLOOKUP($A25,Laptops_Asignadas,Correos_Institucionales,"",0))</f>
        <v>maria.diaz@agrocisa.com.mx</v>
      </c>
    </row>
    <row r="26" ht="15.75" customHeight="1">
      <c r="A26" s="7" t="s">
        <v>463</v>
      </c>
      <c r="B26" s="28">
        <v>6500.0</v>
      </c>
      <c r="C26" s="28" t="s">
        <v>788</v>
      </c>
      <c r="D26" s="28" t="s">
        <v>918</v>
      </c>
      <c r="E26" s="28"/>
      <c r="F26" s="36" t="s">
        <v>919</v>
      </c>
      <c r="G26" s="7" t="s">
        <v>931</v>
      </c>
      <c r="H26" s="7" t="s">
        <v>1180</v>
      </c>
      <c r="I26" s="7" t="s">
        <v>1181</v>
      </c>
      <c r="J26" s="7" t="s">
        <v>971</v>
      </c>
      <c r="K26" s="7" t="s">
        <v>1182</v>
      </c>
      <c r="L26" s="7" t="s">
        <v>448</v>
      </c>
      <c r="M26" s="7" t="s">
        <v>1183</v>
      </c>
      <c r="N26" s="7" t="s">
        <v>451</v>
      </c>
      <c r="O26" s="7" t="s">
        <v>454</v>
      </c>
      <c r="P26" s="7" t="s">
        <v>242</v>
      </c>
      <c r="Q26" s="7"/>
      <c r="R26" s="7" t="s">
        <v>1184</v>
      </c>
      <c r="S26" s="7" t="str">
        <f t="array" ref="S26">IF(OR($A26="",ISBLANK(XLOOKUP($A26,Laptops_Asignadas,Nombres_Directorio,"",0))),"",XLOOKUP($A26,Laptops_Asignadas,Nombres_Directorio,"",0))</f>
        <v>Vacante Analista Refacciones y Servicio</v>
      </c>
      <c r="T26" s="7" t="str">
        <f t="array" ref="T26">IF(OR($A26="",ISBLANK(XLOOKUP($A26,Laptops_Asignadas,Sucursal_Asignada,"",0))),"",XLOOKUP($A26,Laptops_Asignadas,Sucursal_Asignada,"",0))</f>
        <v>La Barca</v>
      </c>
      <c r="U26" s="7" t="str">
        <f t="array" ref="U26">IF(OR($A26="",ISBLANK(XLOOKUP($A26,Laptops_Asignadas,Departamento_Asignado,"",0))),"",XLOOKUP($A26,Laptops_Asignadas,Departamento_Asignado,"",0))</f>
        <v>Refacciones</v>
      </c>
      <c r="V26" s="7" t="str">
        <f t="array" ref="V26">IF(OR($A26="",ISBLANK(XLOOKUP($A26,Laptops_Asignadas,Nombres_Directorio,"",0))),"",XLOOKUP($A26,Laptops_Asignadas,Nombres_Directorio,"",0))</f>
        <v>Vacante Analista Refacciones y Servicio</v>
      </c>
      <c r="W26" s="7" t="str">
        <f t="array" ref="W26">IF(OR($A26="",ISBLANK(XLOOKUP($A26,Laptops_Asignadas,Correos_Gmail,"",0))),"",XLOOKUP($A26,Laptops_Asignadas,Correos_Gmail,"",0))</f>
        <v>analistaservicio.agro@gmail.com</v>
      </c>
      <c r="X26" s="7" t="str">
        <f t="array" ref="X26">IF(OR($A26="",ISBLANK(XLOOKUP($A26,Laptops_Asignadas,Correos_Institucionales,"",0))),"",XLOOKUP($A26,Laptops_Asignadas,Correos_Institucionales,"",0))</f>
        <v>analistaservicio@agrocisa.com.mx</v>
      </c>
    </row>
    <row r="27" ht="15.75" customHeight="1">
      <c r="A27" s="7" t="s">
        <v>56</v>
      </c>
      <c r="B27" s="28">
        <v>5500.0</v>
      </c>
      <c r="C27" s="28" t="s">
        <v>788</v>
      </c>
      <c r="D27" s="28" t="s">
        <v>918</v>
      </c>
      <c r="E27" s="28" t="s">
        <v>1187</v>
      </c>
      <c r="F27" s="36" t="s">
        <v>444</v>
      </c>
      <c r="G27" s="7" t="s">
        <v>1080</v>
      </c>
      <c r="H27" s="7" t="s">
        <v>1125</v>
      </c>
      <c r="I27" s="7" t="s">
        <v>1188</v>
      </c>
      <c r="J27" s="7" t="s">
        <v>1159</v>
      </c>
      <c r="K27" s="7" t="s">
        <v>954</v>
      </c>
      <c r="L27" s="7" t="s">
        <v>1160</v>
      </c>
      <c r="M27" s="7" t="s">
        <v>1129</v>
      </c>
      <c r="N27" s="7" t="s">
        <v>544</v>
      </c>
      <c r="O27" s="7" t="s">
        <v>454</v>
      </c>
      <c r="P27" s="7" t="s">
        <v>455</v>
      </c>
      <c r="Q27" s="7"/>
      <c r="R27" s="7" t="s">
        <v>1189</v>
      </c>
      <c r="S27" s="7" t="str">
        <f t="array" ref="S27">IF(OR($A27="",ISBLANK(XLOOKUP($A27,Laptops_Asignadas,Nombres_Directorio,"",0))),"",XLOOKUP($A27,Laptops_Asignadas,Nombres_Directorio,"",0))</f>
        <v>Diego Guadalupe Armas Álvarez</v>
      </c>
      <c r="T27" s="7" t="str">
        <f t="array" ref="T27">IF(OR($A27="",ISBLANK(XLOOKUP($A27,Laptops_Asignadas,Sucursal_Asignada,"",0))),"",XLOOKUP($A27,Laptops_Asignadas,Sucursal_Asignada,"",0))</f>
        <v>La Barca</v>
      </c>
      <c r="U27" s="7" t="str">
        <f t="array" ref="U27">IF(OR($A27="",ISBLANK(XLOOKUP($A27,Laptops_Asignadas,Departamento_Asignado,"",0))),"",XLOOKUP($A27,Laptops_Asignadas,Departamento_Asignado,"",0))</f>
        <v>Agricultura Inteligente</v>
      </c>
      <c r="V27" s="7" t="str">
        <f t="array" ref="V27">IF(OR($A27="",ISBLANK(XLOOKUP($A27,Laptops_Asignadas,Nombres_Directorio,"",0))),"",XLOOKUP($A27,Laptops_Asignadas,Nombres_Directorio,"",0))</f>
        <v>Diego Guadalupe Armas Álvarez</v>
      </c>
      <c r="W27" s="7" t="str">
        <f t="array" ref="W27">IF(OR($A27="",ISBLANK(XLOOKUP($A27,Laptops_Asignadas,Correos_Gmail,"",0))),"",XLOOKUP($A27,Laptops_Asignadas,Correos_Gmail,"",0))</f>
        <v>diego.armas@agrocisa.com.mx</v>
      </c>
      <c r="X27" s="7" t="str">
        <f t="array" ref="X27">IF(OR($A27="",ISBLANK(XLOOKUP($A27,Laptops_Asignadas,Correos_Institucionales,"",0))),"",XLOOKUP($A27,Laptops_Asignadas,Correos_Institucionales,"",0))</f>
        <v>diego.armas@agrocisa.com.mx</v>
      </c>
    </row>
    <row r="28" ht="15.75" customHeight="1">
      <c r="A28" s="7" t="s">
        <v>143</v>
      </c>
      <c r="B28" s="28">
        <v>3500.0</v>
      </c>
      <c r="C28" s="28" t="s">
        <v>194</v>
      </c>
      <c r="D28" s="28" t="s">
        <v>918</v>
      </c>
      <c r="E28" s="28" t="s">
        <v>1190</v>
      </c>
      <c r="F28" s="36" t="s">
        <v>444</v>
      </c>
      <c r="G28" s="7" t="s">
        <v>959</v>
      </c>
      <c r="H28" s="7" t="s">
        <v>960</v>
      </c>
      <c r="I28" s="7" t="s">
        <v>1191</v>
      </c>
      <c r="J28" s="7" t="s">
        <v>934</v>
      </c>
      <c r="K28" s="7" t="s">
        <v>962</v>
      </c>
      <c r="L28" s="7" t="s">
        <v>402</v>
      </c>
      <c r="M28" s="7" t="s">
        <v>983</v>
      </c>
      <c r="N28" s="7" t="s">
        <v>497</v>
      </c>
      <c r="O28" s="7" t="s">
        <v>499</v>
      </c>
      <c r="P28" s="7" t="s">
        <v>242</v>
      </c>
      <c r="Q28" s="7" t="s">
        <v>1192</v>
      </c>
      <c r="R28" s="7" t="s">
        <v>1193</v>
      </c>
      <c r="S28" s="7" t="str">
        <f t="array" ref="S28">IF(OR($A28="",ISBLANK(XLOOKUP($A28,Laptops_Asignadas,Nombres_Directorio,"",0))),"",XLOOKUP($A28,Laptops_Asignadas,Nombres_Directorio,"",0))</f>
        <v>Juan Pablo Quinones Rodríguez</v>
      </c>
      <c r="T28" s="7" t="str">
        <f t="array" ref="T28">IF(OR($A28="",ISBLANK(XLOOKUP($A28,Laptops_Asignadas,Sucursal_Asignada,"",0))),"",XLOOKUP($A28,Laptops_Asignadas,Sucursal_Asignada,"",0))</f>
        <v>La Barca</v>
      </c>
      <c r="U28" s="7" t="str">
        <f t="array" ref="U28">IF(OR($A28="",ISBLANK(XLOOKUP($A28,Laptops_Asignadas,Departamento_Asignado,"",0))),"",XLOOKUP($A28,Laptops_Asignadas,Departamento_Asignado,"",0))</f>
        <v>Corporativo</v>
      </c>
      <c r="V28" s="7" t="str">
        <f t="array" ref="V28">IF(OR($A28="",ISBLANK(XLOOKUP($A28,Laptops_Asignadas,Nombres_Directorio,"",0))),"",XLOOKUP($A28,Laptops_Asignadas,Nombres_Directorio,"",0))</f>
        <v>Juan Pablo Quinones Rodríguez</v>
      </c>
      <c r="W28" s="7" t="str">
        <f t="array" ref="W28">IF(OR($A28="",ISBLANK(XLOOKUP($A28,Laptops_Asignadas,Correos_Gmail,"",0))),"",XLOOKUP($A28,Laptops_Asignadas,Correos_Gmail,"",0))</f>
        <v>juan.quinones.agro@gmail.com</v>
      </c>
      <c r="X28" s="7" t="str">
        <f t="array" ref="X28">IF(OR($A28="",ISBLANK(XLOOKUP($A28,Laptops_Asignadas,Correos_Institucionales,"",0))),"",XLOOKUP($A28,Laptops_Asignadas,Correos_Institucionales,"",0))</f>
        <v>juan.quinones@agrocisa.com.mx</v>
      </c>
    </row>
    <row r="29" ht="15.75" customHeight="1">
      <c r="A29" s="7" t="s">
        <v>614</v>
      </c>
      <c r="B29" s="28">
        <v>8900.0</v>
      </c>
      <c r="C29" s="28" t="s">
        <v>194</v>
      </c>
      <c r="D29" s="28" t="s">
        <v>918</v>
      </c>
      <c r="E29" s="28"/>
      <c r="F29" s="36" t="s">
        <v>1194</v>
      </c>
      <c r="G29" s="7" t="s">
        <v>969</v>
      </c>
      <c r="H29" s="7" t="s">
        <v>1195</v>
      </c>
      <c r="I29" s="7" t="s">
        <v>1196</v>
      </c>
      <c r="J29" s="7" t="s">
        <v>580</v>
      </c>
      <c r="K29" s="7" t="s">
        <v>947</v>
      </c>
      <c r="L29" s="7" t="s">
        <v>948</v>
      </c>
      <c r="M29" s="7" t="s">
        <v>1197</v>
      </c>
      <c r="N29" s="7" t="s">
        <v>451</v>
      </c>
      <c r="O29" s="7" t="s">
        <v>454</v>
      </c>
      <c r="P29" s="7" t="s">
        <v>455</v>
      </c>
      <c r="Q29" s="7" t="s">
        <v>1198</v>
      </c>
      <c r="R29" s="7" t="s">
        <v>1199</v>
      </c>
      <c r="S29" s="7" t="str">
        <f t="array" ref="S29">IF(OR($A29="",ISBLANK(XLOOKUP($A29,Laptops_Asignadas,Nombres_Directorio,"",0))),"",XLOOKUP($A29,Laptops_Asignadas,Nombres_Directorio,"",0))</f>
        <v>Fernando Barboza Román</v>
      </c>
      <c r="T29" s="7" t="str">
        <f t="array" ref="T29">IF(OR($A29="",ISBLANK(XLOOKUP($A29,Laptops_Asignadas,Sucursal_Asignada,"",0))),"",XLOOKUP($A29,Laptops_Asignadas,Sucursal_Asignada,"",0))</f>
        <v>La Piedad</v>
      </c>
      <c r="U29" s="7" t="str">
        <f t="array" ref="U29">IF(OR($A29="",ISBLANK(XLOOKUP($A29,Laptops_Asignadas,Departamento_Asignado,"",0))),"",XLOOKUP($A29,Laptops_Asignadas,Departamento_Asignado,"",0))</f>
        <v>Maquinaria Agrícola y Construcción</v>
      </c>
      <c r="V29" s="7" t="str">
        <f t="array" ref="V29">IF(OR($A29="",ISBLANK(XLOOKUP($A29,Laptops_Asignadas,Nombres_Directorio,"",0))),"",XLOOKUP($A29,Laptops_Asignadas,Nombres_Directorio,"",0))</f>
        <v>Fernando Barboza Román</v>
      </c>
      <c r="W29" s="7" t="str">
        <f t="array" ref="W29">IF(OR($A29="",ISBLANK(XLOOKUP($A29,Laptops_Asignadas,Correos_Gmail,"",0))),"",XLOOKUP($A29,Laptops_Asignadas,Correos_Gmail,"",0))</f>
        <v>ferbarboza.agro@gmail.com</v>
      </c>
      <c r="X29" s="7" t="str">
        <f t="array" ref="X29">IF(OR($A29="",ISBLANK(XLOOKUP($A29,Laptops_Asignadas,Correos_Institucionales,"",0))),"",XLOOKUP($A29,Laptops_Asignadas,Correos_Institucionales,"",0))</f>
        <v>fernando.barboza@agrocisa.com.mx</v>
      </c>
    </row>
    <row r="30" ht="15.75" customHeight="1">
      <c r="A30" s="7" t="s">
        <v>660</v>
      </c>
      <c r="B30" s="28">
        <v>2300.0</v>
      </c>
      <c r="C30" s="28" t="s">
        <v>194</v>
      </c>
      <c r="D30" s="28" t="s">
        <v>918</v>
      </c>
      <c r="E30" s="28"/>
      <c r="F30" s="36" t="s">
        <v>444</v>
      </c>
      <c r="G30" s="7" t="s">
        <v>959</v>
      </c>
      <c r="H30" s="7" t="s">
        <v>960</v>
      </c>
      <c r="I30" s="7" t="s">
        <v>1206</v>
      </c>
      <c r="J30" s="7" t="s">
        <v>934</v>
      </c>
      <c r="K30" s="7" t="s">
        <v>1099</v>
      </c>
      <c r="L30" s="7" t="s">
        <v>900</v>
      </c>
      <c r="M30" s="7" t="s">
        <v>1207</v>
      </c>
      <c r="N30" s="7" t="s">
        <v>497</v>
      </c>
      <c r="O30" s="7" t="s">
        <v>499</v>
      </c>
      <c r="P30" s="7"/>
      <c r="Q30" s="7" t="s">
        <v>1208</v>
      </c>
      <c r="R30" s="7" t="s">
        <v>1209</v>
      </c>
      <c r="S30" s="7" t="str">
        <f t="array" ref="S30">IF(OR($A30="",ISBLANK(XLOOKUP($A30,Laptops_Asignadas,Nombres_Directorio,"",0))),"",XLOOKUP($A30,Laptops_Asignadas,Nombres_Directorio,"",0))</f>
        <v>Ana Gabriela Trejo Loza</v>
      </c>
      <c r="T30" s="7" t="str">
        <f t="array" ref="T30">IF(OR($A30="",ISBLANK(XLOOKUP($A30,Laptops_Asignadas,Sucursal_Asignada,"",0))),"",XLOOKUP($A30,Laptops_Asignadas,Sucursal_Asignada,"",0))</f>
        <v>Morelia</v>
      </c>
      <c r="U30" s="7" t="str">
        <f t="array" ref="U30">IF(OR($A30="",ISBLANK(XLOOKUP($A30,Laptops_Asignadas,Departamento_Asignado,"",0))),"",XLOOKUP($A30,Laptops_Asignadas,Departamento_Asignado,"",0))</f>
        <v>Maquinaria Agrícola</v>
      </c>
      <c r="V30" s="7" t="str">
        <f t="array" ref="V30">IF(OR($A30="",ISBLANK(XLOOKUP($A30,Laptops_Asignadas,Nombres_Directorio,"",0))),"",XLOOKUP($A30,Laptops_Asignadas,Nombres_Directorio,"",0))</f>
        <v>Ana Gabriela Trejo Loza</v>
      </c>
      <c r="W30" s="7" t="str">
        <f t="array" ref="W30">IF(OR($A30="",ISBLANK(XLOOKUP($A30,Laptops_Asignadas,Correos_Gmail,"",0))),"",XLOOKUP($A30,Laptops_Asignadas,Correos_Gmail,"",0))</f>
        <v>gtrejo.agro@gmail.com</v>
      </c>
      <c r="X30" s="7" t="str">
        <f t="array" ref="X30">IF(OR($A30="",ISBLANK(XLOOKUP($A30,Laptops_Asignadas,Correos_Institucionales,"",0))),"",XLOOKUP($A30,Laptops_Asignadas,Correos_Institucionales,"",0))</f>
        <v>gabriela.trejo@agrocisa.com.mx</v>
      </c>
    </row>
    <row r="31" ht="15.75" customHeight="1">
      <c r="A31" s="7" t="s">
        <v>334</v>
      </c>
      <c r="B31" s="28">
        <v>5500.0</v>
      </c>
      <c r="C31" s="28" t="s">
        <v>788</v>
      </c>
      <c r="D31" s="28" t="s">
        <v>918</v>
      </c>
      <c r="E31" s="28"/>
      <c r="F31" s="36" t="s">
        <v>1210</v>
      </c>
      <c r="G31" s="7" t="s">
        <v>969</v>
      </c>
      <c r="H31" s="7" t="s">
        <v>1211</v>
      </c>
      <c r="I31" s="7" t="s">
        <v>1212</v>
      </c>
      <c r="J31" s="7" t="s">
        <v>580</v>
      </c>
      <c r="K31" s="7" t="s">
        <v>922</v>
      </c>
      <c r="L31" s="7" t="s">
        <v>448</v>
      </c>
      <c r="M31" s="7" t="s">
        <v>1213</v>
      </c>
      <c r="N31" s="7" t="s">
        <v>451</v>
      </c>
      <c r="O31" s="7" t="s">
        <v>454</v>
      </c>
      <c r="P31" s="7" t="s">
        <v>455</v>
      </c>
      <c r="Q31" s="7" t="s">
        <v>1214</v>
      </c>
      <c r="R31" s="7" t="s">
        <v>1215</v>
      </c>
      <c r="S31" s="7" t="str">
        <f t="array" ref="S31">IF(OR($A31="",ISBLANK(XLOOKUP($A31,Laptops_Asignadas,Nombres_Directorio,"",0))),"",XLOOKUP($A31,Laptops_Asignadas,Nombres_Directorio,"",0))</f>
        <v>David Villaseñor Núñez</v>
      </c>
      <c r="T31" s="7" t="str">
        <f t="array" ref="T31">IF(OR($A31="",ISBLANK(XLOOKUP($A31,Laptops_Asignadas,Sucursal_Asignada,"",0))),"",XLOOKUP($A31,Laptops_Asignadas,Sucursal_Asignada,"",0))</f>
        <v>La Barca</v>
      </c>
      <c r="U31" s="7" t="str">
        <f t="array" ref="U31">IF(OR($A31="",ISBLANK(XLOOKUP($A31,Laptops_Asignadas,Departamento_Asignado,"",0))),"",XLOOKUP($A31,Laptops_Asignadas,Departamento_Asignado,"",0))</f>
        <v>Maquinaria Agrícola</v>
      </c>
      <c r="V31" s="7" t="str">
        <f t="array" ref="V31">IF(OR($A31="",ISBLANK(XLOOKUP($A31,Laptops_Asignadas,Nombres_Directorio,"",0))),"",XLOOKUP($A31,Laptops_Asignadas,Nombres_Directorio,"",0))</f>
        <v>David Villaseñor Núñez</v>
      </c>
      <c r="W31" s="7" t="str">
        <f t="array" ref="W31">IF(OR($A31="",ISBLANK(XLOOKUP($A31,Laptops_Asignadas,Correos_Gmail,"",0))),"",XLOOKUP($A31,Laptops_Asignadas,Correos_Gmail,"",0))</f>
        <v>analistacomercial@agrocisa.com.mx</v>
      </c>
      <c r="X31" s="7" t="str">
        <f t="array" ref="X31">IF(OR($A31="",ISBLANK(XLOOKUP($A31,Laptops_Asignadas,Correos_Institucionales,"",0))),"",XLOOKUP($A31,Laptops_Asignadas,Correos_Institucionales,"",0))</f>
        <v>david.villasenor@agrcoisa.com.mx</v>
      </c>
    </row>
    <row r="32" ht="15.75" customHeight="1">
      <c r="A32" s="27" t="s">
        <v>1216</v>
      </c>
      <c r="B32" s="50">
        <v>12500.0</v>
      </c>
      <c r="C32" s="50" t="s">
        <v>194</v>
      </c>
      <c r="D32" s="50" t="s">
        <v>918</v>
      </c>
      <c r="E32" s="50" t="s">
        <v>1217</v>
      </c>
      <c r="F32" s="51" t="s">
        <v>1218</v>
      </c>
      <c r="G32" s="27" t="s">
        <v>969</v>
      </c>
      <c r="H32" s="27" t="s">
        <v>987</v>
      </c>
      <c r="I32" s="27" t="s">
        <v>1219</v>
      </c>
      <c r="J32" s="27" t="s">
        <v>580</v>
      </c>
      <c r="K32" s="27" t="s">
        <v>947</v>
      </c>
      <c r="L32" s="27" t="s">
        <v>989</v>
      </c>
      <c r="M32" s="27" t="s">
        <v>990</v>
      </c>
      <c r="N32" s="27" t="s">
        <v>544</v>
      </c>
      <c r="O32" s="27" t="s">
        <v>454</v>
      </c>
      <c r="P32" s="27"/>
      <c r="Q32" s="27"/>
      <c r="R32" s="27" t="s">
        <v>1220</v>
      </c>
      <c r="S32" s="27" t="str">
        <f t="array" ref="S32">IF(OR($A32="",ISBLANK(XLOOKUP($A32,Laptops_Asignadas,Nombres_Directorio,"",0))),"",XLOOKUP($A32,Laptops_Asignadas,Nombres_Directorio,"",0))</f>
        <v/>
      </c>
      <c r="T32" s="27" t="str">
        <f t="array" ref="T32">IF(OR($A32="",ISBLANK(XLOOKUP($A32,Laptops_Asignadas,Sucursal_Asignada,"",0))),"",XLOOKUP($A32,Laptops_Asignadas,Sucursal_Asignada,"",0))</f>
        <v/>
      </c>
      <c r="U32" s="27" t="str">
        <f t="array" ref="U32">IF(OR($A32="",ISBLANK(XLOOKUP($A32,Laptops_Asignadas,Departamento_Asignado,"",0))),"",XLOOKUP($A32,Laptops_Asignadas,Departamento_Asignado,"",0))</f>
        <v/>
      </c>
      <c r="V32" s="27" t="str">
        <f t="array" ref="V32">IF(OR($A32="",ISBLANK(XLOOKUP($A32,Laptops_Asignadas,Nombres_Directorio,"",0))),"",XLOOKUP($A32,Laptops_Asignadas,Nombres_Directorio,"",0))</f>
        <v/>
      </c>
      <c r="W32" s="27" t="str">
        <f t="array" ref="W32">IF(OR($A32="",ISBLANK(XLOOKUP($A32,Laptops_Asignadas,Correos_Gmail,"",0))),"",XLOOKUP($A32,Laptops_Asignadas,Correos_Gmail,"",0))</f>
        <v/>
      </c>
      <c r="X32" s="27" t="str">
        <f t="array" ref="X32">IF(OR($A32="",ISBLANK(XLOOKUP($A32,Laptops_Asignadas,Correos_Institucionales,"",0))),"",XLOOKUP($A32,Laptops_Asignadas,Correos_Institucionales,"",0))</f>
        <v/>
      </c>
    </row>
    <row r="33" ht="15.75" customHeight="1">
      <c r="A33" s="7" t="s">
        <v>758</v>
      </c>
      <c r="B33" s="28">
        <v>8900.0</v>
      </c>
      <c r="C33" s="28" t="s">
        <v>194</v>
      </c>
      <c r="D33" s="28" t="s">
        <v>918</v>
      </c>
      <c r="E33" s="28"/>
      <c r="F33" s="36" t="s">
        <v>1194</v>
      </c>
      <c r="G33" s="7" t="s">
        <v>969</v>
      </c>
      <c r="H33" s="7" t="s">
        <v>1195</v>
      </c>
      <c r="I33" s="7" t="s">
        <v>1239</v>
      </c>
      <c r="J33" s="7" t="s">
        <v>580</v>
      </c>
      <c r="K33" s="7" t="s">
        <v>947</v>
      </c>
      <c r="L33" s="7" t="s">
        <v>948</v>
      </c>
      <c r="M33" s="7" t="s">
        <v>1197</v>
      </c>
      <c r="N33" s="7" t="s">
        <v>451</v>
      </c>
      <c r="O33" s="7" t="s">
        <v>454</v>
      </c>
      <c r="P33" s="7" t="s">
        <v>455</v>
      </c>
      <c r="Q33" s="7"/>
      <c r="R33" s="7" t="s">
        <v>1240</v>
      </c>
      <c r="S33" s="7" t="str">
        <f t="array" ref="S33">IF(OR($A33="",ISBLANK(XLOOKUP($A33,Laptops_Asignadas,Nombres_Directorio,"",0))),"",XLOOKUP($A33,Laptops_Asignadas,Nombres_Directorio,"",0))</f>
        <v>Gerardo Damián Contreras Aguilar</v>
      </c>
      <c r="T33" s="7" t="str">
        <f t="array" ref="T33">IF(OR($A33="",ISBLANK(XLOOKUP($A33,Laptops_Asignadas,Sucursal_Asignada,"",0))),"",XLOOKUP($A33,Laptops_Asignadas,Sucursal_Asignada,"",0))</f>
        <v>Pénjamo</v>
      </c>
      <c r="U33" s="7" t="str">
        <f t="array" ref="U33">IF(OR($A33="",ISBLANK(XLOOKUP($A33,Laptops_Asignadas,Departamento_Asignado,"",0))),"",XLOOKUP($A33,Laptops_Asignadas,Departamento_Asignado,"",0))</f>
        <v>Maquinaria Agrícola y Construcción</v>
      </c>
      <c r="V33" s="7" t="str">
        <f t="array" ref="V33">IF(OR($A33="",ISBLANK(XLOOKUP($A33,Laptops_Asignadas,Nombres_Directorio,"",0))),"",XLOOKUP($A33,Laptops_Asignadas,Nombres_Directorio,"",0))</f>
        <v>Gerardo Damián Contreras Aguilar</v>
      </c>
      <c r="W33" s="7" t="str">
        <f t="array" ref="W33">IF(OR($A33="",ISBLANK(XLOOKUP($A33,Laptops_Asignadas,Correos_Gmail,"",0))),"",XLOOKUP($A33,Laptops_Asignadas,Correos_Gmail,"",0))</f>
        <v>g.contrerasagro@gmail.com</v>
      </c>
      <c r="X33" s="7" t="str">
        <f t="array" ref="X33">IF(OR($A33="",ISBLANK(XLOOKUP($A33,Laptops_Asignadas,Correos_Institucionales,"",0))),"",XLOOKUP($A33,Laptops_Asignadas,Correos_Institucionales,"",0))</f>
        <v>gerardo.contreras@agrocisa.com.mx</v>
      </c>
    </row>
    <row r="34" ht="15.75" customHeight="1">
      <c r="A34" s="7" t="s">
        <v>1245</v>
      </c>
      <c r="B34" s="28">
        <v>2500.0</v>
      </c>
      <c r="C34" s="28" t="s">
        <v>788</v>
      </c>
      <c r="D34" s="28" t="s">
        <v>918</v>
      </c>
      <c r="E34" s="28" t="s">
        <v>1248</v>
      </c>
      <c r="F34" s="36" t="s">
        <v>1249</v>
      </c>
      <c r="G34" s="7" t="s">
        <v>1250</v>
      </c>
      <c r="H34" s="7" t="s">
        <v>1251</v>
      </c>
      <c r="I34" s="7" t="s">
        <v>1251</v>
      </c>
      <c r="J34" s="7" t="s">
        <v>1252</v>
      </c>
      <c r="K34" s="7" t="s">
        <v>1253</v>
      </c>
      <c r="L34" s="7" t="s">
        <v>448</v>
      </c>
      <c r="M34" s="7"/>
      <c r="N34" s="7" t="s">
        <v>909</v>
      </c>
      <c r="O34" s="7" t="s">
        <v>499</v>
      </c>
      <c r="P34" s="7" t="s">
        <v>242</v>
      </c>
      <c r="Q34" s="7" t="s">
        <v>1254</v>
      </c>
      <c r="R34" s="7" t="s">
        <v>1255</v>
      </c>
      <c r="S34" s="7" t="str">
        <f t="array" ref="S34">IF(OR($A34="",ISBLANK(XLOOKUP($A34,Laptops_Asignadas,Nombres_Directorio,"",0))),"",XLOOKUP($A34,Laptops_Asignadas,Nombres_Directorio,"",0))</f>
        <v/>
      </c>
      <c r="T34" s="7" t="str">
        <f t="array" ref="T34">IF(OR($A34="",ISBLANK(XLOOKUP($A34,Laptops_Asignadas,Sucursal_Asignada,"",0))),"",XLOOKUP($A34,Laptops_Asignadas,Sucursal_Asignada,"",0))</f>
        <v/>
      </c>
      <c r="U34" s="7" t="str">
        <f t="array" ref="U34">IF(OR($A34="",ISBLANK(XLOOKUP($A34,Laptops_Asignadas,Departamento_Asignado,"",0))),"",XLOOKUP($A34,Laptops_Asignadas,Departamento_Asignado,"",0))</f>
        <v/>
      </c>
      <c r="V34" s="7" t="str">
        <f t="array" ref="V34">IF(OR($A34="",ISBLANK(XLOOKUP($A34,Laptops_Asignadas,Nombres_Directorio,"",0))),"",XLOOKUP($A34,Laptops_Asignadas,Nombres_Directorio,"",0))</f>
        <v/>
      </c>
      <c r="W34" s="7" t="str">
        <f t="array" ref="W34">IF(OR($A34="",ISBLANK(XLOOKUP($A34,Laptops_Asignadas,Correos_Gmail,"",0))),"",XLOOKUP($A34,Laptops_Asignadas,Correos_Gmail,"",0))</f>
        <v/>
      </c>
      <c r="X34" s="7" t="str">
        <f t="array" ref="X34">IF(OR($A34="",ISBLANK(XLOOKUP($A34,Laptops_Asignadas,Correos_Institucionales,"",0))),"",XLOOKUP($A34,Laptops_Asignadas,Correos_Institucionales,"",0))</f>
        <v/>
      </c>
    </row>
    <row r="35" ht="15.75" customHeight="1">
      <c r="A35" s="7" t="s">
        <v>828</v>
      </c>
      <c r="B35" s="28">
        <v>7500.0</v>
      </c>
      <c r="C35" s="28" t="s">
        <v>194</v>
      </c>
      <c r="D35" s="28" t="s">
        <v>918</v>
      </c>
      <c r="E35" s="28"/>
      <c r="F35" s="36" t="s">
        <v>1261</v>
      </c>
      <c r="G35" s="7" t="s">
        <v>920</v>
      </c>
      <c r="H35" s="7" t="s">
        <v>921</v>
      </c>
      <c r="I35" s="7" t="s">
        <v>1262</v>
      </c>
      <c r="J35" s="7" t="s">
        <v>445</v>
      </c>
      <c r="K35" s="7" t="s">
        <v>922</v>
      </c>
      <c r="L35" s="7" t="s">
        <v>448</v>
      </c>
      <c r="M35" s="7" t="s">
        <v>923</v>
      </c>
      <c r="N35" s="7" t="s">
        <v>544</v>
      </c>
      <c r="O35" s="7" t="s">
        <v>454</v>
      </c>
      <c r="P35" s="7" t="s">
        <v>455</v>
      </c>
      <c r="Q35" s="7"/>
      <c r="R35" s="7" t="s">
        <v>1263</v>
      </c>
      <c r="S35" s="7" t="str">
        <f t="array" ref="S35">IF(OR($A35="",ISBLANK(XLOOKUP($A35,Laptops_Asignadas,Nombres_Directorio,"",0))),"",XLOOKUP($A35,Laptops_Asignadas,Nombres_Directorio,"",0))</f>
        <v>Moisés Alberto González Mendoza</v>
      </c>
      <c r="T35" s="7" t="str">
        <f t="array" ref="T35">IF(OR($A35="",ISBLANK(XLOOKUP($A35,Laptops_Asignadas,Sucursal_Asignada,"",0))),"",XLOOKUP($A35,Laptops_Asignadas,Sucursal_Asignada,"",0))</f>
        <v>Poncitlán</v>
      </c>
      <c r="U35" s="7" t="str">
        <f t="array" ref="U35">IF(OR($A35="",ISBLANK(XLOOKUP($A35,Laptops_Asignadas,Departamento_Asignado,"",0))),"",XLOOKUP($A35,Laptops_Asignadas,Departamento_Asignado,"",0))</f>
        <v>Maquinaria Agrícola y Construcción</v>
      </c>
      <c r="V35" s="7" t="str">
        <f t="array" ref="V35">IF(OR($A35="",ISBLANK(XLOOKUP($A35,Laptops_Asignadas,Nombres_Directorio,"",0))),"",XLOOKUP($A35,Laptops_Asignadas,Nombres_Directorio,"",0))</f>
        <v>Moisés Alberto González Mendoza</v>
      </c>
      <c r="W35" s="7" t="str">
        <f t="array" ref="W35">IF(OR($A35="",ISBLANK(XLOOKUP($A35,Laptops_Asignadas,Correos_Gmail,"",0))),"",XLOOKUP($A35,Laptops_Asignadas,Correos_Gmail,"",0))</f>
        <v>mgonzalez.agrocisa@gmail.com</v>
      </c>
      <c r="X35" s="7" t="str">
        <f t="array" ref="X35">IF(OR($A35="",ISBLANK(XLOOKUP($A35,Laptops_Asignadas,Correos_Institucionales,"",0))),"",XLOOKUP($A35,Laptops_Asignadas,Correos_Institucionales,"",0))</f>
        <v>moises.gonzalez@agrocisa.com.mx</v>
      </c>
    </row>
    <row r="36" ht="15.75" customHeight="1">
      <c r="A36" s="7" t="s">
        <v>1264</v>
      </c>
      <c r="B36" s="28">
        <v>4500.0</v>
      </c>
      <c r="C36" s="28" t="s">
        <v>788</v>
      </c>
      <c r="D36" s="28" t="s">
        <v>918</v>
      </c>
      <c r="E36" s="28"/>
      <c r="F36" s="36" t="s">
        <v>919</v>
      </c>
      <c r="G36" s="7"/>
      <c r="H36" s="7"/>
      <c r="I36" s="7"/>
      <c r="J36" s="7" t="s">
        <v>445</v>
      </c>
      <c r="K36" s="7" t="s">
        <v>962</v>
      </c>
      <c r="L36" s="7" t="s">
        <v>541</v>
      </c>
      <c r="M36" s="7" t="s">
        <v>1267</v>
      </c>
      <c r="N36" s="7" t="s">
        <v>497</v>
      </c>
      <c r="O36" s="7" t="s">
        <v>454</v>
      </c>
      <c r="P36" s="7" t="s">
        <v>455</v>
      </c>
      <c r="Q36" s="7" t="s">
        <v>1268</v>
      </c>
      <c r="R36" s="7" t="s">
        <v>1269</v>
      </c>
      <c r="S36" s="7" t="str">
        <f t="array" ref="S36">IF(OR($A36="",ISBLANK(XLOOKUP($A36,Laptops_Asignadas,Nombres_Directorio,"",0))),"",XLOOKUP($A36,Laptops_Asignadas,Nombres_Directorio,"",0))</f>
        <v/>
      </c>
      <c r="T36" s="7" t="str">
        <f t="array" ref="T36">IF(OR($A36="",ISBLANK(XLOOKUP($A36,Laptops_Asignadas,Sucursal_Asignada,"",0))),"",XLOOKUP($A36,Laptops_Asignadas,Sucursal_Asignada,"",0))</f>
        <v/>
      </c>
      <c r="U36" s="7" t="str">
        <f t="array" ref="U36">IF(OR($A36="",ISBLANK(XLOOKUP($A36,Laptops_Asignadas,Departamento_Asignado,"",0))),"",XLOOKUP($A36,Laptops_Asignadas,Departamento_Asignado,"",0))</f>
        <v/>
      </c>
      <c r="V36" s="7" t="str">
        <f t="array" ref="V36">IF(OR($A36="",ISBLANK(XLOOKUP($A36,Laptops_Asignadas,Nombres_Directorio,"",0))),"",XLOOKUP($A36,Laptops_Asignadas,Nombres_Directorio,"",0))</f>
        <v/>
      </c>
      <c r="W36" s="7" t="str">
        <f t="array" ref="W36">IF(OR($A36="",ISBLANK(XLOOKUP($A36,Laptops_Asignadas,Correos_Gmail,"",0))),"",XLOOKUP($A36,Laptops_Asignadas,Correos_Gmail,"",0))</f>
        <v/>
      </c>
      <c r="X36" s="7" t="str">
        <f t="array" ref="X36">IF(OR($A36="",ISBLANK(XLOOKUP($A36,Laptops_Asignadas,Correos_Institucionales,"",0))),"",XLOOKUP($A36,Laptops_Asignadas,Correos_Institucionales,"",0))</f>
        <v/>
      </c>
    </row>
    <row r="37" ht="15.75" customHeight="1">
      <c r="A37" s="7" t="s">
        <v>1270</v>
      </c>
      <c r="B37" s="28">
        <v>10500.0</v>
      </c>
      <c r="C37" s="28" t="s">
        <v>788</v>
      </c>
      <c r="D37" s="28" t="s">
        <v>918</v>
      </c>
      <c r="E37" s="28"/>
      <c r="F37" s="36" t="s">
        <v>1271</v>
      </c>
      <c r="G37" s="7" t="s">
        <v>931</v>
      </c>
      <c r="H37" s="7" t="s">
        <v>1272</v>
      </c>
      <c r="I37" s="7" t="s">
        <v>1273</v>
      </c>
      <c r="J37" s="7" t="s">
        <v>971</v>
      </c>
      <c r="K37" s="7" t="s">
        <v>954</v>
      </c>
      <c r="L37" s="7" t="s">
        <v>900</v>
      </c>
      <c r="M37" s="7" t="s">
        <v>1129</v>
      </c>
      <c r="N37" s="7" t="s">
        <v>909</v>
      </c>
      <c r="O37" s="7" t="s">
        <v>454</v>
      </c>
      <c r="P37" s="7" t="s">
        <v>455</v>
      </c>
      <c r="Q37" s="7"/>
      <c r="R37" s="7" t="s">
        <v>1274</v>
      </c>
      <c r="S37" s="7" t="str">
        <f t="array" ref="S37">IF(OR($A37="",ISBLANK(XLOOKUP($A37,Laptops_Asignadas,Nombres_Directorio,"",0))),"",XLOOKUP($A37,Laptops_Asignadas,Nombres_Directorio,"",0))</f>
        <v/>
      </c>
      <c r="T37" s="7" t="str">
        <f t="array" ref="T37">IF(OR($A37="",ISBLANK(XLOOKUP($A37,Laptops_Asignadas,Sucursal_Asignada,"",0))),"",XLOOKUP($A37,Laptops_Asignadas,Sucursal_Asignada,"",0))</f>
        <v/>
      </c>
      <c r="U37" s="7" t="str">
        <f t="array" ref="U37">IF(OR($A37="",ISBLANK(XLOOKUP($A37,Laptops_Asignadas,Departamento_Asignado,"",0))),"",XLOOKUP($A37,Laptops_Asignadas,Departamento_Asignado,"",0))</f>
        <v/>
      </c>
      <c r="V37" s="7" t="str">
        <f t="array" ref="V37">IF(OR($A37="",ISBLANK(XLOOKUP($A37,Laptops_Asignadas,Nombres_Directorio,"",0))),"",XLOOKUP($A37,Laptops_Asignadas,Nombres_Directorio,"",0))</f>
        <v/>
      </c>
      <c r="W37" s="7" t="str">
        <f t="array" ref="W37">IF(OR($A37="",ISBLANK(XLOOKUP($A37,Laptops_Asignadas,Correos_Gmail,"",0))),"",XLOOKUP($A37,Laptops_Asignadas,Correos_Gmail,"",0))</f>
        <v/>
      </c>
      <c r="X37" s="7" t="str">
        <f t="array" ref="X37">IF(OR($A37="",ISBLANK(XLOOKUP($A37,Laptops_Asignadas,Correos_Institucionales,"",0))),"",XLOOKUP($A37,Laptops_Asignadas,Correos_Institucionales,"",0))</f>
        <v/>
      </c>
    </row>
    <row r="38" ht="15.75" customHeight="1">
      <c r="A38" s="7" t="s">
        <v>863</v>
      </c>
      <c r="B38" s="28">
        <v>7200.0</v>
      </c>
      <c r="C38" s="28" t="s">
        <v>194</v>
      </c>
      <c r="D38" s="28" t="s">
        <v>918</v>
      </c>
      <c r="E38" s="28"/>
      <c r="F38" s="36" t="s">
        <v>444</v>
      </c>
      <c r="G38" s="7" t="s">
        <v>1080</v>
      </c>
      <c r="H38" s="7" t="s">
        <v>1180</v>
      </c>
      <c r="I38" s="7" t="s">
        <v>1282</v>
      </c>
      <c r="J38" s="7" t="s">
        <v>971</v>
      </c>
      <c r="K38" s="7" t="s">
        <v>1182</v>
      </c>
      <c r="L38" s="7" t="s">
        <v>448</v>
      </c>
      <c r="M38" s="7" t="s">
        <v>1183</v>
      </c>
      <c r="N38" s="7" t="s">
        <v>451</v>
      </c>
      <c r="O38" s="7" t="s">
        <v>454</v>
      </c>
      <c r="P38" s="7" t="s">
        <v>455</v>
      </c>
      <c r="Q38" s="7"/>
      <c r="R38" s="7" t="s">
        <v>1283</v>
      </c>
      <c r="S38" s="7" t="str">
        <f t="array" ref="S38">IF(OR($A38="",ISBLANK(XLOOKUP($A38,Laptops_Asignadas,Nombres_Directorio,"",0))),"",XLOOKUP($A38,Laptops_Asignadas,Nombres_Directorio,"",0))</f>
        <v>Martín Salcedo Vargas</v>
      </c>
      <c r="T38" s="7" t="str">
        <f t="array" ref="T38">IF(OR($A38="",ISBLANK(XLOOKUP($A38,Laptops_Asignadas,Sucursal_Asignada,"",0))),"",XLOOKUP($A38,Laptops_Asignadas,Sucursal_Asignada,"",0))</f>
        <v>Zona Altos</v>
      </c>
      <c r="U38" s="7" t="str">
        <f t="array" ref="U38">IF(OR($A38="",ISBLANK(XLOOKUP($A38,Laptops_Asignadas,Departamento_Asignado,"",0))),"",XLOOKUP($A38,Laptops_Asignadas,Departamento_Asignado,"",0))</f>
        <v>Maquinaria Agrícola y Construcción</v>
      </c>
      <c r="V38" s="7" t="str">
        <f t="array" ref="V38">IF(OR($A38="",ISBLANK(XLOOKUP($A38,Laptops_Asignadas,Nombres_Directorio,"",0))),"",XLOOKUP($A38,Laptops_Asignadas,Nombres_Directorio,"",0))</f>
        <v>Martín Salcedo Vargas</v>
      </c>
      <c r="W38" s="7" t="str">
        <f t="array" ref="W38">IF(OR($A38="",ISBLANK(XLOOKUP($A38,Laptops_Asignadas,Correos_Gmail,"",0))),"",XLOOKUP($A38,Laptops_Asignadas,Correos_Gmail,"",0))</f>
        <v>martin.salcedo@agrocisa.com.mx</v>
      </c>
      <c r="X38" s="7" t="str">
        <f t="array" ref="X38">IF(OR($A38="",ISBLANK(XLOOKUP($A38,Laptops_Asignadas,Correos_Institucionales,"",0))),"",XLOOKUP($A38,Laptops_Asignadas,Correos_Institucionales,"",0))</f>
        <v>martin.salcedo@agrocisa.com.mx</v>
      </c>
    </row>
    <row r="39" ht="15.75" customHeight="1">
      <c r="A39" s="7" t="s">
        <v>1284</v>
      </c>
      <c r="B39" s="28">
        <v>2000.0</v>
      </c>
      <c r="C39" s="28" t="s">
        <v>788</v>
      </c>
      <c r="D39" s="28" t="s">
        <v>918</v>
      </c>
      <c r="E39" s="28"/>
      <c r="F39" s="36" t="s">
        <v>444</v>
      </c>
      <c r="G39" s="7" t="s">
        <v>1285</v>
      </c>
      <c r="H39" s="7" t="s">
        <v>1286</v>
      </c>
      <c r="I39" s="7">
        <v>9.40400215708E11</v>
      </c>
      <c r="J39" s="7"/>
      <c r="K39" s="7"/>
      <c r="L39" s="7"/>
      <c r="M39" s="7"/>
      <c r="N39" s="7"/>
      <c r="O39" s="7"/>
      <c r="P39" s="7"/>
      <c r="Q39" s="7"/>
      <c r="R39" s="7"/>
      <c r="S39" s="7" t="str">
        <f t="array" ref="S39">IF(OR($A39="",ISBLANK(XLOOKUP($A39,Laptops_Asignadas,Nombres_Directorio,"",0))),"",XLOOKUP($A39,Laptops_Asignadas,Nombres_Directorio,"",0))</f>
        <v/>
      </c>
      <c r="T39" s="7" t="str">
        <f t="array" ref="T39">IF(OR($A39="",ISBLANK(XLOOKUP($A39,Laptops_Asignadas,Sucursal_Asignada,"",0))),"",XLOOKUP($A39,Laptops_Asignadas,Sucursal_Asignada,"",0))</f>
        <v/>
      </c>
      <c r="U39" s="7" t="str">
        <f t="array" ref="U39">IF(OR($A39="",ISBLANK(XLOOKUP($A39,Laptops_Asignadas,Departamento_Asignado,"",0))),"",XLOOKUP($A39,Laptops_Asignadas,Departamento_Asignado,"",0))</f>
        <v/>
      </c>
      <c r="V39" s="7" t="str">
        <f t="array" ref="V39">IF(OR($A39="",ISBLANK(XLOOKUP($A39,Laptops_Asignadas,Nombres_Directorio,"",0))),"",XLOOKUP($A39,Laptops_Asignadas,Nombres_Directorio,"",0))</f>
        <v/>
      </c>
      <c r="W39" s="7" t="str">
        <f t="array" ref="W39">IF(OR($A39="",ISBLANK(XLOOKUP($A39,Laptops_Asignadas,Correos_Gmail,"",0))),"",XLOOKUP($A39,Laptops_Asignadas,Correos_Gmail,"",0))</f>
        <v/>
      </c>
      <c r="X39" s="7" t="str">
        <f t="array" ref="X39">IF(OR($A39="",ISBLANK(XLOOKUP($A39,Laptops_Asignadas,Correos_Institucionales,"",0))),"",XLOOKUP($A39,Laptops_Asignadas,Correos_Institucionales,"",0))</f>
        <v/>
      </c>
    </row>
    <row r="40" ht="15.75" customHeight="1">
      <c r="A40" s="7" t="s">
        <v>798</v>
      </c>
      <c r="B40" s="28">
        <v>7546.0</v>
      </c>
      <c r="C40" s="28" t="s">
        <v>788</v>
      </c>
      <c r="D40" s="28" t="s">
        <v>918</v>
      </c>
      <c r="E40" s="28"/>
      <c r="F40" s="36" t="s">
        <v>444</v>
      </c>
      <c r="G40" s="7" t="s">
        <v>969</v>
      </c>
      <c r="H40" s="7" t="s">
        <v>1291</v>
      </c>
      <c r="I40" s="7" t="s">
        <v>1293</v>
      </c>
      <c r="J40" s="7" t="s">
        <v>445</v>
      </c>
      <c r="K40" s="7" t="s">
        <v>962</v>
      </c>
      <c r="L40" s="7" t="s">
        <v>541</v>
      </c>
      <c r="M40" s="7" t="s">
        <v>1295</v>
      </c>
      <c r="N40" s="7" t="s">
        <v>497</v>
      </c>
      <c r="O40" s="7" t="s">
        <v>499</v>
      </c>
      <c r="P40" s="7" t="s">
        <v>455</v>
      </c>
      <c r="Q40" s="7" t="s">
        <v>1297</v>
      </c>
      <c r="R40" s="7" t="s">
        <v>1298</v>
      </c>
      <c r="S40" s="7" t="str">
        <f t="array" ref="S40">IF(OR($A40="",ISBLANK(XLOOKUP($A40,Laptops_Asignadas,Nombres_Directorio,"",0))),"",XLOOKUP($A40,Laptops_Asignadas,Nombres_Directorio,"",0))</f>
        <v>Martín Ceballos Castillo</v>
      </c>
      <c r="T40" s="7" t="str">
        <f t="array" ref="T40">IF(OR($A40="",ISBLANK(XLOOKUP($A40,Laptops_Asignadas,Sucursal_Asignada,"",0))),"",XLOOKUP($A40,Laptops_Asignadas,Sucursal_Asignada,"",0))</f>
        <v>Pénjamo</v>
      </c>
      <c r="U40" s="7" t="str">
        <f t="array" ref="U40">IF(OR($A40="",ISBLANK(XLOOKUP($A40,Laptops_Asignadas,Departamento_Asignado,"",0))),"",XLOOKUP($A40,Laptops_Asignadas,Departamento_Asignado,"",0))</f>
        <v>Servicio</v>
      </c>
      <c r="V40" s="7" t="str">
        <f t="array" ref="V40">IF(OR($A40="",ISBLANK(XLOOKUP($A40,Laptops_Asignadas,Nombres_Directorio,"",0))),"",XLOOKUP($A40,Laptops_Asignadas,Nombres_Directorio,"",0))</f>
        <v>Martín Ceballos Castillo</v>
      </c>
      <c r="W40" s="7" t="str">
        <f t="array" ref="W40">IF(OR($A40="",ISBLANK(XLOOKUP($A40,Laptops_Asignadas,Correos_Gmail,"",0))),"",XLOOKUP($A40,Laptops_Asignadas,Correos_Gmail,"",0))</f>
        <v>tallerpenjamo.agro@gmail.com</v>
      </c>
      <c r="X40" s="7" t="str">
        <f t="array" ref="X40">IF(OR($A40="",ISBLANK(XLOOKUP($A40,Laptops_Asignadas,Correos_Institucionales,"",0))),"",XLOOKUP($A40,Laptops_Asignadas,Correos_Institucionales,"",0))</f>
        <v>tallerpenjamo@agrocisa.com.mx</v>
      </c>
    </row>
    <row r="41" ht="15.75" customHeight="1">
      <c r="A41" s="7" t="s">
        <v>417</v>
      </c>
      <c r="B41" s="28">
        <v>4000.0</v>
      </c>
      <c r="C41" s="28" t="s">
        <v>788</v>
      </c>
      <c r="D41" s="28" t="s">
        <v>1096</v>
      </c>
      <c r="E41" s="28" t="s">
        <v>1308</v>
      </c>
      <c r="F41" s="36" t="s">
        <v>1309</v>
      </c>
      <c r="G41" s="7" t="s">
        <v>959</v>
      </c>
      <c r="H41" s="7" t="s">
        <v>1311</v>
      </c>
      <c r="I41" s="7" t="s">
        <v>1312</v>
      </c>
      <c r="J41" s="7" t="s">
        <v>580</v>
      </c>
      <c r="K41" s="7" t="s">
        <v>1313</v>
      </c>
      <c r="L41" s="7" t="s">
        <v>448</v>
      </c>
      <c r="M41" s="7" t="s">
        <v>1314</v>
      </c>
      <c r="N41" s="7" t="s">
        <v>544</v>
      </c>
      <c r="O41" s="7" t="s">
        <v>499</v>
      </c>
      <c r="P41" s="7" t="s">
        <v>455</v>
      </c>
      <c r="Q41" s="7" t="s">
        <v>1315</v>
      </c>
      <c r="R41" s="7" t="s">
        <v>1316</v>
      </c>
      <c r="S41" s="7" t="str">
        <f t="array" ref="S41">IF(OR($A41="",ISBLANK(XLOOKUP($A41,Laptops_Asignadas,Nombres_Directorio,"",0))),"",XLOOKUP($A41,Laptops_Asignadas,Nombres_Directorio,"",0))</f>
        <v>Francisco Valadez Gaona</v>
      </c>
      <c r="T41" s="7" t="str">
        <f t="array" ref="T41">IF(OR($A41="",ISBLANK(XLOOKUP($A41,Laptops_Asignadas,Sucursal_Asignada,"",0))),"",XLOOKUP($A41,Laptops_Asignadas,Sucursal_Asignada,"",0))</f>
        <v>La Barca</v>
      </c>
      <c r="U41" s="7" t="str">
        <f t="array" ref="U41">IF(OR($A41="",ISBLANK(XLOOKUP($A41,Laptops_Asignadas,Departamento_Asignado,"",0))),"",XLOOKUP($A41,Laptops_Asignadas,Departamento_Asignado,"",0))</f>
        <v>Maquinaria Construcción</v>
      </c>
      <c r="V41" s="7" t="str">
        <f t="array" ref="V41">IF(OR($A41="",ISBLANK(XLOOKUP($A41,Laptops_Asignadas,Nombres_Directorio,"",0))),"",XLOOKUP($A41,Laptops_Asignadas,Nombres_Directorio,"",0))</f>
        <v>Francisco Valadez Gaona</v>
      </c>
      <c r="W41" s="7" t="str">
        <f t="array" ref="W41">IF(OR($A41="",ISBLANK(XLOOKUP($A41,Laptops_Asignadas,Correos_Gmail,"",0))),"",XLOOKUP($A41,Laptops_Asignadas,Correos_Gmail,"",0))</f>
        <v>construccionlabarca@agrocisa.com.mx</v>
      </c>
      <c r="X41" s="7" t="str">
        <f t="array" ref="X41">IF(OR($A41="",ISBLANK(XLOOKUP($A41,Laptops_Asignadas,Correos_Institucionales,"",0))),"",XLOOKUP($A41,Laptops_Asignadas,Correos_Institucionales,"",0))</f>
        <v>construccionlabarca@agrocisa.com.mx</v>
      </c>
    </row>
    <row r="42" ht="15.75" customHeight="1">
      <c r="A42" s="7" t="s">
        <v>568</v>
      </c>
      <c r="B42" s="28">
        <v>4000.0</v>
      </c>
      <c r="C42" s="28" t="s">
        <v>788</v>
      </c>
      <c r="D42" s="28" t="s">
        <v>918</v>
      </c>
      <c r="E42" s="28"/>
      <c r="F42" s="36" t="s">
        <v>444</v>
      </c>
      <c r="G42" s="7" t="s">
        <v>959</v>
      </c>
      <c r="H42" s="7" t="s">
        <v>1321</v>
      </c>
      <c r="I42" s="7" t="s">
        <v>1322</v>
      </c>
      <c r="J42" s="7"/>
      <c r="K42" s="7"/>
      <c r="L42" s="7"/>
      <c r="M42" s="7"/>
      <c r="N42" s="7"/>
      <c r="O42" s="7"/>
      <c r="P42" s="7"/>
      <c r="Q42" s="7"/>
      <c r="R42" s="7"/>
      <c r="S42" s="7" t="str">
        <f t="array" ref="S42">IF(OR($A42="",ISBLANK(XLOOKUP($A42,Laptops_Asignadas,Nombres_Directorio,"",0))),"",XLOOKUP($A42,Laptops_Asignadas,Nombres_Directorio,"",0))</f>
        <v>Diego Alejandro Núñez Fuentes</v>
      </c>
      <c r="T42" s="7" t="str">
        <f t="array" ref="T42">IF(OR($A42="",ISBLANK(XLOOKUP($A42,Laptops_Asignadas,Sucursal_Asignada,"",0))),"",XLOOKUP($A42,Laptops_Asignadas,Sucursal_Asignada,"",0))</f>
        <v>La Piedad</v>
      </c>
      <c r="U42" s="7" t="str">
        <f t="array" ref="U42">IF(OR($A42="",ISBLANK(XLOOKUP($A42,Laptops_Asignadas,Departamento_Asignado,"",0))),"",XLOOKUP($A42,Laptops_Asignadas,Departamento_Asignado,"",0))</f>
        <v>Agricultura Inteligente</v>
      </c>
      <c r="V42" s="7" t="str">
        <f t="array" ref="V42">IF(OR($A42="",ISBLANK(XLOOKUP($A42,Laptops_Asignadas,Nombres_Directorio,"",0))),"",XLOOKUP($A42,Laptops_Asignadas,Nombres_Directorio,"",0))</f>
        <v>Diego Alejandro Núñez Fuentes</v>
      </c>
      <c r="W42" s="7" t="str">
        <f t="array" ref="W42">IF(OR($A42="",ISBLANK(XLOOKUP($A42,Laptops_Asignadas,Correos_Gmail,"",0))),"",XLOOKUP($A42,Laptops_Asignadas,Correos_Gmail,"",0))</f>
        <v>diego.nunez@agrocisa.com.mx</v>
      </c>
      <c r="X42" s="7" t="str">
        <f t="array" ref="X42">IF(OR($A42="",ISBLANK(XLOOKUP($A42,Laptops_Asignadas,Correos_Institucionales,"",0))),"",XLOOKUP($A42,Laptops_Asignadas,Correos_Institucionales,"",0))</f>
        <v>diego.nunez@agrocisa.com.mx</v>
      </c>
    </row>
    <row r="43" ht="15.75" customHeight="1">
      <c r="A43" s="7" t="s">
        <v>573</v>
      </c>
      <c r="B43" s="28">
        <v>4000.0</v>
      </c>
      <c r="C43" s="28" t="s">
        <v>788</v>
      </c>
      <c r="D43" s="28" t="s">
        <v>918</v>
      </c>
      <c r="E43" s="28" t="s">
        <v>1328</v>
      </c>
      <c r="F43" s="36" t="s">
        <v>1329</v>
      </c>
      <c r="G43" s="7" t="s">
        <v>920</v>
      </c>
      <c r="H43" s="7"/>
      <c r="I43" s="7" t="s">
        <v>949</v>
      </c>
      <c r="J43" s="7" t="s">
        <v>580</v>
      </c>
      <c r="K43" s="7" t="s">
        <v>1330</v>
      </c>
      <c r="L43" s="7" t="s">
        <v>541</v>
      </c>
      <c r="M43" s="7" t="s">
        <v>949</v>
      </c>
      <c r="N43" s="7" t="s">
        <v>497</v>
      </c>
      <c r="O43" s="7" t="s">
        <v>499</v>
      </c>
      <c r="P43" s="7" t="s">
        <v>242</v>
      </c>
      <c r="Q43" s="7"/>
      <c r="R43" s="7" t="s">
        <v>1331</v>
      </c>
      <c r="S43" s="7" t="str">
        <f t="array" ref="S43">IF(OR($A43="",ISBLANK(XLOOKUP($A43,Laptops_Asignadas,Nombres_Directorio,"",0))),"",XLOOKUP($A43,Laptops_Asignadas,Nombres_Directorio,"",0))</f>
        <v>Francisco Villalobos Sánchez</v>
      </c>
      <c r="T43" s="7" t="str">
        <f t="array" ref="T43">IF(OR($A43="",ISBLANK(XLOOKUP($A43,Laptops_Asignadas,Sucursal_Asignada,"",0))),"",XLOOKUP($A43,Laptops_Asignadas,Sucursal_Asignada,"",0))</f>
        <v>La Piedad</v>
      </c>
      <c r="U43" s="7" t="str">
        <f t="array" ref="U43">IF(OR($A43="",ISBLANK(XLOOKUP($A43,Laptops_Asignadas,Departamento_Asignado,"",0))),"",XLOOKUP($A43,Laptops_Asignadas,Departamento_Asignado,"",0))</f>
        <v>Agricultura Inteligente</v>
      </c>
      <c r="V43" s="7" t="str">
        <f t="array" ref="V43">IF(OR($A43="",ISBLANK(XLOOKUP($A43,Laptops_Asignadas,Nombres_Directorio,"",0))),"",XLOOKUP($A43,Laptops_Asignadas,Nombres_Directorio,"",0))</f>
        <v>Francisco Villalobos Sánchez</v>
      </c>
      <c r="W43" s="7" t="str">
        <f t="array" ref="W43">IF(OR($A43="",ISBLANK(XLOOKUP($A43,Laptops_Asignadas,Correos_Gmail,"",0))),"",XLOOKUP($A43,Laptops_Asignadas,Correos_Gmail,"",0))</f>
        <v>droneslp@agrocisa.com.mx</v>
      </c>
      <c r="X43" s="7" t="str">
        <f t="array" ref="X43">IF(OR($A43="",ISBLANK(XLOOKUP($A43,Laptops_Asignadas,Correos_Institucionales,"",0))),"",XLOOKUP($A43,Laptops_Asignadas,Correos_Institucionales,"",0))</f>
        <v>francisco.villalobos@agrocisa.com.mx</v>
      </c>
    </row>
    <row r="44" ht="15.75" customHeight="1">
      <c r="A44" s="7" t="s">
        <v>64</v>
      </c>
      <c r="B44" s="28">
        <v>5600.0</v>
      </c>
      <c r="C44" s="28" t="s">
        <v>788</v>
      </c>
      <c r="D44" s="28" t="s">
        <v>918</v>
      </c>
      <c r="E44" s="28"/>
      <c r="F44" s="36" t="s">
        <v>1271</v>
      </c>
      <c r="G44" s="7" t="s">
        <v>959</v>
      </c>
      <c r="H44" s="7" t="s">
        <v>981</v>
      </c>
      <c r="I44" s="7" t="s">
        <v>1342</v>
      </c>
      <c r="J44" s="7" t="s">
        <v>580</v>
      </c>
      <c r="K44" s="7" t="s">
        <v>1099</v>
      </c>
      <c r="L44" s="7">
        <v>16.0</v>
      </c>
      <c r="M44" s="7" t="s">
        <v>983</v>
      </c>
      <c r="N44" s="7" t="s">
        <v>497</v>
      </c>
      <c r="O44" s="7" t="s">
        <v>499</v>
      </c>
      <c r="P44" s="7" t="s">
        <v>242</v>
      </c>
      <c r="Q44" s="7"/>
      <c r="R44" s="7" t="s">
        <v>1343</v>
      </c>
      <c r="S44" s="7" t="str">
        <f t="array" ref="S44">IF(OR($A44="",ISBLANK(XLOOKUP($A44,Laptops_Asignadas,Nombres_Directorio,"",0))),"",XLOOKUP($A44,Laptops_Asignadas,Nombres_Directorio,"",0))</f>
        <v>Pascual Humberto Ramírez Flores</v>
      </c>
      <c r="T44" s="7" t="str">
        <f t="array" ref="T44">IF(OR($A44="",ISBLANK(XLOOKUP($A44,Laptops_Asignadas,Sucursal_Asignada,"",0))),"",XLOOKUP($A44,Laptops_Asignadas,Sucursal_Asignada,"",0))</f>
        <v>La Barca</v>
      </c>
      <c r="U44" s="7" t="str">
        <f t="array" ref="U44">IF(OR($A44="",ISBLANK(XLOOKUP($A44,Laptops_Asignadas,Departamento_Asignado,"",0))),"",XLOOKUP($A44,Laptops_Asignadas,Departamento_Asignado,"",0))</f>
        <v>Agricultura Inteligente</v>
      </c>
      <c r="V44" s="7" t="str">
        <f t="array" ref="V44">IF(OR($A44="",ISBLANK(XLOOKUP($A44,Laptops_Asignadas,Nombres_Directorio,"",0))),"",XLOOKUP($A44,Laptops_Asignadas,Nombres_Directorio,"",0))</f>
        <v>Pascual Humberto Ramírez Flores</v>
      </c>
      <c r="W44" s="7" t="str">
        <f t="array" ref="W44">IF(OR($A44="",ISBLANK(XLOOKUP($A44,Laptops_Asignadas,Correos_Gmail,"",0))),"",XLOOKUP($A44,Laptops_Asignadas,Correos_Gmail,"",0))</f>
        <v>soportetcgps.agro@gmail.com</v>
      </c>
      <c r="X44" s="7" t="str">
        <f t="array" ref="X44">IF(OR($A44="",ISBLANK(XLOOKUP($A44,Laptops_Asignadas,Correos_Institucionales,"",0))),"",XLOOKUP($A44,Laptops_Asignadas,Correos_Institucionales,"",0))</f>
        <v>soportetc.gps@agrocisa.com.mx</v>
      </c>
    </row>
    <row r="45" ht="15.75" customHeight="1">
      <c r="A45" s="7" t="s">
        <v>532</v>
      </c>
      <c r="B45" s="28">
        <v>3500.0</v>
      </c>
      <c r="C45" s="28" t="s">
        <v>788</v>
      </c>
      <c r="D45" s="28" t="s">
        <v>918</v>
      </c>
      <c r="E45" s="28"/>
      <c r="F45" s="36" t="s">
        <v>1353</v>
      </c>
      <c r="G45" s="7" t="s">
        <v>1080</v>
      </c>
      <c r="H45" s="7" t="s">
        <v>932</v>
      </c>
      <c r="I45" s="7" t="s">
        <v>1355</v>
      </c>
      <c r="J45" s="7" t="s">
        <v>580</v>
      </c>
      <c r="K45" s="7" t="s">
        <v>935</v>
      </c>
      <c r="L45" s="7" t="s">
        <v>448</v>
      </c>
      <c r="M45" s="7" t="s">
        <v>1173</v>
      </c>
      <c r="N45" s="7" t="s">
        <v>497</v>
      </c>
      <c r="O45" s="7" t="s">
        <v>499</v>
      </c>
      <c r="P45" s="7" t="s">
        <v>242</v>
      </c>
      <c r="Q45" s="7"/>
      <c r="R45" s="7" t="s">
        <v>1358</v>
      </c>
      <c r="S45" s="7" t="str">
        <f t="array" ref="S45">IF(OR($A45="",ISBLANK(XLOOKUP($A45,Laptops_Asignadas,Nombres_Directorio,"",0))),"",XLOOKUP($A45,Laptops_Asignadas,Nombres_Directorio,"",0))</f>
        <v>Luis Eduardo Gutierrez Infante</v>
      </c>
      <c r="T45" s="7" t="str">
        <f t="array" ref="T45">IF(OR($A45="",ISBLANK(XLOOKUP($A45,Laptops_Asignadas,Sucursal_Asignada,"",0))),"",XLOOKUP($A45,Laptops_Asignadas,Sucursal_Asignada,"",0))</f>
        <v>La Barca</v>
      </c>
      <c r="U45" s="7" t="str">
        <f t="array" ref="U45">IF(OR($A45="",ISBLANK(XLOOKUP($A45,Laptops_Asignadas,Departamento_Asignado,"",0))),"",XLOOKUP($A45,Laptops_Asignadas,Departamento_Asignado,"",0))</f>
        <v>Servicio</v>
      </c>
      <c r="V45" s="7" t="str">
        <f t="array" ref="V45">IF(OR($A45="",ISBLANK(XLOOKUP($A45,Laptops_Asignadas,Nombres_Directorio,"",0))),"",XLOOKUP($A45,Laptops_Asignadas,Nombres_Directorio,"",0))</f>
        <v>Luis Eduardo Gutierrez Infante</v>
      </c>
      <c r="W45" s="7" t="str">
        <f t="array" ref="W45">IF(OR($A45="",ISBLANK(XLOOKUP($A45,Laptops_Asignadas,Correos_Gmail,"",0))),"",XLOOKUP($A45,Laptops_Asignadas,Correos_Gmail,"",0))</f>
        <v>promotorlabarca@agrocisa.com.mx</v>
      </c>
      <c r="X45" s="7" t="str">
        <f t="array" ref="X45">IF(OR($A45="",ISBLANK(XLOOKUP($A45,Laptops_Asignadas,Correos_Institucionales,"",0))),"",XLOOKUP($A45,Laptops_Asignadas,Correos_Institucionales,"",0))</f>
        <v>luis.gutierrez@agrocisa.com.mx</v>
      </c>
    </row>
    <row r="46" ht="15.75" customHeight="1">
      <c r="A46" s="7" t="s">
        <v>231</v>
      </c>
      <c r="B46" s="28">
        <v>8129.0</v>
      </c>
      <c r="C46" s="28" t="s">
        <v>788</v>
      </c>
      <c r="D46" s="28" t="s">
        <v>918</v>
      </c>
      <c r="E46" s="28"/>
      <c r="F46" s="36" t="s">
        <v>1361</v>
      </c>
      <c r="G46" s="7" t="s">
        <v>959</v>
      </c>
      <c r="H46" s="7" t="s">
        <v>1362</v>
      </c>
      <c r="I46" s="7" t="s">
        <v>1363</v>
      </c>
      <c r="J46" s="7" t="s">
        <v>580</v>
      </c>
      <c r="K46" s="7" t="s">
        <v>947</v>
      </c>
      <c r="L46" s="7" t="s">
        <v>448</v>
      </c>
      <c r="M46" s="7" t="s">
        <v>1365</v>
      </c>
      <c r="N46" s="7" t="s">
        <v>544</v>
      </c>
      <c r="O46" s="7" t="s">
        <v>454</v>
      </c>
      <c r="P46" s="7" t="s">
        <v>455</v>
      </c>
      <c r="Q46" s="7" t="s">
        <v>275</v>
      </c>
      <c r="R46" s="7" t="s">
        <v>1366</v>
      </c>
      <c r="S46" s="7" t="str">
        <f t="array" ref="S46">IF(OR($A46="",ISBLANK(XLOOKUP($A46,Laptops_Asignadas,Nombres_Directorio,"",0))),"",XLOOKUP($A46,Laptops_Asignadas,Nombres_Directorio,"",0))</f>
        <v>Jesús García Anaya</v>
      </c>
      <c r="T46" s="7" t="str">
        <f t="array" ref="T46">IF(OR($A46="",ISBLANK(XLOOKUP($A46,Laptops_Asignadas,Sucursal_Asignada,"",0))),"",XLOOKUP($A46,Laptops_Asignadas,Sucursal_Asignada,"",0))</f>
        <v>La Barca</v>
      </c>
      <c r="U46" s="7" t="str">
        <f t="array" ref="U46">IF(OR($A46="",ISBLANK(XLOOKUP($A46,Laptops_Asignadas,Departamento_Asignado,"",0))),"",XLOOKUP($A46,Laptops_Asignadas,Departamento_Asignado,"",0))</f>
        <v>Corporativo</v>
      </c>
      <c r="V46" s="7" t="str">
        <f t="array" ref="V46">IF(OR($A46="",ISBLANK(XLOOKUP($A46,Laptops_Asignadas,Nombres_Directorio,"",0))),"",XLOOKUP($A46,Laptops_Asignadas,Nombres_Directorio,"",0))</f>
        <v>Jesús García Anaya</v>
      </c>
      <c r="W46" s="7" t="str">
        <f t="array" ref="W46">IF(OR($A46="",ISBLANK(XLOOKUP($A46,Laptops_Asignadas,Correos_Gmail,"",0))),"",XLOOKUP($A46,Laptops_Asignadas,Correos_Gmail,"",0))</f>
        <v>jesusgarcia.agrocisa@gmail.com</v>
      </c>
      <c r="X46" s="7" t="str">
        <f t="array" ref="X46">IF(OR($A46="",ISBLANK(XLOOKUP($A46,Laptops_Asignadas,Correos_Institucionales,"",0))),"",XLOOKUP($A46,Laptops_Asignadas,Correos_Institucionales,"",0))</f>
        <v>jesus.garcia@agrocisa.com.mx</v>
      </c>
    </row>
    <row r="47" ht="15.75" customHeight="1">
      <c r="A47" s="7" t="s">
        <v>654</v>
      </c>
      <c r="B47" s="28">
        <v>9778.0</v>
      </c>
      <c r="C47" s="28" t="s">
        <v>788</v>
      </c>
      <c r="D47" s="28" t="s">
        <v>918</v>
      </c>
      <c r="E47" s="28"/>
      <c r="F47" s="36" t="s">
        <v>1375</v>
      </c>
      <c r="G47" s="7" t="s">
        <v>959</v>
      </c>
      <c r="H47" s="7" t="s">
        <v>1362</v>
      </c>
      <c r="I47" s="7" t="s">
        <v>1376</v>
      </c>
      <c r="J47" s="7" t="s">
        <v>580</v>
      </c>
      <c r="K47" s="7" t="s">
        <v>947</v>
      </c>
      <c r="L47" s="7" t="s">
        <v>448</v>
      </c>
      <c r="M47" s="7" t="s">
        <v>1365</v>
      </c>
      <c r="N47" s="7" t="s">
        <v>544</v>
      </c>
      <c r="O47" s="7" t="s">
        <v>454</v>
      </c>
      <c r="P47" s="7" t="s">
        <v>455</v>
      </c>
      <c r="Q47" s="7" t="s">
        <v>275</v>
      </c>
      <c r="R47" s="7" t="s">
        <v>1377</v>
      </c>
      <c r="S47" s="7" t="str">
        <f t="array" ref="S47">IF(OR($A47="",ISBLANK(XLOOKUP($A47,Laptops_Asignadas,Nombres_Directorio,"",0))),"",XLOOKUP($A47,Laptops_Asignadas,Nombres_Directorio,"",0))</f>
        <v>Silvia Janeth Meza Segura</v>
      </c>
      <c r="T47" s="7" t="str">
        <f t="array" ref="T47">IF(OR($A47="",ISBLANK(XLOOKUP($A47,Laptops_Asignadas,Sucursal_Asignada,"",0))),"",XLOOKUP($A47,Laptops_Asignadas,Sucursal_Asignada,"",0))</f>
        <v>Morelia</v>
      </c>
      <c r="U47" s="7" t="str">
        <f t="array" ref="U47">IF(OR($A47="",ISBLANK(XLOOKUP($A47,Laptops_Asignadas,Departamento_Asignado,"",0))),"",XLOOKUP($A47,Laptops_Asignadas,Departamento_Asignado,"",0))</f>
        <v>Maquinaria Agrícola y Construcción</v>
      </c>
      <c r="V47" s="7" t="str">
        <f t="array" ref="V47">IF(OR($A47="",ISBLANK(XLOOKUP($A47,Laptops_Asignadas,Nombres_Directorio,"",0))),"",XLOOKUP($A47,Laptops_Asignadas,Nombres_Directorio,"",0))</f>
        <v>Silvia Janeth Meza Segura</v>
      </c>
      <c r="W47" s="7" t="str">
        <f t="array" ref="W47">IF(OR($A47="",ISBLANK(XLOOKUP($A47,Laptops_Asignadas,Correos_Gmail,"",0))),"",XLOOKUP($A47,Laptops_Asignadas,Correos_Gmail,"",0))</f>
        <v>gerenciamorelia.agrocisa@gmail.com</v>
      </c>
      <c r="X47" s="7" t="str">
        <f t="array" ref="X47">IF(OR($A47="",ISBLANK(XLOOKUP($A47,Laptops_Asignadas,Correos_Institucionales,"",0))),"",XLOOKUP($A47,Laptops_Asignadas,Correos_Institucionales,"",0))</f>
        <v>gerenciamorelia@agrocisa.com.mx</v>
      </c>
    </row>
    <row r="48" ht="15.75" customHeight="1">
      <c r="A48" s="7" t="s">
        <v>1381</v>
      </c>
      <c r="B48" s="28">
        <v>45500.0</v>
      </c>
      <c r="C48" s="28" t="s">
        <v>788</v>
      </c>
      <c r="D48" s="28" t="s">
        <v>918</v>
      </c>
      <c r="E48" s="28" t="s">
        <v>1382</v>
      </c>
      <c r="F48" s="36" t="s">
        <v>1383</v>
      </c>
      <c r="G48" s="7" t="s">
        <v>1285</v>
      </c>
      <c r="H48" s="7" t="s">
        <v>1384</v>
      </c>
      <c r="I48" s="7" t="s">
        <v>1385</v>
      </c>
      <c r="J48" s="7" t="s">
        <v>580</v>
      </c>
      <c r="K48" s="7" t="s">
        <v>1386</v>
      </c>
      <c r="L48" s="7">
        <v>16.0</v>
      </c>
      <c r="M48" s="7" t="s">
        <v>1387</v>
      </c>
      <c r="N48" s="7" t="s">
        <v>497</v>
      </c>
      <c r="O48" s="7" t="s">
        <v>454</v>
      </c>
      <c r="P48" s="7" t="s">
        <v>455</v>
      </c>
      <c r="Q48" s="7"/>
      <c r="R48" s="7" t="s">
        <v>1388</v>
      </c>
      <c r="S48" s="7" t="str">
        <f t="array" ref="S48">IF(OR($A48="",ISBLANK(XLOOKUP($A48,Laptops_Asignadas,Nombres_Directorio,"",0))),"",XLOOKUP($A48,Laptops_Asignadas,Nombres_Directorio,"",0))</f>
        <v/>
      </c>
      <c r="T48" s="7" t="str">
        <f t="array" ref="T48">IF(OR($A48="",ISBLANK(XLOOKUP($A48,Laptops_Asignadas,Sucursal_Asignada,"",0))),"",XLOOKUP($A48,Laptops_Asignadas,Sucursal_Asignada,"",0))</f>
        <v/>
      </c>
      <c r="U48" s="7" t="str">
        <f t="array" ref="U48">IF(OR($A48="",ISBLANK(XLOOKUP($A48,Laptops_Asignadas,Departamento_Asignado,"",0))),"",XLOOKUP($A48,Laptops_Asignadas,Departamento_Asignado,"",0))</f>
        <v/>
      </c>
      <c r="V48" s="7" t="str">
        <f t="array" ref="V48">IF(OR($A48="",ISBLANK(XLOOKUP($A48,Laptops_Asignadas,Nombres_Directorio,"",0))),"",XLOOKUP($A48,Laptops_Asignadas,Nombres_Directorio,"",0))</f>
        <v/>
      </c>
      <c r="W48" s="7" t="str">
        <f t="array" ref="W48">IF(OR($A48="",ISBLANK(XLOOKUP($A48,Laptops_Asignadas,Correos_Gmail,"",0))),"",XLOOKUP($A48,Laptops_Asignadas,Correos_Gmail,"",0))</f>
        <v/>
      </c>
      <c r="X48" s="7" t="str">
        <f t="array" ref="X48">IF(OR($A48="",ISBLANK(XLOOKUP($A48,Laptops_Asignadas,Correos_Institucionales,"",0))),"",XLOOKUP($A48,Laptops_Asignadas,Correos_Institucionales,"",0))</f>
        <v/>
      </c>
    </row>
    <row r="49" ht="15.75" customHeight="1">
      <c r="A49" s="7" t="s">
        <v>1391</v>
      </c>
      <c r="B49" s="28">
        <v>2500.0</v>
      </c>
      <c r="C49" s="28" t="s">
        <v>788</v>
      </c>
      <c r="D49" s="28" t="s">
        <v>918</v>
      </c>
      <c r="E49" s="28"/>
      <c r="F49" s="36" t="s">
        <v>919</v>
      </c>
      <c r="G49" s="7" t="s">
        <v>1250</v>
      </c>
      <c r="H49" s="7" t="s">
        <v>1394</v>
      </c>
      <c r="I49" s="7" t="s">
        <v>1394</v>
      </c>
      <c r="J49" s="7" t="s">
        <v>580</v>
      </c>
      <c r="K49" s="7" t="s">
        <v>1395</v>
      </c>
      <c r="L49" s="7" t="s">
        <v>541</v>
      </c>
      <c r="M49" s="7" t="s">
        <v>1396</v>
      </c>
      <c r="N49" s="7" t="s">
        <v>451</v>
      </c>
      <c r="O49" s="7" t="s">
        <v>454</v>
      </c>
      <c r="P49" s="7" t="s">
        <v>242</v>
      </c>
      <c r="Q49" s="43" t="s">
        <v>1397</v>
      </c>
      <c r="R49" s="7" t="s">
        <v>1398</v>
      </c>
      <c r="S49" s="7" t="str">
        <f t="array" ref="S49">IF(OR($A49="",ISBLANK(XLOOKUP($A49,Laptops_Asignadas,Nombres_Directorio,"",0))),"",XLOOKUP($A49,Laptops_Asignadas,Nombres_Directorio,"",0))</f>
        <v/>
      </c>
      <c r="T49" s="7" t="str">
        <f t="array" ref="T49">IF(OR($A49="",ISBLANK(XLOOKUP($A49,Laptops_Asignadas,Sucursal_Asignada,"",0))),"",XLOOKUP($A49,Laptops_Asignadas,Sucursal_Asignada,"",0))</f>
        <v/>
      </c>
      <c r="U49" s="7" t="str">
        <f t="array" ref="U49">IF(OR($A49="",ISBLANK(XLOOKUP($A49,Laptops_Asignadas,Departamento_Asignado,"",0))),"",XLOOKUP($A49,Laptops_Asignadas,Departamento_Asignado,"",0))</f>
        <v/>
      </c>
      <c r="V49" s="7" t="str">
        <f t="array" ref="V49">IF(OR($A49="",ISBLANK(XLOOKUP($A49,Laptops_Asignadas,Nombres_Directorio,"",0))),"",XLOOKUP($A49,Laptops_Asignadas,Nombres_Directorio,"",0))</f>
        <v/>
      </c>
      <c r="W49" s="7" t="str">
        <f t="array" ref="W49">IF(OR($A49="",ISBLANK(XLOOKUP($A49,Laptops_Asignadas,Correos_Gmail,"",0))),"",XLOOKUP($A49,Laptops_Asignadas,Correos_Gmail,"",0))</f>
        <v/>
      </c>
      <c r="X49" s="7" t="str">
        <f t="array" ref="X49">IF(OR($A49="",ISBLANK(XLOOKUP($A49,Laptops_Asignadas,Correos_Institucionales,"",0))),"",XLOOKUP($A49,Laptops_Asignadas,Correos_Institucionales,"",0))</f>
        <v/>
      </c>
    </row>
    <row r="50" ht="15.75" customHeight="1">
      <c r="A50" s="7" t="s">
        <v>187</v>
      </c>
      <c r="B50" s="28">
        <v>6500.0</v>
      </c>
      <c r="C50" s="28" t="s">
        <v>788</v>
      </c>
      <c r="D50" s="28" t="s">
        <v>918</v>
      </c>
      <c r="E50" s="28"/>
      <c r="F50" s="36">
        <v>46146.0</v>
      </c>
      <c r="G50" s="7" t="s">
        <v>1080</v>
      </c>
      <c r="H50" s="7" t="s">
        <v>932</v>
      </c>
      <c r="I50" s="7" t="s">
        <v>1401</v>
      </c>
      <c r="J50" s="7" t="s">
        <v>580</v>
      </c>
      <c r="K50" s="7" t="s">
        <v>935</v>
      </c>
      <c r="L50" s="7" t="s">
        <v>448</v>
      </c>
      <c r="M50" s="7" t="s">
        <v>1173</v>
      </c>
      <c r="N50" s="7" t="s">
        <v>451</v>
      </c>
      <c r="O50" s="7" t="s">
        <v>454</v>
      </c>
      <c r="P50" s="7" t="s">
        <v>455</v>
      </c>
      <c r="Q50" s="7"/>
      <c r="R50" s="7" t="s">
        <v>1402</v>
      </c>
      <c r="S50" s="7" t="str">
        <f t="array" ref="S50">IF(OR($A50="",ISBLANK(XLOOKUP($A50,Laptops_Asignadas,Nombres_Directorio,"",0))),"",XLOOKUP($A50,Laptops_Asignadas,Nombres_Directorio,"",0))</f>
        <v>Jesús Mora Pérez</v>
      </c>
      <c r="T50" s="7" t="str">
        <f t="array" ref="T50">IF(OR($A50="",ISBLANK(XLOOKUP($A50,Laptops_Asignadas,Sucursal_Asignada,"",0))),"",XLOOKUP($A50,Laptops_Asignadas,Sucursal_Asignada,"",0))</f>
        <v>La Barca</v>
      </c>
      <c r="U50" s="7" t="str">
        <f t="array" ref="U50">IF(OR($A50="",ISBLANK(XLOOKUP($A50,Laptops_Asignadas,Departamento_Asignado,"",0))),"",XLOOKUP($A50,Laptops_Asignadas,Departamento_Asignado,"",0))</f>
        <v>Corporativo</v>
      </c>
      <c r="V50" s="7" t="str">
        <f t="array" ref="V50">IF(OR($A50="",ISBLANK(XLOOKUP($A50,Laptops_Asignadas,Nombres_Directorio,"",0))),"",XLOOKUP($A50,Laptops_Asignadas,Nombres_Directorio,"",0))</f>
        <v>Jesús Mora Pérez</v>
      </c>
      <c r="W50" s="7" t="str">
        <f t="array" ref="W50">IF(OR($A50="",ISBLANK(XLOOKUP($A50,Laptops_Asignadas,Correos_Gmail,"",0))),"",XLOOKUP($A50,Laptops_Asignadas,Correos_Gmail,"",0))</f>
        <v>coordservicio.agro@gmail.com</v>
      </c>
      <c r="X50" s="7" t="str">
        <f t="array" ref="X50">IF(OR($A50="",ISBLANK(XLOOKUP($A50,Laptops_Asignadas,Correos_Institucionales,"",0))),"",XLOOKUP($A50,Laptops_Asignadas,Correos_Institucionales,"",0))</f>
        <v>jesus.mora@agrocisa.com.mx</v>
      </c>
    </row>
    <row r="51" ht="15.75" customHeight="1">
      <c r="A51" s="7" t="s">
        <v>536</v>
      </c>
      <c r="B51" s="28">
        <v>13249.0</v>
      </c>
      <c r="C51" s="28" t="s">
        <v>194</v>
      </c>
      <c r="D51" s="28" t="s">
        <v>918</v>
      </c>
      <c r="E51" s="28"/>
      <c r="F51" s="36" t="s">
        <v>444</v>
      </c>
      <c r="G51" s="7" t="s">
        <v>920</v>
      </c>
      <c r="H51" s="7" t="s">
        <v>1405</v>
      </c>
      <c r="I51" s="7" t="s">
        <v>1406</v>
      </c>
      <c r="J51" s="7" t="s">
        <v>1407</v>
      </c>
      <c r="K51" s="7" t="s">
        <v>1408</v>
      </c>
      <c r="L51" s="7" t="s">
        <v>900</v>
      </c>
      <c r="M51" s="7" t="s">
        <v>949</v>
      </c>
      <c r="N51" s="7" t="s">
        <v>544</v>
      </c>
      <c r="O51" s="7" t="s">
        <v>454</v>
      </c>
      <c r="P51" s="7" t="s">
        <v>455</v>
      </c>
      <c r="Q51" s="7" t="s">
        <v>1409</v>
      </c>
      <c r="R51" s="7" t="s">
        <v>1410</v>
      </c>
      <c r="S51" s="7" t="str">
        <f t="array" ref="S51">IF(OR($A51="",ISBLANK(XLOOKUP($A51,Laptops_Asignadas,Nombres_Directorio,"",0))),"",XLOOKUP($A51,Laptops_Asignadas,Nombres_Directorio,"",0))</f>
        <v>Andrés García García</v>
      </c>
      <c r="T51" s="7" t="str">
        <f t="array" ref="T51">IF(OR($A51="",ISBLANK(XLOOKUP($A51,Laptops_Asignadas,Sucursal_Asignada,"",0))),"",XLOOKUP($A51,Laptops_Asignadas,Sucursal_Asignada,"",0))</f>
        <v>La Barca</v>
      </c>
      <c r="U51" s="7" t="str">
        <f t="array" ref="U51">IF(OR($A51="",ISBLANK(XLOOKUP($A51,Laptops_Asignadas,Departamento_Asignado,"",0))),"",XLOOKUP($A51,Laptops_Asignadas,Departamento_Asignado,"",0))</f>
        <v>Servicio</v>
      </c>
      <c r="V51" s="7" t="str">
        <f t="array" ref="V51">IF(OR($A51="",ISBLANK(XLOOKUP($A51,Laptops_Asignadas,Nombres_Directorio,"",0))),"",XLOOKUP($A51,Laptops_Asignadas,Nombres_Directorio,"",0))</f>
        <v>Andrés García García</v>
      </c>
      <c r="W51" s="7" t="str">
        <f t="array" ref="W51">IF(OR($A51="",ISBLANK(XLOOKUP($A51,Laptops_Asignadas,Correos_Gmail,"",0))),"",XLOOKUP($A51,Laptops_Asignadas,Correos_Gmail,"",0))</f>
        <v>andresgarcia.agro@gmail.com</v>
      </c>
      <c r="X51" s="7" t="str">
        <f t="array" ref="X51">IF(OR($A51="",ISBLANK(XLOOKUP($A51,Laptops_Asignadas,Correos_Institucionales,"",0))),"",XLOOKUP($A51,Laptops_Asignadas,Correos_Institucionales,"",0))</f>
        <v>andres.garcia@agrocisa.com.mx</v>
      </c>
    </row>
    <row r="52" ht="15.75" customHeight="1">
      <c r="A52" s="7" t="s">
        <v>199</v>
      </c>
      <c r="B52" s="28">
        <v>13249.0</v>
      </c>
      <c r="C52" s="28" t="s">
        <v>194</v>
      </c>
      <c r="D52" s="28" t="s">
        <v>918</v>
      </c>
      <c r="E52" s="28"/>
      <c r="F52" s="36" t="s">
        <v>1414</v>
      </c>
      <c r="G52" s="7" t="s">
        <v>920</v>
      </c>
      <c r="H52" s="7" t="s">
        <v>1415</v>
      </c>
      <c r="I52" s="7" t="s">
        <v>1416</v>
      </c>
      <c r="J52" s="7" t="s">
        <v>1407</v>
      </c>
      <c r="K52" s="7" t="s">
        <v>1408</v>
      </c>
      <c r="L52" s="7" t="s">
        <v>900</v>
      </c>
      <c r="M52" s="7" t="s">
        <v>949</v>
      </c>
      <c r="N52" s="7" t="s">
        <v>544</v>
      </c>
      <c r="O52" s="7" t="s">
        <v>454</v>
      </c>
      <c r="P52" s="7" t="s">
        <v>455</v>
      </c>
      <c r="Q52" s="7" t="s">
        <v>1419</v>
      </c>
      <c r="R52" s="7" t="s">
        <v>1420</v>
      </c>
      <c r="S52" s="7" t="str">
        <f t="array" ref="S52">IF(OR($A52="",ISBLANK(XLOOKUP($A52,Laptops_Asignadas,Nombres_Directorio,"",0))),"",XLOOKUP($A52,Laptops_Asignadas,Nombres_Directorio,"",0))</f>
        <v>J Jesús Velazco Aviña</v>
      </c>
      <c r="T52" s="7" t="str">
        <f t="array" ref="T52">IF(OR($A52="",ISBLANK(XLOOKUP($A52,Laptops_Asignadas,Sucursal_Asignada,"",0))),"",XLOOKUP($A52,Laptops_Asignadas,Sucursal_Asignada,"",0))</f>
        <v>La Barca</v>
      </c>
      <c r="U52" s="7" t="str">
        <f t="array" ref="U52">IF(OR($A52="",ISBLANK(XLOOKUP($A52,Laptops_Asignadas,Departamento_Asignado,"",0))),"",XLOOKUP($A52,Laptops_Asignadas,Departamento_Asignado,"",0))</f>
        <v>Corporativo</v>
      </c>
      <c r="V52" s="7" t="str">
        <f t="array" ref="V52">IF(OR($A52="",ISBLANK(XLOOKUP($A52,Laptops_Asignadas,Nombres_Directorio,"",0))),"",XLOOKUP($A52,Laptops_Asignadas,Nombres_Directorio,"",0))</f>
        <v>J Jesús Velazco Aviña</v>
      </c>
      <c r="W52" s="7" t="str">
        <f t="array" ref="W52">IF(OR($A52="",ISBLANK(XLOOKUP($A52,Laptops_Asignadas,Correos_Gmail,"",0))),"",XLOOKUP($A52,Laptops_Asignadas,Correos_Gmail,"",0))</f>
        <v>jvelazco.agro@gmail.com</v>
      </c>
      <c r="X52" s="7" t="str">
        <f t="array" ref="X52">IF(OR($A52="",ISBLANK(XLOOKUP($A52,Laptops_Asignadas,Correos_Institucionales,"",0))),"",XLOOKUP($A52,Laptops_Asignadas,Correos_Institucionales,"",0))</f>
        <v>jesus.velazco@agrocisa.com.mx</v>
      </c>
    </row>
    <row r="53" ht="15.75" customHeight="1">
      <c r="A53" s="7" t="s">
        <v>337</v>
      </c>
      <c r="B53" s="28">
        <v>13249.0</v>
      </c>
      <c r="C53" s="28" t="s">
        <v>194</v>
      </c>
      <c r="D53" s="28" t="s">
        <v>918</v>
      </c>
      <c r="E53" s="28"/>
      <c r="F53" s="36" t="s">
        <v>1421</v>
      </c>
      <c r="G53" s="7" t="s">
        <v>920</v>
      </c>
      <c r="H53" s="7" t="s">
        <v>1415</v>
      </c>
      <c r="I53" s="7" t="s">
        <v>1422</v>
      </c>
      <c r="J53" s="7" t="s">
        <v>1407</v>
      </c>
      <c r="K53" s="7" t="s">
        <v>1408</v>
      </c>
      <c r="L53" s="7" t="s">
        <v>900</v>
      </c>
      <c r="M53" s="7" t="s">
        <v>949</v>
      </c>
      <c r="N53" s="7" t="s">
        <v>544</v>
      </c>
      <c r="O53" s="7" t="s">
        <v>454</v>
      </c>
      <c r="P53" s="7" t="s">
        <v>455</v>
      </c>
      <c r="Q53" s="7" t="s">
        <v>1423</v>
      </c>
      <c r="R53" s="7" t="s">
        <v>1424</v>
      </c>
      <c r="S53" s="7" t="str">
        <f t="array" ref="S53">IF(OR($A53="",ISBLANK(XLOOKUP($A53,Laptops_Asignadas,Nombres_Directorio,"",0))),"",XLOOKUP($A53,Laptops_Asignadas,Nombres_Directorio,"",0))</f>
        <v>Daniel Gerardo Aviña Bravo</v>
      </c>
      <c r="T53" s="7" t="str">
        <f t="array" ref="T53">IF(OR($A53="",ISBLANK(XLOOKUP($A53,Laptops_Asignadas,Sucursal_Asignada,"",0))),"",XLOOKUP($A53,Laptops_Asignadas,Sucursal_Asignada,"",0))</f>
        <v>La Barca</v>
      </c>
      <c r="U53" s="7" t="str">
        <f t="array" ref="U53">IF(OR($A53="",ISBLANK(XLOOKUP($A53,Laptops_Asignadas,Departamento_Asignado,"",0))),"",XLOOKUP($A53,Laptops_Asignadas,Departamento_Asignado,"",0))</f>
        <v>Maquinaria Agrícola</v>
      </c>
      <c r="V53" s="7" t="str">
        <f t="array" ref="V53">IF(OR($A53="",ISBLANK(XLOOKUP($A53,Laptops_Asignadas,Nombres_Directorio,"",0))),"",XLOOKUP($A53,Laptops_Asignadas,Nombres_Directorio,"",0))</f>
        <v>Daniel Gerardo Aviña Bravo</v>
      </c>
      <c r="W53" s="7" t="str">
        <f t="array" ref="W53">IF(OR($A53="",ISBLANK(XLOOKUP($A53,Laptops_Asignadas,Correos_Gmail,"",0))),"",XLOOKUP($A53,Laptops_Asignadas,Correos_Gmail,"",0))</f>
        <v>daniel.avina@agrocisa.com.mx</v>
      </c>
      <c r="X53" s="7" t="str">
        <f t="array" ref="X53">IF(OR($A53="",ISBLANK(XLOOKUP($A53,Laptops_Asignadas,Correos_Institucionales,"",0))),"",XLOOKUP($A53,Laptops_Asignadas,Correos_Institucionales,"",0))</f>
        <v>daniel.avina@agrocisa.com.mx</v>
      </c>
    </row>
    <row r="54" ht="15.75" customHeight="1">
      <c r="A54" s="7" t="s">
        <v>132</v>
      </c>
      <c r="B54" s="28">
        <v>13019.0</v>
      </c>
      <c r="C54" s="28" t="s">
        <v>194</v>
      </c>
      <c r="D54" s="28" t="s">
        <v>918</v>
      </c>
      <c r="E54" s="28"/>
      <c r="F54" s="36" t="s">
        <v>1428</v>
      </c>
      <c r="G54" s="7" t="s">
        <v>1080</v>
      </c>
      <c r="H54" s="7" t="s">
        <v>1429</v>
      </c>
      <c r="I54" s="7" t="s">
        <v>1430</v>
      </c>
      <c r="J54" s="7" t="s">
        <v>1431</v>
      </c>
      <c r="K54" s="7" t="s">
        <v>1408</v>
      </c>
      <c r="L54" s="7" t="s">
        <v>900</v>
      </c>
      <c r="M54" s="7" t="s">
        <v>1432</v>
      </c>
      <c r="N54" s="7" t="s">
        <v>544</v>
      </c>
      <c r="O54" s="7" t="s">
        <v>454</v>
      </c>
      <c r="P54" s="7" t="s">
        <v>455</v>
      </c>
      <c r="Q54" s="7" t="s">
        <v>275</v>
      </c>
      <c r="R54" s="7" t="s">
        <v>1433</v>
      </c>
      <c r="S54" s="7" t="str">
        <f t="array" ref="S54">IF(OR($A54="",ISBLANK(XLOOKUP($A54,Laptops_Asignadas,Nombres_Directorio,"",0))),"",XLOOKUP($A54,Laptops_Asignadas,Nombres_Directorio,"",0))</f>
        <v>Saúl Hernández Becerra</v>
      </c>
      <c r="T54" s="7" t="str">
        <f t="array" ref="T54">IF(OR($A54="",ISBLANK(XLOOKUP($A54,Laptops_Asignadas,Sucursal_Asignada,"",0))),"",XLOOKUP($A54,Laptops_Asignadas,Sucursal_Asignada,"",0))</f>
        <v>La Barca</v>
      </c>
      <c r="U54" s="7" t="str">
        <f t="array" ref="U54">IF(OR($A54="",ISBLANK(XLOOKUP($A54,Laptops_Asignadas,Departamento_Asignado,"",0))),"",XLOOKUP($A54,Laptops_Asignadas,Departamento_Asignado,"",0))</f>
        <v>Corporativo</v>
      </c>
      <c r="V54" s="7" t="str">
        <f t="array" ref="V54">IF(OR($A54="",ISBLANK(XLOOKUP($A54,Laptops_Asignadas,Nombres_Directorio,"",0))),"",XLOOKUP($A54,Laptops_Asignadas,Nombres_Directorio,"",0))</f>
        <v>Saúl Hernández Becerra</v>
      </c>
      <c r="W54" s="7" t="str">
        <f t="array" ref="W54">IF(OR($A54="",ISBLANK(XLOOKUP($A54,Laptops_Asignadas,Correos_Gmail,"",0))),"",XLOOKUP($A54,Laptops_Asignadas,Correos_Gmail,"",0))</f>
        <v>saul.hernandez@agrocisa.com.mx</v>
      </c>
      <c r="X54" s="7" t="str">
        <f t="array" ref="X54">IF(OR($A54="",ISBLANK(XLOOKUP($A54,Laptops_Asignadas,Correos_Institucionales,"",0))),"",XLOOKUP($A54,Laptops_Asignadas,Correos_Institucionales,"",0))</f>
        <v>saul.hernandez@agrocisa.com.mx</v>
      </c>
    </row>
    <row r="55" ht="15.75" customHeight="1">
      <c r="A55" s="7" t="s">
        <v>349</v>
      </c>
      <c r="B55" s="28">
        <v>13019.0</v>
      </c>
      <c r="C55" s="28" t="s">
        <v>194</v>
      </c>
      <c r="D55" s="28" t="s">
        <v>918</v>
      </c>
      <c r="E55" s="28"/>
      <c r="F55" s="36" t="s">
        <v>1436</v>
      </c>
      <c r="G55" s="7" t="s">
        <v>1080</v>
      </c>
      <c r="H55" s="7" t="s">
        <v>1429</v>
      </c>
      <c r="I55" s="7" t="s">
        <v>1437</v>
      </c>
      <c r="J55" s="7" t="s">
        <v>1431</v>
      </c>
      <c r="K55" s="7" t="s">
        <v>1408</v>
      </c>
      <c r="L55" s="7" t="s">
        <v>900</v>
      </c>
      <c r="M55" s="7" t="s">
        <v>1432</v>
      </c>
      <c r="N55" s="7" t="s">
        <v>544</v>
      </c>
      <c r="O55" s="7" t="s">
        <v>454</v>
      </c>
      <c r="P55" s="7" t="s">
        <v>455</v>
      </c>
      <c r="Q55" s="7" t="s">
        <v>275</v>
      </c>
      <c r="R55" s="7" t="s">
        <v>1440</v>
      </c>
      <c r="S55" s="7" t="str">
        <f t="array" ref="S55">IF(OR($A55="",ISBLANK(XLOOKUP($A55,Laptops_Asignadas,Nombres_Directorio,"",0))),"",XLOOKUP($A55,Laptops_Asignadas,Nombres_Directorio,"",0))</f>
        <v>Jesús Pérez Pérez</v>
      </c>
      <c r="T55" s="7" t="str">
        <f t="array" ref="T55">IF(OR($A55="",ISBLANK(XLOOKUP($A55,Laptops_Asignadas,Sucursal_Asignada,"",0))),"",XLOOKUP($A55,Laptops_Asignadas,Sucursal_Asignada,"",0))</f>
        <v>La Barca</v>
      </c>
      <c r="U55" s="7" t="str">
        <f t="array" ref="U55">IF(OR($A55="",ISBLANK(XLOOKUP($A55,Laptops_Asignadas,Departamento_Asignado,"",0))),"",XLOOKUP($A55,Laptops_Asignadas,Departamento_Asignado,"",0))</f>
        <v>Maquinaria Agrícola</v>
      </c>
      <c r="V55" s="7" t="str">
        <f t="array" ref="V55">IF(OR($A55="",ISBLANK(XLOOKUP($A55,Laptops_Asignadas,Nombres_Directorio,"",0))),"",XLOOKUP($A55,Laptops_Asignadas,Nombres_Directorio,"",0))</f>
        <v>Jesús Pérez Pérez</v>
      </c>
      <c r="W55" s="7" t="str">
        <f t="array" ref="W55">IF(OR($A55="",ISBLANK(XLOOKUP($A55,Laptops_Asignadas,Correos_Gmail,"",0))),"",XLOOKUP($A55,Laptops_Asignadas,Correos_Gmail,"",0))</f>
        <v>jeperez.agro@gmail.com</v>
      </c>
      <c r="X55" s="7" t="str">
        <f t="array" ref="X55">IF(OR($A55="",ISBLANK(XLOOKUP($A55,Laptops_Asignadas,Correos_Institucionales,"",0))),"",XLOOKUP($A55,Laptops_Asignadas,Correos_Institucionales,"",0))</f>
        <v>jesus.perez@agrocisa.com.mx</v>
      </c>
    </row>
    <row r="56" ht="15.75" customHeight="1">
      <c r="A56" s="7" t="s">
        <v>513</v>
      </c>
      <c r="B56" s="28">
        <v>6500.0</v>
      </c>
      <c r="C56" s="28" t="s">
        <v>788</v>
      </c>
      <c r="D56" s="28" t="s">
        <v>1096</v>
      </c>
      <c r="E56" s="28"/>
      <c r="F56" s="36" t="s">
        <v>444</v>
      </c>
      <c r="G56" s="7" t="s">
        <v>959</v>
      </c>
      <c r="H56" s="7" t="s">
        <v>1443</v>
      </c>
      <c r="I56" s="7" t="s">
        <v>1444</v>
      </c>
      <c r="J56" s="7" t="s">
        <v>1431</v>
      </c>
      <c r="K56" s="7"/>
      <c r="L56" s="7"/>
      <c r="M56" s="7"/>
      <c r="N56" s="7"/>
      <c r="O56" s="7"/>
      <c r="P56" s="7"/>
      <c r="Q56" s="7"/>
      <c r="R56" s="7" t="s">
        <v>1447</v>
      </c>
      <c r="S56" s="7" t="str">
        <f t="array" ref="S56">IF(OR($A56="",ISBLANK(XLOOKUP($A56,Laptops_Asignadas,Nombres_Directorio,"",0))),"",XLOOKUP($A56,Laptops_Asignadas,Nombres_Directorio,"",0))</f>
        <v>Juan Alfredo Valdovin López</v>
      </c>
      <c r="T56" s="7" t="str">
        <f t="array" ref="T56">IF(OR($A56="",ISBLANK(XLOOKUP($A56,Laptops_Asignadas,Sucursal_Asignada,"",0))),"",XLOOKUP($A56,Laptops_Asignadas,Sucursal_Asignada,"",0))</f>
        <v>La Barca</v>
      </c>
      <c r="U56" s="7" t="str">
        <f t="array" ref="U56">IF(OR($A56="",ISBLANK(XLOOKUP($A56,Laptops_Asignadas,Departamento_Asignado,"",0))),"",XLOOKUP($A56,Laptops_Asignadas,Departamento_Asignado,"",0))</f>
        <v>Servicio</v>
      </c>
      <c r="V56" s="7" t="str">
        <f t="array" ref="V56">IF(OR($A56="",ISBLANK(XLOOKUP($A56,Laptops_Asignadas,Nombres_Directorio,"",0))),"",XLOOKUP($A56,Laptops_Asignadas,Nombres_Directorio,"",0))</f>
        <v>Juan Alfredo Valdovin López</v>
      </c>
      <c r="W56" s="7" t="str">
        <f t="array" ref="W56">IF(OR($A56="",ISBLANK(XLOOKUP($A56,Laptops_Asignadas,Correos_Gmail,"",0))),"",XLOOKUP($A56,Laptops_Asignadas,Correos_Gmail,"",0))</f>
        <v>dinamometrolb@agrocisa.com.mx</v>
      </c>
      <c r="X56" s="7" t="str">
        <f t="array" ref="X56">IF(OR($A56="",ISBLANK(XLOOKUP($A56,Laptops_Asignadas,Correos_Institucionales,"",0))),"",XLOOKUP($A56,Laptops_Asignadas,Correos_Institucionales,"",0))</f>
        <v>dinamometrolb@agrocisa.com.mx</v>
      </c>
    </row>
    <row r="57" ht="15.75" customHeight="1">
      <c r="A57" s="7" t="s">
        <v>163</v>
      </c>
      <c r="B57" s="28">
        <v>12500.0</v>
      </c>
      <c r="C57" s="28" t="s">
        <v>194</v>
      </c>
      <c r="D57" s="28" t="s">
        <v>918</v>
      </c>
      <c r="E57" s="28"/>
      <c r="F57" s="36" t="s">
        <v>1448</v>
      </c>
      <c r="G57" s="7" t="s">
        <v>1449</v>
      </c>
      <c r="H57" s="7" t="s">
        <v>1450</v>
      </c>
      <c r="I57" s="7"/>
      <c r="J57" s="7" t="s">
        <v>1431</v>
      </c>
      <c r="K57" s="7" t="s">
        <v>1451</v>
      </c>
      <c r="L57" s="7" t="s">
        <v>900</v>
      </c>
      <c r="M57" s="7" t="s">
        <v>1452</v>
      </c>
      <c r="N57" s="7" t="s">
        <v>544</v>
      </c>
      <c r="O57" s="7" t="s">
        <v>454</v>
      </c>
      <c r="P57" s="7" t="s">
        <v>455</v>
      </c>
      <c r="Q57" s="7" t="s">
        <v>1453</v>
      </c>
      <c r="R57" s="7" t="s">
        <v>1454</v>
      </c>
      <c r="S57" s="7" t="str">
        <f t="array" ref="S57">IF(OR($A57="",ISBLANK(XLOOKUP($A57,Laptops_Asignadas,Nombres_Directorio,"",0))),"",XLOOKUP($A57,Laptops_Asignadas,Nombres_Directorio,"",0))</f>
        <v>Raúl Óscar Ortega Guillén</v>
      </c>
      <c r="T57" s="7" t="str">
        <f t="array" ref="T57">IF(OR($A57="",ISBLANK(XLOOKUP($A57,Laptops_Asignadas,Sucursal_Asignada,"",0))),"",XLOOKUP($A57,Laptops_Asignadas,Sucursal_Asignada,"",0))</f>
        <v>La Barca</v>
      </c>
      <c r="U57" s="7" t="str">
        <f t="array" ref="U57">IF(OR($A57="",ISBLANK(XLOOKUP($A57,Laptops_Asignadas,Departamento_Asignado,"",0))),"",XLOOKUP($A57,Laptops_Asignadas,Departamento_Asignado,"",0))</f>
        <v>Corporativo</v>
      </c>
      <c r="V57" s="7" t="str">
        <f t="array" ref="V57">IF(OR($A57="",ISBLANK(XLOOKUP($A57,Laptops_Asignadas,Nombres_Directorio,"",0))),"",XLOOKUP($A57,Laptops_Asignadas,Nombres_Directorio,"",0))</f>
        <v>Raúl Óscar Ortega Guillén</v>
      </c>
      <c r="W57" s="7" t="str">
        <f t="array" ref="W57">IF(OR($A57="",ISBLANK(XLOOKUP($A57,Laptops_Asignadas,Correos_Gmail,"",0))),"",XLOOKUP($A57,Laptops_Asignadas,Correos_Gmail,"",0))</f>
        <v>marketingdigital@agrocisa.com.mx</v>
      </c>
      <c r="X57" s="7" t="str">
        <f t="array" ref="X57">IF(OR($A57="",ISBLANK(XLOOKUP($A57,Laptops_Asignadas,Correos_Institucionales,"",0))),"",XLOOKUP($A57,Laptops_Asignadas,Correos_Institucionales,"",0))</f>
        <v>marketingexperiencial@agrocisa.com.mx</v>
      </c>
    </row>
    <row r="58" ht="15.75" customHeight="1">
      <c r="A58" s="7" t="s">
        <v>682</v>
      </c>
      <c r="B58" s="28">
        <v>8000.0</v>
      </c>
      <c r="C58" s="28" t="s">
        <v>194</v>
      </c>
      <c r="D58" s="28" t="s">
        <v>918</v>
      </c>
      <c r="E58" s="28"/>
      <c r="F58" s="36" t="s">
        <v>444</v>
      </c>
      <c r="G58" s="7" t="s">
        <v>1080</v>
      </c>
      <c r="H58" s="7" t="s">
        <v>1459</v>
      </c>
      <c r="I58" s="7" t="s">
        <v>1460</v>
      </c>
      <c r="J58" s="7" t="s">
        <v>580</v>
      </c>
      <c r="K58" s="7" t="s">
        <v>1461</v>
      </c>
      <c r="L58" s="7" t="s">
        <v>541</v>
      </c>
      <c r="M58" s="7" t="s">
        <v>1462</v>
      </c>
      <c r="N58" s="7" t="s">
        <v>1463</v>
      </c>
      <c r="O58" s="7" t="s">
        <v>454</v>
      </c>
      <c r="P58" s="7" t="s">
        <v>455</v>
      </c>
      <c r="Q58" s="7"/>
      <c r="R58" s="7" t="s">
        <v>1464</v>
      </c>
      <c r="S58" s="7" t="str">
        <f t="array" ref="S58">IF(OR($A58="",ISBLANK(XLOOKUP($A58,Laptops_Asignadas,Nombres_Directorio,"",0))),"",XLOOKUP($A58,Laptops_Asignadas,Nombres_Directorio,"",0))</f>
        <v>Roberto Adrián Ferreira Muñiz</v>
      </c>
      <c r="T58" s="7" t="str">
        <f t="array" ref="T58">IF(OR($A58="",ISBLANK(XLOOKUP($A58,Laptops_Asignadas,Sucursal_Asignada,"",0))),"",XLOOKUP($A58,Laptops_Asignadas,Sucursal_Asignada,"",0))</f>
        <v>Morelia</v>
      </c>
      <c r="U58" s="7" t="str">
        <f t="array" ref="U58">IF(OR($A58="",ISBLANK(XLOOKUP($A58,Laptops_Asignadas,Departamento_Asignado,"",0))),"",XLOOKUP($A58,Laptops_Asignadas,Departamento_Asignado,"",0))</f>
        <v>Maquinaria Agrícola</v>
      </c>
      <c r="V58" s="7" t="str">
        <f t="array" ref="V58">IF(OR($A58="",ISBLANK(XLOOKUP($A58,Laptops_Asignadas,Nombres_Directorio,"",0))),"",XLOOKUP($A58,Laptops_Asignadas,Nombres_Directorio,"",0))</f>
        <v>Roberto Adrián Ferreira Muñiz</v>
      </c>
      <c r="W58" s="7" t="str">
        <f t="array" ref="W58">IF(OR($A58="",ISBLANK(XLOOKUP($A58,Laptops_Asignadas,Correos_Gmail,"",0))),"",XLOOKUP($A58,Laptops_Asignadas,Correos_Gmail,"",0))</f>
        <v>ventasmo1.agro@gmail.com</v>
      </c>
      <c r="X58" s="7" t="str">
        <f t="array" ref="X58">IF(OR($A58="",ISBLANK(XLOOKUP($A58,Laptops_Asignadas,Correos_Institucionales,"",0))),"",XLOOKUP($A58,Laptops_Asignadas,Correos_Institucionales,"",0))</f>
        <v>roberto.ferreira@agrocisa.com.mx</v>
      </c>
    </row>
    <row r="59" ht="15.75" customHeight="1">
      <c r="A59" s="7" t="s">
        <v>557</v>
      </c>
      <c r="B59" s="28"/>
      <c r="C59" s="28" t="s">
        <v>194</v>
      </c>
      <c r="D59" s="28" t="s">
        <v>918</v>
      </c>
      <c r="E59" s="28"/>
      <c r="F59" s="36" t="s">
        <v>919</v>
      </c>
      <c r="G59" s="7" t="s">
        <v>1449</v>
      </c>
      <c r="H59" s="7" t="s">
        <v>1468</v>
      </c>
      <c r="I59" s="7" t="s">
        <v>1469</v>
      </c>
      <c r="J59" s="7" t="s">
        <v>580</v>
      </c>
      <c r="K59" s="7" t="s">
        <v>1470</v>
      </c>
      <c r="L59" s="7" t="s">
        <v>900</v>
      </c>
      <c r="M59" s="7" t="s">
        <v>1471</v>
      </c>
      <c r="N59" s="7" t="s">
        <v>544</v>
      </c>
      <c r="O59" s="7" t="s">
        <v>454</v>
      </c>
      <c r="P59" s="7" t="s">
        <v>455</v>
      </c>
      <c r="Q59" s="7"/>
      <c r="R59" s="7" t="s">
        <v>1472</v>
      </c>
      <c r="S59" s="7" t="str">
        <f t="array" ref="S59">IF(OR($A59="",ISBLANK(XLOOKUP($A59,Laptops_Asignadas,Nombres_Directorio,"",0))),"",XLOOKUP($A59,Laptops_Asignadas,Nombres_Directorio,"",0))</f>
        <v>Lucia Guadalupe Trujillo Rodríguez</v>
      </c>
      <c r="T59" s="7" t="str">
        <f t="array" ref="T59">IF(OR($A59="",ISBLANK(XLOOKUP($A59,Laptops_Asignadas,Sucursal_Asignada,"",0))),"",XLOOKUP($A59,Laptops_Asignadas,Sucursal_Asignada,"",0))</f>
        <v>La Barca</v>
      </c>
      <c r="U59" s="7" t="str">
        <f t="array" ref="U59">IF(OR($A59="",ISBLANK(XLOOKUP($A59,Laptops_Asignadas,Departamento_Asignado,"",0))),"",XLOOKUP($A59,Laptops_Asignadas,Departamento_Asignado,"",0))</f>
        <v>Sistemas</v>
      </c>
      <c r="V59" s="7" t="str">
        <f t="array" ref="V59">IF(OR($A59="",ISBLANK(XLOOKUP($A59,Laptops_Asignadas,Nombres_Directorio,"",0))),"",XLOOKUP($A59,Laptops_Asignadas,Nombres_Directorio,"",0))</f>
        <v>Lucia Guadalupe Trujillo Rodríguez</v>
      </c>
      <c r="W59" s="7" t="str">
        <f t="array" ref="W59">IF(OR($A59="",ISBLANK(XLOOKUP($A59,Laptops_Asignadas,Correos_Gmail,"",0))),"",XLOOKUP($A59,Laptops_Asignadas,Correos_Gmail,"",0))</f>
        <v>sistemas.agrocisa@gmail.com</v>
      </c>
      <c r="X59" s="7" t="str">
        <f t="array" ref="X59">IF(OR($A59="",ISBLANK(XLOOKUP($A59,Laptops_Asignadas,Correos_Institucionales,"",0))),"",XLOOKUP($A59,Laptops_Asignadas,Correos_Institucionales,"",0))</f>
        <v>sistemas@agrocisa.com.mx</v>
      </c>
    </row>
    <row r="60" ht="15.75" customHeight="1">
      <c r="A60" s="7" t="s">
        <v>73</v>
      </c>
      <c r="B60" s="28">
        <v>2500.0</v>
      </c>
      <c r="C60" s="28" t="s">
        <v>788</v>
      </c>
      <c r="D60" s="28" t="s">
        <v>918</v>
      </c>
      <c r="E60" s="28"/>
      <c r="F60" s="36" t="s">
        <v>1477</v>
      </c>
      <c r="G60" s="7" t="s">
        <v>1478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 t="s">
        <v>1112</v>
      </c>
      <c r="S60" s="7" t="str">
        <f t="array" ref="S60">IF(OR($A60="",ISBLANK(XLOOKUP($A60,Laptops_Asignadas,Nombres_Directorio,"",0))),"",XLOOKUP($A60,Laptops_Asignadas,Nombres_Directorio,"",0))</f>
        <v>José Alejandro Tellez Gómez</v>
      </c>
      <c r="T60" s="7" t="str">
        <f t="array" ref="T60">IF(OR($A60="",ISBLANK(XLOOKUP($A60,Laptops_Asignadas,Sucursal_Asignada,"",0))),"",XLOOKUP($A60,Laptops_Asignadas,Sucursal_Asignada,"",0))</f>
        <v>La Barca</v>
      </c>
      <c r="U60" s="7" t="str">
        <f t="array" ref="U60">IF(OR($A60="",ISBLANK(XLOOKUP($A60,Laptops_Asignadas,Departamento_Asignado,"",0))),"",XLOOKUP($A60,Laptops_Asignadas,Departamento_Asignado,"",0))</f>
        <v>Agricultura Inteligente</v>
      </c>
      <c r="V60" s="7" t="str">
        <f t="array" ref="V60">IF(OR($A60="",ISBLANK(XLOOKUP($A60,Laptops_Asignadas,Nombres_Directorio,"",0))),"",XLOOKUP($A60,Laptops_Asignadas,Nombres_Directorio,"",0))</f>
        <v>José Alejandro Tellez Gómez</v>
      </c>
      <c r="W60" s="7" t="str">
        <f t="array" ref="W60">IF(OR($A60="",ISBLANK(XLOOKUP($A60,Laptops_Asignadas,Correos_Gmail,"",0))),"",XLOOKUP($A60,Laptops_Asignadas,Correos_Gmail,"",0))</f>
        <v>alejandro.tellez@agrocisa.com.mx</v>
      </c>
      <c r="X60" s="7" t="str">
        <f t="array" ref="X60">IF(OR($A60="",ISBLANK(XLOOKUP($A60,Laptops_Asignadas,Correos_Institucionales,"",0))),"",XLOOKUP($A60,Laptops_Asignadas,Correos_Institucionales,"",0))</f>
        <v>alejandro.tellez@agrocisa.com.mx</v>
      </c>
    </row>
    <row r="61" ht="15.75" customHeight="1">
      <c r="A61" s="7" t="s">
        <v>220</v>
      </c>
      <c r="B61" s="28">
        <v>14519.0</v>
      </c>
      <c r="C61" s="28" t="s">
        <v>194</v>
      </c>
      <c r="D61" s="28" t="s">
        <v>918</v>
      </c>
      <c r="E61" s="28"/>
      <c r="F61" s="36" t="s">
        <v>1481</v>
      </c>
      <c r="G61" s="7" t="s">
        <v>1449</v>
      </c>
      <c r="H61" s="7" t="s">
        <v>1482</v>
      </c>
      <c r="I61" s="7" t="s">
        <v>1483</v>
      </c>
      <c r="J61" s="7" t="s">
        <v>580</v>
      </c>
      <c r="K61" s="7" t="s">
        <v>1484</v>
      </c>
      <c r="L61" s="7" t="s">
        <v>900</v>
      </c>
      <c r="M61" s="7" t="s">
        <v>1485</v>
      </c>
      <c r="N61" s="7" t="s">
        <v>544</v>
      </c>
      <c r="O61" s="7" t="s">
        <v>454</v>
      </c>
      <c r="P61" s="7" t="s">
        <v>455</v>
      </c>
      <c r="Q61" s="7"/>
      <c r="R61" s="7" t="s">
        <v>1486</v>
      </c>
      <c r="S61" s="7" t="str">
        <f t="array" ref="S61">IF(OR($A61="",ISBLANK(XLOOKUP($A61,Laptops_Asignadas,Nombres_Directorio,"",0))),"",XLOOKUP($A61,Laptops_Asignadas,Nombres_Directorio,"",0))</f>
        <v>Adrián Paskinel Hernández Zavala</v>
      </c>
      <c r="T61" s="7" t="str">
        <f t="array" ref="T61">IF(OR($A61="",ISBLANK(XLOOKUP($A61,Laptops_Asignadas,Sucursal_Asignada,"",0))),"",XLOOKUP($A61,Laptops_Asignadas,Sucursal_Asignada,"",0))</f>
        <v>La Barca</v>
      </c>
      <c r="U61" s="7" t="str">
        <f t="array" ref="U61">IF(OR($A61="",ISBLANK(XLOOKUP($A61,Laptops_Asignadas,Departamento_Asignado,"",0))),"",XLOOKUP($A61,Laptops_Asignadas,Departamento_Asignado,"",0))</f>
        <v>Corporativo</v>
      </c>
      <c r="V61" s="7" t="str">
        <f t="array" ref="V61">IF(OR($A61="",ISBLANK(XLOOKUP($A61,Laptops_Asignadas,Nombres_Directorio,"",0))),"",XLOOKUP($A61,Laptops_Asignadas,Nombres_Directorio,"",0))</f>
        <v>Adrián Paskinel Hernández Zavala</v>
      </c>
      <c r="W61" s="7" t="str">
        <f t="array" ref="W61">IF(OR($A61="",ISBLANK(XLOOKUP($A61,Laptops_Asignadas,Correos_Gmail,"",0))),"",XLOOKUP($A61,Laptops_Asignadas,Correos_Gmail,"",0))</f>
        <v>adrian.hernandez@agrocisa.com.mx</v>
      </c>
      <c r="X61" s="7" t="str">
        <f t="array" ref="X61">IF(OR($A61="",ISBLANK(XLOOKUP($A61,Laptops_Asignadas,Correos_Institucionales,"",0))),"",XLOOKUP($A61,Laptops_Asignadas,Correos_Institucionales,"",0))</f>
        <v>adrian.hernandez@agrocisa.com.mx</v>
      </c>
    </row>
    <row r="62" ht="15.75" customHeight="1">
      <c r="A62" s="7" t="s">
        <v>208</v>
      </c>
      <c r="B62" s="28">
        <v>13684.0</v>
      </c>
      <c r="C62" s="28" t="s">
        <v>194</v>
      </c>
      <c r="D62" s="28" t="s">
        <v>918</v>
      </c>
      <c r="E62" s="28"/>
      <c r="F62" s="36" t="s">
        <v>919</v>
      </c>
      <c r="G62" s="7" t="s">
        <v>1449</v>
      </c>
      <c r="H62" s="7" t="s">
        <v>1491</v>
      </c>
      <c r="I62" s="7" t="s">
        <v>1492</v>
      </c>
      <c r="J62" s="7" t="s">
        <v>580</v>
      </c>
      <c r="K62" s="7" t="s">
        <v>1493</v>
      </c>
      <c r="L62" s="7" t="s">
        <v>900</v>
      </c>
      <c r="M62" s="7" t="s">
        <v>1494</v>
      </c>
      <c r="N62" s="7" t="s">
        <v>544</v>
      </c>
      <c r="O62" s="7" t="s">
        <v>454</v>
      </c>
      <c r="P62" s="7" t="s">
        <v>455</v>
      </c>
      <c r="Q62" s="7" t="s">
        <v>1495</v>
      </c>
      <c r="R62" s="7" t="s">
        <v>1496</v>
      </c>
      <c r="S62" s="7" t="str">
        <f t="array" ref="S62">IF(OR($A62="",ISBLANK(XLOOKUP($A62,Laptops_Asignadas,Nombres_Directorio,"",0))),"",XLOOKUP($A62,Laptops_Asignadas,Nombres_Directorio,"",0))</f>
        <v>Pablo Alberto Barocio Valle</v>
      </c>
      <c r="T62" s="7" t="str">
        <f t="array" ref="T62">IF(OR($A62="",ISBLANK(XLOOKUP($A62,Laptops_Asignadas,Sucursal_Asignada,"",0))),"",XLOOKUP($A62,Laptops_Asignadas,Sucursal_Asignada,"",0))</f>
        <v>La Barca</v>
      </c>
      <c r="U62" s="7" t="str">
        <f t="array" ref="U62">IF(OR($A62="",ISBLANK(XLOOKUP($A62,Laptops_Asignadas,Departamento_Asignado,"",0))),"",XLOOKUP($A62,Laptops_Asignadas,Departamento_Asignado,"",0))</f>
        <v>Corporativo</v>
      </c>
      <c r="V62" s="7" t="str">
        <f t="array" ref="V62">IF(OR($A62="",ISBLANK(XLOOKUP($A62,Laptops_Asignadas,Nombres_Directorio,"",0))),"",XLOOKUP($A62,Laptops_Asignadas,Nombres_Directorio,"",0))</f>
        <v>Pablo Alberto Barocio Valle</v>
      </c>
      <c r="W62" s="7" t="str">
        <f t="array" ref="W62">IF(OR($A62="",ISBLANK(XLOOKUP($A62,Laptops_Asignadas,Correos_Gmail,"",0))),"",XLOOKUP($A62,Laptops_Asignadas,Correos_Gmail,"",0))</f>
        <v>sistemas.agrocisa@gmail.com</v>
      </c>
      <c r="X62" s="7" t="str">
        <f t="array" ref="X62">IF(OR($A62="",ISBLANK(XLOOKUP($A62,Laptops_Asignadas,Correos_Institucionales,"",0))),"",XLOOKUP($A62,Laptops_Asignadas,Correos_Institucionales,"",0))</f>
        <v>sistemas@agrocisa.com.mx</v>
      </c>
    </row>
    <row r="63" ht="15.75" customHeight="1">
      <c r="A63" s="7" t="s">
        <v>1499</v>
      </c>
      <c r="B63" s="28">
        <v>13684.0</v>
      </c>
      <c r="C63" s="28" t="s">
        <v>194</v>
      </c>
      <c r="D63" s="28" t="s">
        <v>918</v>
      </c>
      <c r="E63" s="28"/>
      <c r="F63" s="36" t="s">
        <v>444</v>
      </c>
      <c r="G63" s="7" t="s">
        <v>1449</v>
      </c>
      <c r="H63" s="7" t="s">
        <v>1491</v>
      </c>
      <c r="I63" s="7" t="s">
        <v>1502</v>
      </c>
      <c r="J63" s="7" t="s">
        <v>580</v>
      </c>
      <c r="K63" s="7" t="s">
        <v>1493</v>
      </c>
      <c r="L63" s="7" t="s">
        <v>900</v>
      </c>
      <c r="M63" s="7" t="s">
        <v>1494</v>
      </c>
      <c r="N63" s="7" t="s">
        <v>544</v>
      </c>
      <c r="O63" s="7" t="s">
        <v>454</v>
      </c>
      <c r="P63" s="7" t="s">
        <v>455</v>
      </c>
      <c r="Q63" s="7"/>
      <c r="R63" s="7" t="s">
        <v>1503</v>
      </c>
      <c r="S63" s="7" t="str">
        <f t="array" ref="S63">IF(OR($A63="",ISBLANK(XLOOKUP($A63,Laptops_Asignadas,Nombres_Directorio,"",0))),"",XLOOKUP($A63,Laptops_Asignadas,Nombres_Directorio,"",0))</f>
        <v/>
      </c>
      <c r="T63" s="7" t="str">
        <f t="array" ref="T63">IF(OR($A63="",ISBLANK(XLOOKUP($A63,Laptops_Asignadas,Sucursal_Asignada,"",0))),"",XLOOKUP($A63,Laptops_Asignadas,Sucursal_Asignada,"",0))</f>
        <v/>
      </c>
      <c r="U63" s="7" t="str">
        <f t="array" ref="U63">IF(OR($A63="",ISBLANK(XLOOKUP($A63,Laptops_Asignadas,Departamento_Asignado,"",0))),"",XLOOKUP($A63,Laptops_Asignadas,Departamento_Asignado,"",0))</f>
        <v/>
      </c>
      <c r="V63" s="7" t="str">
        <f t="array" ref="V63">IF(OR($A63="",ISBLANK(XLOOKUP($A63,Laptops_Asignadas,Nombres_Directorio,"",0))),"",XLOOKUP($A63,Laptops_Asignadas,Nombres_Directorio,"",0))</f>
        <v/>
      </c>
      <c r="W63" s="7" t="str">
        <f t="array" ref="W63">IF(OR($A63="",ISBLANK(XLOOKUP($A63,Laptops_Asignadas,Correos_Gmail,"",0))),"",XLOOKUP($A63,Laptops_Asignadas,Correos_Gmail,"",0))</f>
        <v/>
      </c>
      <c r="X63" s="7" t="str">
        <f t="array" ref="X63">IF(OR($A63="",ISBLANK(XLOOKUP($A63,Laptops_Asignadas,Correos_Institucionales,"",0))),"",XLOOKUP($A63,Laptops_Asignadas,Correos_Institucionales,"",0))</f>
        <v/>
      </c>
    </row>
    <row r="64" ht="15.75" customHeight="1">
      <c r="A64" s="7" t="s">
        <v>96</v>
      </c>
      <c r="B64" s="28">
        <v>11059.0</v>
      </c>
      <c r="C64" s="28" t="s">
        <v>194</v>
      </c>
      <c r="D64" s="28" t="s">
        <v>918</v>
      </c>
      <c r="E64" s="28"/>
      <c r="F64" s="36" t="s">
        <v>1506</v>
      </c>
      <c r="G64" s="7" t="s">
        <v>1507</v>
      </c>
      <c r="H64" s="7" t="s">
        <v>1508</v>
      </c>
      <c r="I64" s="7" t="s">
        <v>1509</v>
      </c>
      <c r="J64" s="7" t="s">
        <v>580</v>
      </c>
      <c r="K64" s="7" t="s">
        <v>1510</v>
      </c>
      <c r="L64" s="7" t="s">
        <v>900</v>
      </c>
      <c r="M64" s="7" t="s">
        <v>1511</v>
      </c>
      <c r="N64" s="7" t="s">
        <v>544</v>
      </c>
      <c r="O64" s="7" t="s">
        <v>454</v>
      </c>
      <c r="P64" s="7" t="s">
        <v>455</v>
      </c>
      <c r="Q64" s="7" t="s">
        <v>275</v>
      </c>
      <c r="R64" s="7" t="s">
        <v>1496</v>
      </c>
      <c r="S64" s="7" t="str">
        <f t="array" ref="S64">IF(OR($A64="",ISBLANK(XLOOKUP($A64,Laptops_Asignadas,Nombres_Directorio,"",0))),"",XLOOKUP($A64,Laptops_Asignadas,Nombres_Directorio,"",0))</f>
        <v>Alejandra Guadalupe Munguía Albisio</v>
      </c>
      <c r="T64" s="7" t="str">
        <f t="array" ref="T64">IF(OR($A64="",ISBLANK(XLOOKUP($A64,Laptops_Asignadas,Sucursal_Asignada,"",0))),"",XLOOKUP($A64,Laptops_Asignadas,Sucursal_Asignada,"",0))</f>
        <v>La Barca</v>
      </c>
      <c r="U64" s="7" t="str">
        <f t="array" ref="U64">IF(OR($A64="",ISBLANK(XLOOKUP($A64,Laptops_Asignadas,Departamento_Asignado,"",0))),"",XLOOKUP($A64,Laptops_Asignadas,Departamento_Asignado,"",0))</f>
        <v>Compras Internacionales</v>
      </c>
      <c r="V64" s="7" t="str">
        <f t="array" ref="V64">IF(OR($A64="",ISBLANK(XLOOKUP($A64,Laptops_Asignadas,Nombres_Directorio,"",0))),"",XLOOKUP($A64,Laptops_Asignadas,Nombres_Directorio,"",0))</f>
        <v>Alejandra Guadalupe Munguía Albisio</v>
      </c>
      <c r="W64" s="7" t="str">
        <f t="array" ref="W64">IF(OR($A64="",ISBLANK(XLOOKUP($A64,Laptops_Asignadas,Correos_Gmail,"",0))),"",XLOOKUP($A64,Laptops_Asignadas,Correos_Gmail,"",0))</f>
        <v>comprasinternacionales@agrocisa.com.mx</v>
      </c>
      <c r="X64" s="7" t="str">
        <f t="array" ref="X64">IF(OR($A64="",ISBLANK(XLOOKUP($A64,Laptops_Asignadas,Correos_Institucionales,"",0))),"",XLOOKUP($A64,Laptops_Asignadas,Correos_Institucionales,"",0))</f>
        <v>comprasinternacionales@agrocisa.com.mx</v>
      </c>
    </row>
    <row r="65" ht="15.75" customHeight="1">
      <c r="A65" s="7" t="s">
        <v>83</v>
      </c>
      <c r="B65" s="28">
        <v>11059.0</v>
      </c>
      <c r="C65" s="28" t="s">
        <v>194</v>
      </c>
      <c r="D65" s="28" t="s">
        <v>918</v>
      </c>
      <c r="E65" s="28"/>
      <c r="F65" s="36" t="s">
        <v>1516</v>
      </c>
      <c r="G65" s="7" t="s">
        <v>1507</v>
      </c>
      <c r="H65" s="7" t="s">
        <v>1508</v>
      </c>
      <c r="I65" s="19" t="s">
        <v>1517</v>
      </c>
      <c r="J65" s="7" t="s">
        <v>580</v>
      </c>
      <c r="K65" s="7" t="s">
        <v>1510</v>
      </c>
      <c r="L65" s="7" t="s">
        <v>900</v>
      </c>
      <c r="M65" s="7" t="s">
        <v>1511</v>
      </c>
      <c r="N65" s="7" t="s">
        <v>544</v>
      </c>
      <c r="O65" s="7" t="s">
        <v>454</v>
      </c>
      <c r="P65" s="7" t="s">
        <v>455</v>
      </c>
      <c r="Q65" s="7" t="s">
        <v>275</v>
      </c>
      <c r="R65" s="7" t="s">
        <v>1520</v>
      </c>
      <c r="S65" s="7" t="str">
        <f t="array" ref="S65">IF(OR($A65="",ISBLANK(XLOOKUP($A65,Laptops_Asignadas,Nombres_Directorio,"",0))),"",XLOOKUP($A65,Laptops_Asignadas,Nombres_Directorio,"",0))</f>
        <v>Vacante reclutamiento</v>
      </c>
      <c r="T65" s="7" t="str">
        <f t="array" ref="T65">IF(OR($A65="",ISBLANK(XLOOKUP($A65,Laptops_Asignadas,Sucursal_Asignada,"",0))),"",XLOOKUP($A65,Laptops_Asignadas,Sucursal_Asignada,"",0))</f>
        <v>La Barca</v>
      </c>
      <c r="U65" s="7" t="str">
        <f t="array" ref="U65">IF(OR($A65="",ISBLANK(XLOOKUP($A65,Laptops_Asignadas,Departamento_Asignado,"",0))),"",XLOOKUP($A65,Laptops_Asignadas,Departamento_Asignado,"",0))</f>
        <v>Capital Humano</v>
      </c>
      <c r="V65" s="7" t="str">
        <f t="array" ref="V65">IF(OR($A65="",ISBLANK(XLOOKUP($A65,Laptops_Asignadas,Nombres_Directorio,"",0))),"",XLOOKUP($A65,Laptops_Asignadas,Nombres_Directorio,"",0))</f>
        <v>Vacante reclutamiento</v>
      </c>
      <c r="W65" s="7" t="str">
        <f t="array" ref="W65">IF(OR($A65="",ISBLANK(XLOOKUP($A65,Laptops_Asignadas,Correos_Gmail,"",0))),"",XLOOKUP($A65,Laptops_Asignadas,Correos_Gmail,"",0))</f>
        <v>maria.hernandez@agrocisa.com.mx</v>
      </c>
      <c r="X65" s="7" t="str">
        <f t="array" ref="X65">IF(OR($A65="",ISBLANK(XLOOKUP($A65,Laptops_Asignadas,Correos_Institucionales,"",0))),"",XLOOKUP($A65,Laptops_Asignadas,Correos_Institucionales,"",0))</f>
        <v>maria.hernandez@agrocisa.com.mx</v>
      </c>
    </row>
    <row r="66" ht="15.75" customHeight="1">
      <c r="A66" s="7" t="s">
        <v>181</v>
      </c>
      <c r="B66" s="28">
        <v>11059.0</v>
      </c>
      <c r="C66" s="28" t="s">
        <v>194</v>
      </c>
      <c r="D66" s="28" t="s">
        <v>918</v>
      </c>
      <c r="E66" s="28"/>
      <c r="F66" s="36" t="s">
        <v>1530</v>
      </c>
      <c r="G66" s="7" t="s">
        <v>1507</v>
      </c>
      <c r="H66" s="7" t="s">
        <v>1531</v>
      </c>
      <c r="I66" s="7" t="s">
        <v>1532</v>
      </c>
      <c r="J66" s="7" t="s">
        <v>580</v>
      </c>
      <c r="K66" s="7" t="s">
        <v>1510</v>
      </c>
      <c r="L66" s="7" t="s">
        <v>900</v>
      </c>
      <c r="M66" s="7" t="s">
        <v>1511</v>
      </c>
      <c r="N66" s="7" t="s">
        <v>544</v>
      </c>
      <c r="O66" s="7" t="s">
        <v>454</v>
      </c>
      <c r="P66" s="7" t="s">
        <v>455</v>
      </c>
      <c r="Q66" s="7" t="s">
        <v>275</v>
      </c>
      <c r="R66" s="7" t="s">
        <v>1533</v>
      </c>
      <c r="S66" s="7" t="str">
        <f t="array" ref="S66">IF(OR($A66="",ISBLANK(XLOOKUP($A66,Laptops_Asignadas,Nombres_Directorio,"",0))),"",XLOOKUP($A66,Laptops_Asignadas,Nombres_Directorio,"",0))</f>
        <v>Abraham Octavio García Sahagún</v>
      </c>
      <c r="T66" s="7" t="str">
        <f t="array" ref="T66">IF(OR($A66="",ISBLANK(XLOOKUP($A66,Laptops_Asignadas,Sucursal_Asignada,"",0))),"",XLOOKUP($A66,Laptops_Asignadas,Sucursal_Asignada,"",0))</f>
        <v>La Barca</v>
      </c>
      <c r="U66" s="7" t="str">
        <f t="array" ref="U66">IF(OR($A66="",ISBLANK(XLOOKUP($A66,Laptops_Asignadas,Departamento_Asignado,"",0))),"",XLOOKUP($A66,Laptops_Asignadas,Departamento_Asignado,"",0))</f>
        <v>Corporativo</v>
      </c>
      <c r="V66" s="7" t="str">
        <f t="array" ref="V66">IF(OR($A66="",ISBLANK(XLOOKUP($A66,Laptops_Asignadas,Nombres_Directorio,"",0))),"",XLOOKUP($A66,Laptops_Asignadas,Nombres_Directorio,"",0))</f>
        <v>Abraham Octavio García Sahagún</v>
      </c>
      <c r="W66" s="7" t="str">
        <f t="array" ref="W66">IF(OR($A66="",ISBLANK(XLOOKUP($A66,Laptops_Asignadas,Correos_Gmail,"",0))),"",XLOOKUP($A66,Laptops_Asignadas,Correos_Gmail,"",0))</f>
        <v>refalabarca.agro@gmail.com</v>
      </c>
      <c r="X66" s="7" t="str">
        <f t="array" ref="X66">IF(OR($A66="",ISBLANK(XLOOKUP($A66,Laptops_Asignadas,Correos_Institucionales,"",0))),"",XLOOKUP($A66,Laptops_Asignadas,Correos_Institucionales,"",0))</f>
        <v>abraham.garcia@agrocisa.com.mx</v>
      </c>
    </row>
    <row r="67" ht="15.75" customHeight="1">
      <c r="A67" s="7" t="s">
        <v>438</v>
      </c>
      <c r="B67" s="28">
        <v>9839.0</v>
      </c>
      <c r="C67" s="28" t="s">
        <v>194</v>
      </c>
      <c r="D67" s="28" t="s">
        <v>918</v>
      </c>
      <c r="E67" s="28"/>
      <c r="F67" s="36">
        <v>46219.0</v>
      </c>
      <c r="G67" s="7" t="s">
        <v>959</v>
      </c>
      <c r="H67" s="7" t="s">
        <v>1539</v>
      </c>
      <c r="I67" s="7" t="s">
        <v>1540</v>
      </c>
      <c r="J67" s="7" t="s">
        <v>580</v>
      </c>
      <c r="K67" s="7" t="s">
        <v>1541</v>
      </c>
      <c r="L67" s="7" t="s">
        <v>900</v>
      </c>
      <c r="M67" s="7" t="s">
        <v>1539</v>
      </c>
      <c r="N67" s="7" t="s">
        <v>544</v>
      </c>
      <c r="O67" s="7" t="s">
        <v>454</v>
      </c>
      <c r="P67" s="7" t="s">
        <v>455</v>
      </c>
      <c r="Q67" s="7"/>
      <c r="R67" s="7" t="s">
        <v>1542</v>
      </c>
      <c r="S67" s="7" t="str">
        <f t="array" ref="S67">IF(OR($A67="",ISBLANK(XLOOKUP($A67,Laptops_Asignadas,Nombres_Directorio,"",0))),"",XLOOKUP($A67,Laptops_Asignadas,Nombres_Directorio,"",0))</f>
        <v>Juan Antonio Lara Mendoza</v>
      </c>
      <c r="T67" s="7" t="str">
        <f t="array" ref="T67">IF(OR($A67="",ISBLANK(XLOOKUP($A67,Laptops_Asignadas,Sucursal_Asignada,"",0))),"",XLOOKUP($A67,Laptops_Asignadas,Sucursal_Asignada,"",0))</f>
        <v>La Barca</v>
      </c>
      <c r="U67" s="7" t="str">
        <f t="array" ref="U67">IF(OR($A67="",ISBLANK(XLOOKUP($A67,Laptops_Asignadas,Departamento_Asignado,"",0))),"",XLOOKUP($A67,Laptops_Asignadas,Departamento_Asignado,"",0))</f>
        <v>Parque Vehicular</v>
      </c>
      <c r="V67" s="7" t="str">
        <f t="array" ref="V67">IF(OR($A67="",ISBLANK(XLOOKUP($A67,Laptops_Asignadas,Nombres_Directorio,"",0))),"",XLOOKUP($A67,Laptops_Asignadas,Nombres_Directorio,"",0))</f>
        <v>Juan Antonio Lara Mendoza</v>
      </c>
      <c r="W67" s="7" t="str">
        <f t="array" ref="W67">IF(OR($A67="",ISBLANK(XLOOKUP($A67,Laptops_Asignadas,Correos_Gmail,"",0))),"",XLOOKUP($A67,Laptops_Asignadas,Correos_Gmail,"",0))</f>
        <v>antonio.lara@agrocisa.com.mx</v>
      </c>
      <c r="X67" s="7" t="str">
        <f t="array" ref="X67">IF(OR($A67="",ISBLANK(XLOOKUP($A67,Laptops_Asignadas,Correos_Institucionales,"",0))),"",XLOOKUP($A67,Laptops_Asignadas,Correos_Institucionales,"",0))</f>
        <v>juan.lara@agrocisa.com.mx</v>
      </c>
    </row>
    <row r="68" ht="15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</row>
    <row r="69" ht="15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</row>
    <row r="218" ht="15.75" customHeight="1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</row>
    <row r="219" ht="15.75" customHeight="1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</row>
    <row r="220" ht="15.75" customHeight="1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</row>
    <row r="221" ht="15.75" customHeight="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</row>
    <row r="222" ht="15.75" customHeight="1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</row>
    <row r="223" ht="15.75" customHeight="1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</row>
    <row r="224" ht="15.75" customHeight="1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</row>
    <row r="225" ht="15.75" customHeight="1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</row>
    <row r="226" ht="15.75" customHeight="1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</row>
    <row r="227" ht="15.75" customHeight="1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</row>
    <row r="228" ht="15.75" customHeight="1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</row>
    <row r="229" ht="15.75" customHeight="1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</row>
    <row r="230" ht="15.75" customHeight="1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</row>
    <row r="231" ht="15.75" customHeight="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</row>
    <row r="232" ht="15.75" customHeight="1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</row>
    <row r="233" ht="15.75" customHeight="1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</row>
    <row r="234" ht="15.75" customHeight="1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</row>
    <row r="235" ht="15.75" customHeight="1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</row>
    <row r="236" ht="15.75" customHeight="1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</row>
    <row r="237" ht="15.75" customHeight="1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</row>
    <row r="238" ht="15.75" customHeight="1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</row>
    <row r="239" ht="15.75" customHeight="1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</row>
    <row r="240" ht="15.75" customHeight="1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</row>
    <row r="258" ht="15.75" customHeight="1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</row>
    <row r="259" ht="15.75" customHeight="1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</row>
    <row r="260" ht="15.75" customHeight="1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</row>
    <row r="261" ht="15.75" customHeight="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</row>
    <row r="262" ht="15.75" customHeight="1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</row>
    <row r="263" ht="15.75" customHeight="1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</row>
    <row r="264" ht="15.75" customHeight="1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</row>
    <row r="265" ht="15.75" customHeight="1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</row>
    <row r="266" ht="15.75" customHeight="1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"/>
  <dataValidations>
    <dataValidation type="list" allowBlank="1" showErrorMessage="1" sqref="O2:O66">
      <formula1>Tipo_HD</formula1>
    </dataValidation>
    <dataValidation type="list" allowBlank="1" showErrorMessage="1" sqref="C2:C67">
      <formula1>Condición</formula1>
    </dataValidation>
    <dataValidation type="list" allowBlank="1" showErrorMessage="1" sqref="D2:D67">
      <formula1>Cargadores</formula1>
    </dataValidation>
    <dataValidation type="list" allowBlank="1" showErrorMessage="1" sqref="P2:P66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9.71"/>
    <col customWidth="1" min="2" max="2" width="13.14"/>
    <col customWidth="1" min="3" max="3" width="9.0"/>
    <col customWidth="1" min="4" max="4" width="27.86"/>
    <col customWidth="1" min="5" max="5" width="26.86"/>
    <col customWidth="1" min="6" max="6" width="23.29"/>
    <col customWidth="1" min="7" max="7" width="32.0"/>
    <col customWidth="1" min="8" max="8" width="13.71"/>
    <col customWidth="1" min="9" max="9" width="11.29"/>
    <col customWidth="1" min="10" max="10" width="20.57"/>
    <col customWidth="1" min="11" max="11" width="32.14"/>
    <col customWidth="1" min="12" max="12" width="11.57"/>
    <col customWidth="1" min="13" max="13" width="31.86"/>
    <col customWidth="1" min="14" max="14" width="32.14"/>
    <col customWidth="1" min="15" max="15" width="34.14"/>
    <col customWidth="1" min="16" max="16" width="35.0"/>
  </cols>
  <sheetData>
    <row r="1">
      <c r="A1" s="1" t="s">
        <v>381</v>
      </c>
      <c r="B1" s="1" t="s">
        <v>162</v>
      </c>
      <c r="C1" s="1" t="s">
        <v>382</v>
      </c>
      <c r="D1" s="1" t="s">
        <v>1276</v>
      </c>
      <c r="E1" s="1" t="s">
        <v>167</v>
      </c>
      <c r="F1" s="1"/>
      <c r="G1" s="1" t="s">
        <v>157</v>
      </c>
      <c r="H1" s="1" t="s">
        <v>1278</v>
      </c>
      <c r="I1" s="1" t="s">
        <v>392</v>
      </c>
      <c r="J1" s="1" t="s">
        <v>1279</v>
      </c>
      <c r="K1" s="1" t="s">
        <v>14</v>
      </c>
      <c r="L1" s="1" t="s">
        <v>6</v>
      </c>
      <c r="M1" s="1" t="s">
        <v>7</v>
      </c>
      <c r="N1" s="1" t="s">
        <v>9</v>
      </c>
      <c r="O1" s="1" t="s">
        <v>30</v>
      </c>
      <c r="P1" s="1" t="s">
        <v>917</v>
      </c>
    </row>
    <row r="2">
      <c r="A2" s="7" t="s">
        <v>150</v>
      </c>
      <c r="B2" s="7"/>
      <c r="C2" s="9"/>
      <c r="D2" s="7"/>
      <c r="E2" s="36"/>
      <c r="F2" s="7" t="s">
        <v>1280</v>
      </c>
      <c r="G2" s="7" t="s">
        <v>1281</v>
      </c>
      <c r="H2" s="7"/>
      <c r="I2" s="7" t="s">
        <v>455</v>
      </c>
      <c r="J2" s="7" t="s">
        <v>456</v>
      </c>
      <c r="K2" s="7" t="str">
        <f t="array" ref="K2">IF(OR($A2="",ISBLANK(XLOOKUP($A2,Monitor_Asignado,Nombres_Directorio,"",0))),"",XLOOKUP($A2,Monitor_Asignado,Nombres_Directorio,"",0))</f>
        <v>Ricardo Durán Ulloa</v>
      </c>
      <c r="L2" s="7" t="str">
        <f t="array" ref="L2">IF(OR($A2="",ISBLANK(XLOOKUP($A2,Monitor_Asignado,Sucursal_Asignada,"",0))),"",XLOOKUP($A2,Monitor_Asignado,Sucursal_Asignada,"",0))</f>
        <v>La Barca</v>
      </c>
      <c r="M2" s="7" t="str">
        <f t="array" ref="M2">IF(OR($A2="",ISBLANK(XLOOKUP($A2,Monitor_Asignado,Departamento_Asignado,"",0))),"",XLOOKUP($A2,Monitor_Asignado,Departamento_Asignado,"",0))</f>
        <v>Corporativo</v>
      </c>
      <c r="N2" s="7" t="str">
        <f t="array" ref="N2">IF(OR($A2="",ISBLANK(XLOOKUP($A2,Monitor_Asignado,Nombres_Directorio,"",0))),"",XLOOKUP($A2,Monitor_Asignado,Nombres_Directorio,"",0))</f>
        <v>Ricardo Durán Ulloa</v>
      </c>
      <c r="O2" s="7" t="str">
        <f t="array" ref="O2">IF(OR($A2="",ISBLANK(XLOOKUP($A2,Monitor_Asignado,Correos_Gmail,"",0))),"",XLOOKUP($A2,Monitor_Asignado,Correos_Gmail,"",0))</f>
        <v>rduran.agro@gmail.com</v>
      </c>
      <c r="P2" s="7" t="str">
        <f t="array" ref="P2">IF(OR($A2="",ISBLANK(XLOOKUP($A2,Monitor_Asignado,Correos_Institucionales,"",0))),"",XLOOKUP($A2,Monitor_Asignado,Correos_Institucionales,"",0))</f>
        <v>ricardo.duran@agrocisa.com.mx</v>
      </c>
    </row>
    <row r="3">
      <c r="A3" s="7" t="s">
        <v>128</v>
      </c>
      <c r="B3" s="7"/>
      <c r="C3" s="9"/>
      <c r="D3" s="7"/>
      <c r="E3" s="36" t="s">
        <v>444</v>
      </c>
      <c r="F3" s="7" t="s">
        <v>1292</v>
      </c>
      <c r="G3" s="7" t="s">
        <v>1294</v>
      </c>
      <c r="H3" s="7"/>
      <c r="I3" s="7" t="s">
        <v>455</v>
      </c>
      <c r="J3" s="7" t="s">
        <v>1296</v>
      </c>
      <c r="K3" s="7" t="str">
        <f t="array" ref="K3">IF(OR($A3="",ISBLANK(XLOOKUP($A3,Monitor_Asignado,Nombres_Directorio,"",0))),"",XLOOKUP($A3,Monitor_Asignado,Nombres_Directorio,"",0))</f>
        <v>Kathya Margarita Cerpa Velazco</v>
      </c>
      <c r="L3" s="7" t="str">
        <f t="array" ref="L3">IF(OR($A3="",ISBLANK(XLOOKUP($A3,Monitor_Asignado,Sucursal_Asignada,"",0))),"",XLOOKUP($A3,Monitor_Asignado,Sucursal_Asignada,"",0))</f>
        <v>La Barca</v>
      </c>
      <c r="M3" s="7" t="str">
        <f t="array" ref="M3">IF(OR($A3="",ISBLANK(XLOOKUP($A3,Monitor_Asignado,Departamento_Asignado,"",0))),"",XLOOKUP($A3,Monitor_Asignado,Departamento_Asignado,"",0))</f>
        <v>Corporativo</v>
      </c>
      <c r="N3" s="7" t="str">
        <f t="array" ref="N3">IF(OR($A3="",ISBLANK(XLOOKUP($A3,Monitor_Asignado,Nombres_Directorio,"",0))),"",XLOOKUP($A3,Monitor_Asignado,Nombres_Directorio,"",0))</f>
        <v>Kathya Margarita Cerpa Velazco</v>
      </c>
      <c r="O3" s="7" t="str">
        <f t="array" ref="O3">IF(OR($A3="",ISBLANK(XLOOKUP($A3,Monitor_Asignado,Correos_Gmail,"",0))),"",XLOOKUP($A3,Monitor_Asignado,Correos_Gmail,"",0))</f>
        <v>kacerpa.agro@gmail.com</v>
      </c>
      <c r="P3" s="7" t="str">
        <f t="array" ref="P3">IF(OR($A3="",ISBLANK(XLOOKUP($A3,Monitor_Asignado,Correos_Institucionales,"",0))),"",XLOOKUP($A3,Monitor_Asignado,Correos_Institucionales,"",0))</f>
        <v>kathya.cerpa@agrocisa.com.mx</v>
      </c>
    </row>
    <row r="4">
      <c r="A4" s="7" t="s">
        <v>492</v>
      </c>
      <c r="B4" s="7"/>
      <c r="C4" s="9"/>
      <c r="D4" s="7"/>
      <c r="E4" s="36" t="s">
        <v>444</v>
      </c>
      <c r="F4" s="7" t="s">
        <v>1306</v>
      </c>
      <c r="G4" s="7" t="s">
        <v>1307</v>
      </c>
      <c r="H4" s="7"/>
      <c r="I4" s="7" t="s">
        <v>242</v>
      </c>
      <c r="J4" s="7" t="s">
        <v>1310</v>
      </c>
      <c r="K4" s="7" t="str">
        <f t="array" ref="K4">IF(OR($A4="",ISBLANK(XLOOKUP($A4,Monitor_Asignado,Nombres_Directorio,"",0))),"",XLOOKUP($A4,Monitor_Asignado,Nombres_Directorio,"",0))</f>
        <v/>
      </c>
      <c r="L4" s="7" t="str">
        <f t="array" ref="L4">IF(OR($A4="",ISBLANK(XLOOKUP($A4,Monitor_Asignado,Sucursal_Asignada,"",0))),"",XLOOKUP($A4,Monitor_Asignado,Sucursal_Asignada,"",0))</f>
        <v/>
      </c>
      <c r="M4" s="7" t="str">
        <f t="array" ref="M4">IF(OR($A4="",ISBLANK(XLOOKUP($A4,Monitor_Asignado,Departamento_Asignado,"",0))),"",XLOOKUP($A4,Monitor_Asignado,Departamento_Asignado,"",0))</f>
        <v/>
      </c>
      <c r="N4" s="7" t="str">
        <f t="array" ref="N4">IF(OR($A4="",ISBLANK(XLOOKUP($A4,Monitor_Asignado,Nombres_Directorio,"",0))),"",XLOOKUP($A4,Monitor_Asignado,Nombres_Directorio,"",0))</f>
        <v/>
      </c>
      <c r="O4" s="7" t="str">
        <f t="array" ref="O4">IF(OR($A4="",ISBLANK(XLOOKUP($A4,Monitor_Asignado,Correos_Gmail,"",0))),"",XLOOKUP($A4,Monitor_Asignado,Correos_Gmail,"",0))</f>
        <v/>
      </c>
      <c r="P4" s="7" t="str">
        <f t="array" ref="P4">IF(OR($A4="",ISBLANK(XLOOKUP($A4,Monitor_Asignado,Correos_Institucionales,"",0))),"",XLOOKUP($A4,Monitor_Asignado,Correos_Institucionales,"",0))</f>
        <v/>
      </c>
    </row>
    <row r="5">
      <c r="A5" s="7" t="s">
        <v>537</v>
      </c>
      <c r="B5" s="7"/>
      <c r="C5" s="9"/>
      <c r="D5" s="7"/>
      <c r="E5" s="36" t="s">
        <v>444</v>
      </c>
      <c r="F5" s="7" t="s">
        <v>1323</v>
      </c>
      <c r="G5" s="7" t="s">
        <v>1324</v>
      </c>
      <c r="H5" s="7"/>
      <c r="I5" s="7" t="s">
        <v>455</v>
      </c>
      <c r="J5" s="7" t="s">
        <v>1038</v>
      </c>
      <c r="K5" s="7" t="str">
        <f t="array" ref="K5">IF(OR($A5="",ISBLANK(XLOOKUP($A5,Monitor_Asignado,Nombres_Directorio,"",0))),"",XLOOKUP($A5,Monitor_Asignado,Nombres_Directorio,"",0))</f>
        <v/>
      </c>
      <c r="L5" s="7" t="str">
        <f t="array" ref="L5">IF(OR($A5="",ISBLANK(XLOOKUP($A5,Monitor_Asignado,Sucursal_Asignada,"",0))),"",XLOOKUP($A5,Monitor_Asignado,Sucursal_Asignada,"",0))</f>
        <v/>
      </c>
      <c r="M5" s="7" t="str">
        <f t="array" ref="M5">IF(OR($A5="",ISBLANK(XLOOKUP($A5,Monitor_Asignado,Departamento_Asignado,"",0))),"",XLOOKUP($A5,Monitor_Asignado,Departamento_Asignado,"",0))</f>
        <v/>
      </c>
      <c r="N5" s="7" t="str">
        <f t="array" ref="N5">IF(OR($A5="",ISBLANK(XLOOKUP($A5,Monitor_Asignado,Nombres_Directorio,"",0))),"",XLOOKUP($A5,Monitor_Asignado,Nombres_Directorio,"",0))</f>
        <v/>
      </c>
      <c r="O5" s="7" t="str">
        <f t="array" ref="O5">IF(OR($A5="",ISBLANK(XLOOKUP($A5,Monitor_Asignado,Correos_Gmail,"",0))),"",XLOOKUP($A5,Monitor_Asignado,Correos_Gmail,"",0))</f>
        <v/>
      </c>
      <c r="P5" s="7" t="str">
        <f t="array" ref="P5">IF(OR($A5="",ISBLANK(XLOOKUP($A5,Monitor_Asignado,Correos_Institucionales,"",0))),"",XLOOKUP($A5,Monitor_Asignado,Correos_Institucionales,"",0))</f>
        <v/>
      </c>
    </row>
    <row r="6">
      <c r="A6" s="37" t="s">
        <v>489</v>
      </c>
      <c r="B6" s="7"/>
      <c r="C6" s="9"/>
      <c r="D6" s="7"/>
      <c r="E6" s="36" t="s">
        <v>444</v>
      </c>
      <c r="F6" s="7" t="s">
        <v>1332</v>
      </c>
      <c r="G6" s="7" t="s">
        <v>1333</v>
      </c>
      <c r="H6" s="7"/>
      <c r="I6" s="7" t="s">
        <v>455</v>
      </c>
      <c r="J6" s="7" t="s">
        <v>456</v>
      </c>
      <c r="K6" s="7" t="str">
        <f t="array" ref="K6">IF(OR($A6="",ISBLANK(XLOOKUP($A6,Monitor_Asignado,Nombres_Directorio,"",0))),"",XLOOKUP($A6,Monitor_Asignado,Nombres_Directorio,"",0))</f>
        <v>Félix Antonio Román Becerra</v>
      </c>
      <c r="L6" s="7" t="str">
        <f t="array" ref="L6">IF(OR($A6="",ISBLANK(XLOOKUP($A6,Monitor_Asignado,Sucursal_Asignada,"",0))),"",XLOOKUP($A6,Monitor_Asignado,Sucursal_Asignada,"",0))</f>
        <v>La Barca</v>
      </c>
      <c r="M6" s="7" t="str">
        <f t="array" ref="M6">IF(OR($A6="",ISBLANK(XLOOKUP($A6,Monitor_Asignado,Departamento_Asignado,"",0))),"",XLOOKUP($A6,Monitor_Asignado,Departamento_Asignado,"",0))</f>
        <v>Refacciones</v>
      </c>
      <c r="N6" s="7" t="str">
        <f t="array" ref="N6">IF(OR($A6="",ISBLANK(XLOOKUP($A6,Monitor_Asignado,Nombres_Directorio,"",0))),"",XLOOKUP($A6,Monitor_Asignado,Nombres_Directorio,"",0))</f>
        <v>Félix Antonio Román Becerra</v>
      </c>
      <c r="O6" s="7" t="str">
        <f t="array" ref="O6">IF(OR($A6="",ISBLANK(XLOOKUP($A6,Monitor_Asignado,Correos_Gmail,"",0))),"",XLOOKUP($A6,Monitor_Asignado,Correos_Gmail,"",0))</f>
        <v>felix.roman@agrocisa.com.mx</v>
      </c>
      <c r="P6" s="7" t="str">
        <f t="array" ref="P6">IF(OR($A6="",ISBLANK(XLOOKUP($A6,Monitor_Asignado,Correos_Institucionales,"",0))),"",XLOOKUP($A6,Monitor_Asignado,Correos_Institucionales,"",0))</f>
        <v>felix.roman@agrocisa.com.mx</v>
      </c>
    </row>
    <row r="7">
      <c r="A7" s="7" t="s">
        <v>1337</v>
      </c>
      <c r="B7" s="7"/>
      <c r="C7" s="9"/>
      <c r="D7" s="7"/>
      <c r="E7" s="36" t="s">
        <v>444</v>
      </c>
      <c r="F7" s="7" t="s">
        <v>1338</v>
      </c>
      <c r="G7" s="7" t="s">
        <v>1339</v>
      </c>
      <c r="H7" s="7"/>
      <c r="I7" s="7" t="s">
        <v>455</v>
      </c>
      <c r="J7" s="7" t="s">
        <v>456</v>
      </c>
      <c r="K7" s="7" t="str">
        <f t="array" ref="K7">IF(OR($A7="",ISBLANK(XLOOKUP($A7,Monitor_Asignado,Nombres_Directorio,"",0))),"",XLOOKUP($A7,Monitor_Asignado,Nombres_Directorio,"",0))</f>
        <v/>
      </c>
      <c r="L7" s="7" t="str">
        <f t="array" ref="L7">IF(OR($A7="",ISBLANK(XLOOKUP($A7,Monitor_Asignado,Sucursal_Asignada,"",0))),"",XLOOKUP($A7,Monitor_Asignado,Sucursal_Asignada,"",0))</f>
        <v/>
      </c>
      <c r="M7" s="7" t="str">
        <f t="array" ref="M7">IF(OR($A7="",ISBLANK(XLOOKUP($A7,Monitor_Asignado,Departamento_Asignado,"",0))),"",XLOOKUP($A7,Monitor_Asignado,Departamento_Asignado,"",0))</f>
        <v/>
      </c>
      <c r="N7" s="7" t="str">
        <f t="array" ref="N7">IF(OR($A7="",ISBLANK(XLOOKUP($A7,Monitor_Asignado,Nombres_Directorio,"",0))),"",XLOOKUP($A7,Monitor_Asignado,Nombres_Directorio,"",0))</f>
        <v/>
      </c>
      <c r="O7" s="7" t="str">
        <f t="array" ref="O7">IF(OR($A7="",ISBLANK(XLOOKUP($A7,Monitor_Asignado,Correos_Gmail,"",0))),"",XLOOKUP($A7,Monitor_Asignado,Correos_Gmail,"",0))</f>
        <v/>
      </c>
      <c r="P7" s="7" t="str">
        <f t="array" ref="P7">IF(OR($A7="",ISBLANK(XLOOKUP($A7,Monitor_Asignado,Correos_Institucionales,"",0))),"",XLOOKUP($A7,Monitor_Asignado,Correos_Institucionales,"",0))</f>
        <v/>
      </c>
    </row>
    <row r="8">
      <c r="A8" s="7" t="s">
        <v>1349</v>
      </c>
      <c r="B8" s="7"/>
      <c r="C8" s="9"/>
      <c r="D8" s="7"/>
      <c r="E8" s="36" t="s">
        <v>444</v>
      </c>
      <c r="F8" s="7" t="s">
        <v>1350</v>
      </c>
      <c r="G8" s="7" t="s">
        <v>1351</v>
      </c>
      <c r="H8" s="7"/>
      <c r="I8" s="7" t="s">
        <v>455</v>
      </c>
      <c r="J8" s="7" t="s">
        <v>456</v>
      </c>
      <c r="K8" s="7" t="str">
        <f t="array" ref="K8">IF(OR($A8="",ISBLANK(XLOOKUP($A8,Monitor_Asignado,Nombres_Directorio,"",0))),"",XLOOKUP($A8,Monitor_Asignado,Nombres_Directorio,"",0))</f>
        <v/>
      </c>
      <c r="L8" s="7" t="str">
        <f t="array" ref="L8">IF(OR($A8="",ISBLANK(XLOOKUP($A8,Monitor_Asignado,Sucursal_Asignada,"",0))),"",XLOOKUP($A8,Monitor_Asignado,Sucursal_Asignada,"",0))</f>
        <v/>
      </c>
      <c r="M8" s="7" t="str">
        <f t="array" ref="M8">IF(OR($A8="",ISBLANK(XLOOKUP($A8,Monitor_Asignado,Departamento_Asignado,"",0))),"",XLOOKUP($A8,Monitor_Asignado,Departamento_Asignado,"",0))</f>
        <v/>
      </c>
      <c r="N8" s="7" t="str">
        <f t="array" ref="N8">IF(OR($A8="",ISBLANK(XLOOKUP($A8,Monitor_Asignado,Nombres_Directorio,"",0))),"",XLOOKUP($A8,Monitor_Asignado,Nombres_Directorio,"",0))</f>
        <v/>
      </c>
      <c r="O8" s="7" t="str">
        <f t="array" ref="O8">IF(OR($A8="",ISBLANK(XLOOKUP($A8,Monitor_Asignado,Correos_Gmail,"",0))),"",XLOOKUP($A8,Monitor_Asignado,Correos_Gmail,"",0))</f>
        <v/>
      </c>
      <c r="P8" s="7" t="str">
        <f t="array" ref="P8">IF(OR($A8="",ISBLANK(XLOOKUP($A8,Monitor_Asignado,Correos_Institucionales,"",0))),"",XLOOKUP($A8,Monitor_Asignado,Correos_Institucionales,"",0))</f>
        <v/>
      </c>
    </row>
    <row r="9">
      <c r="A9" s="37" t="s">
        <v>397</v>
      </c>
      <c r="B9" s="7"/>
      <c r="C9" s="9">
        <v>1700.0</v>
      </c>
      <c r="D9" s="7"/>
      <c r="E9" s="36" t="s">
        <v>721</v>
      </c>
      <c r="F9" s="7" t="s">
        <v>1359</v>
      </c>
      <c r="G9" s="7" t="s">
        <v>1360</v>
      </c>
      <c r="H9" s="7"/>
      <c r="I9" s="7" t="s">
        <v>455</v>
      </c>
      <c r="J9" s="7" t="s">
        <v>456</v>
      </c>
      <c r="K9" s="7" t="str">
        <f t="array" ref="K9">IF(OR($A9="",ISBLANK(XLOOKUP($A9,Monitor_Asignado,Nombres_Directorio,"",0))),"",XLOOKUP($A9,Monitor_Asignado,Nombres_Directorio,"",0))</f>
        <v>Arleth Paola Martínez Carreón</v>
      </c>
      <c r="L9" s="7" t="str">
        <f t="array" ref="L9">IF(OR($A9="",ISBLANK(XLOOKUP($A9,Monitor_Asignado,Sucursal_Asignada,"",0))),"",XLOOKUP($A9,Monitor_Asignado,Sucursal_Asignada,"",0))</f>
        <v>La Barca</v>
      </c>
      <c r="M9" s="7" t="str">
        <f t="array" ref="M9">IF(OR($A9="",ISBLANK(XLOOKUP($A9,Monitor_Asignado,Departamento_Asignado,"",0))),"",XLOOKUP($A9,Monitor_Asignado,Departamento_Asignado,"",0))</f>
        <v>Maquinaria Agrícola y Construcción</v>
      </c>
      <c r="N9" s="7" t="str">
        <f t="array" ref="N9">IF(OR($A9="",ISBLANK(XLOOKUP($A9,Monitor_Asignado,Nombres_Directorio,"",0))),"",XLOOKUP($A9,Monitor_Asignado,Nombres_Directorio,"",0))</f>
        <v>Arleth Paola Martínez Carreón</v>
      </c>
      <c r="O9" s="7" t="str">
        <f t="array" ref="O9">IF(OR($A9="",ISBLANK(XLOOKUP($A9,Monitor_Asignado,Correos_Gmail,"",0))),"",XLOOKUP($A9,Monitor_Asignado,Correos_Gmail,"",0))</f>
        <v>ventaslabarca@agrocisa.com.mx</v>
      </c>
      <c r="P9" s="7" t="str">
        <f t="array" ref="P9">IF(OR($A9="",ISBLANK(XLOOKUP($A9,Monitor_Asignado,Correos_Institucionales,"",0))),"",XLOOKUP($A9,Monitor_Asignado,Correos_Institucionales,"",0))</f>
        <v>ventaslabarca@agrocisa.com.mx</v>
      </c>
    </row>
    <row r="10">
      <c r="A10" s="7" t="s">
        <v>293</v>
      </c>
      <c r="B10" s="7"/>
      <c r="C10" s="9"/>
      <c r="D10" s="7"/>
      <c r="E10" s="36" t="s">
        <v>444</v>
      </c>
      <c r="F10" s="7" t="s">
        <v>1378</v>
      </c>
      <c r="G10" s="7"/>
      <c r="H10" s="7"/>
      <c r="I10" s="7" t="s">
        <v>242</v>
      </c>
      <c r="J10" s="7" t="s">
        <v>1038</v>
      </c>
      <c r="K10" s="7" t="str">
        <f t="array" ref="K10">IF(OR($A10="",ISBLANK(XLOOKUP($A10,Monitor_Asignado,Nombres_Directorio,"",0))),"",XLOOKUP($A10,Monitor_Asignado,Nombres_Directorio,"",0))</f>
        <v>Lucia Barboza Santiago</v>
      </c>
      <c r="L10" s="7" t="str">
        <f t="array" ref="L10">IF(OR($A10="",ISBLANK(XLOOKUP($A10,Monitor_Asignado,Sucursal_Asignada,"",0))),"",XLOOKUP($A10,Monitor_Asignado,Sucursal_Asignada,"",0))</f>
        <v>La Barca</v>
      </c>
      <c r="M10" s="7" t="str">
        <f t="array" ref="M10">IF(OR($A10="",ISBLANK(XLOOKUP($A10,Monitor_Asignado,Departamento_Asignado,"",0))),"",XLOOKUP($A10,Monitor_Asignado,Departamento_Asignado,"",0))</f>
        <v>Crédito y Cobranza</v>
      </c>
      <c r="N10" s="7" t="str">
        <f t="array" ref="N10">IF(OR($A10="",ISBLANK(XLOOKUP($A10,Monitor_Asignado,Nombres_Directorio,"",0))),"",XLOOKUP($A10,Monitor_Asignado,Nombres_Directorio,"",0))</f>
        <v>Lucia Barboza Santiago</v>
      </c>
      <c r="O10" s="7" t="str">
        <f t="array" ref="O10">IF(OR($A10="",ISBLANK(XLOOKUP($A10,Monitor_Asignado,Correos_Gmail,"",0))),"",XLOOKUP($A10,Monitor_Asignado,Correos_Gmail,"",0))</f>
        <v>lbarboza.agro@gmail.com</v>
      </c>
      <c r="P10" s="7" t="str">
        <f t="array" ref="P10">IF(OR($A10="",ISBLANK(XLOOKUP($A10,Monitor_Asignado,Correos_Institucionales,"",0))),"",XLOOKUP($A10,Monitor_Asignado,Correos_Institucionales,"",0))</f>
        <v>lucia.barboza@agrocisa.com.mx</v>
      </c>
    </row>
    <row r="11">
      <c r="A11" s="7"/>
      <c r="B11" s="7"/>
      <c r="C11" s="9"/>
      <c r="D11" s="7"/>
      <c r="E11" s="36" t="s">
        <v>444</v>
      </c>
      <c r="F11" s="7" t="s">
        <v>1389</v>
      </c>
      <c r="G11" s="7" t="s">
        <v>1390</v>
      </c>
      <c r="H11" s="7"/>
      <c r="I11" s="7" t="s">
        <v>455</v>
      </c>
      <c r="J11" s="7" t="s">
        <v>1296</v>
      </c>
      <c r="K11" s="7" t="str">
        <f t="array" ref="K11">IF(OR($A11="",ISBLANK(XLOOKUP($A11,Monitor_Asignado,Nombres_Directorio,"",0))),"",XLOOKUP($A11,Monitor_Asignado,Nombres_Directorio,"",0))</f>
        <v/>
      </c>
      <c r="L11" s="7" t="str">
        <f t="array" ref="L11">IF(OR($A11="",ISBLANK(XLOOKUP($A11,Monitor_Asignado,Sucursal_Asignada,"",0))),"",XLOOKUP($A11,Monitor_Asignado,Sucursal_Asignada,"",0))</f>
        <v/>
      </c>
      <c r="M11" s="7" t="str">
        <f t="array" ref="M11">IF(OR($A11="",ISBLANK(XLOOKUP($A11,Monitor_Asignado,Departamento_Asignado,"",0))),"",XLOOKUP($A11,Monitor_Asignado,Departamento_Asignado,"",0))</f>
        <v/>
      </c>
      <c r="N11" s="7" t="str">
        <f t="array" ref="N11">IF(OR($A11="",ISBLANK(XLOOKUP($A11,Monitor_Asignado,Nombres_Directorio,"",0))),"",XLOOKUP($A11,Monitor_Asignado,Nombres_Directorio,"",0))</f>
        <v/>
      </c>
      <c r="O11" s="7" t="str">
        <f t="array" ref="O11">IF(OR($A11="",ISBLANK(XLOOKUP($A11,Monitor_Asignado,Correos_Gmail,"",0))),"",XLOOKUP($A11,Monitor_Asignado,Correos_Gmail,"",0))</f>
        <v/>
      </c>
      <c r="P11" s="7" t="str">
        <f t="array" ref="P11">IF(OR($A11="",ISBLANK(XLOOKUP($A11,Monitor_Asignado,Correos_Institucionales,"",0))),"",XLOOKUP($A11,Monitor_Asignado,Correos_Institucionales,"",0))</f>
        <v/>
      </c>
    </row>
    <row r="12">
      <c r="A12" s="7" t="s">
        <v>101</v>
      </c>
      <c r="B12" s="7"/>
      <c r="C12" s="9"/>
      <c r="D12" s="7"/>
      <c r="E12" s="36" t="s">
        <v>444</v>
      </c>
      <c r="F12" s="7" t="s">
        <v>1392</v>
      </c>
      <c r="G12" s="7" t="s">
        <v>1393</v>
      </c>
      <c r="H12" s="7"/>
      <c r="I12" s="7" t="s">
        <v>455</v>
      </c>
      <c r="J12" s="7" t="s">
        <v>1296</v>
      </c>
      <c r="K12" s="7" t="str">
        <f t="array" ref="K12">IF(OR($A12="",ISBLANK(XLOOKUP($A12,Monitor_Asignado,Nombres_Directorio,"",0))),"",XLOOKUP($A12,Monitor_Asignado,Nombres_Directorio,"",0))</f>
        <v>Alejandra Guadalupe Estrada Lomelí</v>
      </c>
      <c r="L12" s="7" t="str">
        <f t="array" ref="L12">IF(OR($A12="",ISBLANK(XLOOKUP($A12,Monitor_Asignado,Sucursal_Asignada,"",0))),"",XLOOKUP($A12,Monitor_Asignado,Sucursal_Asignada,"",0))</f>
        <v>La Barca</v>
      </c>
      <c r="M12" s="7" t="str">
        <f t="array" ref="M12">IF(OR($A12="",ISBLANK(XLOOKUP($A12,Monitor_Asignado,Departamento_Asignado,"",0))),"",XLOOKUP($A12,Monitor_Asignado,Departamento_Asignado,"",0))</f>
        <v>Contabilidad</v>
      </c>
      <c r="N12" s="7" t="str">
        <f t="array" ref="N12">IF(OR($A12="",ISBLANK(XLOOKUP($A12,Monitor_Asignado,Nombres_Directorio,"",0))),"",XLOOKUP($A12,Monitor_Asignado,Nombres_Directorio,"",0))</f>
        <v>Alejandra Guadalupe Estrada Lomelí</v>
      </c>
      <c r="O12" s="7" t="str">
        <f t="array" ref="O12">IF(OR($A12="",ISBLANK(XLOOKUP($A12,Monitor_Asignado,Correos_Gmail,"",0))),"",XLOOKUP($A12,Monitor_Asignado,Correos_Gmail,"",0))</f>
        <v/>
      </c>
      <c r="P12" s="7" t="str">
        <f t="array" ref="P12">IF(OR($A12="",ISBLANK(XLOOKUP($A12,Monitor_Asignado,Correos_Institucionales,"",0))),"",XLOOKUP($A12,Monitor_Asignado,Correos_Institucionales,"",0))</f>
        <v>alejandra.estrada@agrocisa.com.mx</v>
      </c>
    </row>
    <row r="13">
      <c r="A13" s="7" t="s">
        <v>597</v>
      </c>
      <c r="B13" s="28" t="s">
        <v>788</v>
      </c>
      <c r="C13" s="9">
        <v>600.0</v>
      </c>
      <c r="D13" s="7" t="s">
        <v>1411</v>
      </c>
      <c r="E13" s="36" t="s">
        <v>444</v>
      </c>
      <c r="F13" s="7" t="s">
        <v>1412</v>
      </c>
      <c r="G13" s="7" t="s">
        <v>1413</v>
      </c>
      <c r="H13" s="7"/>
      <c r="I13" s="7" t="s">
        <v>242</v>
      </c>
      <c r="J13" s="7" t="s">
        <v>1296</v>
      </c>
      <c r="K13" s="7" t="str">
        <f t="array" ref="K13">IF(OR($A13="",ISBLANK(XLOOKUP($A13,Monitor_Asignado,Nombres_Directorio,"",0))),"",XLOOKUP($A13,Monitor_Asignado,Nombres_Directorio,"",0))</f>
        <v>Rafael Godínez Ramirez</v>
      </c>
      <c r="L13" s="7" t="str">
        <f t="array" ref="L13">IF(OR($A13="",ISBLANK(XLOOKUP($A13,Monitor_Asignado,Sucursal_Asignada,"",0))),"",XLOOKUP($A13,Monitor_Asignado,Sucursal_Asignada,"",0))</f>
        <v>La Piedad</v>
      </c>
      <c r="M13" s="7" t="str">
        <f t="array" ref="M13">IF(OR($A13="",ISBLANK(XLOOKUP($A13,Monitor_Asignado,Departamento_Asignado,"",0))),"",XLOOKUP($A13,Monitor_Asignado,Departamento_Asignado,"",0))</f>
        <v>Maquinaria Agrícola</v>
      </c>
      <c r="N13" s="7" t="str">
        <f t="array" ref="N13">IF(OR($A13="",ISBLANK(XLOOKUP($A13,Monitor_Asignado,Nombres_Directorio,"",0))),"",XLOOKUP($A13,Monitor_Asignado,Nombres_Directorio,"",0))</f>
        <v>Rafael Godínez Ramirez</v>
      </c>
      <c r="O13" s="7" t="str">
        <f t="array" ref="O13">IF(OR($A13="",ISBLANK(XLOOKUP($A13,Monitor_Asignado,Correos_Gmail,"",0))),"",XLOOKUP($A13,Monitor_Asignado,Correos_Gmail,"",0))</f>
        <v>zonabajiolp14@agrocisa.com.mx</v>
      </c>
      <c r="P13" s="7" t="str">
        <f t="array" ref="P13">IF(OR($A13="",ISBLANK(XLOOKUP($A13,Monitor_Asignado,Correos_Institucionales,"",0))),"",XLOOKUP($A13,Monitor_Asignado,Correos_Institucionales,"",0))</f>
        <v>zonabajiolp14@agrocisa.com.mx</v>
      </c>
    </row>
    <row r="14">
      <c r="A14" s="7" t="s">
        <v>105</v>
      </c>
      <c r="B14" s="28" t="s">
        <v>788</v>
      </c>
      <c r="C14" s="9">
        <v>1500.0</v>
      </c>
      <c r="D14" s="7"/>
      <c r="E14" s="36" t="s">
        <v>1425</v>
      </c>
      <c r="F14" s="7" t="s">
        <v>1392</v>
      </c>
      <c r="G14" s="7" t="s">
        <v>1393</v>
      </c>
      <c r="H14" s="7"/>
      <c r="I14" s="7" t="s">
        <v>455</v>
      </c>
      <c r="J14" s="7" t="s">
        <v>1296</v>
      </c>
      <c r="K14" s="7" t="str">
        <f t="array" ref="K14">IF(OR($A14="",ISBLANK(XLOOKUP($A14,Monitor_Asignado,Nombres_Directorio,"",0))),"",XLOOKUP($A14,Monitor_Asignado,Nombres_Directorio,"",0))</f>
        <v>María Rodríguez González</v>
      </c>
      <c r="L14" s="7" t="str">
        <f t="array" ref="L14">IF(OR($A14="",ISBLANK(XLOOKUP($A14,Monitor_Asignado,Sucursal_Asignada,"",0))),"",XLOOKUP($A14,Monitor_Asignado,Sucursal_Asignada,"",0))</f>
        <v>La Barca</v>
      </c>
      <c r="M14" s="7" t="str">
        <f t="array" ref="M14">IF(OR($A14="",ISBLANK(XLOOKUP($A14,Monitor_Asignado,Departamento_Asignado,"",0))),"",XLOOKUP($A14,Monitor_Asignado,Departamento_Asignado,"",0))</f>
        <v>Contabilidad</v>
      </c>
      <c r="N14" s="7" t="str">
        <f t="array" ref="N14">IF(OR($A14="",ISBLANK(XLOOKUP($A14,Monitor_Asignado,Nombres_Directorio,"",0))),"",XLOOKUP($A14,Monitor_Asignado,Nombres_Directorio,"",0))</f>
        <v>María Rodríguez González</v>
      </c>
      <c r="O14" s="7" t="str">
        <f t="array" ref="O14">IF(OR($A14="",ISBLANK(XLOOKUP($A14,Monitor_Asignado,Correos_Gmail,"",0))),"",XLOOKUP($A14,Monitor_Asignado,Correos_Gmail,"",0))</f>
        <v>mariarodriguez.agro@gmail.com</v>
      </c>
      <c r="P14" s="7" t="str">
        <f t="array" ref="P14">IF(OR($A14="",ISBLANK(XLOOKUP($A14,Monitor_Asignado,Correos_Institucionales,"",0))),"",XLOOKUP($A14,Monitor_Asignado,Correos_Institucionales,"",0))</f>
        <v>maria.rodriguez@agrocisa.com.mx</v>
      </c>
    </row>
    <row r="15">
      <c r="A15" s="7" t="s">
        <v>115</v>
      </c>
      <c r="B15" s="7"/>
      <c r="C15" s="9"/>
      <c r="D15" s="7"/>
      <c r="E15" s="36" t="s">
        <v>444</v>
      </c>
      <c r="F15" s="7" t="s">
        <v>1434</v>
      </c>
      <c r="G15" s="7" t="s">
        <v>1435</v>
      </c>
      <c r="H15" s="7"/>
      <c r="I15" s="7" t="s">
        <v>455</v>
      </c>
      <c r="J15" s="7" t="s">
        <v>1296</v>
      </c>
      <c r="K15" s="7" t="str">
        <f t="array" ref="K15">IF(OR($A15="",ISBLANK(XLOOKUP($A15,Monitor_Asignado,Nombres_Directorio,"",0))),"",XLOOKUP($A15,Monitor_Asignado,Nombres_Directorio,"",0))</f>
        <v>Ramona Araceli Palos Chairez</v>
      </c>
      <c r="L15" s="7" t="str">
        <f t="array" ref="L15">IF(OR($A15="",ISBLANK(XLOOKUP($A15,Monitor_Asignado,Sucursal_Asignada,"",0))),"",XLOOKUP($A15,Monitor_Asignado,Sucursal_Asignada,"",0))</f>
        <v>La Barca</v>
      </c>
      <c r="M15" s="7" t="str">
        <f t="array" ref="M15">IF(OR($A15="",ISBLANK(XLOOKUP($A15,Monitor_Asignado,Departamento_Asignado,"",0))),"",XLOOKUP($A15,Monitor_Asignado,Departamento_Asignado,"",0))</f>
        <v>Contabilidad</v>
      </c>
      <c r="N15" s="7" t="str">
        <f t="array" ref="N15">IF(OR($A15="",ISBLANK(XLOOKUP($A15,Monitor_Asignado,Nombres_Directorio,"",0))),"",XLOOKUP($A15,Monitor_Asignado,Nombres_Directorio,"",0))</f>
        <v>Ramona Araceli Palos Chairez</v>
      </c>
      <c r="O15" s="7" t="str">
        <f t="array" ref="O15">IF(OR($A15="",ISBLANK(XLOOKUP($A15,Monitor_Asignado,Correos_Gmail,"",0))),"",XLOOKUP($A15,Monitor_Asignado,Correos_Gmail,"",0))</f>
        <v>arpalos.agro@gmail.com</v>
      </c>
      <c r="P15" s="7" t="str">
        <f t="array" ref="P15">IF(OR($A15="",ISBLANK(XLOOKUP($A15,Monitor_Asignado,Correos_Institucionales,"",0))),"",XLOOKUP($A15,Monitor_Asignado,Correos_Institucionales,"",0))</f>
        <v>araceli.palos@agrocisa.com.mx</v>
      </c>
    </row>
    <row r="16">
      <c r="A16" s="7" t="s">
        <v>282</v>
      </c>
      <c r="B16" s="7"/>
      <c r="C16" s="9">
        <v>2000.0</v>
      </c>
      <c r="D16" s="7"/>
      <c r="E16" s="36" t="s">
        <v>1441</v>
      </c>
      <c r="F16" s="7" t="s">
        <v>1359</v>
      </c>
      <c r="G16" s="7" t="s">
        <v>1442</v>
      </c>
      <c r="H16" s="7"/>
      <c r="I16" s="7" t="s">
        <v>455</v>
      </c>
      <c r="J16" s="7" t="s">
        <v>1296</v>
      </c>
      <c r="K16" s="7" t="str">
        <f t="array" ref="K16">IF(OR($A16="",ISBLANK(XLOOKUP($A16,Monitor_Asignado,Nombres_Directorio,"",0))),"",XLOOKUP($A16,Monitor_Asignado,Nombres_Directorio,"",0))</f>
        <v>Patricia Lorena Covarrubias Tello</v>
      </c>
      <c r="L16" s="7" t="str">
        <f t="array" ref="L16">IF(OR($A16="",ISBLANK(XLOOKUP($A16,Monitor_Asignado,Sucursal_Asignada,"",0))),"",XLOOKUP($A16,Monitor_Asignado,Sucursal_Asignada,"",0))</f>
        <v>La Barca</v>
      </c>
      <c r="M16" s="7" t="str">
        <f t="array" ref="M16">IF(OR($A16="",ISBLANK(XLOOKUP($A16,Monitor_Asignado,Departamento_Asignado,"",0))),"",XLOOKUP($A16,Monitor_Asignado,Departamento_Asignado,"",0))</f>
        <v>Crédito y Cobranza</v>
      </c>
      <c r="N16" s="7" t="str">
        <f t="array" ref="N16">IF(OR($A16="",ISBLANK(XLOOKUP($A16,Monitor_Asignado,Nombres_Directorio,"",0))),"",XLOOKUP($A16,Monitor_Asignado,Nombres_Directorio,"",0))</f>
        <v>Patricia Lorena Covarrubias Tello</v>
      </c>
      <c r="O16" s="7" t="str">
        <f t="array" ref="O16">IF(OR($A16="",ISBLANK(XLOOKUP($A16,Monitor_Asignado,Correos_Gmail,"",0))),"",XLOOKUP($A16,Monitor_Asignado,Correos_Gmail,"",0))</f>
        <v>auxiliarcredito.agro@gmail.com</v>
      </c>
      <c r="P16" s="7" t="str">
        <f t="array" ref="P16">IF(OR($A16="",ISBLANK(XLOOKUP($A16,Monitor_Asignado,Correos_Institucionales,"",0))),"",XLOOKUP($A16,Monitor_Asignado,Correos_Institucionales,"",0))</f>
        <v>credito01@agrocisa.com.mx</v>
      </c>
    </row>
    <row r="17">
      <c r="A17" s="7" t="s">
        <v>273</v>
      </c>
      <c r="B17" s="7"/>
      <c r="C17" s="9"/>
      <c r="D17" s="7"/>
      <c r="E17" s="36" t="s">
        <v>444</v>
      </c>
      <c r="F17" s="7" t="s">
        <v>1455</v>
      </c>
      <c r="G17" s="7" t="s">
        <v>1456</v>
      </c>
      <c r="H17" s="7"/>
      <c r="I17" s="7" t="s">
        <v>455</v>
      </c>
      <c r="J17" s="7" t="s">
        <v>1296</v>
      </c>
      <c r="K17" s="7" t="str">
        <f t="array" ref="K17">IF(OR($A17="",ISBLANK(XLOOKUP($A17,Monitor_Asignado,Nombres_Directorio,"",0))),"",XLOOKUP($A17,Monitor_Asignado,Nombres_Directorio,"",0))</f>
        <v>Dulce María Guadalupe Sahagún Serna</v>
      </c>
      <c r="L17" s="7" t="str">
        <f t="array" ref="L17">IF(OR($A17="",ISBLANK(XLOOKUP($A17,Monitor_Asignado,Sucursal_Asignada,"",0))),"",XLOOKUP($A17,Monitor_Asignado,Sucursal_Asignada,"",0))</f>
        <v>La Barca</v>
      </c>
      <c r="M17" s="7" t="str">
        <f t="array" ref="M17">IF(OR($A17="",ISBLANK(XLOOKUP($A17,Monitor_Asignado,Departamento_Asignado,"",0))),"",XLOOKUP($A17,Monitor_Asignado,Departamento_Asignado,"",0))</f>
        <v>Crédito y Cobranza</v>
      </c>
      <c r="N17" s="7" t="str">
        <f t="array" ref="N17">IF(OR($A17="",ISBLANK(XLOOKUP($A17,Monitor_Asignado,Nombres_Directorio,"",0))),"",XLOOKUP($A17,Monitor_Asignado,Nombres_Directorio,"",0))</f>
        <v>Dulce María Guadalupe Sahagún Serna</v>
      </c>
      <c r="O17" s="7" t="str">
        <f t="array" ref="O17">IF(OR($A17="",ISBLANK(XLOOKUP($A17,Monitor_Asignado,Correos_Gmail,"",0))),"",XLOOKUP($A17,Monitor_Asignado,Correos_Gmail,"",0))</f>
        <v>credito03.agro@gmail.com</v>
      </c>
      <c r="P17" s="7" t="str">
        <f t="array" ref="P17">IF(OR($A17="",ISBLANK(XLOOKUP($A17,Monitor_Asignado,Correos_Institucionales,"",0))),"",XLOOKUP($A17,Monitor_Asignado,Correos_Institucionales,"",0))</f>
        <v>credito03@agrocisa.com.mx</v>
      </c>
    </row>
    <row r="18">
      <c r="A18" s="7" t="s">
        <v>260</v>
      </c>
      <c r="B18" s="7"/>
      <c r="C18" s="9"/>
      <c r="D18" s="7"/>
      <c r="E18" s="36" t="s">
        <v>444</v>
      </c>
      <c r="F18" s="7" t="s">
        <v>1465</v>
      </c>
      <c r="G18" s="7"/>
      <c r="H18" s="7"/>
      <c r="I18" s="7" t="s">
        <v>242</v>
      </c>
      <c r="J18" s="7" t="s">
        <v>456</v>
      </c>
      <c r="K18" s="7" t="str">
        <f t="array" ref="K18">IF(OR($A18="",ISBLANK(XLOOKUP($A18,Monitor_Asignado,Nombres_Directorio,"",0))),"",XLOOKUP($A18,Monitor_Asignado,Nombres_Directorio,"",0))</f>
        <v>Brenda Guadalupe Martínez Aguilar</v>
      </c>
      <c r="L18" s="7" t="str">
        <f t="array" ref="L18">IF(OR($A18="",ISBLANK(XLOOKUP($A18,Monitor_Asignado,Sucursal_Asignada,"",0))),"",XLOOKUP($A18,Monitor_Asignado,Sucursal_Asignada,"",0))</f>
        <v>La Barca</v>
      </c>
      <c r="M18" s="7" t="str">
        <f t="array" ref="M18">IF(OR($A18="",ISBLANK(XLOOKUP($A18,Monitor_Asignado,Departamento_Asignado,"",0))),"",XLOOKUP($A18,Monitor_Asignado,Departamento_Asignado,"",0))</f>
        <v>Crédito y Cobranza</v>
      </c>
      <c r="N18" s="7" t="str">
        <f t="array" ref="N18">IF(OR($A18="",ISBLANK(XLOOKUP($A18,Monitor_Asignado,Nombres_Directorio,"",0))),"",XLOOKUP($A18,Monitor_Asignado,Nombres_Directorio,"",0))</f>
        <v>Brenda Guadalupe Martínez Aguilar</v>
      </c>
      <c r="O18" s="7" t="str">
        <f t="array" ref="O18">IF(OR($A18="",ISBLANK(XLOOKUP($A18,Monitor_Asignado,Correos_Gmail,"",0))),"",XLOOKUP($A18,Monitor_Asignado,Correos_Gmail,"",0))</f>
        <v>brenda.martinez@agrocisa.com.mx</v>
      </c>
      <c r="P18" s="7" t="str">
        <f t="array" ref="P18">IF(OR($A18="",ISBLANK(XLOOKUP($A18,Monitor_Asignado,Correos_Institucionales,"",0))),"",XLOOKUP($A18,Monitor_Asignado,Correos_Institucionales,"",0))</f>
        <v>brenda.martinez@agrocisa.com.mx</v>
      </c>
    </row>
    <row r="19">
      <c r="A19" s="7" t="s">
        <v>89</v>
      </c>
      <c r="B19" s="7"/>
      <c r="C19" s="9"/>
      <c r="D19" s="7"/>
      <c r="E19" s="36" t="s">
        <v>444</v>
      </c>
      <c r="F19" s="7" t="s">
        <v>1473</v>
      </c>
      <c r="G19" s="7" t="s">
        <v>1474</v>
      </c>
      <c r="H19" s="7"/>
      <c r="I19" s="7" t="s">
        <v>242</v>
      </c>
      <c r="J19" s="7" t="s">
        <v>1038</v>
      </c>
      <c r="K19" s="7" t="str">
        <f t="array" ref="K19">IF(OR($A19="",ISBLANK(XLOOKUP($A19,Monitor_Asignado,Nombres_Directorio,"",0))),"",XLOOKUP($A19,Monitor_Asignado,Nombres_Directorio,"",0))</f>
        <v/>
      </c>
      <c r="L19" s="7" t="str">
        <f t="array" ref="L19">IF(OR($A19="",ISBLANK(XLOOKUP($A19,Monitor_Asignado,Sucursal_Asignada,"",0))),"",XLOOKUP($A19,Monitor_Asignado,Sucursal_Asignada,"",0))</f>
        <v/>
      </c>
      <c r="M19" s="7" t="str">
        <f t="array" ref="M19">IF(OR($A19="",ISBLANK(XLOOKUP($A19,Monitor_Asignado,Departamento_Asignado,"",0))),"",XLOOKUP($A19,Monitor_Asignado,Departamento_Asignado,"",0))</f>
        <v/>
      </c>
      <c r="N19" s="7" t="str">
        <f t="array" ref="N19">IF(OR($A19="",ISBLANK(XLOOKUP($A19,Monitor_Asignado,Nombres_Directorio,"",0))),"",XLOOKUP($A19,Monitor_Asignado,Nombres_Directorio,"",0))</f>
        <v/>
      </c>
      <c r="O19" s="7" t="str">
        <f t="array" ref="O19">IF(OR($A19="",ISBLANK(XLOOKUP($A19,Monitor_Asignado,Correos_Gmail,"",0))),"",XLOOKUP($A19,Monitor_Asignado,Correos_Gmail,"",0))</f>
        <v/>
      </c>
      <c r="P19" s="7" t="str">
        <f t="array" ref="P19">IF(OR($A19="",ISBLANK(XLOOKUP($A19,Monitor_Asignado,Correos_Institucionales,"",0))),"",XLOOKUP($A19,Monitor_Asignado,Correos_Institucionales,"",0))</f>
        <v/>
      </c>
    </row>
    <row r="20">
      <c r="A20" s="7" t="s">
        <v>163</v>
      </c>
      <c r="B20" s="28" t="s">
        <v>788</v>
      </c>
      <c r="C20" s="9"/>
      <c r="D20" s="7"/>
      <c r="E20" s="36" t="s">
        <v>444</v>
      </c>
      <c r="F20" s="7" t="s">
        <v>1479</v>
      </c>
      <c r="G20" s="7" t="s">
        <v>1480</v>
      </c>
      <c r="H20" s="7"/>
      <c r="I20" s="7" t="s">
        <v>455</v>
      </c>
      <c r="J20" s="7" t="s">
        <v>456</v>
      </c>
      <c r="K20" s="7" t="str">
        <f t="array" ref="K20">IF(OR($A20="",ISBLANK(XLOOKUP($A20,Monitor_Asignado,Nombres_Directorio,"",0))),"",XLOOKUP($A20,Monitor_Asignado,Nombres_Directorio,"",0))</f>
        <v>Raúl Óscar Ortega Guillén</v>
      </c>
      <c r="L20" s="7" t="str">
        <f t="array" ref="L20">IF(OR($A20="",ISBLANK(XLOOKUP($A20,Monitor_Asignado,Sucursal_Asignada,"",0))),"",XLOOKUP($A20,Monitor_Asignado,Sucursal_Asignada,"",0))</f>
        <v>La Barca</v>
      </c>
      <c r="M20" s="7" t="str">
        <f t="array" ref="M20">IF(OR($A20="",ISBLANK(XLOOKUP($A20,Monitor_Asignado,Departamento_Asignado,"",0))),"",XLOOKUP($A20,Monitor_Asignado,Departamento_Asignado,"",0))</f>
        <v>Corporativo</v>
      </c>
      <c r="N20" s="7" t="str">
        <f t="array" ref="N20">IF(OR($A20="",ISBLANK(XLOOKUP($A20,Monitor_Asignado,Nombres_Directorio,"",0))),"",XLOOKUP($A20,Monitor_Asignado,Nombres_Directorio,"",0))</f>
        <v>Raúl Óscar Ortega Guillén</v>
      </c>
      <c r="O20" s="7" t="str">
        <f t="array" ref="O20">IF(OR($A20="",ISBLANK(XLOOKUP($A20,Monitor_Asignado,Correos_Gmail,"",0))),"",XLOOKUP($A20,Monitor_Asignado,Correos_Gmail,"",0))</f>
        <v>marketingdigital@agrocisa.com.mx</v>
      </c>
      <c r="P20" s="7" t="str">
        <f t="array" ref="P20">IF(OR($A20="",ISBLANK(XLOOKUP($A20,Monitor_Asignado,Correos_Institucionales,"",0))),"",XLOOKUP($A20,Monitor_Asignado,Correos_Institucionales,"",0))</f>
        <v>marketingexperiencial@agrocisa.com.mx</v>
      </c>
    </row>
    <row r="21" ht="15.75" customHeight="1">
      <c r="A21" s="7" t="s">
        <v>906</v>
      </c>
      <c r="B21" s="7"/>
      <c r="C21" s="9"/>
      <c r="D21" s="7"/>
      <c r="E21" s="36" t="s">
        <v>444</v>
      </c>
      <c r="F21" s="7" t="s">
        <v>1489</v>
      </c>
      <c r="G21" s="7" t="s">
        <v>1490</v>
      </c>
      <c r="H21" s="7"/>
      <c r="I21" s="7" t="s">
        <v>455</v>
      </c>
      <c r="J21" s="7" t="s">
        <v>456</v>
      </c>
      <c r="K21" s="7" t="str">
        <f t="array" ref="K21">IF(OR($A21="",ISBLANK(XLOOKUP($A21,Monitor_Asignado,Nombres_Directorio,"",0))),"",XLOOKUP($A21,Monitor_Asignado,Nombres_Directorio,"",0))</f>
        <v/>
      </c>
      <c r="L21" s="7" t="str">
        <f t="array" ref="L21">IF(OR($A21="",ISBLANK(XLOOKUP($A21,Monitor_Asignado,Sucursal_Asignada,"",0))),"",XLOOKUP($A21,Monitor_Asignado,Sucursal_Asignada,"",0))</f>
        <v/>
      </c>
      <c r="M21" s="7" t="str">
        <f t="array" ref="M21">IF(OR($A21="",ISBLANK(XLOOKUP($A21,Monitor_Asignado,Departamento_Asignado,"",0))),"",XLOOKUP($A21,Monitor_Asignado,Departamento_Asignado,"",0))</f>
        <v/>
      </c>
      <c r="N21" s="7" t="str">
        <f t="array" ref="N21">IF(OR($A21="",ISBLANK(XLOOKUP($A21,Monitor_Asignado,Nombres_Directorio,"",0))),"",XLOOKUP($A21,Monitor_Asignado,Nombres_Directorio,"",0))</f>
        <v/>
      </c>
      <c r="O21" s="7" t="str">
        <f t="array" ref="O21">IF(OR($A21="",ISBLANK(XLOOKUP($A21,Monitor_Asignado,Correos_Gmail,"",0))),"",XLOOKUP($A21,Monitor_Asignado,Correos_Gmail,"",0))</f>
        <v/>
      </c>
      <c r="P21" s="7" t="str">
        <f t="array" ref="P21">IF(OR($A21="",ISBLANK(XLOOKUP($A21,Monitor_Asignado,Correos_Institucionales,"",0))),"",XLOOKUP($A21,Monitor_Asignado,Correos_Institucionales,"",0))</f>
        <v/>
      </c>
    </row>
    <row r="22" ht="15.75" customHeight="1">
      <c r="A22" s="7" t="s">
        <v>485</v>
      </c>
      <c r="B22" s="7"/>
      <c r="C22" s="9"/>
      <c r="D22" s="7"/>
      <c r="E22" s="36" t="s">
        <v>444</v>
      </c>
      <c r="F22" s="7" t="s">
        <v>1500</v>
      </c>
      <c r="G22" s="7" t="s">
        <v>1501</v>
      </c>
      <c r="H22" s="7"/>
      <c r="I22" s="7" t="s">
        <v>242</v>
      </c>
      <c r="J22" s="7" t="s">
        <v>1038</v>
      </c>
      <c r="K22" s="7" t="str">
        <f t="array" ref="K22">IF(OR($A22="",ISBLANK(XLOOKUP($A22,Monitor_Asignado,Nombres_Directorio,"",0))),"",XLOOKUP($A22,Monitor_Asignado,Nombres_Directorio,"",0))</f>
        <v>Damián Zaragoza Hernández</v>
      </c>
      <c r="L22" s="7" t="str">
        <f t="array" ref="L22">IF(OR($A22="",ISBLANK(XLOOKUP($A22,Monitor_Asignado,Sucursal_Asignada,"",0))),"",XLOOKUP($A22,Monitor_Asignado,Sucursal_Asignada,"",0))</f>
        <v>La Barca</v>
      </c>
      <c r="M22" s="7" t="str">
        <f t="array" ref="M22">IF(OR($A22="",ISBLANK(XLOOKUP($A22,Monitor_Asignado,Departamento_Asignado,"",0))),"",XLOOKUP($A22,Monitor_Asignado,Departamento_Asignado,"",0))</f>
        <v>Refacciones</v>
      </c>
      <c r="N22" s="7" t="str">
        <f t="array" ref="N22">IF(OR($A22="",ISBLANK(XLOOKUP($A22,Monitor_Asignado,Nombres_Directorio,"",0))),"",XLOOKUP($A22,Monitor_Asignado,Nombres_Directorio,"",0))</f>
        <v>Damián Zaragoza Hernández</v>
      </c>
      <c r="O22" s="7" t="str">
        <f t="array" ref="O22">IF(OR($A22="",ISBLANK(XLOOKUP($A22,Monitor_Asignado,Correos_Gmail,"",0))),"",XLOOKUP($A22,Monitor_Asignado,Correos_Gmail,"",0))</f>
        <v>damian.zaragoza@agrocisa.com.mx</v>
      </c>
      <c r="P22" s="7" t="str">
        <f t="array" ref="P22">IF(OR($A22="",ISBLANK(XLOOKUP($A22,Monitor_Asignado,Correos_Institucionales,"",0))),"",XLOOKUP($A22,Monitor_Asignado,Correos_Institucionales,"",0))</f>
        <v>damian.zaragoza@agrocisa.com.mx</v>
      </c>
    </row>
    <row r="23" ht="15.75" customHeight="1">
      <c r="A23" s="7" t="s">
        <v>938</v>
      </c>
      <c r="B23" s="7"/>
      <c r="C23" s="9"/>
      <c r="D23" s="7"/>
      <c r="E23" s="36" t="s">
        <v>444</v>
      </c>
      <c r="F23" s="7" t="s">
        <v>1512</v>
      </c>
      <c r="G23" s="7" t="s">
        <v>1513</v>
      </c>
      <c r="H23" s="7"/>
      <c r="I23" s="7" t="s">
        <v>455</v>
      </c>
      <c r="J23" s="7" t="s">
        <v>456</v>
      </c>
      <c r="K23" s="7" t="str">
        <f t="array" ref="K23">IF(OR($A23="",ISBLANK(XLOOKUP($A23,Monitor_Asignado,Nombres_Directorio,"",0))),"",XLOOKUP($A23,Monitor_Asignado,Nombres_Directorio,"",0))</f>
        <v/>
      </c>
      <c r="L23" s="7" t="str">
        <f t="array" ref="L23">IF(OR($A23="",ISBLANK(XLOOKUP($A23,Monitor_Asignado,Sucursal_Asignada,"",0))),"",XLOOKUP($A23,Monitor_Asignado,Sucursal_Asignada,"",0))</f>
        <v/>
      </c>
      <c r="M23" s="7" t="str">
        <f t="array" ref="M23">IF(OR($A23="",ISBLANK(XLOOKUP($A23,Monitor_Asignado,Departamento_Asignado,"",0))),"",XLOOKUP($A23,Monitor_Asignado,Departamento_Asignado,"",0))</f>
        <v/>
      </c>
      <c r="N23" s="7" t="str">
        <f t="array" ref="N23">IF(OR($A23="",ISBLANK(XLOOKUP($A23,Monitor_Asignado,Nombres_Directorio,"",0))),"",XLOOKUP($A23,Monitor_Asignado,Nombres_Directorio,"",0))</f>
        <v/>
      </c>
      <c r="O23" s="7" t="str">
        <f t="array" ref="O23">IF(OR($A23="",ISBLANK(XLOOKUP($A23,Monitor_Asignado,Correos_Gmail,"",0))),"",XLOOKUP($A23,Monitor_Asignado,Correos_Gmail,"",0))</f>
        <v/>
      </c>
      <c r="P23" s="7" t="str">
        <f t="array" ref="P23">IF(OR($A23="",ISBLANK(XLOOKUP($A23,Monitor_Asignado,Correos_Institucionales,"",0))),"",XLOOKUP($A23,Monitor_Asignado,Correos_Institucionales,"",0))</f>
        <v/>
      </c>
    </row>
    <row r="24" ht="15.75" customHeight="1">
      <c r="A24" s="7" t="s">
        <v>508</v>
      </c>
      <c r="B24" s="7"/>
      <c r="C24" s="9"/>
      <c r="D24" s="7"/>
      <c r="E24" s="36" t="s">
        <v>444</v>
      </c>
      <c r="F24" s="7" t="s">
        <v>1518</v>
      </c>
      <c r="G24" s="7" t="s">
        <v>1519</v>
      </c>
      <c r="H24" s="7"/>
      <c r="I24" s="7" t="s">
        <v>455</v>
      </c>
      <c r="J24" s="7" t="s">
        <v>1296</v>
      </c>
      <c r="K24" s="7" t="str">
        <f t="array" ref="K24">IF(OR($A24="",ISBLANK(XLOOKUP($A24,Monitor_Asignado,Nombres_Directorio,"",0))),"",XLOOKUP($A24,Monitor_Asignado,Nombres_Directorio,"",0))</f>
        <v>Ashly Guadalupe López Martínez</v>
      </c>
      <c r="L24" s="7" t="str">
        <f t="array" ref="L24">IF(OR($A24="",ISBLANK(XLOOKUP($A24,Monitor_Asignado,Sucursal_Asignada,"",0))),"",XLOOKUP($A24,Monitor_Asignado,Sucursal_Asignada,"",0))</f>
        <v>La Barca</v>
      </c>
      <c r="M24" s="7" t="str">
        <f t="array" ref="M24">IF(OR($A24="",ISBLANK(XLOOKUP($A24,Monitor_Asignado,Departamento_Asignado,"",0))),"",XLOOKUP($A24,Monitor_Asignado,Departamento_Asignado,"",0))</f>
        <v>Servicio</v>
      </c>
      <c r="N24" s="7" t="str">
        <f t="array" ref="N24">IF(OR($A24="",ISBLANK(XLOOKUP($A24,Monitor_Asignado,Nombres_Directorio,"",0))),"",XLOOKUP($A24,Monitor_Asignado,Nombres_Directorio,"",0))</f>
        <v>Ashly Guadalupe López Martínez</v>
      </c>
      <c r="O24" s="7" t="str">
        <f t="array" ref="O24">IF(OR($A24="",ISBLANK(XLOOKUP($A24,Monitor_Asignado,Correos_Gmail,"",0))),"",XLOOKUP($A24,Monitor_Asignado,Correos_Gmail,"",0))</f>
        <v>garantiaslabarca@agrocisa.com.mx</v>
      </c>
      <c r="P24" s="7" t="str">
        <f t="array" ref="P24">IF(OR($A24="",ISBLANK(XLOOKUP($A24,Monitor_Asignado,Correos_Institucionales,"",0))),"",XLOOKUP($A24,Monitor_Asignado,Correos_Institucionales,"",0))</f>
        <v>ashly.lopez@agrocisa.com.mx</v>
      </c>
    </row>
    <row r="25" ht="15.75" customHeight="1">
      <c r="A25" s="7" t="s">
        <v>502</v>
      </c>
      <c r="B25" s="7"/>
      <c r="C25" s="9"/>
      <c r="D25" s="7"/>
      <c r="E25" s="36" t="s">
        <v>444</v>
      </c>
      <c r="F25" s="7" t="s">
        <v>1412</v>
      </c>
      <c r="G25" s="7" t="s">
        <v>1534</v>
      </c>
      <c r="H25" s="7"/>
      <c r="I25" s="7" t="s">
        <v>455</v>
      </c>
      <c r="J25" s="7" t="s">
        <v>1296</v>
      </c>
      <c r="K25" s="7" t="str">
        <f t="array" ref="K25">IF(OR($A25="",ISBLANK(XLOOKUP($A25,Monitor_Asignado,Nombres_Directorio,"",0))),"",XLOOKUP($A25,Monitor_Asignado,Nombres_Directorio,"",0))</f>
        <v>Andrea Becerra Cisneros</v>
      </c>
      <c r="L25" s="7" t="str">
        <f t="array" ref="L25">IF(OR($A25="",ISBLANK(XLOOKUP($A25,Monitor_Asignado,Sucursal_Asignada,"",0))),"",XLOOKUP($A25,Monitor_Asignado,Sucursal_Asignada,"",0))</f>
        <v>La Barca</v>
      </c>
      <c r="M25" s="7" t="str">
        <f t="array" ref="M25">IF(OR($A25="",ISBLANK(XLOOKUP($A25,Monitor_Asignado,Departamento_Asignado,"",0))),"",XLOOKUP($A25,Monitor_Asignado,Departamento_Asignado,"",0))</f>
        <v>Servicio</v>
      </c>
      <c r="N25" s="7" t="str">
        <f t="array" ref="N25">IF(OR($A25="",ISBLANK(XLOOKUP($A25,Monitor_Asignado,Nombres_Directorio,"",0))),"",XLOOKUP($A25,Monitor_Asignado,Nombres_Directorio,"",0))</f>
        <v>Andrea Becerra Cisneros</v>
      </c>
      <c r="O25" s="7" t="str">
        <f t="array" ref="O25">IF(OR($A25="",ISBLANK(XLOOKUP($A25,Monitor_Asignado,Correos_Gmail,"",0))),"",XLOOKUP($A25,Monitor_Asignado,Correos_Gmail,"",0))</f>
        <v>serviciolabarca@agrocisa.com.mx</v>
      </c>
      <c r="P25" s="7" t="str">
        <f t="array" ref="P25">IF(OR($A25="",ISBLANK(XLOOKUP($A25,Monitor_Asignado,Correos_Institucionales,"",0))),"",XLOOKUP($A25,Monitor_Asignado,Correos_Institucionales,"",0))</f>
        <v>serviciolabarca@agrocisa.com.mx</v>
      </c>
    </row>
    <row r="26" ht="15.75" customHeight="1">
      <c r="A26" s="7" t="s">
        <v>552</v>
      </c>
      <c r="B26" s="7"/>
      <c r="C26" s="9">
        <v>3000.0</v>
      </c>
      <c r="D26" s="7"/>
      <c r="E26" s="36" t="s">
        <v>1543</v>
      </c>
      <c r="F26" s="7" t="s">
        <v>1544</v>
      </c>
      <c r="G26" s="7" t="s">
        <v>1545</v>
      </c>
      <c r="H26" s="7"/>
      <c r="I26" s="7" t="s">
        <v>455</v>
      </c>
      <c r="J26" s="7" t="s">
        <v>456</v>
      </c>
      <c r="K26" s="7" t="str">
        <f t="array" ref="K26">IF(OR($A26="",ISBLANK(XLOOKUP($A26,Monitor_Asignado,Nombres_Directorio,"",0))),"",XLOOKUP($A26,Monitor_Asignado,Nombres_Directorio,"",0))</f>
        <v/>
      </c>
      <c r="L26" s="7" t="str">
        <f t="array" ref="L26">IF(OR($A26="",ISBLANK(XLOOKUP($A26,Monitor_Asignado,Sucursal_Asignada,"",0))),"",XLOOKUP($A26,Monitor_Asignado,Sucursal_Asignada,"",0))</f>
        <v/>
      </c>
      <c r="M26" s="7" t="str">
        <f t="array" ref="M26">IF(OR($A26="",ISBLANK(XLOOKUP($A26,Monitor_Asignado,Departamento_Asignado,"",0))),"",XLOOKUP($A26,Monitor_Asignado,Departamento_Asignado,"",0))</f>
        <v/>
      </c>
      <c r="N26" s="7" t="str">
        <f t="array" ref="N26">IF(OR($A26="",ISBLANK(XLOOKUP($A26,Monitor_Asignado,Nombres_Directorio,"",0))),"",XLOOKUP($A26,Monitor_Asignado,Nombres_Directorio,"",0))</f>
        <v/>
      </c>
      <c r="O26" s="7" t="str">
        <f t="array" ref="O26">IF(OR($A26="",ISBLANK(XLOOKUP($A26,Monitor_Asignado,Correos_Gmail,"",0))),"",XLOOKUP($A26,Monitor_Asignado,Correos_Gmail,"",0))</f>
        <v/>
      </c>
      <c r="P26" s="7" t="str">
        <f t="array" ref="P26">IF(OR($A26="",ISBLANK(XLOOKUP($A26,Monitor_Asignado,Correos_Institucionales,"",0))),"",XLOOKUP($A26,Monitor_Asignado,Correos_Institucionales,"",0))</f>
        <v/>
      </c>
    </row>
    <row r="27" ht="15.75" customHeight="1">
      <c r="A27" s="7" t="s">
        <v>553</v>
      </c>
      <c r="B27" s="7"/>
      <c r="C27" s="9">
        <v>3000.0</v>
      </c>
      <c r="D27" s="7"/>
      <c r="E27" s="36" t="s">
        <v>1543</v>
      </c>
      <c r="F27" s="7" t="s">
        <v>1544</v>
      </c>
      <c r="G27" s="7" t="s">
        <v>1552</v>
      </c>
      <c r="H27" s="7"/>
      <c r="I27" s="7" t="s">
        <v>455</v>
      </c>
      <c r="J27" s="7" t="s">
        <v>456</v>
      </c>
      <c r="K27" s="7" t="str">
        <f t="array" ref="K27">IF(OR($A27="",ISBLANK(XLOOKUP($A27,Monitor_Asignado,Nombres_Directorio,"",0))),"",XLOOKUP($A27,Monitor_Asignado,Nombres_Directorio,"",0))</f>
        <v>Félix Eugenio Ávalos Hernández</v>
      </c>
      <c r="L27" s="7" t="str">
        <f t="array" ref="L27">IF(OR($A27="",ISBLANK(XLOOKUP($A27,Monitor_Asignado,Sucursal_Asignada,"",0))),"",XLOOKUP($A27,Monitor_Asignado,Sucursal_Asignada,"",0))</f>
        <v>La Barca</v>
      </c>
      <c r="M27" s="7" t="str">
        <f t="array" ref="M27">IF(OR($A27="",ISBLANK(XLOOKUP($A27,Monitor_Asignado,Departamento_Asignado,"",0))),"",XLOOKUP($A27,Monitor_Asignado,Departamento_Asignado,"",0))</f>
        <v>Servicio</v>
      </c>
      <c r="N27" s="7" t="str">
        <f t="array" ref="N27">IF(OR($A27="",ISBLANK(XLOOKUP($A27,Monitor_Asignado,Nombres_Directorio,"",0))),"",XLOOKUP($A27,Monitor_Asignado,Nombres_Directorio,"",0))</f>
        <v>Félix Eugenio Ávalos Hernández</v>
      </c>
      <c r="O27" s="7" t="str">
        <f t="array" ref="O27">IF(OR($A27="",ISBLANK(XLOOKUP($A27,Monitor_Asignado,Correos_Gmail,"",0))),"",XLOOKUP($A27,Monitor_Asignado,Correos_Gmail,"",0))</f>
        <v>telematrix.agrocisa@gmail.com</v>
      </c>
      <c r="P27" s="7" t="str">
        <f t="array" ref="P27">IF(OR($A27="",ISBLANK(XLOOKUP($A27,Monitor_Asignado,Correos_Institucionales,"",0))),"",XLOOKUP($A27,Monitor_Asignado,Correos_Institucionales,"",0))</f>
        <v>telemetria@agrocisa.com.mx</v>
      </c>
    </row>
    <row r="28" ht="15.75" customHeight="1">
      <c r="A28" s="7" t="s">
        <v>617</v>
      </c>
      <c r="B28" s="28" t="s">
        <v>788</v>
      </c>
      <c r="C28" s="9">
        <v>400.0</v>
      </c>
      <c r="D28" s="7"/>
      <c r="E28" s="36" t="s">
        <v>444</v>
      </c>
      <c r="F28" s="7" t="s">
        <v>1556</v>
      </c>
      <c r="G28" s="7" t="s">
        <v>1557</v>
      </c>
      <c r="H28" s="7"/>
      <c r="I28" s="7" t="s">
        <v>242</v>
      </c>
      <c r="J28" s="7" t="s">
        <v>1038</v>
      </c>
      <c r="K28" s="7" t="str">
        <f t="array" ref="K28">IF(OR($A28="",ISBLANK(XLOOKUP($A28,Monitor_Asignado,Nombres_Directorio,"",0))),"",XLOOKUP($A28,Monitor_Asignado,Nombres_Directorio,"",0))</f>
        <v>Marco Antonio Falcón Ramirez</v>
      </c>
      <c r="L28" s="7" t="str">
        <f t="array" ref="L28">IF(OR($A28="",ISBLANK(XLOOKUP($A28,Monitor_Asignado,Sucursal_Asignada,"",0))),"",XLOOKUP($A28,Monitor_Asignado,Sucursal_Asignada,"",0))</f>
        <v>La Piedad</v>
      </c>
      <c r="M28" s="7" t="str">
        <f t="array" ref="M28">IF(OR($A28="",ISBLANK(XLOOKUP($A28,Monitor_Asignado,Departamento_Asignado,"",0))),"",XLOOKUP($A28,Monitor_Asignado,Departamento_Asignado,"",0))</f>
        <v>Maquinaria Construcción</v>
      </c>
      <c r="N28" s="7" t="str">
        <f t="array" ref="N28">IF(OR($A28="",ISBLANK(XLOOKUP($A28,Monitor_Asignado,Nombres_Directorio,"",0))),"",XLOOKUP($A28,Monitor_Asignado,Nombres_Directorio,"",0))</f>
        <v>Marco Antonio Falcón Ramirez</v>
      </c>
      <c r="O28" s="7" t="str">
        <f t="array" ref="O28">IF(OR($A28="",ISBLANK(XLOOKUP($A28,Monitor_Asignado,Correos_Gmail,"",0))),"",XLOOKUP($A28,Monitor_Asignado,Correos_Gmail,"",0))</f>
        <v>construccionlapiedad@agrocisa.com.mx</v>
      </c>
      <c r="P28" s="7" t="str">
        <f t="array" ref="P28">IF(OR($A28="",ISBLANK(XLOOKUP($A28,Monitor_Asignado,Correos_Institucionales,"",0))),"",XLOOKUP($A28,Monitor_Asignado,Correos_Institucionales,"",0))</f>
        <v>construccionlapiedad@agrocisa.com.mx</v>
      </c>
    </row>
    <row r="29" ht="15.75" customHeight="1">
      <c r="A29" s="7" t="s">
        <v>638</v>
      </c>
      <c r="B29" s="7"/>
      <c r="C29" s="9">
        <v>2500.0</v>
      </c>
      <c r="D29" s="7"/>
      <c r="E29" s="36" t="s">
        <v>1013</v>
      </c>
      <c r="F29" s="7" t="s">
        <v>1359</v>
      </c>
      <c r="G29" s="7" t="s">
        <v>1561</v>
      </c>
      <c r="H29" s="7"/>
      <c r="I29" s="7" t="s">
        <v>455</v>
      </c>
      <c r="J29" s="7" t="s">
        <v>456</v>
      </c>
      <c r="K29" s="7" t="str">
        <f t="array" ref="K29">IF(OR($A29="",ISBLANK(XLOOKUP($A29,Monitor_Asignado,Nombres_Directorio,"",0))),"",XLOOKUP($A29,Monitor_Asignado,Nombres_Directorio,"",0))</f>
        <v>Elsa Guadalupe Ramírez López</v>
      </c>
      <c r="L29" s="7" t="str">
        <f t="array" ref="L29">IF(OR($A29="",ISBLANK(XLOOKUP($A29,Monitor_Asignado,Sucursal_Asignada,"",0))),"",XLOOKUP($A29,Monitor_Asignado,Sucursal_Asignada,"",0))</f>
        <v>La Piedad</v>
      </c>
      <c r="M29" s="7" t="str">
        <f t="array" ref="M29">IF(OR($A29="",ISBLANK(XLOOKUP($A29,Monitor_Asignado,Departamento_Asignado,"",0))),"",XLOOKUP($A29,Monitor_Asignado,Departamento_Asignado,"",0))</f>
        <v>Refacciones</v>
      </c>
      <c r="N29" s="7" t="str">
        <f t="array" ref="N29">IF(OR($A29="",ISBLANK(XLOOKUP($A29,Monitor_Asignado,Nombres_Directorio,"",0))),"",XLOOKUP($A29,Monitor_Asignado,Nombres_Directorio,"",0))</f>
        <v>Elsa Guadalupe Ramírez López</v>
      </c>
      <c r="O29" s="7" t="str">
        <f t="array" ref="O29">IF(OR($A29="",ISBLANK(XLOOKUP($A29,Monitor_Asignado,Correos_Gmail,"",0))),"",XLOOKUP($A29,Monitor_Asignado,Correos_Gmail,"",0))</f>
        <v>refaccioneslapiedad@agrocisa.com.mx</v>
      </c>
      <c r="P29" s="7" t="str">
        <f t="array" ref="P29">IF(OR($A29="",ISBLANK(XLOOKUP($A29,Monitor_Asignado,Correos_Institucionales,"",0))),"",XLOOKUP($A29,Monitor_Asignado,Correos_Institucionales,"",0))</f>
        <v>elsa.ramirez@agrocisa.com.mx</v>
      </c>
    </row>
    <row r="30" ht="15.75" customHeight="1">
      <c r="A30" s="7" t="s">
        <v>578</v>
      </c>
      <c r="B30" s="7"/>
      <c r="C30" s="9"/>
      <c r="D30" s="7"/>
      <c r="E30" s="36" t="s">
        <v>444</v>
      </c>
      <c r="F30" s="7" t="s">
        <v>1389</v>
      </c>
      <c r="G30" s="7" t="s">
        <v>1564</v>
      </c>
      <c r="H30" s="7"/>
      <c r="I30" s="7" t="s">
        <v>455</v>
      </c>
      <c r="J30" s="7" t="s">
        <v>1296</v>
      </c>
      <c r="K30" s="7" t="str">
        <f t="array" ref="K30">IF(OR($A30="",ISBLANK(XLOOKUP($A30,Monitor_Asignado,Nombres_Directorio,"",0))),"",XLOOKUP($A30,Monitor_Asignado,Nombres_Directorio,"",0))</f>
        <v>Diana Montserrat Osorio Hernández</v>
      </c>
      <c r="L30" s="7" t="str">
        <f t="array" ref="L30">IF(OR($A30="",ISBLANK(XLOOKUP($A30,Monitor_Asignado,Sucursal_Asignada,"",0))),"",XLOOKUP($A30,Monitor_Asignado,Sucursal_Asignada,"",0))</f>
        <v>La Piedad</v>
      </c>
      <c r="M30" s="7" t="str">
        <f t="array" ref="M30">IF(OR($A30="",ISBLANK(XLOOKUP($A30,Monitor_Asignado,Departamento_Asignado,"",0))),"",XLOOKUP($A30,Monitor_Asignado,Departamento_Asignado,"",0))</f>
        <v>Crédito y Cobranza</v>
      </c>
      <c r="N30" s="7" t="str">
        <f t="array" ref="N30">IF(OR($A30="",ISBLANK(XLOOKUP($A30,Monitor_Asignado,Nombres_Directorio,"",0))),"",XLOOKUP($A30,Monitor_Asignado,Nombres_Directorio,"",0))</f>
        <v>Diana Montserrat Osorio Hernández</v>
      </c>
      <c r="O30" s="7" t="str">
        <f t="array" ref="O30">IF(OR($A30="",ISBLANK(XLOOKUP($A30,Monitor_Asignado,Correos_Gmail,"",0))),"",XLOOKUP($A30,Monitor_Asignado,Correos_Gmail,"",0))</f>
        <v>diosorio.agro@gmail.com</v>
      </c>
      <c r="P30" s="7" t="str">
        <f t="array" ref="P30">IF(OR($A30="",ISBLANK(XLOOKUP($A30,Monitor_Asignado,Correos_Institucionales,"",0))),"",XLOOKUP($A30,Monitor_Asignado,Correos_Institucionales,"",0))</f>
        <v>caja.lp@agrocisa.com.mx</v>
      </c>
    </row>
    <row r="31" ht="15.75" customHeight="1">
      <c r="A31" s="7" t="s">
        <v>232</v>
      </c>
      <c r="B31" s="28" t="s">
        <v>788</v>
      </c>
      <c r="C31" s="9">
        <v>700.0</v>
      </c>
      <c r="D31" s="7"/>
      <c r="E31" s="36" t="s">
        <v>444</v>
      </c>
      <c r="F31" s="7" t="s">
        <v>1518</v>
      </c>
      <c r="G31" s="7" t="s">
        <v>1567</v>
      </c>
      <c r="H31" s="7"/>
      <c r="I31" s="7" t="s">
        <v>242</v>
      </c>
      <c r="J31" s="7" t="s">
        <v>1038</v>
      </c>
      <c r="K31" s="7" t="str">
        <f t="array" ref="K31">IF(OR($A31="",ISBLANK(XLOOKUP($A31,Monitor_Asignado,Nombres_Directorio,"",0))),"",XLOOKUP($A31,Monitor_Asignado,Nombres_Directorio,"",0))</f>
        <v>Juan Pablo Mendez Guzmán</v>
      </c>
      <c r="L31" s="7" t="str">
        <f t="array" ref="L31">IF(OR($A31="",ISBLANK(XLOOKUP($A31,Monitor_Asignado,Sucursal_Asignada,"",0))),"",XLOOKUP($A31,Monitor_Asignado,Sucursal_Asignada,"",0))</f>
        <v>La Piedad</v>
      </c>
      <c r="M31" s="7" t="str">
        <f t="array" ref="M31">IF(OR($A31="",ISBLANK(XLOOKUP($A31,Monitor_Asignado,Departamento_Asignado,"",0))),"",XLOOKUP($A31,Monitor_Asignado,Departamento_Asignado,"",0))</f>
        <v>Maquinaria Agrícola</v>
      </c>
      <c r="N31" s="7" t="str">
        <f t="array" ref="N31">IF(OR($A31="",ISBLANK(XLOOKUP($A31,Monitor_Asignado,Nombres_Directorio,"",0))),"",XLOOKUP($A31,Monitor_Asignado,Nombres_Directorio,"",0))</f>
        <v>Juan Pablo Mendez Guzmán</v>
      </c>
      <c r="O31" s="7" t="str">
        <f t="array" ref="O31">IF(OR($A31="",ISBLANK(XLOOKUP($A31,Monitor_Asignado,Correos_Gmail,"",0))),"",XLOOKUP($A31,Monitor_Asignado,Correos_Gmail,"",0))</f>
        <v>ventaszonabajio.agro@gmail.com</v>
      </c>
      <c r="P31" s="7" t="str">
        <f t="array" ref="P31">IF(OR($A31="",ISBLANK(XLOOKUP($A31,Monitor_Asignado,Correos_Institucionales,"",0))),"",XLOOKUP($A31,Monitor_Asignado,Correos_Institucionales,"",0))</f>
        <v>juan.mendez@agrocisa.com.mx</v>
      </c>
    </row>
    <row r="32" ht="15.75" customHeight="1">
      <c r="A32" s="37" t="s">
        <v>1573</v>
      </c>
      <c r="B32" s="7"/>
      <c r="C32" s="9"/>
      <c r="D32" s="7"/>
      <c r="E32" s="36" t="s">
        <v>444</v>
      </c>
      <c r="F32" s="7" t="s">
        <v>1574</v>
      </c>
      <c r="G32" s="7" t="s">
        <v>1575</v>
      </c>
      <c r="H32" s="7"/>
      <c r="I32" s="7" t="s">
        <v>242</v>
      </c>
      <c r="J32" s="7" t="s">
        <v>1038</v>
      </c>
      <c r="K32" s="7" t="str">
        <f t="array" ref="K32">IF(OR($A32="",ISBLANK(XLOOKUP($A32,Monitor_Asignado,Nombres_Directorio,"",0))),"",XLOOKUP($A32,Monitor_Asignado,Nombres_Directorio,"",0))</f>
        <v/>
      </c>
      <c r="L32" s="7" t="str">
        <f t="array" ref="L32">IF(OR($A32="",ISBLANK(XLOOKUP($A32,Monitor_Asignado,Sucursal_Asignada,"",0))),"",XLOOKUP($A32,Monitor_Asignado,Sucursal_Asignada,"",0))</f>
        <v/>
      </c>
      <c r="M32" s="7" t="str">
        <f t="array" ref="M32">IF(OR($A32="",ISBLANK(XLOOKUP($A32,Monitor_Asignado,Departamento_Asignado,"",0))),"",XLOOKUP($A32,Monitor_Asignado,Departamento_Asignado,"",0))</f>
        <v/>
      </c>
      <c r="N32" s="7" t="str">
        <f t="array" ref="N32">IF(OR($A32="",ISBLANK(XLOOKUP($A32,Monitor_Asignado,Nombres_Directorio,"",0))),"",XLOOKUP($A32,Monitor_Asignado,Nombres_Directorio,"",0))</f>
        <v/>
      </c>
      <c r="O32" s="7" t="str">
        <f t="array" ref="O32">IF(OR($A32="",ISBLANK(XLOOKUP($A32,Monitor_Asignado,Correos_Gmail,"",0))),"",XLOOKUP($A32,Monitor_Asignado,Correos_Gmail,"",0))</f>
        <v/>
      </c>
      <c r="P32" s="7" t="str">
        <f t="array" ref="P32">IF(OR($A32="",ISBLANK(XLOOKUP($A32,Monitor_Asignado,Correos_Institucionales,"",0))),"",XLOOKUP($A32,Monitor_Asignado,Correos_Institucionales,"",0))</f>
        <v/>
      </c>
    </row>
    <row r="33" ht="15.75" customHeight="1">
      <c r="A33" s="7" t="s">
        <v>632</v>
      </c>
      <c r="B33" s="7"/>
      <c r="C33" s="9">
        <v>1800.0</v>
      </c>
      <c r="D33" s="7"/>
      <c r="E33" s="36" t="s">
        <v>444</v>
      </c>
      <c r="F33" s="7" t="s">
        <v>1581</v>
      </c>
      <c r="G33" s="7" t="s">
        <v>1582</v>
      </c>
      <c r="H33" s="7"/>
      <c r="I33" s="7" t="s">
        <v>455</v>
      </c>
      <c r="J33" s="7"/>
      <c r="K33" s="7" t="str">
        <f t="array" ref="K33">IF(OR($A33="",ISBLANK(XLOOKUP($A33,Monitor_Asignado,Nombres_Directorio,"",0))),"",XLOOKUP($A33,Monitor_Asignado,Nombres_Directorio,"",0))</f>
        <v>Uziel Sánchez Martínez</v>
      </c>
      <c r="L33" s="7" t="str">
        <f t="array" ref="L33">IF(OR($A33="",ISBLANK(XLOOKUP($A33,Monitor_Asignado,Sucursal_Asignada,"",0))),"",XLOOKUP($A33,Monitor_Asignado,Sucursal_Asignada,"",0))</f>
        <v>La Piedad</v>
      </c>
      <c r="M33" s="7" t="str">
        <f t="array" ref="M33">IF(OR($A33="",ISBLANK(XLOOKUP($A33,Monitor_Asignado,Departamento_Asignado,"",0))),"",XLOOKUP($A33,Monitor_Asignado,Departamento_Asignado,"",0))</f>
        <v>Refacciones</v>
      </c>
      <c r="N33" s="7" t="str">
        <f t="array" ref="N33">IF(OR($A33="",ISBLANK(XLOOKUP($A33,Monitor_Asignado,Nombres_Directorio,"",0))),"",XLOOKUP($A33,Monitor_Asignado,Nombres_Directorio,"",0))</f>
        <v>Uziel Sánchez Martínez</v>
      </c>
      <c r="O33" s="7" t="str">
        <f t="array" ref="O33">IF(OR($A33="",ISBLANK(XLOOKUP($A33,Monitor_Asignado,Correos_Gmail,"",0))),"",XLOOKUP($A33,Monitor_Asignado,Correos_Gmail,"",0))</f>
        <v>uzsanchez.agro@gmail.com</v>
      </c>
      <c r="P33" s="7" t="str">
        <f t="array" ref="P33">IF(OR($A33="",ISBLANK(XLOOKUP($A33,Monitor_Asignado,Correos_Institucionales,"",0))),"",XLOOKUP($A33,Monitor_Asignado,Correos_Institucionales,"",0))</f>
        <v>uziel.sanchez@agrocisa.com.mx</v>
      </c>
    </row>
    <row r="34" ht="15.75" customHeight="1">
      <c r="A34" s="37" t="s">
        <v>626</v>
      </c>
      <c r="B34" s="7"/>
      <c r="C34" s="9">
        <v>1800.0</v>
      </c>
      <c r="D34" s="7"/>
      <c r="E34" s="36" t="s">
        <v>1013</v>
      </c>
      <c r="F34" s="7" t="s">
        <v>1518</v>
      </c>
      <c r="G34" s="7" t="s">
        <v>1584</v>
      </c>
      <c r="H34" s="7"/>
      <c r="I34" s="7" t="s">
        <v>455</v>
      </c>
      <c r="J34" s="7"/>
      <c r="K34" s="7" t="str">
        <f t="array" ref="K34">IF(OR($A34="",ISBLANK(XLOOKUP($A34,Monitor_Asignado,Nombres_Directorio,"",0))),"",XLOOKUP($A34,Monitor_Asignado,Nombres_Directorio,"",0))</f>
        <v>Manuel Martínez Rizo</v>
      </c>
      <c r="L34" s="7" t="str">
        <f t="array" ref="L34">IF(OR($A34="",ISBLANK(XLOOKUP($A34,Monitor_Asignado,Sucursal_Asignada,"",0))),"",XLOOKUP($A34,Monitor_Asignado,Sucursal_Asignada,"",0))</f>
        <v>La Piedad</v>
      </c>
      <c r="M34" s="7" t="str">
        <f t="array" ref="M34">IF(OR($A34="",ISBLANK(XLOOKUP($A34,Monitor_Asignado,Departamento_Asignado,"",0))),"",XLOOKUP($A34,Monitor_Asignado,Departamento_Asignado,"",0))</f>
        <v>Refacciones</v>
      </c>
      <c r="N34" s="7" t="str">
        <f t="array" ref="N34">IF(OR($A34="",ISBLANK(XLOOKUP($A34,Monitor_Asignado,Nombres_Directorio,"",0))),"",XLOOKUP($A34,Monitor_Asignado,Nombres_Directorio,"",0))</f>
        <v>Manuel Martínez Rizo</v>
      </c>
      <c r="O34" s="7" t="str">
        <f t="array" ref="O34">IF(OR($A34="",ISBLANK(XLOOKUP($A34,Monitor_Asignado,Correos_Gmail,"",0))),"",XLOOKUP($A34,Monitor_Asignado,Correos_Gmail,"",0))</f>
        <v>refaccioneslapieda01@agrocisa.com.mx</v>
      </c>
      <c r="P34" s="7" t="str">
        <f t="array" ref="P34">IF(OR($A34="",ISBLANK(XLOOKUP($A34,Monitor_Asignado,Correos_Institucionales,"",0))),"",XLOOKUP($A34,Monitor_Asignado,Correos_Institucionales,"",0))</f>
        <v>manuel.martinez@agrocisa.com.mx</v>
      </c>
    </row>
    <row r="35" ht="15.75" customHeight="1">
      <c r="A35" s="7" t="s">
        <v>643</v>
      </c>
      <c r="B35" s="7"/>
      <c r="C35" s="9">
        <v>2000.0</v>
      </c>
      <c r="D35" s="7"/>
      <c r="E35" s="36" t="s">
        <v>1053</v>
      </c>
      <c r="F35" s="7" t="s">
        <v>1588</v>
      </c>
      <c r="G35" s="7" t="s">
        <v>1589</v>
      </c>
      <c r="H35" s="7"/>
      <c r="I35" s="7" t="s">
        <v>455</v>
      </c>
      <c r="J35" s="7"/>
      <c r="K35" s="7" t="str">
        <f t="array" ref="K35">IF(OR($A35="",ISBLANK(XLOOKUP($A35,Monitor_Asignado,Nombres_Directorio,"",0))),"",XLOOKUP($A35,Monitor_Asignado,Nombres_Directorio,"",0))</f>
        <v>María Fernanda Navarro Salazar</v>
      </c>
      <c r="L35" s="7" t="str">
        <f t="array" ref="L35">IF(OR($A35="",ISBLANK(XLOOKUP($A35,Monitor_Asignado,Sucursal_Asignada,"",0))),"",XLOOKUP($A35,Monitor_Asignado,Sucursal_Asignada,"",0))</f>
        <v>La Piedad</v>
      </c>
      <c r="M35" s="7" t="str">
        <f t="array" ref="M35">IF(OR($A35="",ISBLANK(XLOOKUP($A35,Monitor_Asignado,Departamento_Asignado,"",0))),"",XLOOKUP($A35,Monitor_Asignado,Departamento_Asignado,"",0))</f>
        <v>Servicio</v>
      </c>
      <c r="N35" s="7" t="str">
        <f t="array" ref="N35">IF(OR($A35="",ISBLANK(XLOOKUP($A35,Monitor_Asignado,Nombres_Directorio,"",0))),"",XLOOKUP($A35,Monitor_Asignado,Nombres_Directorio,"",0))</f>
        <v>María Fernanda Navarro Salazar</v>
      </c>
      <c r="O35" s="7" t="str">
        <f t="array" ref="O35">IF(OR($A35="",ISBLANK(XLOOKUP($A35,Monitor_Asignado,Correos_Gmail,"",0))),"",XLOOKUP($A35,Monitor_Asignado,Correos_Gmail,"",0))</f>
        <v>serviciolp.agro@gmail.com</v>
      </c>
      <c r="P35" s="7" t="str">
        <f t="array" ref="P35">IF(OR($A35="",ISBLANK(XLOOKUP($A35,Monitor_Asignado,Correos_Institucionales,"",0))),"",XLOOKUP($A35,Monitor_Asignado,Correos_Institucionales,"",0))</f>
        <v>serviciolapiedad@agrocisa.com.mx</v>
      </c>
    </row>
    <row r="36" ht="15.75" customHeight="1">
      <c r="A36" s="37" t="s">
        <v>263</v>
      </c>
      <c r="B36" s="7"/>
      <c r="C36" s="9">
        <v>2000.0</v>
      </c>
      <c r="D36" s="7"/>
      <c r="E36" s="36" t="s">
        <v>1053</v>
      </c>
      <c r="F36" s="7" t="s">
        <v>1518</v>
      </c>
      <c r="G36" s="7" t="s">
        <v>1593</v>
      </c>
      <c r="H36" s="7"/>
      <c r="I36" s="7" t="s">
        <v>455</v>
      </c>
      <c r="J36" s="7"/>
      <c r="K36" s="7" t="str">
        <f t="array" ref="K36">IF(OR($A36="",ISBLANK(XLOOKUP($A36,Monitor_Asignado,Nombres_Directorio,"",0))),"",XLOOKUP($A36,Monitor_Asignado,Nombres_Directorio,"",0))</f>
        <v/>
      </c>
      <c r="L36" s="7" t="str">
        <f t="array" ref="L36">IF(OR($A36="",ISBLANK(XLOOKUP($A36,Monitor_Asignado,Sucursal_Asignada,"",0))),"",XLOOKUP($A36,Monitor_Asignado,Sucursal_Asignada,"",0))</f>
        <v/>
      </c>
      <c r="M36" s="7" t="str">
        <f t="array" ref="M36">IF(OR($A36="",ISBLANK(XLOOKUP($A36,Monitor_Asignado,Departamento_Asignado,"",0))),"",XLOOKUP($A36,Monitor_Asignado,Departamento_Asignado,"",0))</f>
        <v/>
      </c>
      <c r="N36" s="7" t="str">
        <f t="array" ref="N36">IF(OR($A36="",ISBLANK(XLOOKUP($A36,Monitor_Asignado,Nombres_Directorio,"",0))),"",XLOOKUP($A36,Monitor_Asignado,Nombres_Directorio,"",0))</f>
        <v/>
      </c>
      <c r="O36" s="7" t="str">
        <f t="array" ref="O36">IF(OR($A36="",ISBLANK(XLOOKUP($A36,Monitor_Asignado,Correos_Gmail,"",0))),"",XLOOKUP($A36,Monitor_Asignado,Correos_Gmail,"",0))</f>
        <v/>
      </c>
      <c r="P36" s="7" t="str">
        <f t="array" ref="P36">IF(OR($A36="",ISBLANK(XLOOKUP($A36,Monitor_Asignado,Correos_Institucionales,"",0))),"",XLOOKUP($A36,Monitor_Asignado,Correos_Institucionales,"",0))</f>
        <v/>
      </c>
    </row>
    <row r="37" ht="15.75" customHeight="1">
      <c r="A37" s="7" t="s">
        <v>647</v>
      </c>
      <c r="B37" s="7"/>
      <c r="C37" s="9">
        <v>1500.0</v>
      </c>
      <c r="D37" s="7"/>
      <c r="E37" s="36" t="s">
        <v>1062</v>
      </c>
      <c r="F37" s="7" t="s">
        <v>1596</v>
      </c>
      <c r="G37" s="7" t="s">
        <v>1597</v>
      </c>
      <c r="H37" s="7"/>
      <c r="I37" s="7" t="s">
        <v>242</v>
      </c>
      <c r="J37" s="7"/>
      <c r="K37" s="7" t="str">
        <f t="array" ref="K37">IF(OR($A37="",ISBLANK(XLOOKUP($A37,Monitor_Asignado,Nombres_Directorio,"",0))),"",XLOOKUP($A37,Monitor_Asignado,Nombres_Directorio,"",0))</f>
        <v>Abraham Rodríguez Mendoza</v>
      </c>
      <c r="L37" s="7" t="str">
        <f t="array" ref="L37">IF(OR($A37="",ISBLANK(XLOOKUP($A37,Monitor_Asignado,Sucursal_Asignada,"",0))),"",XLOOKUP($A37,Monitor_Asignado,Sucursal_Asignada,"",0))</f>
        <v>La Piedad</v>
      </c>
      <c r="M37" s="7" t="str">
        <f t="array" ref="M37">IF(OR($A37="",ISBLANK(XLOOKUP($A37,Monitor_Asignado,Departamento_Asignado,"",0))),"",XLOOKUP($A37,Monitor_Asignado,Departamento_Asignado,"",0))</f>
        <v>Servicio</v>
      </c>
      <c r="N37" s="7" t="str">
        <f t="array" ref="N37">IF(OR($A37="",ISBLANK(XLOOKUP($A37,Monitor_Asignado,Nombres_Directorio,"",0))),"",XLOOKUP($A37,Monitor_Asignado,Nombres_Directorio,"",0))</f>
        <v>Abraham Rodríguez Mendoza</v>
      </c>
      <c r="O37" s="7" t="str">
        <f t="array" ref="O37">IF(OR($A37="",ISBLANK(XLOOKUP($A37,Monitor_Asignado,Correos_Gmail,"",0))),"",XLOOKUP($A37,Monitor_Asignado,Correos_Gmail,"",0))</f>
        <v>tallerlapiedad@agrocisa.com.mx</v>
      </c>
      <c r="P37" s="7" t="str">
        <f t="array" ref="P37">IF(OR($A37="",ISBLANK(XLOOKUP($A37,Monitor_Asignado,Correos_Institucionales,"",0))),"",XLOOKUP($A37,Monitor_Asignado,Correos_Institucionales,"",0))</f>
        <v>tallerlapiedad@agrocisa.com.mx</v>
      </c>
    </row>
    <row r="38" ht="15.75" customHeight="1">
      <c r="A38" s="7" t="s">
        <v>602</v>
      </c>
      <c r="B38" s="28" t="s">
        <v>788</v>
      </c>
      <c r="C38" s="9">
        <v>3189.0</v>
      </c>
      <c r="D38" s="7"/>
      <c r="E38" s="36" t="s">
        <v>1068</v>
      </c>
      <c r="F38" s="7" t="s">
        <v>1489</v>
      </c>
      <c r="G38" s="7" t="s">
        <v>1602</v>
      </c>
      <c r="H38" s="7"/>
      <c r="I38" s="7" t="s">
        <v>455</v>
      </c>
      <c r="J38" s="7"/>
      <c r="K38" s="7" t="str">
        <f t="array" ref="K38">IF(OR($A38="",ISBLANK(XLOOKUP($A38,Monitor_Asignado,Nombres_Directorio,"",0))),"",XLOOKUP($A38,Monitor_Asignado,Nombres_Directorio,"",0))</f>
        <v>Alicia Viridiana Rodríguez Paredes</v>
      </c>
      <c r="L38" s="7" t="str">
        <f t="array" ref="L38">IF(OR($A38="",ISBLANK(XLOOKUP($A38,Monitor_Asignado,Sucursal_Asignada,"",0))),"",XLOOKUP($A38,Monitor_Asignado,Sucursal_Asignada,"",0))</f>
        <v>La Piedad</v>
      </c>
      <c r="M38" s="7" t="str">
        <f t="array" ref="M38">IF(OR($A38="",ISBLANK(XLOOKUP($A38,Monitor_Asignado,Departamento_Asignado,"",0))),"",XLOOKUP($A38,Monitor_Asignado,Departamento_Asignado,"",0))</f>
        <v>Maquinaria Agrícola y Construcción</v>
      </c>
      <c r="N38" s="7" t="str">
        <f t="array" ref="N38">IF(OR($A38="",ISBLANK(XLOOKUP($A38,Monitor_Asignado,Nombres_Directorio,"",0))),"",XLOOKUP($A38,Monitor_Asignado,Nombres_Directorio,"",0))</f>
        <v>Alicia Viridiana Rodríguez Paredes</v>
      </c>
      <c r="O38" s="7" t="str">
        <f t="array" ref="O38">IF(OR($A38="",ISBLANK(XLOOKUP($A38,Monitor_Asignado,Correos_Gmail,"",0))),"",XLOOKUP($A38,Monitor_Asignado,Correos_Gmail,"",0))</f>
        <v>ventaslapiedad.agro@gmail.com</v>
      </c>
      <c r="P38" s="7" t="str">
        <f t="array" ref="P38">IF(OR($A38="",ISBLANK(XLOOKUP($A38,Monitor_Asignado,Correos_Institucionales,"",0))),"",XLOOKUP($A38,Monitor_Asignado,Correos_Institucionales,"",0))</f>
        <v>ventaslapiedad@agrocisa.com.mx</v>
      </c>
    </row>
    <row r="39" ht="15.75" customHeight="1">
      <c r="A39" s="7" t="s">
        <v>699</v>
      </c>
      <c r="B39" s="7"/>
      <c r="C39" s="9"/>
      <c r="D39" s="7"/>
      <c r="E39" s="36" t="s">
        <v>444</v>
      </c>
      <c r="F39" s="7" t="s">
        <v>1518</v>
      </c>
      <c r="G39" s="7" t="s">
        <v>1606</v>
      </c>
      <c r="H39" s="7"/>
      <c r="I39" s="7" t="s">
        <v>455</v>
      </c>
      <c r="J39" s="7"/>
      <c r="K39" s="7" t="str">
        <f t="array" ref="K39">IF(OR($A39="",ISBLANK(XLOOKUP($A39,Monitor_Asignado,Nombres_Directorio,"",0))),"",XLOOKUP($A39,Monitor_Asignado,Nombres_Directorio,"",0))</f>
        <v>Luis Ángel Reyes Tena </v>
      </c>
      <c r="L39" s="7" t="str">
        <f t="array" ref="L39">IF(OR($A39="",ISBLANK(XLOOKUP($A39,Monitor_Asignado,Sucursal_Asignada,"",0))),"",XLOOKUP($A39,Monitor_Asignado,Sucursal_Asignada,"",0))</f>
        <v>Morelia</v>
      </c>
      <c r="M39" s="7" t="str">
        <f t="array" ref="M39">IF(OR($A39="",ISBLANK(XLOOKUP($A39,Monitor_Asignado,Departamento_Asignado,"",0))),"",XLOOKUP($A39,Monitor_Asignado,Departamento_Asignado,"",0))</f>
        <v>Refacciones</v>
      </c>
      <c r="N39" s="7" t="str">
        <f t="array" ref="N39">IF(OR($A39="",ISBLANK(XLOOKUP($A39,Monitor_Asignado,Nombres_Directorio,"",0))),"",XLOOKUP($A39,Monitor_Asignado,Nombres_Directorio,"",0))</f>
        <v>Luis Ángel Reyes Tena </v>
      </c>
      <c r="O39" s="7" t="str">
        <f t="array" ref="O39">IF(OR($A39="",ISBLANK(XLOOKUP($A39,Monitor_Asignado,Correos_Gmail,"",0))),"",XLOOKUP($A39,Monitor_Asignado,Correos_Gmail,"",0))</f>
        <v>luis.reyes@agrocisa.com.mx</v>
      </c>
      <c r="P39" s="7" t="str">
        <f t="array" ref="P39">IF(OR($A39="",ISBLANK(XLOOKUP($A39,Monitor_Asignado,Correos_Institucionales,"",0))),"",XLOOKUP($A39,Monitor_Asignado,Correos_Institucionales,"",0))</f>
        <v>luis.reyes@agrocisa.com.mx</v>
      </c>
    </row>
    <row r="40" ht="15.75" customHeight="1">
      <c r="A40" s="37" t="s">
        <v>650</v>
      </c>
      <c r="B40" s="7"/>
      <c r="C40" s="59"/>
      <c r="D40" s="7"/>
      <c r="E40" s="36" t="s">
        <v>444</v>
      </c>
      <c r="F40" s="7" t="s">
        <v>1518</v>
      </c>
      <c r="G40" s="7" t="s">
        <v>1613</v>
      </c>
      <c r="H40" s="7"/>
      <c r="I40" s="7" t="s">
        <v>455</v>
      </c>
      <c r="J40" s="7"/>
      <c r="K40" s="7" t="str">
        <f t="array" ref="K40">IF(OR($A40="",ISBLANK(XLOOKUP($A40,Monitor_Asignado,Nombres_Directorio,"",0))),"",XLOOKUP($A40,Monitor_Asignado,Nombres_Directorio,"",0))</f>
        <v>Ana Karen Rocel Guerrero</v>
      </c>
      <c r="L40" s="7" t="str">
        <f t="array" ref="L40">IF(OR($A40="",ISBLANK(XLOOKUP($A40,Monitor_Asignado,Sucursal_Asignada,"",0))),"",XLOOKUP($A40,Monitor_Asignado,Sucursal_Asignada,"",0))</f>
        <v>Morelia</v>
      </c>
      <c r="M40" s="7" t="str">
        <f t="array" ref="M40">IF(OR($A40="",ISBLANK(XLOOKUP($A40,Monitor_Asignado,Departamento_Asignado,"",0))),"",XLOOKUP($A40,Monitor_Asignado,Departamento_Asignado,"",0))</f>
        <v>Crédito y Cobranza</v>
      </c>
      <c r="N40" s="7" t="str">
        <f t="array" ref="N40">IF(OR($A40="",ISBLANK(XLOOKUP($A40,Monitor_Asignado,Nombres_Directorio,"",0))),"",XLOOKUP($A40,Monitor_Asignado,Nombres_Directorio,"",0))</f>
        <v>Ana Karen Rocel Guerrero</v>
      </c>
      <c r="O40" s="7" t="str">
        <f t="array" ref="O40">IF(OR($A40="",ISBLANK(XLOOKUP($A40,Monitor_Asignado,Correos_Gmail,"",0))),"",XLOOKUP($A40,Monitor_Asignado,Correos_Gmail,"",0))</f>
        <v>cajamorelia@agrocisa.com.mx</v>
      </c>
      <c r="P40" s="7" t="str">
        <f t="array" ref="P40">IF(OR($A40="",ISBLANK(XLOOKUP($A40,Monitor_Asignado,Correos_Institucionales,"",0))),"",XLOOKUP($A40,Monitor_Asignado,Correos_Institucionales,"",0))</f>
        <v>cajamorelia@agrocisa.com.mx</v>
      </c>
    </row>
    <row r="41" ht="15.75" customHeight="1">
      <c r="A41" s="7" t="s">
        <v>1616</v>
      </c>
      <c r="B41" s="7"/>
      <c r="C41" s="9"/>
      <c r="D41" s="7"/>
      <c r="E41" s="36" t="s">
        <v>444</v>
      </c>
      <c r="F41" s="7" t="s">
        <v>1581</v>
      </c>
      <c r="G41" s="7" t="s">
        <v>1617</v>
      </c>
      <c r="H41" s="7"/>
      <c r="I41" s="7" t="s">
        <v>455</v>
      </c>
      <c r="J41" s="7"/>
      <c r="K41" s="7" t="str">
        <f t="array" ref="K41">IF(OR($A41="",ISBLANK(XLOOKUP($A41,Monitor_Asignado,Nombres_Directorio,"",0))),"",XLOOKUP($A41,Monitor_Asignado,Nombres_Directorio,"",0))</f>
        <v/>
      </c>
      <c r="L41" s="7" t="str">
        <f t="array" ref="L41">IF(OR($A41="",ISBLANK(XLOOKUP($A41,Monitor_Asignado,Sucursal_Asignada,"",0))),"",XLOOKUP($A41,Monitor_Asignado,Sucursal_Asignada,"",0))</f>
        <v/>
      </c>
      <c r="M41" s="7" t="str">
        <f t="array" ref="M41">IF(OR($A41="",ISBLANK(XLOOKUP($A41,Monitor_Asignado,Departamento_Asignado,"",0))),"",XLOOKUP($A41,Monitor_Asignado,Departamento_Asignado,"",0))</f>
        <v/>
      </c>
      <c r="N41" s="7" t="str">
        <f t="array" ref="N41">IF(OR($A41="",ISBLANK(XLOOKUP($A41,Monitor_Asignado,Nombres_Directorio,"",0))),"",XLOOKUP($A41,Monitor_Asignado,Nombres_Directorio,"",0))</f>
        <v/>
      </c>
      <c r="O41" s="7" t="str">
        <f t="array" ref="O41">IF(OR($A41="",ISBLANK(XLOOKUP($A41,Monitor_Asignado,Correos_Gmail,"",0))),"",XLOOKUP($A41,Monitor_Asignado,Correos_Gmail,"",0))</f>
        <v/>
      </c>
      <c r="P41" s="7" t="str">
        <f t="array" ref="P41">IF(OR($A41="",ISBLANK(XLOOKUP($A41,Monitor_Asignado,Correos_Institucionales,"",0))),"",XLOOKUP($A41,Monitor_Asignado,Correos_Institucionales,"",0))</f>
        <v/>
      </c>
    </row>
    <row r="42" ht="15.75" customHeight="1">
      <c r="A42" s="37" t="s">
        <v>712</v>
      </c>
      <c r="B42" s="7"/>
      <c r="C42" s="9"/>
      <c r="D42" s="7"/>
      <c r="E42" s="36" t="s">
        <v>444</v>
      </c>
      <c r="F42" s="7" t="s">
        <v>1518</v>
      </c>
      <c r="G42" s="7" t="s">
        <v>1622</v>
      </c>
      <c r="H42" s="7"/>
      <c r="I42" s="7" t="s">
        <v>455</v>
      </c>
      <c r="J42" s="7"/>
      <c r="K42" s="7" t="str">
        <f t="array" ref="K42">IF(OR($A42="",ISBLANK(XLOOKUP($A42,Monitor_Asignado,Nombres_Directorio,"",0))),"",XLOOKUP($A42,Monitor_Asignado,Nombres_Directorio,"",0))</f>
        <v>Yadira Torres Barajas</v>
      </c>
      <c r="L42" s="7" t="str">
        <f t="array" ref="L42">IF(OR($A42="",ISBLANK(XLOOKUP($A42,Monitor_Asignado,Sucursal_Asignada,"",0))),"",XLOOKUP($A42,Monitor_Asignado,Sucursal_Asignada,"",0))</f>
        <v>Morelia</v>
      </c>
      <c r="M42" s="7" t="str">
        <f t="array" ref="M42">IF(OR($A42="",ISBLANK(XLOOKUP($A42,Monitor_Asignado,Departamento_Asignado,"",0))),"",XLOOKUP($A42,Monitor_Asignado,Departamento_Asignado,"",0))</f>
        <v>Refacciones</v>
      </c>
      <c r="N42" s="7" t="str">
        <f t="array" ref="N42">IF(OR($A42="",ISBLANK(XLOOKUP($A42,Monitor_Asignado,Nombres_Directorio,"",0))),"",XLOOKUP($A42,Monitor_Asignado,Nombres_Directorio,"",0))</f>
        <v>Yadira Torres Barajas</v>
      </c>
      <c r="O42" s="7" t="str">
        <f t="array" ref="O42">IF(OR($A42="",ISBLANK(XLOOKUP($A42,Monitor_Asignado,Correos_Gmail,"",0))),"",XLOOKUP($A42,Monitor_Asignado,Correos_Gmail,"",0))</f>
        <v>refamostradormorelia.agro@gmail.com</v>
      </c>
      <c r="P42" s="7" t="str">
        <f t="array" ref="P42">IF(OR($A42="",ISBLANK(XLOOKUP($A42,Monitor_Asignado,Correos_Institucionales,"",0))),"",XLOOKUP($A42,Monitor_Asignado,Correos_Institucionales,"",0))</f>
        <v>yadira.torres@agrocisa.com.mx</v>
      </c>
    </row>
    <row r="43" ht="15.75" customHeight="1">
      <c r="A43" s="37" t="s">
        <v>703</v>
      </c>
      <c r="B43" s="7"/>
      <c r="C43" s="9">
        <v>2300.0</v>
      </c>
      <c r="D43" s="7"/>
      <c r="E43" s="36" t="s">
        <v>1076</v>
      </c>
      <c r="F43" s="7" t="s">
        <v>1518</v>
      </c>
      <c r="G43" s="7" t="s">
        <v>1625</v>
      </c>
      <c r="H43" s="7"/>
      <c r="I43" s="7" t="s">
        <v>455</v>
      </c>
      <c r="J43" s="7"/>
      <c r="K43" s="7" t="str">
        <f t="array" ref="K43">IF(OR($A43="",ISBLANK(XLOOKUP($A43,Monitor_Asignado,Nombres_Directorio,"",0))),"",XLOOKUP($A43,Monitor_Asignado,Nombres_Directorio,"",0))</f>
        <v>Jaime Salazar Guzmán</v>
      </c>
      <c r="L43" s="7" t="str">
        <f t="array" ref="L43">IF(OR($A43="",ISBLANK(XLOOKUP($A43,Monitor_Asignado,Sucursal_Asignada,"",0))),"",XLOOKUP($A43,Monitor_Asignado,Sucursal_Asignada,"",0))</f>
        <v>Morelia</v>
      </c>
      <c r="M43" s="7" t="str">
        <f t="array" ref="M43">IF(OR($A43="",ISBLANK(XLOOKUP($A43,Monitor_Asignado,Departamento_Asignado,"",0))),"",XLOOKUP($A43,Monitor_Asignado,Departamento_Asignado,"",0))</f>
        <v>Refacciones</v>
      </c>
      <c r="N43" s="7" t="str">
        <f t="array" ref="N43">IF(OR($A43="",ISBLANK(XLOOKUP($A43,Monitor_Asignado,Nombres_Directorio,"",0))),"",XLOOKUP($A43,Monitor_Asignado,Nombres_Directorio,"",0))</f>
        <v>Jaime Salazar Guzmán</v>
      </c>
      <c r="O43" s="7" t="str">
        <f t="array" ref="O43">IF(OR($A43="",ISBLANK(XLOOKUP($A43,Monitor_Asignado,Correos_Gmail,"",0))),"",XLOOKUP($A43,Monitor_Asignado,Correos_Gmail,"",0))</f>
        <v>jaimesalazar.agro@gmail.com</v>
      </c>
      <c r="P43" s="7" t="str">
        <f t="array" ref="P43">IF(OR($A43="",ISBLANK(XLOOKUP($A43,Monitor_Asignado,Correos_Institucionales,"",0))),"",XLOOKUP($A43,Monitor_Asignado,Correos_Institucionales,"",0))</f>
        <v>jaime.salazar@agrocisa.com.mx</v>
      </c>
    </row>
    <row r="44" ht="15.75" customHeight="1">
      <c r="A44" s="7" t="s">
        <v>707</v>
      </c>
      <c r="B44" s="7"/>
      <c r="C44" s="9"/>
      <c r="D44" s="7"/>
      <c r="E44" s="36" t="s">
        <v>444</v>
      </c>
      <c r="F44" s="7" t="s">
        <v>1518</v>
      </c>
      <c r="G44" s="7" t="s">
        <v>1628</v>
      </c>
      <c r="H44" s="7"/>
      <c r="I44" s="7" t="s">
        <v>455</v>
      </c>
      <c r="J44" s="7"/>
      <c r="K44" s="7" t="str">
        <f t="array" ref="K44">IF(OR($A44="",ISBLANK(XLOOKUP($A44,Monitor_Asignado,Nombres_Directorio,"",0))),"",XLOOKUP($A44,Monitor_Asignado,Nombres_Directorio,"",0))</f>
        <v>Vacante</v>
      </c>
      <c r="L44" s="7" t="str">
        <f t="array" ref="L44">IF(OR($A44="",ISBLANK(XLOOKUP($A44,Monitor_Asignado,Sucursal_Asignada,"",0))),"",XLOOKUP($A44,Monitor_Asignado,Sucursal_Asignada,"",0))</f>
        <v>Morelia</v>
      </c>
      <c r="M44" s="7" t="str">
        <f t="array" ref="M44">IF(OR($A44="",ISBLANK(XLOOKUP($A44,Monitor_Asignado,Departamento_Asignado,"",0))),"",XLOOKUP($A44,Monitor_Asignado,Departamento_Asignado,"",0))</f>
        <v>Refacciones</v>
      </c>
      <c r="N44" s="7" t="str">
        <f t="array" ref="N44">IF(OR($A44="",ISBLANK(XLOOKUP($A44,Monitor_Asignado,Nombres_Directorio,"",0))),"",XLOOKUP($A44,Monitor_Asignado,Nombres_Directorio,"",0))</f>
        <v>Vacante</v>
      </c>
      <c r="O44" s="7" t="str">
        <f t="array" ref="O44">IF(OR($A44="",ISBLANK(XLOOKUP($A44,Monitor_Asignado,Correos_Gmail,"",0))),"",XLOOKUP($A44,Monitor_Asignado,Correos_Gmail,"",0))</f>
        <v>refacciones.mozona02.agro@gmail.com</v>
      </c>
      <c r="P44" s="7" t="str">
        <f t="array" ref="P44">IF(OR($A44="",ISBLANK(XLOOKUP($A44,Monitor_Asignado,Correos_Institucionales,"",0))),"",XLOOKUP($A44,Monitor_Asignado,Correos_Institucionales,"",0))</f>
        <v>juan.marquez@agrocisa.com.mx</v>
      </c>
    </row>
    <row r="45" ht="15.75" customHeight="1">
      <c r="A45" s="7" t="s">
        <v>720</v>
      </c>
      <c r="B45" s="7"/>
      <c r="C45" s="9">
        <v>2200.0</v>
      </c>
      <c r="D45" s="7"/>
      <c r="E45" s="36" t="s">
        <v>1076</v>
      </c>
      <c r="F45" s="7" t="s">
        <v>1631</v>
      </c>
      <c r="G45" s="7" t="s">
        <v>1632</v>
      </c>
      <c r="H45" s="7"/>
      <c r="I45" s="7" t="s">
        <v>455</v>
      </c>
      <c r="J45" s="7"/>
      <c r="K45" s="7" t="str">
        <f t="array" ref="K45">IF(OR($A45="",ISBLANK(XLOOKUP($A45,Monitor_Asignado,Nombres_Directorio,"",0))),"",XLOOKUP($A45,Monitor_Asignado,Nombres_Directorio,"",0))</f>
        <v>Gabriela González Hinojosa</v>
      </c>
      <c r="L45" s="7" t="str">
        <f t="array" ref="L45">IF(OR($A45="",ISBLANK(XLOOKUP($A45,Monitor_Asignado,Sucursal_Asignada,"",0))),"",XLOOKUP($A45,Monitor_Asignado,Sucursal_Asignada,"",0))</f>
        <v>Morelia</v>
      </c>
      <c r="M45" s="7" t="str">
        <f t="array" ref="M45">IF(OR($A45="",ISBLANK(XLOOKUP($A45,Monitor_Asignado,Departamento_Asignado,"",0))),"",XLOOKUP($A45,Monitor_Asignado,Departamento_Asignado,"",0))</f>
        <v>Servicio</v>
      </c>
      <c r="N45" s="7" t="str">
        <f t="array" ref="N45">IF(OR($A45="",ISBLANK(XLOOKUP($A45,Monitor_Asignado,Nombres_Directorio,"",0))),"",XLOOKUP($A45,Monitor_Asignado,Nombres_Directorio,"",0))</f>
        <v>Gabriela González Hinojosa</v>
      </c>
      <c r="O45" s="7" t="str">
        <f t="array" ref="O45">IF(OR($A45="",ISBLANK(XLOOKUP($A45,Monitor_Asignado,Correos_Gmail,"",0))),"",XLOOKUP($A45,Monitor_Asignado,Correos_Gmail,"",0))</f>
        <v>servicio.mo.agro@gmail.com</v>
      </c>
      <c r="P45" s="7" t="str">
        <f t="array" ref="P45">IF(OR($A45="",ISBLANK(XLOOKUP($A45,Monitor_Asignado,Correos_Institucionales,"",0))),"",XLOOKUP($A45,Monitor_Asignado,Correos_Institucionales,"",0))</f>
        <v>serviciomorelia@agrocisa.com.mx</v>
      </c>
    </row>
    <row r="46" ht="15.75" customHeight="1">
      <c r="A46" s="7" t="s">
        <v>728</v>
      </c>
      <c r="B46" s="7"/>
      <c r="C46" s="9">
        <v>2300.0</v>
      </c>
      <c r="D46" s="7"/>
      <c r="E46" s="36" t="s">
        <v>1076</v>
      </c>
      <c r="F46" s="7" t="s">
        <v>1639</v>
      </c>
      <c r="G46" s="7" t="s">
        <v>1641</v>
      </c>
      <c r="H46" s="7"/>
      <c r="I46" s="7" t="s">
        <v>455</v>
      </c>
      <c r="J46" s="7"/>
      <c r="K46" s="7" t="str">
        <f t="array" ref="K46">IF(OR($A46="",ISBLANK(XLOOKUP($A46,Monitor_Asignado,Nombres_Directorio,"",0))),"",XLOOKUP($A46,Monitor_Asignado,Nombres_Directorio,"",0))</f>
        <v>Vacante Jefe de Taller Morelia</v>
      </c>
      <c r="L46" s="7" t="str">
        <f t="array" ref="L46">IF(OR($A46="",ISBLANK(XLOOKUP($A46,Monitor_Asignado,Sucursal_Asignada,"",0))),"",XLOOKUP($A46,Monitor_Asignado,Sucursal_Asignada,"",0))</f>
        <v>Morelia</v>
      </c>
      <c r="M46" s="7" t="str">
        <f t="array" ref="M46">IF(OR($A46="",ISBLANK(XLOOKUP($A46,Monitor_Asignado,Departamento_Asignado,"",0))),"",XLOOKUP($A46,Monitor_Asignado,Departamento_Asignado,"",0))</f>
        <v>Servicio</v>
      </c>
      <c r="N46" s="7" t="str">
        <f t="array" ref="N46">IF(OR($A46="",ISBLANK(XLOOKUP($A46,Monitor_Asignado,Nombres_Directorio,"",0))),"",XLOOKUP($A46,Monitor_Asignado,Nombres_Directorio,"",0))</f>
        <v>Vacante Jefe de Taller Morelia</v>
      </c>
      <c r="O46" s="7" t="str">
        <f t="array" ref="O46">IF(OR($A46="",ISBLANK(XLOOKUP($A46,Monitor_Asignado,Correos_Gmail,"",0))),"",XLOOKUP($A46,Monitor_Asignado,Correos_Gmail,"",0))</f>
        <v>tallermor.agro@gmail.com</v>
      </c>
      <c r="P46" s="7" t="str">
        <f t="array" ref="P46">IF(OR($A46="",ISBLANK(XLOOKUP($A46,Monitor_Asignado,Correos_Institucionales,"",0))),"",XLOOKUP($A46,Monitor_Asignado,Correos_Institucionales,"",0))</f>
        <v>tallermorelia@agrocisa.com.mx</v>
      </c>
    </row>
    <row r="47" ht="15.75" customHeight="1">
      <c r="A47" s="7" t="s">
        <v>688</v>
      </c>
      <c r="B47" s="7"/>
      <c r="C47" s="9">
        <v>2500.0</v>
      </c>
      <c r="D47" s="7"/>
      <c r="E47" s="36" t="s">
        <v>1076</v>
      </c>
      <c r="F47" s="7" t="s">
        <v>1518</v>
      </c>
      <c r="G47" s="7" t="s">
        <v>1658</v>
      </c>
      <c r="H47" s="7"/>
      <c r="I47" s="7" t="s">
        <v>455</v>
      </c>
      <c r="J47" s="7"/>
      <c r="K47" s="7" t="str">
        <f t="array" ref="K47">IF(OR($A47="",ISBLANK(XLOOKUP($A47,Monitor_Asignado,Nombres_Directorio,"",0))),"",XLOOKUP($A47,Monitor_Asignado,Nombres_Directorio,"",0))</f>
        <v>Karla Edith Escalante Rodríguez</v>
      </c>
      <c r="L47" s="7" t="str">
        <f t="array" ref="L47">IF(OR($A47="",ISBLANK(XLOOKUP($A47,Monitor_Asignado,Sucursal_Asignada,"",0))),"",XLOOKUP($A47,Monitor_Asignado,Sucursal_Asignada,"",0))</f>
        <v>Morelia</v>
      </c>
      <c r="M47" s="7" t="str">
        <f t="array" ref="M47">IF(OR($A47="",ISBLANK(XLOOKUP($A47,Monitor_Asignado,Departamento_Asignado,"",0))),"",XLOOKUP($A47,Monitor_Asignado,Departamento_Asignado,"",0))</f>
        <v>Maquinaria Agrícola y Construcción</v>
      </c>
      <c r="N47" s="7" t="str">
        <f t="array" ref="N47">IF(OR($A47="",ISBLANK(XLOOKUP($A47,Monitor_Asignado,Nombres_Directorio,"",0))),"",XLOOKUP($A47,Monitor_Asignado,Nombres_Directorio,"",0))</f>
        <v>Karla Edith Escalante Rodríguez</v>
      </c>
      <c r="O47" s="7" t="str">
        <f t="array" ref="O47">IF(OR($A47="",ISBLANK(XLOOKUP($A47,Monitor_Asignado,Correos_Gmail,"",0))),"",XLOOKUP($A47,Monitor_Asignado,Correos_Gmail,"",0))</f>
        <v>ventasmorelia.agro@gmail.com</v>
      </c>
      <c r="P47" s="7" t="str">
        <f t="array" ref="P47">IF(OR($A47="",ISBLANK(XLOOKUP($A47,Monitor_Asignado,Correos_Institucionales,"",0))),"",XLOOKUP($A47,Monitor_Asignado,Correos_Institucionales,"",0))</f>
        <v>ventas.morelia@agrocisa.com.mx</v>
      </c>
    </row>
    <row r="48" ht="15.75" customHeight="1">
      <c r="A48" s="7" t="s">
        <v>787</v>
      </c>
      <c r="B48" s="7"/>
      <c r="C48" s="9"/>
      <c r="D48" s="7"/>
      <c r="E48" s="36" t="s">
        <v>444</v>
      </c>
      <c r="F48" s="7" t="s">
        <v>1661</v>
      </c>
      <c r="G48" s="7" t="s">
        <v>1662</v>
      </c>
      <c r="H48" s="7"/>
      <c r="I48" s="7" t="s">
        <v>455</v>
      </c>
      <c r="J48" s="7"/>
      <c r="K48" s="7" t="str">
        <f t="array" ref="K48">IF(OR($A48="",ISBLANK(XLOOKUP($A48,Monitor_Asignado,Nombres_Directorio,"",0))),"",XLOOKUP($A48,Monitor_Asignado,Nombres_Directorio,"",0))</f>
        <v>Pedro Castañeda Vázquez</v>
      </c>
      <c r="L48" s="7" t="str">
        <f t="array" ref="L48">IF(OR($A48="",ISBLANK(XLOOKUP($A48,Monitor_Asignado,Sucursal_Asignada,"",0))),"",XLOOKUP($A48,Monitor_Asignado,Sucursal_Asignada,"",0))</f>
        <v>Pénjamo</v>
      </c>
      <c r="M48" s="7" t="str">
        <f t="array" ref="M48">IF(OR($A48="",ISBLANK(XLOOKUP($A48,Monitor_Asignado,Departamento_Asignado,"",0))),"",XLOOKUP($A48,Monitor_Asignado,Departamento_Asignado,"",0))</f>
        <v>Refacciones</v>
      </c>
      <c r="N48" s="7" t="str">
        <f t="array" ref="N48">IF(OR($A48="",ISBLANK(XLOOKUP($A48,Monitor_Asignado,Nombres_Directorio,"",0))),"",XLOOKUP($A48,Monitor_Asignado,Nombres_Directorio,"",0))</f>
        <v>Pedro Castañeda Vázquez</v>
      </c>
      <c r="O48" s="7" t="str">
        <f t="array" ref="O48">IF(OR($A48="",ISBLANK(XLOOKUP($A48,Monitor_Asignado,Correos_Gmail,"",0))),"",XLOOKUP($A48,Monitor_Asignado,Correos_Gmail,"",0))</f>
        <v>pcastaneda.agro@gmail.com</v>
      </c>
      <c r="P48" s="7" t="str">
        <f t="array" ref="P48">IF(OR($A48="",ISBLANK(XLOOKUP($A48,Monitor_Asignado,Correos_Institucionales,"",0))),"",XLOOKUP($A48,Monitor_Asignado,Correos_Institucionales,"",0))</f>
        <v>pedro.castaneda@agrocisa.com.mx</v>
      </c>
    </row>
    <row r="49" ht="15.75" customHeight="1">
      <c r="A49" s="7" t="s">
        <v>739</v>
      </c>
      <c r="B49" s="7"/>
      <c r="C49" s="9">
        <v>2500.0</v>
      </c>
      <c r="D49" s="7"/>
      <c r="E49" s="36" t="s">
        <v>1167</v>
      </c>
      <c r="F49" s="7" t="s">
        <v>1661</v>
      </c>
      <c r="G49" s="7" t="s">
        <v>1668</v>
      </c>
      <c r="H49" s="7"/>
      <c r="I49" s="7" t="s">
        <v>455</v>
      </c>
      <c r="J49" s="7"/>
      <c r="K49" s="7" t="str">
        <f t="array" ref="K49">IF(OR($A49="",ISBLANK(XLOOKUP($A49,Monitor_Asignado,Nombres_Directorio,"",0))),"",XLOOKUP($A49,Monitor_Asignado,Nombres_Directorio,"",0))</f>
        <v>Nancy Yaneth Arroyo Cabello</v>
      </c>
      <c r="L49" s="7" t="str">
        <f t="array" ref="L49">IF(OR($A49="",ISBLANK(XLOOKUP($A49,Monitor_Asignado,Sucursal_Asignada,"",0))),"",XLOOKUP($A49,Monitor_Asignado,Sucursal_Asignada,"",0))</f>
        <v>Pénjamo</v>
      </c>
      <c r="M49" s="7" t="str">
        <f t="array" ref="M49">IF(OR($A49="",ISBLANK(XLOOKUP($A49,Monitor_Asignado,Departamento_Asignado,"",0))),"",XLOOKUP($A49,Monitor_Asignado,Departamento_Asignado,"",0))</f>
        <v>Maquinaria Agrícola y Construcción</v>
      </c>
      <c r="N49" s="7" t="str">
        <f t="array" ref="N49">IF(OR($A49="",ISBLANK(XLOOKUP($A49,Monitor_Asignado,Nombres_Directorio,"",0))),"",XLOOKUP($A49,Monitor_Asignado,Nombres_Directorio,"",0))</f>
        <v>Nancy Yaneth Arroyo Cabello</v>
      </c>
      <c r="O49" s="7" t="str">
        <f t="array" ref="O49">IF(OR($A49="",ISBLANK(XLOOKUP($A49,Monitor_Asignado,Correos_Gmail,"",0))),"",XLOOKUP($A49,Monitor_Asignado,Correos_Gmail,"",0))</f>
        <v>ventaspenjamo@agrocisa.com.mx</v>
      </c>
      <c r="P49" s="7" t="str">
        <f t="array" ref="P49">IF(OR($A49="",ISBLANK(XLOOKUP($A49,Monitor_Asignado,Correos_Institucionales,"",0))),"",XLOOKUP($A49,Monitor_Asignado,Correos_Institucionales,"",0))</f>
        <v>ventaspenjamo@agrocisa.com.mx</v>
      </c>
    </row>
    <row r="50" ht="15.75" customHeight="1">
      <c r="A50" s="7" t="s">
        <v>736</v>
      </c>
      <c r="B50" s="7"/>
      <c r="C50" s="9"/>
      <c r="D50" s="7"/>
      <c r="E50" s="36" t="s">
        <v>444</v>
      </c>
      <c r="F50" s="7" t="s">
        <v>1661</v>
      </c>
      <c r="G50" s="7" t="s">
        <v>1669</v>
      </c>
      <c r="H50" s="7"/>
      <c r="I50" s="7" t="s">
        <v>455</v>
      </c>
      <c r="J50" s="7"/>
      <c r="K50" s="7" t="str">
        <f t="array" ref="K50">IF(OR($A50="",ISBLANK(XLOOKUP($A50,Monitor_Asignado,Nombres_Directorio,"",0))),"",XLOOKUP($A50,Monitor_Asignado,Nombres_Directorio,"",0))</f>
        <v>María Guadalupe Gutiérrez Magaña</v>
      </c>
      <c r="L50" s="7" t="str">
        <f t="array" ref="L50">IF(OR($A50="",ISBLANK(XLOOKUP($A50,Monitor_Asignado,Sucursal_Asignada,"",0))),"",XLOOKUP($A50,Monitor_Asignado,Sucursal_Asignada,"",0))</f>
        <v>Pénjamo</v>
      </c>
      <c r="M50" s="7" t="str">
        <f t="array" ref="M50">IF(OR($A50="",ISBLANK(XLOOKUP($A50,Monitor_Asignado,Departamento_Asignado,"",0))),"",XLOOKUP($A50,Monitor_Asignado,Departamento_Asignado,"",0))</f>
        <v>Crédito y Cobranza</v>
      </c>
      <c r="N50" s="7" t="str">
        <f t="array" ref="N50">IF(OR($A50="",ISBLANK(XLOOKUP($A50,Monitor_Asignado,Nombres_Directorio,"",0))),"",XLOOKUP($A50,Monitor_Asignado,Nombres_Directorio,"",0))</f>
        <v>María Guadalupe Gutiérrez Magaña</v>
      </c>
      <c r="O50" s="7" t="str">
        <f t="array" ref="O50">IF(OR($A50="",ISBLANK(XLOOKUP($A50,Monitor_Asignado,Correos_Gmail,"",0))),"",XLOOKUP($A50,Monitor_Asignado,Correos_Gmail,"",0))</f>
        <v>lgutierrez.agro@gmail.com</v>
      </c>
      <c r="P50" s="7" t="str">
        <f t="array" ref="P50">IF(OR($A50="",ISBLANK(XLOOKUP($A50,Monitor_Asignado,Correos_Institucionales,"",0))),"",XLOOKUP($A50,Monitor_Asignado,Correos_Institucionales,"",0))</f>
        <v>guadalupe.gutierrez@agrocisa.com.mx</v>
      </c>
    </row>
    <row r="51" ht="15.75" customHeight="1">
      <c r="A51" s="7" t="s">
        <v>793</v>
      </c>
      <c r="B51" s="7"/>
      <c r="C51" s="9"/>
      <c r="D51" s="7"/>
      <c r="E51" s="36" t="s">
        <v>444</v>
      </c>
      <c r="F51" s="7" t="s">
        <v>1661</v>
      </c>
      <c r="G51" s="7" t="s">
        <v>1671</v>
      </c>
      <c r="H51" s="7"/>
      <c r="I51" s="7" t="s">
        <v>455</v>
      </c>
      <c r="J51" s="7"/>
      <c r="K51" s="7" t="str">
        <f t="array" ref="K51">IF(OR($A51="",ISBLANK(XLOOKUP($A51,Monitor_Asignado,Nombres_Directorio,"",0))),"",XLOOKUP($A51,Monitor_Asignado,Nombres_Directorio,"",0))</f>
        <v>Lorena González Macías</v>
      </c>
      <c r="L51" s="7" t="str">
        <f t="array" ref="L51">IF(OR($A51="",ISBLANK(XLOOKUP($A51,Monitor_Asignado,Sucursal_Asignada,"",0))),"",XLOOKUP($A51,Monitor_Asignado,Sucursal_Asignada,"",0))</f>
        <v>Pénjamo</v>
      </c>
      <c r="M51" s="7" t="str">
        <f t="array" ref="M51">IF(OR($A51="",ISBLANK(XLOOKUP($A51,Monitor_Asignado,Departamento_Asignado,"",0))),"",XLOOKUP($A51,Monitor_Asignado,Departamento_Asignado,"",0))</f>
        <v>Servicio</v>
      </c>
      <c r="N51" s="7" t="str">
        <f t="array" ref="N51">IF(OR($A51="",ISBLANK(XLOOKUP($A51,Monitor_Asignado,Nombres_Directorio,"",0))),"",XLOOKUP($A51,Monitor_Asignado,Nombres_Directorio,"",0))</f>
        <v>Lorena González Macías</v>
      </c>
      <c r="O51" s="7" t="str">
        <f t="array" ref="O51">IF(OR($A51="",ISBLANK(XLOOKUP($A51,Monitor_Asignado,Correos_Gmail,"",0))),"",XLOOKUP($A51,Monitor_Asignado,Correos_Gmail,"",0))</f>
        <v>garantiaspj.agro@gmail.com</v>
      </c>
      <c r="P51" s="7" t="str">
        <f t="array" ref="P51">IF(OR($A51="",ISBLANK(XLOOKUP($A51,Monitor_Asignado,Correos_Institucionales,"",0))),"",XLOOKUP($A51,Monitor_Asignado,Correos_Institucionales,"",0))</f>
        <v>garantias.pj@agrocisa.com.mx</v>
      </c>
    </row>
    <row r="52" ht="15.75" customHeight="1">
      <c r="A52" s="7" t="s">
        <v>1672</v>
      </c>
      <c r="B52" s="7"/>
      <c r="C52" s="9"/>
      <c r="D52" s="7"/>
      <c r="E52" s="36" t="s">
        <v>444</v>
      </c>
      <c r="F52" s="7" t="s">
        <v>1673</v>
      </c>
      <c r="G52" s="7">
        <v>80220.0</v>
      </c>
      <c r="H52" s="7"/>
      <c r="I52" s="7" t="s">
        <v>242</v>
      </c>
      <c r="J52" s="7"/>
      <c r="K52" s="7" t="str">
        <f t="array" ref="K52">IF(OR($A52="",ISBLANK(XLOOKUP($A52,Monitor_Asignado,Nombres_Directorio,"",0))),"",XLOOKUP($A52,Monitor_Asignado,Nombres_Directorio,"",0))</f>
        <v/>
      </c>
      <c r="L52" s="7" t="str">
        <f t="array" ref="L52">IF(OR($A52="",ISBLANK(XLOOKUP($A52,Monitor_Asignado,Sucursal_Asignada,"",0))),"",XLOOKUP($A52,Monitor_Asignado,Sucursal_Asignada,"",0))</f>
        <v/>
      </c>
      <c r="M52" s="7" t="str">
        <f t="array" ref="M52">IF(OR($A52="",ISBLANK(XLOOKUP($A52,Monitor_Asignado,Departamento_Asignado,"",0))),"",XLOOKUP($A52,Monitor_Asignado,Departamento_Asignado,"",0))</f>
        <v/>
      </c>
      <c r="N52" s="7" t="str">
        <f t="array" ref="N52">IF(OR($A52="",ISBLANK(XLOOKUP($A52,Monitor_Asignado,Nombres_Directorio,"",0))),"",XLOOKUP($A52,Monitor_Asignado,Nombres_Directorio,"",0))</f>
        <v/>
      </c>
      <c r="O52" s="7" t="str">
        <f t="array" ref="O52">IF(OR($A52="",ISBLANK(XLOOKUP($A52,Monitor_Asignado,Correos_Gmail,"",0))),"",XLOOKUP($A52,Monitor_Asignado,Correos_Gmail,"",0))</f>
        <v/>
      </c>
      <c r="P52" s="7" t="str">
        <f t="array" ref="P52">IF(OR($A52="",ISBLANK(XLOOKUP($A52,Monitor_Asignado,Correos_Institucionales,"",0))),"",XLOOKUP($A52,Monitor_Asignado,Correos_Institucionales,"",0))</f>
        <v/>
      </c>
    </row>
    <row r="53" ht="15.75" customHeight="1">
      <c r="A53" s="7" t="s">
        <v>781</v>
      </c>
      <c r="B53" s="7"/>
      <c r="C53" s="9"/>
      <c r="D53" s="7"/>
      <c r="E53" s="36" t="s">
        <v>444</v>
      </c>
      <c r="F53" s="7" t="s">
        <v>1581</v>
      </c>
      <c r="G53" s="7" t="s">
        <v>1999</v>
      </c>
      <c r="H53" s="7"/>
      <c r="I53" s="7" t="s">
        <v>455</v>
      </c>
      <c r="J53" s="7"/>
      <c r="K53" s="7" t="str">
        <f t="array" ref="K53">IF(OR($A53="",ISBLANK(XLOOKUP($A53,Monitor_Asignado,Nombres_Directorio,"",0))),"",XLOOKUP($A53,Monitor_Asignado,Nombres_Directorio,"",0))</f>
        <v>Brenda Alcocer Alcocer</v>
      </c>
      <c r="L53" s="7" t="str">
        <f t="array" ref="L53">IF(OR($A53="",ISBLANK(XLOOKUP($A53,Monitor_Asignado,Sucursal_Asignada,"",0))),"",XLOOKUP($A53,Monitor_Asignado,Sucursal_Asignada,"",0))</f>
        <v>Pénjamo</v>
      </c>
      <c r="M53" s="7" t="str">
        <f t="array" ref="M53">IF(OR($A53="",ISBLANK(XLOOKUP($A53,Monitor_Asignado,Departamento_Asignado,"",0))),"",XLOOKUP($A53,Monitor_Asignado,Departamento_Asignado,"",0))</f>
        <v>Refacciones</v>
      </c>
      <c r="N53" s="7" t="str">
        <f t="array" ref="N53">IF(OR($A53="",ISBLANK(XLOOKUP($A53,Monitor_Asignado,Nombres_Directorio,"",0))),"",XLOOKUP($A53,Monitor_Asignado,Nombres_Directorio,"",0))</f>
        <v>Brenda Alcocer Alcocer</v>
      </c>
      <c r="O53" s="7" t="str">
        <f t="array" ref="O53">IF(OR($A53="",ISBLANK(XLOOKUP($A53,Monitor_Asignado,Correos_Gmail,"",0))),"",XLOOKUP($A53,Monitor_Asignado,Correos_Gmail,"",0))</f>
        <v>refapj.agro@gmail.com</v>
      </c>
      <c r="P53" s="7" t="str">
        <f t="array" ref="P53">IF(OR($A53="",ISBLANK(XLOOKUP($A53,Monitor_Asignado,Correos_Institucionales,"",0))),"",XLOOKUP($A53,Monitor_Asignado,Correos_Institucionales,"",0))</f>
        <v>brenda.alcocer@agrocisa.com.mx</v>
      </c>
    </row>
    <row r="54" ht="15.75" customHeight="1">
      <c r="A54" s="7" t="s">
        <v>776</v>
      </c>
      <c r="B54" s="7"/>
      <c r="C54" s="9"/>
      <c r="D54" s="7"/>
      <c r="E54" s="36" t="s">
        <v>444</v>
      </c>
      <c r="F54" s="7" t="s">
        <v>2023</v>
      </c>
      <c r="G54" s="7" t="s">
        <v>2024</v>
      </c>
      <c r="H54" s="7"/>
      <c r="I54" s="7" t="s">
        <v>455</v>
      </c>
      <c r="J54" s="7"/>
      <c r="K54" s="7" t="str">
        <f t="array" ref="K54">IF(OR($A54="",ISBLANK(XLOOKUP($A54,Monitor_Asignado,Nombres_Directorio,"",0))),"",XLOOKUP($A54,Monitor_Asignado,Nombres_Directorio,"",0))</f>
        <v>Vacante Asesor de Refacciones Campo</v>
      </c>
      <c r="L54" s="7" t="str">
        <f t="array" ref="L54">IF(OR($A54="",ISBLANK(XLOOKUP($A54,Monitor_Asignado,Sucursal_Asignada,"",0))),"",XLOOKUP($A54,Monitor_Asignado,Sucursal_Asignada,"",0))</f>
        <v>Pénjamo</v>
      </c>
      <c r="M54" s="7" t="str">
        <f t="array" ref="M54">IF(OR($A54="",ISBLANK(XLOOKUP($A54,Monitor_Asignado,Departamento_Asignado,"",0))),"",XLOOKUP($A54,Monitor_Asignado,Departamento_Asignado,"",0))</f>
        <v>Refacciones</v>
      </c>
      <c r="N54" s="7" t="str">
        <f t="array" ref="N54">IF(OR($A54="",ISBLANK(XLOOKUP($A54,Monitor_Asignado,Nombres_Directorio,"",0))),"",XLOOKUP($A54,Monitor_Asignado,Nombres_Directorio,"",0))</f>
        <v>Vacante Asesor de Refacciones Campo</v>
      </c>
      <c r="O54" s="7" t="str">
        <f t="array" ref="O54">IF(OR($A54="",ISBLANK(XLOOKUP($A54,Monitor_Asignado,Correos_Gmail,"",0))),"",XLOOKUP($A54,Monitor_Asignado,Correos_Gmail,"",0))</f>
        <v>uriel.martinez@agrocisa.com.mx</v>
      </c>
      <c r="P54" s="7" t="str">
        <f t="array" ref="P54">IF(OR($A54="",ISBLANK(XLOOKUP($A54,Monitor_Asignado,Correos_Institucionales,"",0))),"",XLOOKUP($A54,Monitor_Asignado,Correos_Institucionales,"",0))</f>
        <v>uriel.martinez@agrocisa.com.mx</v>
      </c>
    </row>
    <row r="55" ht="15.75" customHeight="1">
      <c r="A55" s="7" t="s">
        <v>1229</v>
      </c>
      <c r="B55" s="7"/>
      <c r="C55" s="9"/>
      <c r="D55" s="7"/>
      <c r="E55" s="36" t="s">
        <v>444</v>
      </c>
      <c r="F55" s="7" t="s">
        <v>2053</v>
      </c>
      <c r="G55" s="7" t="s">
        <v>2054</v>
      </c>
      <c r="H55" s="7"/>
      <c r="I55" s="7" t="s">
        <v>242</v>
      </c>
      <c r="J55" s="7"/>
      <c r="K55" s="7" t="str">
        <f t="array" ref="K55">IF(OR($A55="",ISBLANK(XLOOKUP($A55,Monitor_Asignado,Nombres_Directorio,"",0))),"",XLOOKUP($A55,Monitor_Asignado,Nombres_Directorio,"",0))</f>
        <v/>
      </c>
      <c r="L55" s="7" t="str">
        <f t="array" ref="L55">IF(OR($A55="",ISBLANK(XLOOKUP($A55,Monitor_Asignado,Sucursal_Asignada,"",0))),"",XLOOKUP($A55,Monitor_Asignado,Sucursal_Asignada,"",0))</f>
        <v/>
      </c>
      <c r="M55" s="7" t="str">
        <f t="array" ref="M55">IF(OR($A55="",ISBLANK(XLOOKUP($A55,Monitor_Asignado,Departamento_Asignado,"",0))),"",XLOOKUP($A55,Monitor_Asignado,Departamento_Asignado,"",0))</f>
        <v/>
      </c>
      <c r="N55" s="7" t="str">
        <f t="array" ref="N55">IF(OR($A55="",ISBLANK(XLOOKUP($A55,Monitor_Asignado,Nombres_Directorio,"",0))),"",XLOOKUP($A55,Monitor_Asignado,Nombres_Directorio,"",0))</f>
        <v/>
      </c>
      <c r="O55" s="7" t="str">
        <f t="array" ref="O55">IF(OR($A55="",ISBLANK(XLOOKUP($A55,Monitor_Asignado,Correos_Gmail,"",0))),"",XLOOKUP($A55,Monitor_Asignado,Correos_Gmail,"",0))</f>
        <v/>
      </c>
      <c r="P55" s="7" t="str">
        <f t="array" ref="P55">IF(OR($A55="",ISBLANK(XLOOKUP($A55,Monitor_Asignado,Correos_Institucionales,"",0))),"",XLOOKUP($A55,Monitor_Asignado,Correos_Institucionales,"",0))</f>
        <v/>
      </c>
    </row>
    <row r="56" ht="15.75" customHeight="1">
      <c r="A56" s="7" t="s">
        <v>1234</v>
      </c>
      <c r="B56" s="7"/>
      <c r="C56" s="9"/>
      <c r="D56" s="7"/>
      <c r="E56" s="36" t="s">
        <v>444</v>
      </c>
      <c r="F56" s="7" t="s">
        <v>1518</v>
      </c>
      <c r="G56" s="7" t="s">
        <v>2086</v>
      </c>
      <c r="H56" s="7"/>
      <c r="I56" s="7" t="s">
        <v>455</v>
      </c>
      <c r="J56" s="7"/>
      <c r="K56" s="7" t="str">
        <f t="array" ref="K56">IF(OR($A56="",ISBLANK(XLOOKUP($A56,Monitor_Asignado,Nombres_Directorio,"",0))),"",XLOOKUP($A56,Monitor_Asignado,Nombres_Directorio,"",0))</f>
        <v/>
      </c>
      <c r="L56" s="7" t="str">
        <f t="array" ref="L56">IF(OR($A56="",ISBLANK(XLOOKUP($A56,Monitor_Asignado,Sucursal_Asignada,"",0))),"",XLOOKUP($A56,Monitor_Asignado,Sucursal_Asignada,"",0))</f>
        <v/>
      </c>
      <c r="M56" s="7" t="str">
        <f t="array" ref="M56">IF(OR($A56="",ISBLANK(XLOOKUP($A56,Monitor_Asignado,Departamento_Asignado,"",0))),"",XLOOKUP($A56,Monitor_Asignado,Departamento_Asignado,"",0))</f>
        <v/>
      </c>
      <c r="N56" s="7" t="str">
        <f t="array" ref="N56">IF(OR($A56="",ISBLANK(XLOOKUP($A56,Monitor_Asignado,Nombres_Directorio,"",0))),"",XLOOKUP($A56,Monitor_Asignado,Nombres_Directorio,"",0))</f>
        <v/>
      </c>
      <c r="O56" s="7" t="str">
        <f t="array" ref="O56">IF(OR($A56="",ISBLANK(XLOOKUP($A56,Monitor_Asignado,Correos_Gmail,"",0))),"",XLOOKUP($A56,Monitor_Asignado,Correos_Gmail,"",0))</f>
        <v/>
      </c>
      <c r="P56" s="7" t="str">
        <f t="array" ref="P56">IF(OR($A56="",ISBLANK(XLOOKUP($A56,Monitor_Asignado,Correos_Institucionales,"",0))),"",XLOOKUP($A56,Monitor_Asignado,Correos_Institucionales,"",0))</f>
        <v/>
      </c>
    </row>
    <row r="57" ht="15.75" customHeight="1">
      <c r="A57" s="7" t="s">
        <v>1241</v>
      </c>
      <c r="B57" s="7"/>
      <c r="C57" s="9"/>
      <c r="D57" s="7"/>
      <c r="E57" s="36" t="s">
        <v>444</v>
      </c>
      <c r="F57" s="7" t="s">
        <v>2115</v>
      </c>
      <c r="G57" s="7" t="s">
        <v>2116</v>
      </c>
      <c r="H57" s="7"/>
      <c r="I57" s="7" t="s">
        <v>242</v>
      </c>
      <c r="J57" s="7"/>
      <c r="K57" s="7" t="str">
        <f t="array" ref="K57">IF(OR($A57="",ISBLANK(XLOOKUP($A57,Monitor_Asignado,Nombres_Directorio,"",0))),"",XLOOKUP($A57,Monitor_Asignado,Nombres_Directorio,"",0))</f>
        <v/>
      </c>
      <c r="L57" s="7" t="str">
        <f t="array" ref="L57">IF(OR($A57="",ISBLANK(XLOOKUP($A57,Monitor_Asignado,Sucursal_Asignada,"",0))),"",XLOOKUP($A57,Monitor_Asignado,Sucursal_Asignada,"",0))</f>
        <v/>
      </c>
      <c r="M57" s="7" t="str">
        <f t="array" ref="M57">IF(OR($A57="",ISBLANK(XLOOKUP($A57,Monitor_Asignado,Departamento_Asignado,"",0))),"",XLOOKUP($A57,Monitor_Asignado,Departamento_Asignado,"",0))</f>
        <v/>
      </c>
      <c r="N57" s="7" t="str">
        <f t="array" ref="N57">IF(OR($A57="",ISBLANK(XLOOKUP($A57,Monitor_Asignado,Nombres_Directorio,"",0))),"",XLOOKUP($A57,Monitor_Asignado,Nombres_Directorio,"",0))</f>
        <v/>
      </c>
      <c r="O57" s="7" t="str">
        <f t="array" ref="O57">IF(OR($A57="",ISBLANK(XLOOKUP($A57,Monitor_Asignado,Correos_Gmail,"",0))),"",XLOOKUP($A57,Monitor_Asignado,Correos_Gmail,"",0))</f>
        <v/>
      </c>
      <c r="P57" s="7" t="str">
        <f t="array" ref="P57">IF(OR($A57="",ISBLANK(XLOOKUP($A57,Monitor_Asignado,Correos_Institucionales,"",0))),"",XLOOKUP($A57,Monitor_Asignado,Correos_Institucionales,"",0))</f>
        <v/>
      </c>
    </row>
    <row r="58" ht="15.75" customHeight="1">
      <c r="A58" s="7" t="s">
        <v>806</v>
      </c>
      <c r="B58" s="7"/>
      <c r="C58" s="9"/>
      <c r="D58" s="7"/>
      <c r="E58" s="36" t="s">
        <v>444</v>
      </c>
      <c r="F58" s="7" t="s">
        <v>1518</v>
      </c>
      <c r="G58" s="7" t="s">
        <v>2147</v>
      </c>
      <c r="H58" s="7"/>
      <c r="I58" s="7" t="s">
        <v>455</v>
      </c>
      <c r="J58" s="7"/>
      <c r="K58" s="7" t="str">
        <f t="array" ref="K58">IF(OR($A58="",ISBLANK(XLOOKUP($A58,Monitor_Asignado,Nombres_Directorio,"",0))),"",XLOOKUP($A58,Monitor_Asignado,Nombres_Directorio,"",0))</f>
        <v>Maribel Cervantes Flores</v>
      </c>
      <c r="L58" s="7" t="str">
        <f t="array" ref="L58">IF(OR($A58="",ISBLANK(XLOOKUP($A58,Monitor_Asignado,Sucursal_Asignada,"",0))),"",XLOOKUP($A58,Monitor_Asignado,Sucursal_Asignada,"",0))</f>
        <v>Poncitlán</v>
      </c>
      <c r="M58" s="7" t="str">
        <f t="array" ref="M58">IF(OR($A58="",ISBLANK(XLOOKUP($A58,Monitor_Asignado,Departamento_Asignado,"",0))),"",XLOOKUP($A58,Monitor_Asignado,Departamento_Asignado,"",0))</f>
        <v>Crédito y Cobranza</v>
      </c>
      <c r="N58" s="7" t="str">
        <f t="array" ref="N58">IF(OR($A58="",ISBLANK(XLOOKUP($A58,Monitor_Asignado,Nombres_Directorio,"",0))),"",XLOOKUP($A58,Monitor_Asignado,Nombres_Directorio,"",0))</f>
        <v>Maribel Cervantes Flores</v>
      </c>
      <c r="O58" s="7" t="str">
        <f t="array" ref="O58">IF(OR($A58="",ISBLANK(XLOOKUP($A58,Monitor_Asignado,Correos_Gmail,"",0))),"",XLOOKUP($A58,Monitor_Asignado,Correos_Gmail,"",0))</f>
        <v>cajaponcitlan@agrocisa.com.mx</v>
      </c>
      <c r="P58" s="7" t="str">
        <f t="array" ref="P58">IF(OR($A58="",ISBLANK(XLOOKUP($A58,Monitor_Asignado,Correos_Institucionales,"",0))),"",XLOOKUP($A58,Monitor_Asignado,Correos_Institucionales,"",0))</f>
        <v>cajaponcitlan@agrocisa.com.mx</v>
      </c>
    </row>
    <row r="59" ht="15.75" customHeight="1">
      <c r="A59" s="7" t="s">
        <v>1287</v>
      </c>
      <c r="B59" s="7"/>
      <c r="C59" s="9"/>
      <c r="D59" s="7"/>
      <c r="E59" s="36" t="s">
        <v>444</v>
      </c>
      <c r="F59" s="7" t="s">
        <v>1518</v>
      </c>
      <c r="G59" s="7" t="s">
        <v>2155</v>
      </c>
      <c r="H59" s="7"/>
      <c r="I59" s="7" t="s">
        <v>455</v>
      </c>
      <c r="J59" s="7"/>
      <c r="K59" s="7" t="str">
        <f t="array" ref="K59">IF(OR($A59="",ISBLANK(XLOOKUP($A59,Monitor_Asignado,Nombres_Directorio,"",0))),"",XLOOKUP($A59,Monitor_Asignado,Nombres_Directorio,"",0))</f>
        <v/>
      </c>
      <c r="L59" s="7" t="str">
        <f t="array" ref="L59">IF(OR($A59="",ISBLANK(XLOOKUP($A59,Monitor_Asignado,Sucursal_Asignada,"",0))),"",XLOOKUP($A59,Monitor_Asignado,Sucursal_Asignada,"",0))</f>
        <v/>
      </c>
      <c r="M59" s="7" t="str">
        <f t="array" ref="M59">IF(OR($A59="",ISBLANK(XLOOKUP($A59,Monitor_Asignado,Departamento_Asignado,"",0))),"",XLOOKUP($A59,Monitor_Asignado,Departamento_Asignado,"",0))</f>
        <v/>
      </c>
      <c r="N59" s="7" t="str">
        <f t="array" ref="N59">IF(OR($A59="",ISBLANK(XLOOKUP($A59,Monitor_Asignado,Nombres_Directorio,"",0))),"",XLOOKUP($A59,Monitor_Asignado,Nombres_Directorio,"",0))</f>
        <v/>
      </c>
      <c r="O59" s="7" t="str">
        <f t="array" ref="O59">IF(OR($A59="",ISBLANK(XLOOKUP($A59,Monitor_Asignado,Correos_Gmail,"",0))),"",XLOOKUP($A59,Monitor_Asignado,Correos_Gmail,"",0))</f>
        <v/>
      </c>
      <c r="P59" s="7" t="str">
        <f t="array" ref="P59">IF(OR($A59="",ISBLANK(XLOOKUP($A59,Monitor_Asignado,Correos_Institucionales,"",0))),"",XLOOKUP($A59,Monitor_Asignado,Correos_Institucionales,"",0))</f>
        <v/>
      </c>
    </row>
    <row r="60" ht="15.75" customHeight="1">
      <c r="A60" s="7" t="s">
        <v>1299</v>
      </c>
      <c r="B60" s="7"/>
      <c r="C60" s="9"/>
      <c r="D60" s="7"/>
      <c r="E60" s="36" t="s">
        <v>444</v>
      </c>
      <c r="F60" s="7" t="s">
        <v>1518</v>
      </c>
      <c r="G60" s="7" t="s">
        <v>2172</v>
      </c>
      <c r="H60" s="7"/>
      <c r="I60" s="7" t="s">
        <v>455</v>
      </c>
      <c r="J60" s="7"/>
      <c r="K60" s="7" t="str">
        <f t="array" ref="K60">IF(OR($A60="",ISBLANK(XLOOKUP($A60,Monitor_Asignado,Nombres_Directorio,"",0))),"",XLOOKUP($A60,Monitor_Asignado,Nombres_Directorio,"",0))</f>
        <v/>
      </c>
      <c r="L60" s="7" t="str">
        <f t="array" ref="L60">IF(OR($A60="",ISBLANK(XLOOKUP($A60,Monitor_Asignado,Sucursal_Asignada,"",0))),"",XLOOKUP($A60,Monitor_Asignado,Sucursal_Asignada,"",0))</f>
        <v/>
      </c>
      <c r="M60" s="7" t="str">
        <f t="array" ref="M60">IF(OR($A60="",ISBLANK(XLOOKUP($A60,Monitor_Asignado,Departamento_Asignado,"",0))),"",XLOOKUP($A60,Monitor_Asignado,Departamento_Asignado,"",0))</f>
        <v/>
      </c>
      <c r="N60" s="7" t="str">
        <f t="array" ref="N60">IF(OR($A60="",ISBLANK(XLOOKUP($A60,Monitor_Asignado,Nombres_Directorio,"",0))),"",XLOOKUP($A60,Monitor_Asignado,Nombres_Directorio,"",0))</f>
        <v/>
      </c>
      <c r="O60" s="7" t="str">
        <f t="array" ref="O60">IF(OR($A60="",ISBLANK(XLOOKUP($A60,Monitor_Asignado,Correos_Gmail,"",0))),"",XLOOKUP($A60,Monitor_Asignado,Correos_Gmail,"",0))</f>
        <v/>
      </c>
      <c r="P60" s="7" t="str">
        <f t="array" ref="P60">IF(OR($A60="",ISBLANK(XLOOKUP($A60,Monitor_Asignado,Correos_Institucionales,"",0))),"",XLOOKUP($A60,Monitor_Asignado,Correos_Institucionales,"",0))</f>
        <v/>
      </c>
    </row>
    <row r="61" ht="15.75" customHeight="1">
      <c r="A61" s="7" t="s">
        <v>1317</v>
      </c>
      <c r="B61" s="7"/>
      <c r="C61" s="9"/>
      <c r="D61" s="7"/>
      <c r="E61" s="36" t="s">
        <v>444</v>
      </c>
      <c r="F61" s="7" t="s">
        <v>1518</v>
      </c>
      <c r="G61" s="7" t="s">
        <v>2201</v>
      </c>
      <c r="H61" s="7"/>
      <c r="I61" s="7" t="s">
        <v>455</v>
      </c>
      <c r="J61" s="7"/>
      <c r="K61" s="7" t="str">
        <f t="array" ref="K61">IF(OR($A61="",ISBLANK(XLOOKUP($A61,Monitor_Asignado,Nombres_Directorio,"",0))),"",XLOOKUP($A61,Monitor_Asignado,Nombres_Directorio,"",0))</f>
        <v/>
      </c>
      <c r="L61" s="7" t="str">
        <f t="array" ref="L61">IF(OR($A61="",ISBLANK(XLOOKUP($A61,Monitor_Asignado,Sucursal_Asignada,"",0))),"",XLOOKUP($A61,Monitor_Asignado,Sucursal_Asignada,"",0))</f>
        <v/>
      </c>
      <c r="M61" s="7" t="str">
        <f t="array" ref="M61">IF(OR($A61="",ISBLANK(XLOOKUP($A61,Monitor_Asignado,Departamento_Asignado,"",0))),"",XLOOKUP($A61,Monitor_Asignado,Departamento_Asignado,"",0))</f>
        <v/>
      </c>
      <c r="N61" s="7" t="str">
        <f t="array" ref="N61">IF(OR($A61="",ISBLANK(XLOOKUP($A61,Monitor_Asignado,Nombres_Directorio,"",0))),"",XLOOKUP($A61,Monitor_Asignado,Nombres_Directorio,"",0))</f>
        <v/>
      </c>
      <c r="O61" s="7" t="str">
        <f t="array" ref="O61">IF(OR($A61="",ISBLANK(XLOOKUP($A61,Monitor_Asignado,Correos_Gmail,"",0))),"",XLOOKUP($A61,Monitor_Asignado,Correos_Gmail,"",0))</f>
        <v/>
      </c>
      <c r="P61" s="7" t="str">
        <f t="array" ref="P61">IF(OR($A61="",ISBLANK(XLOOKUP($A61,Monitor_Asignado,Correos_Institucionales,"",0))),"",XLOOKUP($A61,Monitor_Asignado,Correos_Institucionales,"",0))</f>
        <v/>
      </c>
    </row>
    <row r="62" ht="15.75" customHeight="1">
      <c r="A62" s="7" t="s">
        <v>848</v>
      </c>
      <c r="B62" s="7"/>
      <c r="C62" s="9"/>
      <c r="D62" s="7"/>
      <c r="E62" s="36" t="s">
        <v>444</v>
      </c>
      <c r="F62" s="7" t="s">
        <v>1455</v>
      </c>
      <c r="G62" s="7" t="s">
        <v>2224</v>
      </c>
      <c r="H62" s="7"/>
      <c r="I62" s="7" t="s">
        <v>455</v>
      </c>
      <c r="J62" s="7"/>
      <c r="K62" s="7" t="str">
        <f t="array" ref="K62">IF(OR($A62="",ISBLANK(XLOOKUP($A62,Monitor_Asignado,Nombres_Directorio,"",0))),"",XLOOKUP($A62,Monitor_Asignado,Nombres_Directorio,"",0))</f>
        <v>Patricia Yunuen Vázquez Villa </v>
      </c>
      <c r="L62" s="7" t="str">
        <f t="array" ref="L62">IF(OR($A62="",ISBLANK(XLOOKUP($A62,Monitor_Asignado,Sucursal_Asignada,"",0))),"",XLOOKUP($A62,Monitor_Asignado,Sucursal_Asignada,"",0))</f>
        <v>Poncitlán</v>
      </c>
      <c r="M62" s="7" t="str">
        <f t="array" ref="M62">IF(OR($A62="",ISBLANK(XLOOKUP($A62,Monitor_Asignado,Departamento_Asignado,"",0))),"",XLOOKUP($A62,Monitor_Asignado,Departamento_Asignado,"",0))</f>
        <v>Servicio</v>
      </c>
      <c r="N62" s="7" t="str">
        <f t="array" ref="N62">IF(OR($A62="",ISBLANK(XLOOKUP($A62,Monitor_Asignado,Nombres_Directorio,"",0))),"",XLOOKUP($A62,Monitor_Asignado,Nombres_Directorio,"",0))</f>
        <v>Patricia Yunuen Vázquez Villa </v>
      </c>
      <c r="O62" s="7" t="str">
        <f t="array" ref="O62">IF(OR($A62="",ISBLANK(XLOOKUP($A62,Monitor_Asignado,Correos_Gmail,"",0))),"",XLOOKUP($A62,Monitor_Asignado,Correos_Gmail,"",0))</f>
        <v>pvazquez.agro@gmail.com</v>
      </c>
      <c r="P62" s="7" t="str">
        <f t="array" ref="P62">IF(OR($A62="",ISBLANK(XLOOKUP($A62,Monitor_Asignado,Correos_Institucionales,"",0))),"",XLOOKUP($A62,Monitor_Asignado,Correos_Institucionales,"",0))</f>
        <v>patricia.vazquez@agrocisa.com.mx</v>
      </c>
    </row>
    <row r="63" ht="15.75" customHeight="1">
      <c r="A63" s="7" t="s">
        <v>851</v>
      </c>
      <c r="B63" s="7"/>
      <c r="C63" s="9">
        <v>950.0</v>
      </c>
      <c r="D63" s="7"/>
      <c r="E63" s="36" t="s">
        <v>1334</v>
      </c>
      <c r="F63" s="7" t="s">
        <v>2249</v>
      </c>
      <c r="G63" s="7" t="s">
        <v>2250</v>
      </c>
      <c r="H63" s="7"/>
      <c r="I63" s="7" t="s">
        <v>242</v>
      </c>
      <c r="J63" s="7"/>
      <c r="K63" s="7" t="str">
        <f t="array" ref="K63">IF(OR($A63="",ISBLANK(XLOOKUP($A63,Monitor_Asignado,Nombres_Directorio,"",0))),"",XLOOKUP($A63,Monitor_Asignado,Nombres_Directorio,"",0))</f>
        <v>César Enrique Flores Franco</v>
      </c>
      <c r="L63" s="7" t="str">
        <f t="array" ref="L63">IF(OR($A63="",ISBLANK(XLOOKUP($A63,Monitor_Asignado,Sucursal_Asignada,"",0))),"",XLOOKUP($A63,Monitor_Asignado,Sucursal_Asignada,"",0))</f>
        <v>Poncitlán</v>
      </c>
      <c r="M63" s="7" t="str">
        <f t="array" ref="M63">IF(OR($A63="",ISBLANK(XLOOKUP($A63,Monitor_Asignado,Departamento_Asignado,"",0))),"",XLOOKUP($A63,Monitor_Asignado,Departamento_Asignado,"",0))</f>
        <v>Servicio</v>
      </c>
      <c r="N63" s="7" t="str">
        <f t="array" ref="N63">IF(OR($A63="",ISBLANK(XLOOKUP($A63,Monitor_Asignado,Nombres_Directorio,"",0))),"",XLOOKUP($A63,Monitor_Asignado,Nombres_Directorio,"",0))</f>
        <v>César Enrique Flores Franco</v>
      </c>
      <c r="O63" s="7" t="str">
        <f t="array" ref="O63">IF(OR($A63="",ISBLANK(XLOOKUP($A63,Monitor_Asignado,Correos_Gmail,"",0))),"",XLOOKUP($A63,Monitor_Asignado,Correos_Gmail,"",0))</f>
        <v>tallerponcitlan@agrocisa.com.mx</v>
      </c>
      <c r="P63" s="7" t="str">
        <f t="array" ref="P63">IF(OR($A63="",ISBLANK(XLOOKUP($A63,Monitor_Asignado,Correos_Institucionales,"",0))),"",XLOOKUP($A63,Monitor_Asignado,Correos_Institucionales,"",0))</f>
        <v>tallerponcitlan@agrocisa.com.mx</v>
      </c>
    </row>
    <row r="64" ht="15.75" customHeight="1">
      <c r="A64" s="7" t="s">
        <v>1344</v>
      </c>
      <c r="B64" s="7"/>
      <c r="C64" s="9"/>
      <c r="D64" s="7"/>
      <c r="E64" s="36" t="s">
        <v>444</v>
      </c>
      <c r="F64" s="7" t="s">
        <v>2286</v>
      </c>
      <c r="G64" s="7" t="s">
        <v>2287</v>
      </c>
      <c r="H64" s="7"/>
      <c r="I64" s="7" t="s">
        <v>242</v>
      </c>
      <c r="J64" s="7"/>
      <c r="K64" s="7" t="str">
        <f t="array" ref="K64">IF(OR($A64="",ISBLANK(XLOOKUP($A64,Monitor_Asignado,Nombres_Directorio,"",0))),"",XLOOKUP($A64,Monitor_Asignado,Nombres_Directorio,"",0))</f>
        <v/>
      </c>
      <c r="L64" s="7" t="str">
        <f t="array" ref="L64">IF(OR($A64="",ISBLANK(XLOOKUP($A64,Monitor_Asignado,Sucursal_Asignada,"",0))),"",XLOOKUP($A64,Monitor_Asignado,Sucursal_Asignada,"",0))</f>
        <v/>
      </c>
      <c r="M64" s="7" t="str">
        <f t="array" ref="M64">IF(OR($A64="",ISBLANK(XLOOKUP($A64,Monitor_Asignado,Departamento_Asignado,"",0))),"",XLOOKUP($A64,Monitor_Asignado,Departamento_Asignado,"",0))</f>
        <v/>
      </c>
      <c r="N64" s="7" t="str">
        <f t="array" ref="N64">IF(OR($A64="",ISBLANK(XLOOKUP($A64,Monitor_Asignado,Nombres_Directorio,"",0))),"",XLOOKUP($A64,Monitor_Asignado,Nombres_Directorio,"",0))</f>
        <v/>
      </c>
      <c r="O64" s="7" t="str">
        <f t="array" ref="O64">IF(OR($A64="",ISBLANK(XLOOKUP($A64,Monitor_Asignado,Correos_Gmail,"",0))),"",XLOOKUP($A64,Monitor_Asignado,Correos_Gmail,"",0))</f>
        <v/>
      </c>
      <c r="P64" s="7" t="str">
        <f t="array" ref="P64">IF(OR($A64="",ISBLANK(XLOOKUP($A64,Monitor_Asignado,Correos_Institucionales,"",0))),"",XLOOKUP($A64,Monitor_Asignado,Correos_Institucionales,"",0))</f>
        <v/>
      </c>
    </row>
    <row r="65" ht="15.75" customHeight="1">
      <c r="A65" s="7" t="s">
        <v>823</v>
      </c>
      <c r="B65" s="7"/>
      <c r="C65" s="9"/>
      <c r="D65" s="7"/>
      <c r="E65" s="36" t="s">
        <v>444</v>
      </c>
      <c r="F65" s="7" t="s">
        <v>1581</v>
      </c>
      <c r="G65" s="7" t="s">
        <v>2310</v>
      </c>
      <c r="H65" s="7"/>
      <c r="I65" s="7" t="s">
        <v>455</v>
      </c>
      <c r="J65" s="7"/>
      <c r="K65" s="7" t="str">
        <f t="array" ref="K65">IF(OR($A65="",ISBLANK(XLOOKUP($A65,Monitor_Asignado,Nombres_Directorio,"",0))),"",XLOOKUP($A65,Monitor_Asignado,Nombres_Directorio,"",0))</f>
        <v>Airam Monserrat Vázquez Segura</v>
      </c>
      <c r="L65" s="7" t="str">
        <f t="array" ref="L65">IF(OR($A65="",ISBLANK(XLOOKUP($A65,Monitor_Asignado,Sucursal_Asignada,"",0))),"",XLOOKUP($A65,Monitor_Asignado,Sucursal_Asignada,"",0))</f>
        <v>Poncitlán</v>
      </c>
      <c r="M65" s="7" t="str">
        <f t="array" ref="M65">IF(OR($A65="",ISBLANK(XLOOKUP($A65,Monitor_Asignado,Departamento_Asignado,"",0))),"",XLOOKUP($A65,Monitor_Asignado,Departamento_Asignado,"",0))</f>
        <v>Maquinaria Agrícola y Construcción</v>
      </c>
      <c r="N65" s="7" t="str">
        <f t="array" ref="N65">IF(OR($A65="",ISBLANK(XLOOKUP($A65,Monitor_Asignado,Nombres_Directorio,"",0))),"",XLOOKUP($A65,Monitor_Asignado,Nombres_Directorio,"",0))</f>
        <v>Airam Monserrat Vázquez Segura</v>
      </c>
      <c r="O65" s="7" t="str">
        <f t="array" ref="O65">IF(OR($A65="",ISBLANK(XLOOKUP($A65,Monitor_Asignado,Correos_Gmail,"",0))),"",XLOOKUP($A65,Monitor_Asignado,Correos_Gmail,"",0))</f>
        <v>ventasponci.agrocisa@gmail.com</v>
      </c>
      <c r="P65" s="7" t="str">
        <f t="array" ref="P65">IF(OR($A65="",ISBLANK(XLOOKUP($A65,Monitor_Asignado,Correos_Institucionales,"",0))),"",XLOOKUP($A65,Monitor_Asignado,Correos_Institucionales,"",0))</f>
        <v>airam.vazquez@agrocisa.com.mx</v>
      </c>
    </row>
    <row r="66" ht="15.75" customHeight="1">
      <c r="A66" s="7" t="s">
        <v>2314</v>
      </c>
      <c r="B66" s="7"/>
      <c r="C66" s="9"/>
      <c r="D66" s="7"/>
      <c r="E66" s="36" t="s">
        <v>444</v>
      </c>
      <c r="F66" s="7" t="s">
        <v>2315</v>
      </c>
      <c r="G66" s="7" t="s">
        <v>2316</v>
      </c>
      <c r="H66" s="7"/>
      <c r="I66" s="7" t="s">
        <v>455</v>
      </c>
      <c r="J66" s="7"/>
      <c r="K66" s="7" t="str">
        <f t="array" ref="K66">IF(OR($A66="",ISBLANK(XLOOKUP($A66,Monitor_Asignado,Nombres_Directorio,"",0))),"",XLOOKUP($A66,Monitor_Asignado,Nombres_Directorio,"",0))</f>
        <v/>
      </c>
      <c r="L66" s="7" t="str">
        <f t="array" ref="L66">IF(OR($A66="",ISBLANK(XLOOKUP($A66,Monitor_Asignado,Sucursal_Asignada,"",0))),"",XLOOKUP($A66,Monitor_Asignado,Sucursal_Asignada,"",0))</f>
        <v/>
      </c>
      <c r="M66" s="7" t="str">
        <f t="array" ref="M66">IF(OR($A66="",ISBLANK(XLOOKUP($A66,Monitor_Asignado,Departamento_Asignado,"",0))),"",XLOOKUP($A66,Monitor_Asignado,Departamento_Asignado,"",0))</f>
        <v/>
      </c>
      <c r="N66" s="7" t="str">
        <f t="array" ref="N66">IF(OR($A66="",ISBLANK(XLOOKUP($A66,Monitor_Asignado,Nombres_Directorio,"",0))),"",XLOOKUP($A66,Monitor_Asignado,Nombres_Directorio,"",0))</f>
        <v/>
      </c>
      <c r="O66" s="7" t="str">
        <f t="array" ref="O66">IF(OR($A66="",ISBLANK(XLOOKUP($A66,Monitor_Asignado,Correos_Gmail,"",0))),"",XLOOKUP($A66,Monitor_Asignado,Correos_Gmail,"",0))</f>
        <v/>
      </c>
      <c r="P66" s="7" t="str">
        <f t="array" ref="P66">IF(OR($A66="",ISBLANK(XLOOKUP($A66,Monitor_Asignado,Correos_Institucionales,"",0))),"",XLOOKUP($A66,Monitor_Asignado,Correos_Institucionales,"",0))</f>
        <v/>
      </c>
    </row>
    <row r="67" ht="15.75" customHeight="1">
      <c r="A67" s="7" t="s">
        <v>1256</v>
      </c>
      <c r="B67" s="7"/>
      <c r="C67" s="9"/>
      <c r="D67" s="7"/>
      <c r="E67" s="36" t="s">
        <v>2319</v>
      </c>
      <c r="F67" s="7" t="s">
        <v>2320</v>
      </c>
      <c r="G67" s="7" t="s">
        <v>1351</v>
      </c>
      <c r="H67" s="7"/>
      <c r="I67" s="7" t="s">
        <v>455</v>
      </c>
      <c r="J67" s="7"/>
      <c r="K67" s="7" t="str">
        <f t="array" ref="K67">IF(OR($A67="",ISBLANK(XLOOKUP($A67,Monitor_Asignado,Nombres_Directorio,"",0))),"",XLOOKUP($A67,Monitor_Asignado,Nombres_Directorio,"",0))</f>
        <v/>
      </c>
      <c r="L67" s="7" t="str">
        <f t="array" ref="L67">IF(OR($A67="",ISBLANK(XLOOKUP($A67,Monitor_Asignado,Sucursal_Asignada,"",0))),"",XLOOKUP($A67,Monitor_Asignado,Sucursal_Asignada,"",0))</f>
        <v/>
      </c>
      <c r="M67" s="7" t="str">
        <f t="array" ref="M67">IF(OR($A67="",ISBLANK(XLOOKUP($A67,Monitor_Asignado,Departamento_Asignado,"",0))),"",XLOOKUP($A67,Monitor_Asignado,Departamento_Asignado,"",0))</f>
        <v/>
      </c>
      <c r="N67" s="7" t="str">
        <f t="array" ref="N67">IF(OR($A67="",ISBLANK(XLOOKUP($A67,Monitor_Asignado,Nombres_Directorio,"",0))),"",XLOOKUP($A67,Monitor_Asignado,Nombres_Directorio,"",0))</f>
        <v/>
      </c>
      <c r="O67" s="7" t="str">
        <f t="array" ref="O67">IF(OR($A67="",ISBLANK(XLOOKUP($A67,Monitor_Asignado,Correos_Gmail,"",0))),"",XLOOKUP($A67,Monitor_Asignado,Correos_Gmail,"",0))</f>
        <v/>
      </c>
      <c r="P67" s="7" t="str">
        <f t="array" ref="P67">IF(OR($A67="",ISBLANK(XLOOKUP($A67,Monitor_Asignado,Correos_Institucionales,"",0))),"",XLOOKUP($A67,Monitor_Asignado,Correos_Institucionales,"",0))</f>
        <v/>
      </c>
    </row>
    <row r="68" ht="15.75" customHeight="1">
      <c r="A68" s="7"/>
      <c r="B68" s="7"/>
      <c r="C68" s="9"/>
      <c r="D68" s="7"/>
      <c r="E68" s="36"/>
      <c r="F68" s="7" t="s">
        <v>1556</v>
      </c>
      <c r="G68" s="7" t="s">
        <v>1557</v>
      </c>
      <c r="H68" s="7"/>
      <c r="I68" s="7"/>
      <c r="J68" s="7"/>
      <c r="K68" s="7" t="str">
        <f t="array" ref="K68">IF(OR($A68="",ISBLANK(XLOOKUP($A68,Monitor_Asignado,Nombres_Directorio,"",0))),"",XLOOKUP($A68,Monitor_Asignado,Nombres_Directorio,"",0))</f>
        <v/>
      </c>
      <c r="L68" s="7" t="str">
        <f t="array" ref="L68">IF(OR($A68="",ISBLANK(XLOOKUP($A68,Monitor_Asignado,Sucursal_Asignada,"",0))),"",XLOOKUP($A68,Monitor_Asignado,Sucursal_Asignada,"",0))</f>
        <v/>
      </c>
      <c r="M68" s="7" t="str">
        <f t="array" ref="M68">IF(OR($A68="",ISBLANK(XLOOKUP($A68,Monitor_Asignado,Departamento_Asignado,"",0))),"",XLOOKUP($A68,Monitor_Asignado,Departamento_Asignado,"",0))</f>
        <v/>
      </c>
      <c r="N68" s="7" t="str">
        <f t="array" ref="N68">IF(OR($A68="",ISBLANK(XLOOKUP($A68,Monitor_Asignado,Nombres_Directorio,"",0))),"",XLOOKUP($A68,Monitor_Asignado,Nombres_Directorio,"",0))</f>
        <v/>
      </c>
      <c r="O68" s="7" t="str">
        <f t="array" ref="O68">IF(OR($A68="",ISBLANK(XLOOKUP($A68,Monitor_Asignado,Correos_Gmail,"",0))),"",XLOOKUP($A68,Monitor_Asignado,Correos_Gmail,"",0))</f>
        <v/>
      </c>
      <c r="P68" s="7" t="str">
        <f t="array" ref="P68">IF(OR($A68="",ISBLANK(XLOOKUP($A68,Monitor_Asignado,Correos_Institucionales,"",0))),"",XLOOKUP($A68,Monitor_Asignado,Correos_Institucionales,"",0))</f>
        <v/>
      </c>
    </row>
    <row r="69" ht="15.75" customHeight="1">
      <c r="A69" s="7"/>
      <c r="B69" s="7"/>
      <c r="C69" s="9"/>
      <c r="D69" s="7"/>
      <c r="E69" s="36"/>
      <c r="F69" s="7"/>
      <c r="G69" s="7"/>
      <c r="H69" s="7"/>
      <c r="I69" s="7"/>
      <c r="J69" s="7"/>
      <c r="K69" s="7" t="str">
        <f t="array" ref="K69">IF(OR($A69="",ISBLANK(XLOOKUP($A69,Monitor_Asignado,Nombres_Directorio,"",0))),"",XLOOKUP($A69,Monitor_Asignado,Nombres_Directorio,"",0))</f>
        <v/>
      </c>
      <c r="L69" s="7" t="str">
        <f t="array" ref="L69">IF(OR($A69="",ISBLANK(XLOOKUP($A69,Monitor_Asignado,Sucursal_Asignada,"",0))),"",XLOOKUP($A69,Monitor_Asignado,Sucursal_Asignada,"",0))</f>
        <v/>
      </c>
      <c r="M69" s="7" t="str">
        <f t="array" ref="M69">IF(OR($A69="",ISBLANK(XLOOKUP($A69,Monitor_Asignado,Departamento_Asignado,"",0))),"",XLOOKUP($A69,Monitor_Asignado,Departamento_Asignado,"",0))</f>
        <v/>
      </c>
      <c r="N69" s="7" t="str">
        <f t="array" ref="N69">IF(OR($A69="",ISBLANK(XLOOKUP($A69,Monitor_Asignado,Nombres_Directorio,"",0))),"",XLOOKUP($A69,Monitor_Asignado,Nombres_Directorio,"",0))</f>
        <v/>
      </c>
      <c r="O69" s="7" t="str">
        <f t="array" ref="O69">IF(OR($A69="",ISBLANK(XLOOKUP($A69,Monitor_Asignado,Correos_Gmail,"",0))),"",XLOOKUP($A69,Monitor_Asignado,Correos_Gmail,"",0))</f>
        <v/>
      </c>
      <c r="P69" s="7" t="str">
        <f t="array" ref="P69">IF(OR($A69="",ISBLANK(XLOOKUP($A69,Monitor_Asignado,Correos_Institucionales,"",0))),"",XLOOKUP($A69,Monitor_Asignado,Correos_Institucionales,"",0))</f>
        <v/>
      </c>
    </row>
    <row r="70" ht="15.75" customHeight="1">
      <c r="A70" s="7"/>
      <c r="B70" s="7"/>
      <c r="C70" s="9"/>
      <c r="D70" s="7"/>
      <c r="E70" s="36"/>
      <c r="F70" s="7"/>
      <c r="G70" s="7"/>
      <c r="H70" s="7"/>
      <c r="I70" s="7"/>
      <c r="J70" s="7"/>
      <c r="K70" s="7" t="str">
        <f t="array" ref="K70">IF(OR($A70="",ISBLANK(XLOOKUP($A70,Monitor_Asignado,Nombres_Directorio,"",0))),"",XLOOKUP($A70,Monitor_Asignado,Nombres_Directorio,"",0))</f>
        <v/>
      </c>
      <c r="L70" s="7" t="str">
        <f t="array" ref="L70">IF(OR($A70="",ISBLANK(XLOOKUP($A70,Monitor_Asignado,Sucursal_Asignada,"",0))),"",XLOOKUP($A70,Monitor_Asignado,Sucursal_Asignada,"",0))</f>
        <v/>
      </c>
      <c r="M70" s="7" t="str">
        <f t="array" ref="M70">IF(OR($A70="",ISBLANK(XLOOKUP($A70,Monitor_Asignado,Departamento_Asignado,"",0))),"",XLOOKUP($A70,Monitor_Asignado,Departamento_Asignado,"",0))</f>
        <v/>
      </c>
      <c r="N70" s="7" t="str">
        <f t="array" ref="N70">IF(OR($A70="",ISBLANK(XLOOKUP($A70,Monitor_Asignado,Nombres_Directorio,"",0))),"",XLOOKUP($A70,Monitor_Asignado,Nombres_Directorio,"",0))</f>
        <v/>
      </c>
      <c r="O70" s="7" t="str">
        <f t="array" ref="O70">IF(OR($A70="",ISBLANK(XLOOKUP($A70,Monitor_Asignado,Correos_Gmail,"",0))),"",XLOOKUP($A70,Monitor_Asignado,Correos_Gmail,"",0))</f>
        <v/>
      </c>
      <c r="P70" s="7" t="str">
        <f t="array" ref="P70">IF(OR($A70="",ISBLANK(XLOOKUP($A70,Monitor_Asignado,Correos_Institucionales,"",0))),"",XLOOKUP($A70,Monitor_Asignado,Correos_Institucionales,"",0))</f>
        <v/>
      </c>
    </row>
    <row r="71" ht="15.75" customHeight="1">
      <c r="A71" s="7"/>
      <c r="B71" s="7"/>
      <c r="C71" s="9"/>
      <c r="D71" s="7"/>
      <c r="E71" s="36"/>
      <c r="F71" s="7"/>
      <c r="G71" s="7"/>
      <c r="H71" s="7"/>
      <c r="I71" s="7"/>
      <c r="J71" s="7"/>
      <c r="K71" s="7" t="str">
        <f t="array" ref="K71">IF(OR($A71="",ISBLANK(XLOOKUP($A71,Monitor_Asignado,Nombres_Directorio,"",0))),"",XLOOKUP($A71,Monitor_Asignado,Nombres_Directorio,"",0))</f>
        <v/>
      </c>
      <c r="L71" s="7" t="str">
        <f t="array" ref="L71">IF(OR($A71="",ISBLANK(XLOOKUP($A71,Monitor_Asignado,Sucursal_Asignada,"",0))),"",XLOOKUP($A71,Monitor_Asignado,Sucursal_Asignada,"",0))</f>
        <v/>
      </c>
      <c r="M71" s="7" t="str">
        <f t="array" ref="M71">IF(OR($A71="",ISBLANK(XLOOKUP($A71,Monitor_Asignado,Departamento_Asignado,"",0))),"",XLOOKUP($A71,Monitor_Asignado,Departamento_Asignado,"",0))</f>
        <v/>
      </c>
      <c r="N71" s="7" t="str">
        <f t="array" ref="N71">IF(OR($A71="",ISBLANK(XLOOKUP($A71,Monitor_Asignado,Nombres_Directorio,"",0))),"",XLOOKUP($A71,Monitor_Asignado,Nombres_Directorio,"",0))</f>
        <v/>
      </c>
      <c r="O71" s="7" t="str">
        <f t="array" ref="O71">IF(OR($A71="",ISBLANK(XLOOKUP($A71,Monitor_Asignado,Correos_Gmail,"",0))),"",XLOOKUP($A71,Monitor_Asignado,Correos_Gmail,"",0))</f>
        <v/>
      </c>
      <c r="P71" s="7" t="str">
        <f t="array" ref="P71">IF(OR($A71="",ISBLANK(XLOOKUP($A71,Monitor_Asignado,Correos_Institucionales,"",0))),"",XLOOKUP($A71,Monitor_Asignado,Correos_Institucionales,"",0))</f>
        <v/>
      </c>
    </row>
    <row r="72" ht="15.75" customHeight="1">
      <c r="A72" s="7"/>
      <c r="B72" s="7"/>
      <c r="C72" s="9"/>
      <c r="D72" s="7"/>
      <c r="E72" s="36"/>
      <c r="F72" s="7"/>
      <c r="G72" s="7"/>
      <c r="H72" s="7"/>
      <c r="I72" s="7"/>
      <c r="J72" s="7"/>
      <c r="K72" s="7" t="str">
        <f t="array" ref="K72">IF(OR($A72="",ISBLANK(XLOOKUP($A72,Monitor_Asignado,Nombres_Directorio,"",0))),"",XLOOKUP($A72,Monitor_Asignado,Nombres_Directorio,"",0))</f>
        <v/>
      </c>
      <c r="L72" s="7" t="str">
        <f t="array" ref="L72">IF(OR($A72="",ISBLANK(XLOOKUP($A72,Monitor_Asignado,Sucursal_Asignada,"",0))),"",XLOOKUP($A72,Monitor_Asignado,Sucursal_Asignada,"",0))</f>
        <v/>
      </c>
      <c r="M72" s="7" t="str">
        <f t="array" ref="M72">IF(OR($A72="",ISBLANK(XLOOKUP($A72,Monitor_Asignado,Departamento_Asignado,"",0))),"",XLOOKUP($A72,Monitor_Asignado,Departamento_Asignado,"",0))</f>
        <v/>
      </c>
      <c r="N72" s="7" t="str">
        <f t="array" ref="N72">IF(OR($A72="",ISBLANK(XLOOKUP($A72,Monitor_Asignado,Nombres_Directorio,"",0))),"",XLOOKUP($A72,Monitor_Asignado,Nombres_Directorio,"",0))</f>
        <v/>
      </c>
      <c r="O72" s="7" t="str">
        <f t="array" ref="O72">IF(OR($A72="",ISBLANK(XLOOKUP($A72,Monitor_Asignado,Correos_Gmail,"",0))),"",XLOOKUP($A72,Monitor_Asignado,Correos_Gmail,"",0))</f>
        <v/>
      </c>
      <c r="P72" s="7" t="str">
        <f t="array" ref="P72">IF(OR($A72="",ISBLANK(XLOOKUP($A72,Monitor_Asignado,Correos_Institucionales,"",0))),"",XLOOKUP($A72,Monitor_Asignado,Correos_Institucionales,"",0))</f>
        <v/>
      </c>
    </row>
    <row r="73" ht="15.75" customHeight="1">
      <c r="A73" s="7"/>
      <c r="B73" s="7"/>
      <c r="C73" s="9"/>
      <c r="D73" s="7"/>
      <c r="E73" s="36"/>
      <c r="F73" s="7"/>
      <c r="G73" s="7"/>
      <c r="H73" s="7"/>
      <c r="I73" s="7"/>
      <c r="J73" s="7"/>
      <c r="K73" s="7" t="str">
        <f t="array" ref="K73">IF(OR($A73="",ISBLANK(XLOOKUP($A73,Monitor_Asignado,Nombres_Directorio,"",0))),"",XLOOKUP($A73,Monitor_Asignado,Nombres_Directorio,"",0))</f>
        <v/>
      </c>
      <c r="L73" s="7" t="str">
        <f t="array" ref="L73">IF(OR($A73="",ISBLANK(XLOOKUP($A73,Monitor_Asignado,Sucursal_Asignada,"",0))),"",XLOOKUP($A73,Monitor_Asignado,Sucursal_Asignada,"",0))</f>
        <v/>
      </c>
      <c r="M73" s="7" t="str">
        <f t="array" ref="M73">IF(OR($A73="",ISBLANK(XLOOKUP($A73,Monitor_Asignado,Departamento_Asignado,"",0))),"",XLOOKUP($A73,Monitor_Asignado,Departamento_Asignado,"",0))</f>
        <v/>
      </c>
      <c r="N73" s="7" t="str">
        <f t="array" ref="N73">IF(OR($A73="",ISBLANK(XLOOKUP($A73,Monitor_Asignado,Nombres_Directorio,"",0))),"",XLOOKUP($A73,Monitor_Asignado,Nombres_Directorio,"",0))</f>
        <v/>
      </c>
      <c r="O73" s="7" t="str">
        <f t="array" ref="O73">IF(OR($A73="",ISBLANK(XLOOKUP($A73,Monitor_Asignado,Correos_Gmail,"",0))),"",XLOOKUP($A73,Monitor_Asignado,Correos_Gmail,"",0))</f>
        <v/>
      </c>
      <c r="P73" s="7" t="str">
        <f t="array" ref="P73">IF(OR($A73="",ISBLANK(XLOOKUP($A73,Monitor_Asignado,Correos_Institucionales,"",0))),"",XLOOKUP($A73,Monitor_Asignado,Correos_Institucionales,"",0))</f>
        <v/>
      </c>
    </row>
    <row r="74" ht="15.75" customHeight="1">
      <c r="A74" s="7"/>
      <c r="B74" s="7"/>
      <c r="C74" s="9"/>
      <c r="D74" s="7"/>
      <c r="E74" s="36"/>
      <c r="F74" s="7"/>
      <c r="G74" s="7"/>
      <c r="H74" s="7"/>
      <c r="I74" s="7"/>
      <c r="J74" s="7"/>
      <c r="K74" s="7" t="str">
        <f t="array" ref="K74">IF(OR($A74="",ISBLANK(XLOOKUP($A74,Monitor_Asignado,Nombres_Directorio,"",0))),"",XLOOKUP($A74,Monitor_Asignado,Nombres_Directorio,"",0))</f>
        <v/>
      </c>
      <c r="L74" s="7" t="str">
        <f t="array" ref="L74">IF(OR($A74="",ISBLANK(XLOOKUP($A74,Monitor_Asignado,Sucursal_Asignada,"",0))),"",XLOOKUP($A74,Monitor_Asignado,Sucursal_Asignada,"",0))</f>
        <v/>
      </c>
      <c r="M74" s="7" t="str">
        <f t="array" ref="M74">IF(OR($A74="",ISBLANK(XLOOKUP($A74,Monitor_Asignado,Departamento_Asignado,"",0))),"",XLOOKUP($A74,Monitor_Asignado,Departamento_Asignado,"",0))</f>
        <v/>
      </c>
      <c r="N74" s="7" t="str">
        <f t="array" ref="N74">IF(OR($A74="",ISBLANK(XLOOKUP($A74,Monitor_Asignado,Nombres_Directorio,"",0))),"",XLOOKUP($A74,Monitor_Asignado,Nombres_Directorio,"",0))</f>
        <v/>
      </c>
      <c r="O74" s="7" t="str">
        <f t="array" ref="O74">IF(OR($A74="",ISBLANK(XLOOKUP($A74,Monitor_Asignado,Correos_Gmail,"",0))),"",XLOOKUP($A74,Monitor_Asignado,Correos_Gmail,"",0))</f>
        <v/>
      </c>
      <c r="P74" s="7" t="str">
        <f t="array" ref="P74">IF(OR($A74="",ISBLANK(XLOOKUP($A74,Monitor_Asignado,Correos_Institucionales,"",0))),"",XLOOKUP($A74,Monitor_Asignado,Correos_Institucionales,"",0))</f>
        <v/>
      </c>
    </row>
    <row r="75" ht="15.75" customHeight="1">
      <c r="A75" s="7"/>
      <c r="B75" s="7"/>
      <c r="C75" s="9"/>
      <c r="D75" s="7"/>
      <c r="E75" s="36"/>
      <c r="F75" s="7"/>
      <c r="G75" s="7"/>
      <c r="H75" s="7"/>
      <c r="I75" s="7"/>
      <c r="J75" s="7"/>
      <c r="K75" s="7" t="str">
        <f t="array" ref="K75">IF(OR($A75="",ISBLANK(XLOOKUP($A75,Monitor_Asignado,Nombres_Directorio,"",0))),"",XLOOKUP($A75,Monitor_Asignado,Nombres_Directorio,"",0))</f>
        <v/>
      </c>
      <c r="L75" s="7" t="str">
        <f t="array" ref="L75">IF(OR($A75="",ISBLANK(XLOOKUP($A75,Monitor_Asignado,Sucursal_Asignada,"",0))),"",XLOOKUP($A75,Monitor_Asignado,Sucursal_Asignada,"",0))</f>
        <v/>
      </c>
      <c r="M75" s="7" t="str">
        <f t="array" ref="M75">IF(OR($A75="",ISBLANK(XLOOKUP($A75,Monitor_Asignado,Departamento_Asignado,"",0))),"",XLOOKUP($A75,Monitor_Asignado,Departamento_Asignado,"",0))</f>
        <v/>
      </c>
      <c r="N75" s="7" t="str">
        <f t="array" ref="N75">IF(OR($A75="",ISBLANK(XLOOKUP($A75,Monitor_Asignado,Nombres_Directorio,"",0))),"",XLOOKUP($A75,Monitor_Asignado,Nombres_Directorio,"",0))</f>
        <v/>
      </c>
      <c r="O75" s="7" t="str">
        <f t="array" ref="O75">IF(OR($A75="",ISBLANK(XLOOKUP($A75,Monitor_Asignado,Correos_Gmail,"",0))),"",XLOOKUP($A75,Monitor_Asignado,Correos_Gmail,"",0))</f>
        <v/>
      </c>
      <c r="P75" s="7" t="str">
        <f t="array" ref="P75">IF(OR($A75="",ISBLANK(XLOOKUP($A75,Monitor_Asignado,Correos_Institucionales,"",0))),"",XLOOKUP($A75,Monitor_Asignado,Correos_Institucionales,"",0))</f>
        <v/>
      </c>
    </row>
    <row r="76" ht="15.75" customHeight="1">
      <c r="A76" s="7"/>
      <c r="B76" s="7"/>
      <c r="C76" s="9"/>
      <c r="D76" s="7"/>
      <c r="E76" s="36"/>
      <c r="F76" s="7"/>
      <c r="G76" s="7"/>
      <c r="H76" s="7"/>
      <c r="I76" s="7"/>
      <c r="J76" s="7"/>
      <c r="K76" s="7" t="str">
        <f t="array" ref="K76">IF(OR($A76="",ISBLANK(XLOOKUP($A76,Monitor_Asignado,Nombres_Directorio,"",0))),"",XLOOKUP($A76,Monitor_Asignado,Nombres_Directorio,"",0))</f>
        <v/>
      </c>
      <c r="L76" s="7" t="str">
        <f t="array" ref="L76">IF(OR($A76="",ISBLANK(XLOOKUP($A76,Monitor_Asignado,Sucursal_Asignada,"",0))),"",XLOOKUP($A76,Monitor_Asignado,Sucursal_Asignada,"",0))</f>
        <v/>
      </c>
      <c r="M76" s="7" t="str">
        <f t="array" ref="M76">IF(OR($A76="",ISBLANK(XLOOKUP($A76,Monitor_Asignado,Departamento_Asignado,"",0))),"",XLOOKUP($A76,Monitor_Asignado,Departamento_Asignado,"",0))</f>
        <v/>
      </c>
      <c r="N76" s="7" t="str">
        <f t="array" ref="N76">IF(OR($A76="",ISBLANK(XLOOKUP($A76,Monitor_Asignado,Nombres_Directorio,"",0))),"",XLOOKUP($A76,Monitor_Asignado,Nombres_Directorio,"",0))</f>
        <v/>
      </c>
      <c r="O76" s="7" t="str">
        <f t="array" ref="O76">IF(OR($A76="",ISBLANK(XLOOKUP($A76,Monitor_Asignado,Correos_Gmail,"",0))),"",XLOOKUP($A76,Monitor_Asignado,Correos_Gmail,"",0))</f>
        <v/>
      </c>
      <c r="P76" s="7" t="str">
        <f t="array" ref="P76">IF(OR($A76="",ISBLANK(XLOOKUP($A76,Monitor_Asignado,Correos_Institucionales,"",0))),"",XLOOKUP($A76,Monitor_Asignado,Correos_Institucionales,"",0))</f>
        <v/>
      </c>
    </row>
    <row r="77" ht="15.75" customHeight="1">
      <c r="A77" s="7"/>
      <c r="B77" s="7"/>
      <c r="C77" s="9"/>
      <c r="D77" s="7"/>
      <c r="E77" s="36"/>
      <c r="F77" s="7"/>
      <c r="G77" s="7"/>
      <c r="H77" s="7"/>
      <c r="I77" s="7"/>
      <c r="J77" s="7"/>
      <c r="K77" s="7" t="str">
        <f t="array" ref="K77">IF(OR($A77="",ISBLANK(XLOOKUP($A77,Monitor_Asignado,Nombres_Directorio,"",0))),"",XLOOKUP($A77,Monitor_Asignado,Nombres_Directorio,"",0))</f>
        <v/>
      </c>
      <c r="L77" s="7" t="str">
        <f t="array" ref="L77">IF(OR($A77="",ISBLANK(XLOOKUP($A77,Monitor_Asignado,Sucursal_Asignada,"",0))),"",XLOOKUP($A77,Monitor_Asignado,Sucursal_Asignada,"",0))</f>
        <v/>
      </c>
      <c r="M77" s="7" t="str">
        <f t="array" ref="M77">IF(OR($A77="",ISBLANK(XLOOKUP($A77,Monitor_Asignado,Departamento_Asignado,"",0))),"",XLOOKUP($A77,Monitor_Asignado,Departamento_Asignado,"",0))</f>
        <v/>
      </c>
      <c r="N77" s="7" t="str">
        <f t="array" ref="N77">IF(OR($A77="",ISBLANK(XLOOKUP($A77,Monitor_Asignado,Nombres_Directorio,"",0))),"",XLOOKUP($A77,Monitor_Asignado,Nombres_Directorio,"",0))</f>
        <v/>
      </c>
      <c r="O77" s="7" t="str">
        <f t="array" ref="O77">IF(OR($A77="",ISBLANK(XLOOKUP($A77,Monitor_Asignado,Correos_Gmail,"",0))),"",XLOOKUP($A77,Monitor_Asignado,Correos_Gmail,"",0))</f>
        <v/>
      </c>
      <c r="P77" s="7" t="str">
        <f t="array" ref="P77">IF(OR($A77="",ISBLANK(XLOOKUP($A77,Monitor_Asignado,Correos_Institucionales,"",0))),"",XLOOKUP($A77,Monitor_Asignado,Correos_Institucionales,"",0))</f>
        <v/>
      </c>
    </row>
    <row r="78" ht="15.75" customHeight="1">
      <c r="A78" s="7"/>
      <c r="B78" s="7"/>
      <c r="C78" s="9"/>
      <c r="D78" s="7"/>
      <c r="E78" s="36"/>
      <c r="F78" s="7"/>
      <c r="G78" s="7"/>
      <c r="H78" s="7"/>
      <c r="I78" s="7"/>
      <c r="J78" s="7"/>
      <c r="K78" s="7" t="str">
        <f t="array" ref="K78">IF(OR($A78="",ISBLANK(XLOOKUP($A78,Monitor_Asignado,Nombres_Directorio,"",0))),"",XLOOKUP($A78,Monitor_Asignado,Nombres_Directorio,"",0))</f>
        <v/>
      </c>
      <c r="L78" s="7" t="str">
        <f t="array" ref="L78">IF(OR($A78="",ISBLANK(XLOOKUP($A78,Monitor_Asignado,Sucursal_Asignada,"",0))),"",XLOOKUP($A78,Monitor_Asignado,Sucursal_Asignada,"",0))</f>
        <v/>
      </c>
      <c r="M78" s="7" t="str">
        <f t="array" ref="M78">IF(OR($A78="",ISBLANK(XLOOKUP($A78,Monitor_Asignado,Departamento_Asignado,"",0))),"",XLOOKUP($A78,Monitor_Asignado,Departamento_Asignado,"",0))</f>
        <v/>
      </c>
      <c r="N78" s="7" t="str">
        <f t="array" ref="N78">IF(OR($A78="",ISBLANK(XLOOKUP($A78,Monitor_Asignado,Nombres_Directorio,"",0))),"",XLOOKUP($A78,Monitor_Asignado,Nombres_Directorio,"",0))</f>
        <v/>
      </c>
      <c r="O78" s="7" t="str">
        <f t="array" ref="O78">IF(OR($A78="",ISBLANK(XLOOKUP($A78,Monitor_Asignado,Correos_Gmail,"",0))),"",XLOOKUP($A78,Monitor_Asignado,Correos_Gmail,"",0))</f>
        <v/>
      </c>
      <c r="P78" s="7" t="str">
        <f t="array" ref="P78">IF(OR($A78="",ISBLANK(XLOOKUP($A78,Monitor_Asignado,Correos_Institucionales,"",0))),"",XLOOKUP($A78,Monitor_Asignado,Correos_Institucionales,"",0))</f>
        <v/>
      </c>
    </row>
    <row r="79" ht="15.75" customHeight="1">
      <c r="A79" s="7"/>
      <c r="B79" s="7"/>
      <c r="C79" s="9"/>
      <c r="D79" s="7"/>
      <c r="E79" s="36"/>
      <c r="F79" s="7"/>
      <c r="G79" s="7"/>
      <c r="H79" s="7"/>
      <c r="I79" s="7"/>
      <c r="J79" s="7"/>
      <c r="K79" s="7" t="str">
        <f t="array" ref="K79">IF(OR($A79="",ISBLANK(XLOOKUP($A79,Monitor_Asignado,Nombres_Directorio,"",0))),"",XLOOKUP($A79,Monitor_Asignado,Nombres_Directorio,"",0))</f>
        <v/>
      </c>
      <c r="L79" s="7" t="str">
        <f t="array" ref="L79">IF(OR($A79="",ISBLANK(XLOOKUP($A79,Monitor_Asignado,Sucursal_Asignada,"",0))),"",XLOOKUP($A79,Monitor_Asignado,Sucursal_Asignada,"",0))</f>
        <v/>
      </c>
      <c r="M79" s="7" t="str">
        <f t="array" ref="M79">IF(OR($A79="",ISBLANK(XLOOKUP($A79,Monitor_Asignado,Departamento_Asignado,"",0))),"",XLOOKUP($A79,Monitor_Asignado,Departamento_Asignado,"",0))</f>
        <v/>
      </c>
      <c r="N79" s="7" t="str">
        <f t="array" ref="N79">IF(OR($A79="",ISBLANK(XLOOKUP($A79,Monitor_Asignado,Nombres_Directorio,"",0))),"",XLOOKUP($A79,Monitor_Asignado,Nombres_Directorio,"",0))</f>
        <v/>
      </c>
      <c r="O79" s="7" t="str">
        <f t="array" ref="O79">IF(OR($A79="",ISBLANK(XLOOKUP($A79,Monitor_Asignado,Correos_Gmail,"",0))),"",XLOOKUP($A79,Monitor_Asignado,Correos_Gmail,"",0))</f>
        <v/>
      </c>
      <c r="P79" s="7" t="str">
        <f t="array" ref="P79">IF(OR($A79="",ISBLANK(XLOOKUP($A79,Monitor_Asignado,Correos_Institucionales,"",0))),"",XLOOKUP($A79,Monitor_Asignado,Correos_Institucionales,"",0))</f>
        <v/>
      </c>
    </row>
    <row r="80" ht="15.75" customHeight="1">
      <c r="A80" s="7"/>
      <c r="B80" s="7"/>
      <c r="C80" s="9"/>
      <c r="D80" s="7"/>
      <c r="E80" s="36"/>
      <c r="F80" s="7"/>
      <c r="G80" s="7"/>
      <c r="H80" s="7"/>
      <c r="I80" s="7"/>
      <c r="J80" s="7"/>
      <c r="K80" s="7" t="str">
        <f t="array" ref="K80">IF(OR($A80="",ISBLANK(XLOOKUP($A80,Monitor_Asignado,Nombres_Directorio,"",0))),"",XLOOKUP($A80,Monitor_Asignado,Nombres_Directorio,"",0))</f>
        <v/>
      </c>
      <c r="L80" s="7" t="str">
        <f t="array" ref="L80">IF(OR($A80="",ISBLANK(XLOOKUP($A80,Monitor_Asignado,Sucursal_Asignada,"",0))),"",XLOOKUP($A80,Monitor_Asignado,Sucursal_Asignada,"",0))</f>
        <v/>
      </c>
      <c r="M80" s="7" t="str">
        <f t="array" ref="M80">IF(OR($A80="",ISBLANK(XLOOKUP($A80,Monitor_Asignado,Departamento_Asignado,"",0))),"",XLOOKUP($A80,Monitor_Asignado,Departamento_Asignado,"",0))</f>
        <v/>
      </c>
      <c r="N80" s="7" t="str">
        <f t="array" ref="N80">IF(OR($A80="",ISBLANK(XLOOKUP($A80,Monitor_Asignado,Nombres_Directorio,"",0))),"",XLOOKUP($A80,Monitor_Asignado,Nombres_Directorio,"",0))</f>
        <v/>
      </c>
      <c r="O80" s="7" t="str">
        <f t="array" ref="O80">IF(OR($A80="",ISBLANK(XLOOKUP($A80,Monitor_Asignado,Correos_Gmail,"",0))),"",XLOOKUP($A80,Monitor_Asignado,Correos_Gmail,"",0))</f>
        <v/>
      </c>
      <c r="P80" s="7" t="str">
        <f t="array" ref="P80">IF(OR($A80="",ISBLANK(XLOOKUP($A80,Monitor_Asignado,Correos_Institucionales,"",0))),"",XLOOKUP($A80,Monitor_Asignado,Correos_Institucionales,"",0))</f>
        <v/>
      </c>
    </row>
    <row r="81" ht="15.75" customHeight="1">
      <c r="A81" s="7"/>
      <c r="B81" s="7"/>
      <c r="C81" s="9"/>
      <c r="D81" s="7"/>
      <c r="E81" s="36"/>
      <c r="F81" s="7"/>
      <c r="G81" s="7"/>
      <c r="H81" s="7"/>
      <c r="I81" s="7"/>
      <c r="J81" s="7"/>
      <c r="K81" s="7" t="str">
        <f t="array" ref="K81">IF(OR($A81="",ISBLANK(XLOOKUP($A81,Monitor_Asignado,Nombres_Directorio,"",0))),"",XLOOKUP($A81,Monitor_Asignado,Nombres_Directorio,"",0))</f>
        <v/>
      </c>
      <c r="L81" s="7" t="str">
        <f t="array" ref="L81">IF(OR($A81="",ISBLANK(XLOOKUP($A81,Monitor_Asignado,Sucursal_Asignada,"",0))),"",XLOOKUP($A81,Monitor_Asignado,Sucursal_Asignada,"",0))</f>
        <v/>
      </c>
      <c r="M81" s="7" t="str">
        <f t="array" ref="M81">IF(OR($A81="",ISBLANK(XLOOKUP($A81,Monitor_Asignado,Departamento_Asignado,"",0))),"",XLOOKUP($A81,Monitor_Asignado,Departamento_Asignado,"",0))</f>
        <v/>
      </c>
      <c r="N81" s="7" t="str">
        <f t="array" ref="N81">IF(OR($A81="",ISBLANK(XLOOKUP($A81,Monitor_Asignado,Nombres_Directorio,"",0))),"",XLOOKUP($A81,Monitor_Asignado,Nombres_Directorio,"",0))</f>
        <v/>
      </c>
      <c r="O81" s="7" t="str">
        <f t="array" ref="O81">IF(OR($A81="",ISBLANK(XLOOKUP($A81,Monitor_Asignado,Correos_Gmail,"",0))),"",XLOOKUP($A81,Monitor_Asignado,Correos_Gmail,"",0))</f>
        <v/>
      </c>
      <c r="P81" s="7" t="str">
        <f t="array" ref="P81">IF(OR($A81="",ISBLANK(XLOOKUP($A81,Monitor_Asignado,Correos_Institucionales,"",0))),"",XLOOKUP($A81,Monitor_Asignado,Correos_Institucionales,"",0))</f>
        <v/>
      </c>
    </row>
    <row r="82" ht="15.75" customHeight="1">
      <c r="A82" s="7"/>
      <c r="B82" s="7"/>
      <c r="C82" s="9"/>
      <c r="D82" s="7"/>
      <c r="E82" s="36"/>
      <c r="F82" s="7"/>
      <c r="G82" s="7"/>
      <c r="H82" s="7"/>
      <c r="I82" s="7"/>
      <c r="J82" s="7"/>
      <c r="K82" s="7" t="str">
        <f t="array" ref="K82">IF(OR($A82="",ISBLANK(XLOOKUP($A82,Monitor_Asignado,Nombres_Directorio,"",0))),"",XLOOKUP($A82,Monitor_Asignado,Nombres_Directorio,"",0))</f>
        <v/>
      </c>
      <c r="L82" s="7" t="str">
        <f t="array" ref="L82">IF(OR($A82="",ISBLANK(XLOOKUP($A82,Monitor_Asignado,Sucursal_Asignada,"",0))),"",XLOOKUP($A82,Monitor_Asignado,Sucursal_Asignada,"",0))</f>
        <v/>
      </c>
      <c r="M82" s="7" t="str">
        <f t="array" ref="M82">IF(OR($A82="",ISBLANK(XLOOKUP($A82,Monitor_Asignado,Departamento_Asignado,"",0))),"",XLOOKUP($A82,Monitor_Asignado,Departamento_Asignado,"",0))</f>
        <v/>
      </c>
      <c r="N82" s="7" t="str">
        <f t="array" ref="N82">IF(OR($A82="",ISBLANK(XLOOKUP($A82,Monitor_Asignado,Nombres_Directorio,"",0))),"",XLOOKUP($A82,Monitor_Asignado,Nombres_Directorio,"",0))</f>
        <v/>
      </c>
      <c r="O82" s="7" t="str">
        <f t="array" ref="O82">IF(OR($A82="",ISBLANK(XLOOKUP($A82,Monitor_Asignado,Correos_Gmail,"",0))),"",XLOOKUP($A82,Monitor_Asignado,Correos_Gmail,"",0))</f>
        <v/>
      </c>
      <c r="P82" s="7" t="str">
        <f t="array" ref="P82">IF(OR($A82="",ISBLANK(XLOOKUP($A82,Monitor_Asignado,Correos_Institucionales,"",0))),"",XLOOKUP($A82,Monitor_Asignado,Correos_Institucionales,"",0))</f>
        <v/>
      </c>
    </row>
    <row r="83" ht="15.75" customHeight="1">
      <c r="A83" s="7"/>
      <c r="B83" s="7"/>
      <c r="C83" s="9"/>
      <c r="D83" s="7"/>
      <c r="E83" s="36"/>
      <c r="F83" s="7"/>
      <c r="G83" s="7"/>
      <c r="H83" s="7"/>
      <c r="I83" s="7"/>
      <c r="J83" s="7"/>
      <c r="K83" s="7" t="str">
        <f t="array" ref="K83">IF(OR($A83="",ISBLANK(XLOOKUP($A83,Monitor_Asignado,Nombres_Directorio,"",0))),"",XLOOKUP($A83,Monitor_Asignado,Nombres_Directorio,"",0))</f>
        <v/>
      </c>
      <c r="L83" s="7" t="str">
        <f t="array" ref="L83">IF(OR($A83="",ISBLANK(XLOOKUP($A83,Monitor_Asignado,Sucursal_Asignada,"",0))),"",XLOOKUP($A83,Monitor_Asignado,Sucursal_Asignada,"",0))</f>
        <v/>
      </c>
      <c r="M83" s="7" t="str">
        <f t="array" ref="M83">IF(OR($A83="",ISBLANK(XLOOKUP($A83,Monitor_Asignado,Departamento_Asignado,"",0))),"",XLOOKUP($A83,Monitor_Asignado,Departamento_Asignado,"",0))</f>
        <v/>
      </c>
      <c r="N83" s="7" t="str">
        <f t="array" ref="N83">IF(OR($A83="",ISBLANK(XLOOKUP($A83,Monitor_Asignado,Nombres_Directorio,"",0))),"",XLOOKUP($A83,Monitor_Asignado,Nombres_Directorio,"",0))</f>
        <v/>
      </c>
      <c r="O83" s="7" t="str">
        <f t="array" ref="O83">IF(OR($A83="",ISBLANK(XLOOKUP($A83,Monitor_Asignado,Correos_Gmail,"",0))),"",XLOOKUP($A83,Monitor_Asignado,Correos_Gmail,"",0))</f>
        <v/>
      </c>
      <c r="P83" s="7" t="str">
        <f t="array" ref="P83">IF(OR($A83="",ISBLANK(XLOOKUP($A83,Monitor_Asignado,Correos_Institucionales,"",0))),"",XLOOKUP($A83,Monitor_Asignado,Correos_Institucionales,"",0))</f>
        <v/>
      </c>
    </row>
    <row r="84" ht="15.75" customHeight="1">
      <c r="A84" s="7"/>
      <c r="B84" s="7"/>
      <c r="C84" s="9"/>
      <c r="D84" s="7"/>
      <c r="E84" s="36"/>
      <c r="F84" s="7"/>
      <c r="G84" s="7"/>
      <c r="H84" s="7"/>
      <c r="I84" s="7"/>
      <c r="J84" s="7"/>
      <c r="K84" s="7" t="str">
        <f t="array" ref="K84">IF(OR($A84="",ISBLANK(XLOOKUP($A84,Monitor_Asignado,Nombres_Directorio,"",0))),"",XLOOKUP($A84,Monitor_Asignado,Nombres_Directorio,"",0))</f>
        <v/>
      </c>
      <c r="L84" s="7" t="str">
        <f t="array" ref="L84">IF(OR($A84="",ISBLANK(XLOOKUP($A84,Monitor_Asignado,Sucursal_Asignada,"",0))),"",XLOOKUP($A84,Monitor_Asignado,Sucursal_Asignada,"",0))</f>
        <v/>
      </c>
      <c r="M84" s="7" t="str">
        <f t="array" ref="M84">IF(OR($A84="",ISBLANK(XLOOKUP($A84,Monitor_Asignado,Departamento_Asignado,"",0))),"",XLOOKUP($A84,Monitor_Asignado,Departamento_Asignado,"",0))</f>
        <v/>
      </c>
      <c r="N84" s="7" t="str">
        <f t="array" ref="N84">IF(OR($A84="",ISBLANK(XLOOKUP($A84,Monitor_Asignado,Nombres_Directorio,"",0))),"",XLOOKUP($A84,Monitor_Asignado,Nombres_Directorio,"",0))</f>
        <v/>
      </c>
      <c r="O84" s="7" t="str">
        <f t="array" ref="O84">IF(OR($A84="",ISBLANK(XLOOKUP($A84,Monitor_Asignado,Correos_Gmail,"",0))),"",XLOOKUP($A84,Monitor_Asignado,Correos_Gmail,"",0))</f>
        <v/>
      </c>
      <c r="P84" s="7" t="str">
        <f t="array" ref="P84">IF(OR($A84="",ISBLANK(XLOOKUP($A84,Monitor_Asignado,Correos_Institucionales,"",0))),"",XLOOKUP($A84,Monitor_Asignado,Correos_Institucionales,"",0))</f>
        <v/>
      </c>
    </row>
    <row r="85" ht="15.75" customHeight="1">
      <c r="A85" s="7"/>
      <c r="B85" s="7"/>
      <c r="C85" s="9"/>
      <c r="D85" s="7"/>
      <c r="E85" s="36"/>
      <c r="F85" s="7"/>
      <c r="G85" s="7"/>
      <c r="H85" s="7"/>
      <c r="I85" s="7"/>
      <c r="J85" s="7"/>
      <c r="K85" s="7" t="str">
        <f t="array" ref="K85">IF(OR($A85="",ISBLANK(XLOOKUP($A85,Monitor_Asignado,Nombres_Directorio,"",0))),"",XLOOKUP($A85,Monitor_Asignado,Nombres_Directorio,"",0))</f>
        <v/>
      </c>
      <c r="L85" s="7" t="str">
        <f t="array" ref="L85">IF(OR($A85="",ISBLANK(XLOOKUP($A85,Monitor_Asignado,Sucursal_Asignada,"",0))),"",XLOOKUP($A85,Monitor_Asignado,Sucursal_Asignada,"",0))</f>
        <v/>
      </c>
      <c r="M85" s="7" t="str">
        <f t="array" ref="M85">IF(OR($A85="",ISBLANK(XLOOKUP($A85,Monitor_Asignado,Departamento_Asignado,"",0))),"",XLOOKUP($A85,Monitor_Asignado,Departamento_Asignado,"",0))</f>
        <v/>
      </c>
      <c r="N85" s="7" t="str">
        <f t="array" ref="N85">IF(OR($A85="",ISBLANK(XLOOKUP($A85,Monitor_Asignado,Nombres_Directorio,"",0))),"",XLOOKUP($A85,Monitor_Asignado,Nombres_Directorio,"",0))</f>
        <v/>
      </c>
      <c r="O85" s="7" t="str">
        <f t="array" ref="O85">IF(OR($A85="",ISBLANK(XLOOKUP($A85,Monitor_Asignado,Correos_Gmail,"",0))),"",XLOOKUP($A85,Monitor_Asignado,Correos_Gmail,"",0))</f>
        <v/>
      </c>
      <c r="P85" s="7" t="str">
        <f t="array" ref="P85">IF(OR($A85="",ISBLANK(XLOOKUP($A85,Monitor_Asignado,Correos_Institucionales,"",0))),"",XLOOKUP($A85,Monitor_Asignado,Correos_Institucionales,"",0))</f>
        <v/>
      </c>
    </row>
    <row r="86" ht="15.75" customHeight="1">
      <c r="A86" s="7"/>
      <c r="B86" s="7"/>
      <c r="C86" s="9"/>
      <c r="D86" s="7"/>
      <c r="E86" s="36"/>
      <c r="F86" s="7"/>
      <c r="G86" s="7"/>
      <c r="H86" s="7"/>
      <c r="I86" s="7"/>
      <c r="J86" s="7"/>
      <c r="K86" s="7" t="str">
        <f t="array" ref="K86">IF(OR($A86="",ISBLANK(XLOOKUP($A86,Monitor_Asignado,Nombres_Directorio,"",0))),"",XLOOKUP($A86,Monitor_Asignado,Nombres_Directorio,"",0))</f>
        <v/>
      </c>
      <c r="L86" s="7" t="str">
        <f t="array" ref="L86">IF(OR($A86="",ISBLANK(XLOOKUP($A86,Monitor_Asignado,Sucursal_Asignada,"",0))),"",XLOOKUP($A86,Monitor_Asignado,Sucursal_Asignada,"",0))</f>
        <v/>
      </c>
      <c r="M86" s="7" t="str">
        <f t="array" ref="M86">IF(OR($A86="",ISBLANK(XLOOKUP($A86,Monitor_Asignado,Departamento_Asignado,"",0))),"",XLOOKUP($A86,Monitor_Asignado,Departamento_Asignado,"",0))</f>
        <v/>
      </c>
      <c r="N86" s="7" t="str">
        <f t="array" ref="N86">IF(OR($A86="",ISBLANK(XLOOKUP($A86,Monitor_Asignado,Nombres_Directorio,"",0))),"",XLOOKUP($A86,Monitor_Asignado,Nombres_Directorio,"",0))</f>
        <v/>
      </c>
      <c r="O86" s="7" t="str">
        <f t="array" ref="O86">IF(OR($A86="",ISBLANK(XLOOKUP($A86,Monitor_Asignado,Correos_Gmail,"",0))),"",XLOOKUP($A86,Monitor_Asignado,Correos_Gmail,"",0))</f>
        <v/>
      </c>
      <c r="P86" s="7" t="str">
        <f t="array" ref="P86">IF(OR($A86="",ISBLANK(XLOOKUP($A86,Monitor_Asignado,Correos_Institucionales,"",0))),"",XLOOKUP($A86,Monitor_Asignado,Correos_Institucionales,"",0))</f>
        <v/>
      </c>
    </row>
    <row r="87" ht="15.75" customHeight="1">
      <c r="A87" s="7"/>
      <c r="B87" s="7"/>
      <c r="C87" s="9"/>
      <c r="D87" s="7"/>
      <c r="E87" s="36"/>
      <c r="F87" s="7"/>
      <c r="G87" s="7"/>
      <c r="H87" s="7"/>
      <c r="I87" s="7"/>
      <c r="J87" s="7"/>
      <c r="K87" s="7" t="str">
        <f t="array" ref="K87">IF(OR($A87="",ISBLANK(XLOOKUP($A87,Monitor_Asignado,Nombres_Directorio,"",0))),"",XLOOKUP($A87,Monitor_Asignado,Nombres_Directorio,"",0))</f>
        <v/>
      </c>
      <c r="L87" s="7" t="str">
        <f t="array" ref="L87">IF(OR($A87="",ISBLANK(XLOOKUP($A87,Monitor_Asignado,Sucursal_Asignada,"",0))),"",XLOOKUP($A87,Monitor_Asignado,Sucursal_Asignada,"",0))</f>
        <v/>
      </c>
      <c r="M87" s="7" t="str">
        <f t="array" ref="M87">IF(OR($A87="",ISBLANK(XLOOKUP($A87,Monitor_Asignado,Departamento_Asignado,"",0))),"",XLOOKUP($A87,Monitor_Asignado,Departamento_Asignado,"",0))</f>
        <v/>
      </c>
      <c r="N87" s="7" t="str">
        <f t="array" ref="N87">IF(OR($A87="",ISBLANK(XLOOKUP($A87,Monitor_Asignado,Nombres_Directorio,"",0))),"",XLOOKUP($A87,Monitor_Asignado,Nombres_Directorio,"",0))</f>
        <v/>
      </c>
      <c r="O87" s="7" t="str">
        <f t="array" ref="O87">IF(OR($A87="",ISBLANK(XLOOKUP($A87,Monitor_Asignado,Correos_Gmail,"",0))),"",XLOOKUP($A87,Monitor_Asignado,Correos_Gmail,"",0))</f>
        <v/>
      </c>
      <c r="P87" s="7" t="str">
        <f t="array" ref="P87">IF(OR($A87="",ISBLANK(XLOOKUP($A87,Monitor_Asignado,Correos_Institucionales,"",0))),"",XLOOKUP($A87,Monitor_Asignado,Correos_Institucionales,"",0))</f>
        <v/>
      </c>
    </row>
    <row r="88" ht="15.75" customHeight="1">
      <c r="A88" s="7"/>
      <c r="B88" s="7"/>
      <c r="C88" s="9"/>
      <c r="D88" s="7"/>
      <c r="E88" s="36"/>
      <c r="F88" s="7"/>
      <c r="G88" s="7"/>
      <c r="H88" s="7"/>
      <c r="I88" s="7"/>
      <c r="J88" s="7"/>
      <c r="K88" s="7" t="str">
        <f t="array" ref="K88">IF(OR($A88="",ISBLANK(XLOOKUP($A88,Monitor_Asignado,Nombres_Directorio,"",0))),"",XLOOKUP($A88,Monitor_Asignado,Nombres_Directorio,"",0))</f>
        <v/>
      </c>
      <c r="L88" s="7" t="str">
        <f t="array" ref="L88">IF(OR($A88="",ISBLANK(XLOOKUP($A88,Monitor_Asignado,Sucursal_Asignada,"",0))),"",XLOOKUP($A88,Monitor_Asignado,Sucursal_Asignada,"",0))</f>
        <v/>
      </c>
      <c r="M88" s="7" t="str">
        <f t="array" ref="M88">IF(OR($A88="",ISBLANK(XLOOKUP($A88,Monitor_Asignado,Departamento_Asignado,"",0))),"",XLOOKUP($A88,Monitor_Asignado,Departamento_Asignado,"",0))</f>
        <v/>
      </c>
      <c r="N88" s="7" t="str">
        <f t="array" ref="N88">IF(OR($A88="",ISBLANK(XLOOKUP($A88,Monitor_Asignado,Nombres_Directorio,"",0))),"",XLOOKUP($A88,Monitor_Asignado,Nombres_Directorio,"",0))</f>
        <v/>
      </c>
      <c r="O88" s="7" t="str">
        <f t="array" ref="O88">IF(OR($A88="",ISBLANK(XLOOKUP($A88,Monitor_Asignado,Correos_Gmail,"",0))),"",XLOOKUP($A88,Monitor_Asignado,Correos_Gmail,"",0))</f>
        <v/>
      </c>
      <c r="P88" s="7" t="str">
        <f t="array" ref="P88">IF(OR($A88="",ISBLANK(XLOOKUP($A88,Monitor_Asignado,Correos_Institucionales,"",0))),"",XLOOKUP($A88,Monitor_Asignado,Correos_Institucionales,"",0))</f>
        <v/>
      </c>
    </row>
    <row r="89" ht="15.75" customHeight="1">
      <c r="A89" s="7"/>
      <c r="B89" s="7"/>
      <c r="C89" s="9"/>
      <c r="D89" s="7"/>
      <c r="E89" s="36"/>
      <c r="F89" s="7"/>
      <c r="G89" s="7"/>
      <c r="H89" s="7"/>
      <c r="I89" s="7"/>
      <c r="J89" s="7"/>
      <c r="K89" s="7" t="str">
        <f t="array" ref="K89">IF(OR($A89="",ISBLANK(XLOOKUP($A89,Monitor_Asignado,Nombres_Directorio,"",0))),"",XLOOKUP($A89,Monitor_Asignado,Nombres_Directorio,"",0))</f>
        <v/>
      </c>
      <c r="L89" s="7" t="str">
        <f t="array" ref="L89">IF(OR($A89="",ISBLANK(XLOOKUP($A89,Monitor_Asignado,Sucursal_Asignada,"",0))),"",XLOOKUP($A89,Monitor_Asignado,Sucursal_Asignada,"",0))</f>
        <v/>
      </c>
      <c r="M89" s="7" t="str">
        <f t="array" ref="M89">IF(OR($A89="",ISBLANK(XLOOKUP($A89,Monitor_Asignado,Departamento_Asignado,"",0))),"",XLOOKUP($A89,Monitor_Asignado,Departamento_Asignado,"",0))</f>
        <v/>
      </c>
      <c r="N89" s="7" t="str">
        <f t="array" ref="N89">IF(OR($A89="",ISBLANK(XLOOKUP($A89,Monitor_Asignado,Nombres_Directorio,"",0))),"",XLOOKUP($A89,Monitor_Asignado,Nombres_Directorio,"",0))</f>
        <v/>
      </c>
      <c r="O89" s="7" t="str">
        <f t="array" ref="O89">IF(OR($A89="",ISBLANK(XLOOKUP($A89,Monitor_Asignado,Correos_Gmail,"",0))),"",XLOOKUP($A89,Monitor_Asignado,Correos_Gmail,"",0))</f>
        <v/>
      </c>
      <c r="P89" s="7" t="str">
        <f t="array" ref="P89">IF(OR($A89="",ISBLANK(XLOOKUP($A89,Monitor_Asignado,Correos_Institucionales,"",0))),"",XLOOKUP($A89,Monitor_Asignado,Correos_Institucionales,"",0))</f>
        <v/>
      </c>
    </row>
    <row r="90" ht="15.75" customHeight="1">
      <c r="A90" s="7"/>
      <c r="B90" s="7"/>
      <c r="C90" s="9"/>
      <c r="D90" s="7"/>
      <c r="E90" s="36"/>
      <c r="F90" s="7"/>
      <c r="G90" s="7"/>
      <c r="H90" s="7"/>
      <c r="I90" s="7"/>
      <c r="J90" s="7"/>
      <c r="K90" s="7" t="str">
        <f t="array" ref="K90">IF(OR($A90="",ISBLANK(XLOOKUP($A90,Monitor_Asignado,Nombres_Directorio,"",0))),"",XLOOKUP($A90,Monitor_Asignado,Nombres_Directorio,"",0))</f>
        <v/>
      </c>
      <c r="L90" s="7" t="str">
        <f t="array" ref="L90">IF(OR($A90="",ISBLANK(XLOOKUP($A90,Monitor_Asignado,Sucursal_Asignada,"",0))),"",XLOOKUP($A90,Monitor_Asignado,Sucursal_Asignada,"",0))</f>
        <v/>
      </c>
      <c r="M90" s="7" t="str">
        <f t="array" ref="M90">IF(OR($A90="",ISBLANK(XLOOKUP($A90,Monitor_Asignado,Departamento_Asignado,"",0))),"",XLOOKUP($A90,Monitor_Asignado,Departamento_Asignado,"",0))</f>
        <v/>
      </c>
      <c r="N90" s="7" t="str">
        <f t="array" ref="N90">IF(OR($A90="",ISBLANK(XLOOKUP($A90,Monitor_Asignado,Nombres_Directorio,"",0))),"",XLOOKUP($A90,Monitor_Asignado,Nombres_Directorio,"",0))</f>
        <v/>
      </c>
      <c r="O90" s="7" t="str">
        <f t="array" ref="O90">IF(OR($A90="",ISBLANK(XLOOKUP($A90,Monitor_Asignado,Correos_Gmail,"",0))),"",XLOOKUP($A90,Monitor_Asignado,Correos_Gmail,"",0))</f>
        <v/>
      </c>
      <c r="P90" s="7" t="str">
        <f t="array" ref="P90">IF(OR($A90="",ISBLANK(XLOOKUP($A90,Monitor_Asignado,Correos_Institucionales,"",0))),"",XLOOKUP($A90,Monitor_Asignado,Correos_Institucionales,"",0))</f>
        <v/>
      </c>
    </row>
    <row r="91" ht="15.75" customHeight="1">
      <c r="A91" s="7"/>
      <c r="B91" s="7"/>
      <c r="C91" s="9"/>
      <c r="D91" s="7"/>
      <c r="E91" s="36"/>
      <c r="F91" s="7"/>
      <c r="G91" s="7"/>
      <c r="H91" s="7"/>
      <c r="I91" s="7"/>
      <c r="J91" s="7"/>
      <c r="K91" s="7" t="str">
        <f t="array" ref="K91">IF(OR($A91="",ISBLANK(XLOOKUP($A91,Monitor_Asignado,Nombres_Directorio,"",0))),"",XLOOKUP($A91,Monitor_Asignado,Nombres_Directorio,"",0))</f>
        <v/>
      </c>
      <c r="L91" s="7" t="str">
        <f t="array" ref="L91">IF(OR($A91="",ISBLANK(XLOOKUP($A91,Monitor_Asignado,Sucursal_Asignada,"",0))),"",XLOOKUP($A91,Monitor_Asignado,Sucursal_Asignada,"",0))</f>
        <v/>
      </c>
      <c r="M91" s="7" t="str">
        <f t="array" ref="M91">IF(OR($A91="",ISBLANK(XLOOKUP($A91,Monitor_Asignado,Departamento_Asignado,"",0))),"",XLOOKUP($A91,Monitor_Asignado,Departamento_Asignado,"",0))</f>
        <v/>
      </c>
      <c r="N91" s="7" t="str">
        <f t="array" ref="N91">IF(OR($A91="",ISBLANK(XLOOKUP($A91,Monitor_Asignado,Nombres_Directorio,"",0))),"",XLOOKUP($A91,Monitor_Asignado,Nombres_Directorio,"",0))</f>
        <v/>
      </c>
      <c r="O91" s="7" t="str">
        <f t="array" ref="O91">IF(OR($A91="",ISBLANK(XLOOKUP($A91,Monitor_Asignado,Correos_Gmail,"",0))),"",XLOOKUP($A91,Monitor_Asignado,Correos_Gmail,"",0))</f>
        <v/>
      </c>
      <c r="P91" s="7" t="str">
        <f t="array" ref="P91">IF(OR($A91="",ISBLANK(XLOOKUP($A91,Monitor_Asignado,Correos_Institucionales,"",0))),"",XLOOKUP($A91,Monitor_Asignado,Correos_Institucionales,"",0))</f>
        <v/>
      </c>
    </row>
    <row r="92" ht="15.75" customHeight="1">
      <c r="A92" s="7"/>
      <c r="B92" s="7"/>
      <c r="C92" s="9"/>
      <c r="D92" s="7"/>
      <c r="E92" s="36"/>
      <c r="F92" s="7"/>
      <c r="G92" s="7"/>
      <c r="H92" s="7"/>
      <c r="I92" s="7"/>
      <c r="J92" s="7"/>
      <c r="K92" s="7" t="str">
        <f t="array" ref="K92">IF(OR($A92="",ISBLANK(XLOOKUP($A92,Monitor_Asignado,Nombres_Directorio,"",0))),"",XLOOKUP($A92,Monitor_Asignado,Nombres_Directorio,"",0))</f>
        <v/>
      </c>
      <c r="L92" s="7" t="str">
        <f t="array" ref="L92">IF(OR($A92="",ISBLANK(XLOOKUP($A92,Monitor_Asignado,Sucursal_Asignada,"",0))),"",XLOOKUP($A92,Monitor_Asignado,Sucursal_Asignada,"",0))</f>
        <v/>
      </c>
      <c r="M92" s="7" t="str">
        <f t="array" ref="M92">IF(OR($A92="",ISBLANK(XLOOKUP($A92,Monitor_Asignado,Departamento_Asignado,"",0))),"",XLOOKUP($A92,Monitor_Asignado,Departamento_Asignado,"",0))</f>
        <v/>
      </c>
      <c r="N92" s="7" t="str">
        <f t="array" ref="N92">IF(OR($A92="",ISBLANK(XLOOKUP($A92,Monitor_Asignado,Nombres_Directorio,"",0))),"",XLOOKUP($A92,Monitor_Asignado,Nombres_Directorio,"",0))</f>
        <v/>
      </c>
      <c r="O92" s="7" t="str">
        <f t="array" ref="O92">IF(OR($A92="",ISBLANK(XLOOKUP($A92,Monitor_Asignado,Correos_Gmail,"",0))),"",XLOOKUP($A92,Monitor_Asignado,Correos_Gmail,"",0))</f>
        <v/>
      </c>
      <c r="P92" s="7" t="str">
        <f t="array" ref="P92">IF(OR($A92="",ISBLANK(XLOOKUP($A92,Monitor_Asignado,Correos_Institucionales,"",0))),"",XLOOKUP($A92,Monitor_Asignado,Correos_Institucionales,"",0))</f>
        <v/>
      </c>
    </row>
    <row r="93" ht="15.75" customHeight="1">
      <c r="A93" s="7"/>
      <c r="B93" s="7"/>
      <c r="C93" s="9"/>
      <c r="D93" s="7"/>
      <c r="E93" s="36"/>
      <c r="F93" s="7"/>
      <c r="G93" s="7"/>
      <c r="H93" s="7"/>
      <c r="I93" s="7"/>
      <c r="J93" s="7"/>
      <c r="K93" s="7" t="str">
        <f t="array" ref="K93">IF(OR($A93="",ISBLANK(XLOOKUP($A93,Monitor_Asignado,Nombres_Directorio,"",0))),"",XLOOKUP($A93,Monitor_Asignado,Nombres_Directorio,"",0))</f>
        <v/>
      </c>
      <c r="L93" s="7" t="str">
        <f t="array" ref="L93">IF(OR($A93="",ISBLANK(XLOOKUP($A93,Monitor_Asignado,Sucursal_Asignada,"",0))),"",XLOOKUP($A93,Monitor_Asignado,Sucursal_Asignada,"",0))</f>
        <v/>
      </c>
      <c r="M93" s="7" t="str">
        <f t="array" ref="M93">IF(OR($A93="",ISBLANK(XLOOKUP($A93,Monitor_Asignado,Departamento_Asignado,"",0))),"",XLOOKUP($A93,Monitor_Asignado,Departamento_Asignado,"",0))</f>
        <v/>
      </c>
      <c r="N93" s="7" t="str">
        <f t="array" ref="N93">IF(OR($A93="",ISBLANK(XLOOKUP($A93,Monitor_Asignado,Nombres_Directorio,"",0))),"",XLOOKUP($A93,Monitor_Asignado,Nombres_Directorio,"",0))</f>
        <v/>
      </c>
      <c r="O93" s="7" t="str">
        <f t="array" ref="O93">IF(OR($A93="",ISBLANK(XLOOKUP($A93,Monitor_Asignado,Correos_Gmail,"",0))),"",XLOOKUP($A93,Monitor_Asignado,Correos_Gmail,"",0))</f>
        <v/>
      </c>
      <c r="P93" s="7" t="str">
        <f t="array" ref="P93">IF(OR($A93="",ISBLANK(XLOOKUP($A93,Monitor_Asignado,Correos_Institucionales,"",0))),"",XLOOKUP($A93,Monitor_Asignado,Correos_Institucionales,"",0))</f>
        <v/>
      </c>
    </row>
    <row r="94" ht="15.75" customHeight="1">
      <c r="A94" s="7"/>
      <c r="B94" s="7"/>
      <c r="C94" s="9"/>
      <c r="D94" s="7"/>
      <c r="E94" s="36"/>
      <c r="F94" s="7"/>
      <c r="G94" s="7"/>
      <c r="H94" s="7"/>
      <c r="I94" s="7"/>
      <c r="J94" s="7"/>
      <c r="K94" s="7" t="str">
        <f t="array" ref="K94">IF(OR($A94="",ISBLANK(XLOOKUP($A94,Monitor_Asignado,Nombres_Directorio,"",0))),"",XLOOKUP($A94,Monitor_Asignado,Nombres_Directorio,"",0))</f>
        <v/>
      </c>
      <c r="L94" s="7" t="str">
        <f t="array" ref="L94">IF(OR($A94="",ISBLANK(XLOOKUP($A94,Monitor_Asignado,Sucursal_Asignada,"",0))),"",XLOOKUP($A94,Monitor_Asignado,Sucursal_Asignada,"",0))</f>
        <v/>
      </c>
      <c r="M94" s="7" t="str">
        <f t="array" ref="M94">IF(OR($A94="",ISBLANK(XLOOKUP($A94,Monitor_Asignado,Departamento_Asignado,"",0))),"",XLOOKUP($A94,Monitor_Asignado,Departamento_Asignado,"",0))</f>
        <v/>
      </c>
      <c r="N94" s="7" t="str">
        <f t="array" ref="N94">IF(OR($A94="",ISBLANK(XLOOKUP($A94,Monitor_Asignado,Nombres_Directorio,"",0))),"",XLOOKUP($A94,Monitor_Asignado,Nombres_Directorio,"",0))</f>
        <v/>
      </c>
      <c r="O94" s="7" t="str">
        <f t="array" ref="O94">IF(OR($A94="",ISBLANK(XLOOKUP($A94,Monitor_Asignado,Correos_Gmail,"",0))),"",XLOOKUP($A94,Monitor_Asignado,Correos_Gmail,"",0))</f>
        <v/>
      </c>
      <c r="P94" s="7" t="str">
        <f t="array" ref="P94">IF(OR($A94="",ISBLANK(XLOOKUP($A94,Monitor_Asignado,Correos_Institucionales,"",0))),"",XLOOKUP($A94,Monitor_Asignado,Correos_Institucionales,"",0))</f>
        <v/>
      </c>
    </row>
    <row r="95" ht="15.75" customHeight="1">
      <c r="A95" s="7"/>
      <c r="B95" s="7"/>
      <c r="C95" s="9"/>
      <c r="D95" s="7"/>
      <c r="E95" s="36"/>
      <c r="F95" s="7"/>
      <c r="G95" s="7"/>
      <c r="H95" s="7"/>
      <c r="I95" s="7"/>
      <c r="J95" s="7"/>
      <c r="K95" s="7" t="str">
        <f t="array" ref="K95">IF(OR($A95="",ISBLANK(XLOOKUP($A95,Monitor_Asignado,Nombres_Directorio,"",0))),"",XLOOKUP($A95,Monitor_Asignado,Nombres_Directorio,"",0))</f>
        <v/>
      </c>
      <c r="L95" s="7" t="str">
        <f t="array" ref="L95">IF(OR($A95="",ISBLANK(XLOOKUP($A95,Monitor_Asignado,Sucursal_Asignada,"",0))),"",XLOOKUP($A95,Monitor_Asignado,Sucursal_Asignada,"",0))</f>
        <v/>
      </c>
      <c r="M95" s="7" t="str">
        <f t="array" ref="M95">IF(OR($A95="",ISBLANK(XLOOKUP($A95,Monitor_Asignado,Departamento_Asignado,"",0))),"",XLOOKUP($A95,Monitor_Asignado,Departamento_Asignado,"",0))</f>
        <v/>
      </c>
      <c r="N95" s="7" t="str">
        <f t="array" ref="N95">IF(OR($A95="",ISBLANK(XLOOKUP($A95,Monitor_Asignado,Nombres_Directorio,"",0))),"",XLOOKUP($A95,Monitor_Asignado,Nombres_Directorio,"",0))</f>
        <v/>
      </c>
      <c r="O95" s="7" t="str">
        <f t="array" ref="O95">IF(OR($A95="",ISBLANK(XLOOKUP($A95,Monitor_Asignado,Correos_Gmail,"",0))),"",XLOOKUP($A95,Monitor_Asignado,Correos_Gmail,"",0))</f>
        <v/>
      </c>
      <c r="P95" s="7" t="str">
        <f t="array" ref="P95">IF(OR($A95="",ISBLANK(XLOOKUP($A95,Monitor_Asignado,Correos_Institucionales,"",0))),"",XLOOKUP($A95,Monitor_Asignado,Correos_Institucionales,"",0))</f>
        <v/>
      </c>
    </row>
    <row r="96" ht="15.75" customHeight="1">
      <c r="A96" s="7"/>
      <c r="B96" s="7"/>
      <c r="C96" s="9"/>
      <c r="D96" s="7"/>
      <c r="E96" s="36"/>
      <c r="F96" s="7"/>
      <c r="G96" s="7"/>
      <c r="H96" s="7"/>
      <c r="I96" s="7"/>
      <c r="J96" s="7"/>
      <c r="K96" s="7" t="str">
        <f t="array" ref="K96">IF(OR($A96="",ISBLANK(XLOOKUP($A96,Monitor_Asignado,Nombres_Directorio,"",0))),"",XLOOKUP($A96,Monitor_Asignado,Nombres_Directorio,"",0))</f>
        <v/>
      </c>
      <c r="L96" s="7" t="str">
        <f t="array" ref="L96">IF(OR($A96="",ISBLANK(XLOOKUP($A96,Monitor_Asignado,Sucursal_Asignada,"",0))),"",XLOOKUP($A96,Monitor_Asignado,Sucursal_Asignada,"",0))</f>
        <v/>
      </c>
      <c r="M96" s="7" t="str">
        <f t="array" ref="M96">IF(OR($A96="",ISBLANK(XLOOKUP($A96,Monitor_Asignado,Departamento_Asignado,"",0))),"",XLOOKUP($A96,Monitor_Asignado,Departamento_Asignado,"",0))</f>
        <v/>
      </c>
      <c r="N96" s="7" t="str">
        <f t="array" ref="N96">IF(OR($A96="",ISBLANK(XLOOKUP($A96,Monitor_Asignado,Nombres_Directorio,"",0))),"",XLOOKUP($A96,Monitor_Asignado,Nombres_Directorio,"",0))</f>
        <v/>
      </c>
      <c r="O96" s="7" t="str">
        <f t="array" ref="O96">IF(OR($A96="",ISBLANK(XLOOKUP($A96,Monitor_Asignado,Correos_Gmail,"",0))),"",XLOOKUP($A96,Monitor_Asignado,Correos_Gmail,"",0))</f>
        <v/>
      </c>
      <c r="P96" s="7" t="str">
        <f t="array" ref="P96">IF(OR($A96="",ISBLANK(XLOOKUP($A96,Monitor_Asignado,Correos_Institucionales,"",0))),"",XLOOKUP($A96,Monitor_Asignado,Correos_Institucionales,"",0))</f>
        <v/>
      </c>
    </row>
    <row r="97" ht="15.75" customHeight="1">
      <c r="A97" s="7"/>
      <c r="B97" s="7"/>
      <c r="C97" s="9"/>
      <c r="D97" s="7"/>
      <c r="E97" s="36"/>
      <c r="F97" s="7"/>
      <c r="G97" s="7"/>
      <c r="H97" s="7"/>
      <c r="I97" s="7"/>
      <c r="J97" s="7"/>
      <c r="K97" s="7" t="str">
        <f t="array" ref="K97">IF(OR($A97="",ISBLANK(XLOOKUP($A97,Monitor_Asignado,Nombres_Directorio,"",0))),"",XLOOKUP($A97,Monitor_Asignado,Nombres_Directorio,"",0))</f>
        <v/>
      </c>
      <c r="L97" s="7" t="str">
        <f t="array" ref="L97">IF(OR($A97="",ISBLANK(XLOOKUP($A97,Monitor_Asignado,Sucursal_Asignada,"",0))),"",XLOOKUP($A97,Monitor_Asignado,Sucursal_Asignada,"",0))</f>
        <v/>
      </c>
      <c r="M97" s="7" t="str">
        <f t="array" ref="M97">IF(OR($A97="",ISBLANK(XLOOKUP($A97,Monitor_Asignado,Departamento_Asignado,"",0))),"",XLOOKUP($A97,Monitor_Asignado,Departamento_Asignado,"",0))</f>
        <v/>
      </c>
      <c r="N97" s="7" t="str">
        <f t="array" ref="N97">IF(OR($A97="",ISBLANK(XLOOKUP($A97,Monitor_Asignado,Nombres_Directorio,"",0))),"",XLOOKUP($A97,Monitor_Asignado,Nombres_Directorio,"",0))</f>
        <v/>
      </c>
      <c r="O97" s="7" t="str">
        <f t="array" ref="O97">IF(OR($A97="",ISBLANK(XLOOKUP($A97,Monitor_Asignado,Correos_Gmail,"",0))),"",XLOOKUP($A97,Monitor_Asignado,Correos_Gmail,"",0))</f>
        <v/>
      </c>
      <c r="P97" s="7" t="str">
        <f t="array" ref="P97">IF(OR($A97="",ISBLANK(XLOOKUP($A97,Monitor_Asignado,Correos_Institucionales,"",0))),"",XLOOKUP($A97,Monitor_Asignado,Correos_Institucionales,"",0))</f>
        <v/>
      </c>
    </row>
    <row r="98" ht="15.75" customHeight="1">
      <c r="A98" s="7"/>
      <c r="B98" s="7"/>
      <c r="C98" s="9"/>
      <c r="D98" s="7"/>
      <c r="E98" s="36"/>
      <c r="F98" s="7"/>
      <c r="G98" s="7"/>
      <c r="H98" s="7"/>
      <c r="I98" s="7"/>
      <c r="J98" s="7"/>
      <c r="K98" s="7" t="str">
        <f t="array" ref="K98">IF(OR($A98="",ISBLANK(XLOOKUP($A98,Monitor_Asignado,Nombres_Directorio,"",0))),"",XLOOKUP($A98,Monitor_Asignado,Nombres_Directorio,"",0))</f>
        <v/>
      </c>
      <c r="L98" s="7" t="str">
        <f t="array" ref="L98">IF(OR($A98="",ISBLANK(XLOOKUP($A98,Monitor_Asignado,Sucursal_Asignada,"",0))),"",XLOOKUP($A98,Monitor_Asignado,Sucursal_Asignada,"",0))</f>
        <v/>
      </c>
      <c r="M98" s="7" t="str">
        <f t="array" ref="M98">IF(OR($A98="",ISBLANK(XLOOKUP($A98,Monitor_Asignado,Departamento_Asignado,"",0))),"",XLOOKUP($A98,Monitor_Asignado,Departamento_Asignado,"",0))</f>
        <v/>
      </c>
      <c r="N98" s="7" t="str">
        <f t="array" ref="N98">IF(OR($A98="",ISBLANK(XLOOKUP($A98,Monitor_Asignado,Nombres_Directorio,"",0))),"",XLOOKUP($A98,Monitor_Asignado,Nombres_Directorio,"",0))</f>
        <v/>
      </c>
      <c r="O98" s="7" t="str">
        <f t="array" ref="O98">IF(OR($A98="",ISBLANK(XLOOKUP($A98,Monitor_Asignado,Correos_Gmail,"",0))),"",XLOOKUP($A98,Monitor_Asignado,Correos_Gmail,"",0))</f>
        <v/>
      </c>
      <c r="P98" s="7" t="str">
        <f t="array" ref="P98">IF(OR($A98="",ISBLANK(XLOOKUP($A98,Monitor_Asignado,Correos_Institucionales,"",0))),"",XLOOKUP($A98,Monitor_Asignado,Correos_Institucionales,"",0))</f>
        <v/>
      </c>
    </row>
    <row r="99" ht="15.75" customHeight="1">
      <c r="A99" s="7"/>
      <c r="B99" s="7"/>
      <c r="C99" s="9"/>
      <c r="D99" s="7"/>
      <c r="E99" s="36"/>
      <c r="F99" s="7"/>
      <c r="G99" s="7"/>
      <c r="H99" s="7"/>
      <c r="I99" s="7"/>
      <c r="J99" s="7"/>
      <c r="K99" s="7" t="str">
        <f t="array" ref="K99">IF(OR($A99="",ISBLANK(XLOOKUP($A99,Monitor_Asignado,Nombres_Directorio,"",0))),"",XLOOKUP($A99,Monitor_Asignado,Nombres_Directorio,"",0))</f>
        <v/>
      </c>
      <c r="L99" s="7" t="str">
        <f t="array" ref="L99">IF(OR($A99="",ISBLANK(XLOOKUP($A99,Monitor_Asignado,Sucursal_Asignada,"",0))),"",XLOOKUP($A99,Monitor_Asignado,Sucursal_Asignada,"",0))</f>
        <v/>
      </c>
      <c r="M99" s="7" t="str">
        <f t="array" ref="M99">IF(OR($A99="",ISBLANK(XLOOKUP($A99,Monitor_Asignado,Departamento_Asignado,"",0))),"",XLOOKUP($A99,Monitor_Asignado,Departamento_Asignado,"",0))</f>
        <v/>
      </c>
      <c r="N99" s="7" t="str">
        <f t="array" ref="N99">IF(OR($A99="",ISBLANK(XLOOKUP($A99,Monitor_Asignado,Nombres_Directorio,"",0))),"",XLOOKUP($A99,Monitor_Asignado,Nombres_Directorio,"",0))</f>
        <v/>
      </c>
      <c r="O99" s="7" t="str">
        <f t="array" ref="O99">IF(OR($A99="",ISBLANK(XLOOKUP($A99,Monitor_Asignado,Correos_Gmail,"",0))),"",XLOOKUP($A99,Monitor_Asignado,Correos_Gmail,"",0))</f>
        <v/>
      </c>
      <c r="P99" s="7" t="str">
        <f t="array" ref="P99">IF(OR($A99="",ISBLANK(XLOOKUP($A99,Monitor_Asignado,Correos_Institucionales,"",0))),"",XLOOKUP($A99,Monitor_Asignado,Correos_Institucionales,"",0))</f>
        <v/>
      </c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P$67"/>
  <dataValidations>
    <dataValidation type="list" allowBlank="1" showErrorMessage="1" sqref="B2:B99 J2:J99">
      <formula1>Condición</formula1>
    </dataValidation>
    <dataValidation type="list" allowBlank="1" showErrorMessage="1" sqref="I2:I91">
      <formula1>Renovar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14"/>
    <col customWidth="1" min="2" max="2" width="9.43"/>
    <col customWidth="1" min="3" max="3" width="16.71"/>
    <col customWidth="1" min="4" max="4" width="18.14"/>
    <col customWidth="1" min="5" max="5" width="21.43"/>
    <col customWidth="1" min="6" max="6" width="17.43"/>
    <col customWidth="1" min="7" max="7" width="13.14"/>
    <col customWidth="1" min="8" max="8" width="36.86"/>
    <col customWidth="1" min="9" max="9" width="16.86"/>
    <col customWidth="1" min="10" max="10" width="24.57"/>
    <col customWidth="1" min="11" max="11" width="16.29"/>
    <col customWidth="1" min="12" max="12" width="17.86"/>
    <col customWidth="1" min="13" max="13" width="30.86"/>
    <col customWidth="1" min="14" max="14" width="11.57"/>
    <col customWidth="1" min="15" max="15" width="22.71"/>
    <col customWidth="1" min="16" max="16" width="30.86"/>
    <col customWidth="1" min="17" max="18" width="31.57"/>
  </cols>
  <sheetData>
    <row r="1">
      <c r="A1" s="1" t="s">
        <v>1521</v>
      </c>
      <c r="B1" s="1" t="s">
        <v>914</v>
      </c>
      <c r="C1" s="1" t="s">
        <v>915</v>
      </c>
      <c r="D1" s="1" t="s">
        <v>154</v>
      </c>
      <c r="E1" s="1" t="s">
        <v>916</v>
      </c>
      <c r="F1" s="11" t="s">
        <v>1522</v>
      </c>
      <c r="G1" s="1" t="s">
        <v>162</v>
      </c>
      <c r="H1" s="1" t="s">
        <v>164</v>
      </c>
      <c r="I1" s="1" t="s">
        <v>172</v>
      </c>
      <c r="J1" s="1" t="s">
        <v>167</v>
      </c>
      <c r="K1" s="1" t="s">
        <v>1523</v>
      </c>
      <c r="L1" s="1" t="s">
        <v>1524</v>
      </c>
      <c r="M1" s="1" t="s">
        <v>14</v>
      </c>
      <c r="N1" s="1" t="s">
        <v>6</v>
      </c>
      <c r="O1" s="1" t="s">
        <v>7</v>
      </c>
      <c r="P1" s="1" t="s">
        <v>9</v>
      </c>
      <c r="Q1" s="1" t="s">
        <v>30</v>
      </c>
      <c r="R1" s="1" t="s">
        <v>917</v>
      </c>
    </row>
    <row r="2">
      <c r="A2" s="7">
        <v>1.0</v>
      </c>
      <c r="B2" s="7" t="s">
        <v>1527</v>
      </c>
      <c r="C2" s="7" t="s">
        <v>1528</v>
      </c>
      <c r="D2" s="19" t="s">
        <v>275</v>
      </c>
      <c r="E2" s="54" t="s">
        <v>1529</v>
      </c>
      <c r="F2" s="55"/>
      <c r="G2" s="7" t="s">
        <v>788</v>
      </c>
      <c r="H2" s="55"/>
      <c r="I2" s="55"/>
      <c r="J2" s="36"/>
      <c r="K2" s="56">
        <v>1428.0</v>
      </c>
      <c r="L2" s="56">
        <v>700.0</v>
      </c>
      <c r="M2" s="7" t="str">
        <f t="array" ref="M2">IF(OR($A2="",ISBLANK(XLOOKUP($A2,Tablet_Asignada,Nombres_Directorio,"",0))),"",XLOOKUP($A2,Tablet_Asignada,Nombres_Directorio,"",0))</f>
        <v/>
      </c>
      <c r="N2" s="7" t="str">
        <f t="array" ref="N2">IF(OR($A2="",ISBLANK(XLOOKUP($A2,Tablet_Asignada,Sucursal_Asignada,"",0))),"",XLOOKUP($A2,Tablet_Asignada,Sucursal_Asignada,"",0))</f>
        <v/>
      </c>
      <c r="O2" s="7" t="str">
        <f t="array" ref="O2">IF(OR($A2="",ISBLANK(XLOOKUP($A2,Tablet_Asignada,Departamento_Asignado,"",0))),"",XLOOKUP($A2,Tablet_Asignada,Departamento_Asignado,"",0))</f>
        <v/>
      </c>
      <c r="P2" s="7" t="str">
        <f t="array" ref="P2">IF(OR($A2="",ISBLANK(XLOOKUP($A2,Tablet_Asignada,Nombres_Directorio,"",0))),"",XLOOKUP($A2,Tablet_Asignada,Nombres_Directorio,"",0))</f>
        <v/>
      </c>
      <c r="Q2" s="7" t="str">
        <f t="array" ref="Q2">IF(OR($A2="",ISBLANK(XLOOKUP($A2,Tablet_Asignada,Correos_Gmail,"",0))),"",XLOOKUP($A2,Tablet_Asignada,Correos_Gmail,"",0))</f>
        <v/>
      </c>
      <c r="R2" s="7" t="str">
        <f t="array" ref="R2">IF(OR($A2="",ISBLANK(XLOOKUP($A2,Tablet_Asignada,Correos_Institucionales,"",0))),"",XLOOKUP($A2,Tablet_Asignada,Correos_Institucionales,"",0))</f>
        <v/>
      </c>
    </row>
    <row r="3">
      <c r="A3" s="7">
        <v>2.0</v>
      </c>
      <c r="B3" s="7" t="s">
        <v>1527</v>
      </c>
      <c r="C3" s="7" t="s">
        <v>1528</v>
      </c>
      <c r="D3" s="19" t="s">
        <v>275</v>
      </c>
      <c r="E3" s="54" t="s">
        <v>1535</v>
      </c>
      <c r="F3" s="55"/>
      <c r="G3" s="7" t="s">
        <v>788</v>
      </c>
      <c r="H3" s="55"/>
      <c r="I3" s="55"/>
      <c r="J3" s="36"/>
      <c r="K3" s="56">
        <v>1428.0</v>
      </c>
      <c r="L3" s="56">
        <v>700.0</v>
      </c>
      <c r="M3" s="7" t="str">
        <f t="array" ref="M3">IF(OR($A3="",ISBLANK(XLOOKUP($A3,Tablet_Asignada,Nombres_Directorio,"",0))),"",XLOOKUP($A3,Tablet_Asignada,Nombres_Directorio,"",0))</f>
        <v/>
      </c>
      <c r="N3" s="7" t="str">
        <f t="array" ref="N3">IF(OR($A3="",ISBLANK(XLOOKUP($A3,Tablet_Asignada,Sucursal_Asignada,"",0))),"",XLOOKUP($A3,Tablet_Asignada,Sucursal_Asignada,"",0))</f>
        <v/>
      </c>
      <c r="O3" s="7" t="str">
        <f t="array" ref="O3">IF(OR($A3="",ISBLANK(XLOOKUP($A3,Tablet_Asignada,Departamento_Asignado,"",0))),"",XLOOKUP($A3,Tablet_Asignada,Departamento_Asignado,"",0))</f>
        <v/>
      </c>
      <c r="P3" s="7" t="str">
        <f t="array" ref="P3">IF(OR($A3="",ISBLANK(XLOOKUP($A3,Tablet_Asignada,Nombres_Directorio,"",0))),"",XLOOKUP($A3,Tablet_Asignada,Nombres_Directorio,"",0))</f>
        <v/>
      </c>
      <c r="Q3" s="7" t="str">
        <f t="array" ref="Q3">IF(OR($A3="",ISBLANK(XLOOKUP($A3,Tablet_Asignada,Correos_Gmail,"",0))),"",XLOOKUP($A3,Tablet_Asignada,Correos_Gmail,"",0))</f>
        <v/>
      </c>
      <c r="R3" s="7" t="str">
        <f t="array" ref="R3">IF(OR($A3="",ISBLANK(XLOOKUP($A3,Tablet_Asignada,Correos_Institucionales,"",0))),"",XLOOKUP($A3,Tablet_Asignada,Correos_Institucionales,"",0))</f>
        <v/>
      </c>
    </row>
    <row r="4">
      <c r="A4" s="7">
        <v>3.0</v>
      </c>
      <c r="B4" s="7" t="s">
        <v>1527</v>
      </c>
      <c r="C4" s="7" t="s">
        <v>1528</v>
      </c>
      <c r="D4" s="19" t="s">
        <v>275</v>
      </c>
      <c r="E4" s="54" t="s">
        <v>1548</v>
      </c>
      <c r="F4" s="55"/>
      <c r="G4" s="7" t="s">
        <v>788</v>
      </c>
      <c r="H4" s="55"/>
      <c r="I4" s="55"/>
      <c r="J4" s="36"/>
      <c r="K4" s="56">
        <v>1428.0</v>
      </c>
      <c r="L4" s="56">
        <v>700.0</v>
      </c>
      <c r="M4" s="7" t="str">
        <f t="array" ref="M4">IF(OR($A4="",ISBLANK(XLOOKUP($A4,Tablet_Asignada,Nombres_Directorio,"",0))),"",XLOOKUP($A4,Tablet_Asignada,Nombres_Directorio,"",0))</f>
        <v/>
      </c>
      <c r="N4" s="7" t="str">
        <f t="array" ref="N4">IF(OR($A4="",ISBLANK(XLOOKUP($A4,Tablet_Asignada,Sucursal_Asignada,"",0))),"",XLOOKUP($A4,Tablet_Asignada,Sucursal_Asignada,"",0))</f>
        <v/>
      </c>
      <c r="O4" s="7" t="str">
        <f t="array" ref="O4">IF(OR($A4="",ISBLANK(XLOOKUP($A4,Tablet_Asignada,Departamento_Asignado,"",0))),"",XLOOKUP($A4,Tablet_Asignada,Departamento_Asignado,"",0))</f>
        <v/>
      </c>
      <c r="P4" s="7" t="str">
        <f t="array" ref="P4">IF(OR($A4="",ISBLANK(XLOOKUP($A4,Tablet_Asignada,Nombres_Directorio,"",0))),"",XLOOKUP($A4,Tablet_Asignada,Nombres_Directorio,"",0))</f>
        <v/>
      </c>
      <c r="Q4" s="7" t="str">
        <f t="array" ref="Q4">IF(OR($A4="",ISBLANK(XLOOKUP($A4,Tablet_Asignada,Correos_Gmail,"",0))),"",XLOOKUP($A4,Tablet_Asignada,Correos_Gmail,"",0))</f>
        <v/>
      </c>
      <c r="R4" s="7" t="str">
        <f t="array" ref="R4">IF(OR($A4="",ISBLANK(XLOOKUP($A4,Tablet_Asignada,Correos_Institucionales,"",0))),"",XLOOKUP($A4,Tablet_Asignada,Correos_Institucionales,"",0))</f>
        <v/>
      </c>
    </row>
    <row r="5">
      <c r="A5" s="7">
        <v>4.0</v>
      </c>
      <c r="B5" s="7" t="s">
        <v>1527</v>
      </c>
      <c r="C5" s="7" t="s">
        <v>1528</v>
      </c>
      <c r="D5" s="19" t="s">
        <v>275</v>
      </c>
      <c r="E5" s="54" t="s">
        <v>1553</v>
      </c>
      <c r="F5" s="55"/>
      <c r="G5" s="7" t="s">
        <v>788</v>
      </c>
      <c r="H5" s="55"/>
      <c r="I5" s="55"/>
      <c r="J5" s="36"/>
      <c r="K5" s="56">
        <v>1428.0</v>
      </c>
      <c r="L5" s="56">
        <v>700.0</v>
      </c>
      <c r="M5" s="7" t="str">
        <f t="array" ref="M5">IF(OR($A5="",ISBLANK(XLOOKUP($A5,Tablet_Asignada,Nombres_Directorio,"",0))),"",XLOOKUP($A5,Tablet_Asignada,Nombres_Directorio,"",0))</f>
        <v/>
      </c>
      <c r="N5" s="7" t="str">
        <f t="array" ref="N5">IF(OR($A5="",ISBLANK(XLOOKUP($A5,Tablet_Asignada,Sucursal_Asignada,"",0))),"",XLOOKUP($A5,Tablet_Asignada,Sucursal_Asignada,"",0))</f>
        <v/>
      </c>
      <c r="O5" s="7" t="str">
        <f t="array" ref="O5">IF(OR($A5="",ISBLANK(XLOOKUP($A5,Tablet_Asignada,Departamento_Asignado,"",0))),"",XLOOKUP($A5,Tablet_Asignada,Departamento_Asignado,"",0))</f>
        <v/>
      </c>
      <c r="P5" s="7" t="str">
        <f t="array" ref="P5">IF(OR($A5="",ISBLANK(XLOOKUP($A5,Tablet_Asignada,Nombres_Directorio,"",0))),"",XLOOKUP($A5,Tablet_Asignada,Nombres_Directorio,"",0))</f>
        <v/>
      </c>
      <c r="Q5" s="7" t="str">
        <f t="array" ref="Q5">IF(OR($A5="",ISBLANK(XLOOKUP($A5,Tablet_Asignada,Correos_Gmail,"",0))),"",XLOOKUP($A5,Tablet_Asignada,Correos_Gmail,"",0))</f>
        <v/>
      </c>
      <c r="R5" s="7" t="str">
        <f t="array" ref="R5">IF(OR($A5="",ISBLANK(XLOOKUP($A5,Tablet_Asignada,Correos_Institucionales,"",0))),"",XLOOKUP($A5,Tablet_Asignada,Correos_Institucionales,"",0))</f>
        <v/>
      </c>
    </row>
    <row r="6">
      <c r="A6" s="7">
        <v>5.0</v>
      </c>
      <c r="B6" s="7" t="s">
        <v>1527</v>
      </c>
      <c r="C6" s="7" t="s">
        <v>1528</v>
      </c>
      <c r="D6" s="19" t="s">
        <v>275</v>
      </c>
      <c r="E6" s="54" t="s">
        <v>1558</v>
      </c>
      <c r="F6" s="55"/>
      <c r="G6" s="7" t="s">
        <v>788</v>
      </c>
      <c r="H6" s="55"/>
      <c r="I6" s="55"/>
      <c r="J6" s="36"/>
      <c r="K6" s="56">
        <v>1428.0</v>
      </c>
      <c r="L6" s="56">
        <v>700.0</v>
      </c>
      <c r="M6" s="7" t="str">
        <f t="array" ref="M6">IF(OR($A6="",ISBLANK(XLOOKUP($A6,Tablet_Asignada,Nombres_Directorio,"",0))),"",XLOOKUP($A6,Tablet_Asignada,Nombres_Directorio,"",0))</f>
        <v/>
      </c>
      <c r="N6" s="7" t="str">
        <f t="array" ref="N6">IF(OR($A6="",ISBLANK(XLOOKUP($A6,Tablet_Asignada,Sucursal_Asignada,"",0))),"",XLOOKUP($A6,Tablet_Asignada,Sucursal_Asignada,"",0))</f>
        <v/>
      </c>
      <c r="O6" s="7" t="str">
        <f t="array" ref="O6">IF(OR($A6="",ISBLANK(XLOOKUP($A6,Tablet_Asignada,Departamento_Asignado,"",0))),"",XLOOKUP($A6,Tablet_Asignada,Departamento_Asignado,"",0))</f>
        <v/>
      </c>
      <c r="P6" s="7" t="str">
        <f t="array" ref="P6">IF(OR($A6="",ISBLANK(XLOOKUP($A6,Tablet_Asignada,Nombres_Directorio,"",0))),"",XLOOKUP($A6,Tablet_Asignada,Nombres_Directorio,"",0))</f>
        <v/>
      </c>
      <c r="Q6" s="7" t="str">
        <f t="array" ref="Q6">IF(OR($A6="",ISBLANK(XLOOKUP($A6,Tablet_Asignada,Correos_Gmail,"",0))),"",XLOOKUP($A6,Tablet_Asignada,Correos_Gmail,"",0))</f>
        <v/>
      </c>
      <c r="R6" s="7" t="str">
        <f t="array" ref="R6">IF(OR($A6="",ISBLANK(XLOOKUP($A6,Tablet_Asignada,Correos_Institucionales,"",0))),"",XLOOKUP($A6,Tablet_Asignada,Correos_Institucionales,"",0))</f>
        <v/>
      </c>
    </row>
    <row r="7">
      <c r="A7" s="7">
        <v>6.0</v>
      </c>
      <c r="B7" s="7" t="s">
        <v>1562</v>
      </c>
      <c r="C7" s="7" t="s">
        <v>1563</v>
      </c>
      <c r="D7" s="19">
        <v>3.57153344161209E14</v>
      </c>
      <c r="E7" s="19">
        <v>3.57153344158148E14</v>
      </c>
      <c r="F7" s="55"/>
      <c r="G7" s="7" t="s">
        <v>788</v>
      </c>
      <c r="H7" s="55"/>
      <c r="I7" s="55"/>
      <c r="J7" s="36"/>
      <c r="K7" s="56">
        <v>3100.0</v>
      </c>
      <c r="L7" s="56">
        <v>200.0</v>
      </c>
      <c r="M7" s="7" t="str">
        <f t="array" ref="M7">IF(OR($A7="",ISBLANK(XLOOKUP($A7,Tablet_Asignada,Nombres_Directorio,"",0))),"",XLOOKUP($A7,Tablet_Asignada,Nombres_Directorio,"",0))</f>
        <v/>
      </c>
      <c r="N7" s="7" t="str">
        <f t="array" ref="N7">IF(OR($A7="",ISBLANK(XLOOKUP($A7,Tablet_Asignada,Sucursal_Asignada,"",0))),"",XLOOKUP($A7,Tablet_Asignada,Sucursal_Asignada,"",0))</f>
        <v/>
      </c>
      <c r="O7" s="7" t="str">
        <f t="array" ref="O7">IF(OR($A7="",ISBLANK(XLOOKUP($A7,Tablet_Asignada,Departamento_Asignado,"",0))),"",XLOOKUP($A7,Tablet_Asignada,Departamento_Asignado,"",0))</f>
        <v/>
      </c>
      <c r="P7" s="7" t="str">
        <f t="array" ref="P7">IF(OR($A7="",ISBLANK(XLOOKUP($A7,Tablet_Asignada,Nombres_Directorio,"",0))),"",XLOOKUP($A7,Tablet_Asignada,Nombres_Directorio,"",0))</f>
        <v/>
      </c>
      <c r="Q7" s="7" t="str">
        <f t="array" ref="Q7">IF(OR($A7="",ISBLANK(XLOOKUP($A7,Tablet_Asignada,Correos_Gmail,"",0))),"",XLOOKUP($A7,Tablet_Asignada,Correos_Gmail,"",0))</f>
        <v/>
      </c>
      <c r="R7" s="7" t="str">
        <f t="array" ref="R7">IF(OR($A7="",ISBLANK(XLOOKUP($A7,Tablet_Asignada,Correos_Institucionales,"",0))),"",XLOOKUP($A7,Tablet_Asignada,Correos_Institucionales,"",0))</f>
        <v/>
      </c>
    </row>
    <row r="8">
      <c r="A8" s="7">
        <v>7.0</v>
      </c>
      <c r="B8" s="7" t="s">
        <v>1562</v>
      </c>
      <c r="C8" s="7" t="s">
        <v>1563</v>
      </c>
      <c r="D8" s="58"/>
      <c r="E8" s="19">
        <v>3.57153344158148E14</v>
      </c>
      <c r="F8" s="55"/>
      <c r="G8" s="7" t="s">
        <v>788</v>
      </c>
      <c r="H8" s="55"/>
      <c r="I8" s="55"/>
      <c r="J8" s="36"/>
      <c r="K8" s="56">
        <v>3100.0</v>
      </c>
      <c r="L8" s="56">
        <v>200.0</v>
      </c>
      <c r="M8" s="7" t="str">
        <f t="array" ref="M8">IF(OR($A8="",ISBLANK(XLOOKUP($A8,Tablet_Asignada,Nombres_Directorio,"",0))),"",XLOOKUP($A8,Tablet_Asignada,Nombres_Directorio,"",0))</f>
        <v/>
      </c>
      <c r="N8" s="7" t="str">
        <f t="array" ref="N8">IF(OR($A8="",ISBLANK(XLOOKUP($A8,Tablet_Asignada,Sucursal_Asignada,"",0))),"",XLOOKUP($A8,Tablet_Asignada,Sucursal_Asignada,"",0))</f>
        <v/>
      </c>
      <c r="O8" s="7" t="str">
        <f t="array" ref="O8">IF(OR($A8="",ISBLANK(XLOOKUP($A8,Tablet_Asignada,Departamento_Asignado,"",0))),"",XLOOKUP($A8,Tablet_Asignada,Departamento_Asignado,"",0))</f>
        <v/>
      </c>
      <c r="P8" s="7" t="str">
        <f t="array" ref="P8">IF(OR($A8="",ISBLANK(XLOOKUP($A8,Tablet_Asignada,Nombres_Directorio,"",0))),"",XLOOKUP($A8,Tablet_Asignada,Nombres_Directorio,"",0))</f>
        <v/>
      </c>
      <c r="Q8" s="7" t="str">
        <f t="array" ref="Q8">IF(OR($A8="",ISBLANK(XLOOKUP($A8,Tablet_Asignada,Correos_Gmail,"",0))),"",XLOOKUP($A8,Tablet_Asignada,Correos_Gmail,"",0))</f>
        <v/>
      </c>
      <c r="R8" s="7" t="str">
        <f t="array" ref="R8">IF(OR($A8="",ISBLANK(XLOOKUP($A8,Tablet_Asignada,Correos_Institucionales,"",0))),"",XLOOKUP($A8,Tablet_Asignada,Correos_Institucionales,"",0))</f>
        <v/>
      </c>
    </row>
    <row r="9">
      <c r="A9" s="7">
        <v>8.0</v>
      </c>
      <c r="B9" s="7" t="s">
        <v>1570</v>
      </c>
      <c r="C9" s="7" t="s">
        <v>1571</v>
      </c>
      <c r="D9" s="19">
        <v>8.64273033261619E14</v>
      </c>
      <c r="E9" s="54" t="s">
        <v>1572</v>
      </c>
      <c r="F9" s="55"/>
      <c r="G9" s="7" t="s">
        <v>788</v>
      </c>
      <c r="H9" s="55"/>
      <c r="I9" s="55"/>
      <c r="J9" s="36"/>
      <c r="K9" s="56">
        <v>2900.0</v>
      </c>
      <c r="L9" s="56">
        <v>1500.0</v>
      </c>
      <c r="M9" s="7" t="str">
        <f t="array" ref="M9">IF(OR($A9="",ISBLANK(XLOOKUP($A9,Tablet_Asignada,Nombres_Directorio,"",0))),"",XLOOKUP($A9,Tablet_Asignada,Nombres_Directorio,"",0))</f>
        <v/>
      </c>
      <c r="N9" s="7" t="str">
        <f t="array" ref="N9">IF(OR($A9="",ISBLANK(XLOOKUP($A9,Tablet_Asignada,Sucursal_Asignada,"",0))),"",XLOOKUP($A9,Tablet_Asignada,Sucursal_Asignada,"",0))</f>
        <v/>
      </c>
      <c r="O9" s="7" t="str">
        <f t="array" ref="O9">IF(OR($A9="",ISBLANK(XLOOKUP($A9,Tablet_Asignada,Departamento_Asignado,"",0))),"",XLOOKUP($A9,Tablet_Asignada,Departamento_Asignado,"",0))</f>
        <v/>
      </c>
      <c r="P9" s="7" t="str">
        <f t="array" ref="P9">IF(OR($A9="",ISBLANK(XLOOKUP($A9,Tablet_Asignada,Nombres_Directorio,"",0))),"",XLOOKUP($A9,Tablet_Asignada,Nombres_Directorio,"",0))</f>
        <v/>
      </c>
      <c r="Q9" s="7" t="str">
        <f t="array" ref="Q9">IF(OR($A9="",ISBLANK(XLOOKUP($A9,Tablet_Asignada,Correos_Gmail,"",0))),"",XLOOKUP($A9,Tablet_Asignada,Correos_Gmail,"",0))</f>
        <v/>
      </c>
      <c r="R9" s="7" t="str">
        <f t="array" ref="R9">IF(OR($A9="",ISBLANK(XLOOKUP($A9,Tablet_Asignada,Correos_Institucionales,"",0))),"",XLOOKUP($A9,Tablet_Asignada,Correos_Institucionales,"",0))</f>
        <v/>
      </c>
    </row>
    <row r="10">
      <c r="A10" s="7">
        <v>9.0</v>
      </c>
      <c r="B10" s="7" t="s">
        <v>1570</v>
      </c>
      <c r="C10" s="7" t="s">
        <v>1571</v>
      </c>
      <c r="D10" s="19">
        <v>8.64273033384056E14</v>
      </c>
      <c r="E10" s="54" t="s">
        <v>1578</v>
      </c>
      <c r="F10" s="55"/>
      <c r="G10" s="7" t="s">
        <v>788</v>
      </c>
      <c r="H10" s="55"/>
      <c r="I10" s="55"/>
      <c r="J10" s="36"/>
      <c r="K10" s="56">
        <v>2900.0</v>
      </c>
      <c r="L10" s="56">
        <v>1500.0</v>
      </c>
      <c r="M10" s="7" t="str">
        <f t="array" ref="M10">IF(OR($A10="",ISBLANK(XLOOKUP($A10,Tablet_Asignada,Nombres_Directorio,"",0))),"",XLOOKUP($A10,Tablet_Asignada,Nombres_Directorio,"",0))</f>
        <v/>
      </c>
      <c r="N10" s="7" t="str">
        <f t="array" ref="N10">IF(OR($A10="",ISBLANK(XLOOKUP($A10,Tablet_Asignada,Sucursal_Asignada,"",0))),"",XLOOKUP($A10,Tablet_Asignada,Sucursal_Asignada,"",0))</f>
        <v/>
      </c>
      <c r="O10" s="7" t="str">
        <f t="array" ref="O10">IF(OR($A10="",ISBLANK(XLOOKUP($A10,Tablet_Asignada,Departamento_Asignado,"",0))),"",XLOOKUP($A10,Tablet_Asignada,Departamento_Asignado,"",0))</f>
        <v/>
      </c>
      <c r="P10" s="7" t="str">
        <f t="array" ref="P10">IF(OR($A10="",ISBLANK(XLOOKUP($A10,Tablet_Asignada,Nombres_Directorio,"",0))),"",XLOOKUP($A10,Tablet_Asignada,Nombres_Directorio,"",0))</f>
        <v/>
      </c>
      <c r="Q10" s="7" t="str">
        <f t="array" ref="Q10">IF(OR($A10="",ISBLANK(XLOOKUP($A10,Tablet_Asignada,Correos_Gmail,"",0))),"",XLOOKUP($A10,Tablet_Asignada,Correos_Gmail,"",0))</f>
        <v/>
      </c>
      <c r="R10" s="7" t="str">
        <f t="array" ref="R10">IF(OR($A10="",ISBLANK(XLOOKUP($A10,Tablet_Asignada,Correos_Institucionales,"",0))),"",XLOOKUP($A10,Tablet_Asignada,Correos_Institucionales,"",0))</f>
        <v/>
      </c>
    </row>
    <row r="11">
      <c r="A11" s="7">
        <v>10.0</v>
      </c>
      <c r="B11" s="7" t="s">
        <v>1570</v>
      </c>
      <c r="C11" s="7" t="s">
        <v>1571</v>
      </c>
      <c r="D11" s="19">
        <v>8.64273033394717E14</v>
      </c>
      <c r="E11" s="54" t="s">
        <v>1583</v>
      </c>
      <c r="F11" s="55"/>
      <c r="G11" s="7" t="s">
        <v>788</v>
      </c>
      <c r="H11" s="55"/>
      <c r="I11" s="55"/>
      <c r="J11" s="36"/>
      <c r="K11" s="56">
        <v>2900.0</v>
      </c>
      <c r="L11" s="56">
        <v>1500.0</v>
      </c>
      <c r="M11" s="7" t="str">
        <f t="array" ref="M11">IF(OR($A11="",ISBLANK(XLOOKUP($A11,Tablet_Asignada,Nombres_Directorio,"",0))),"",XLOOKUP($A11,Tablet_Asignada,Nombres_Directorio,"",0))</f>
        <v/>
      </c>
      <c r="N11" s="7" t="str">
        <f t="array" ref="N11">IF(OR($A11="",ISBLANK(XLOOKUP($A11,Tablet_Asignada,Sucursal_Asignada,"",0))),"",XLOOKUP($A11,Tablet_Asignada,Sucursal_Asignada,"",0))</f>
        <v/>
      </c>
      <c r="O11" s="7" t="str">
        <f t="array" ref="O11">IF(OR($A11="",ISBLANK(XLOOKUP($A11,Tablet_Asignada,Departamento_Asignado,"",0))),"",XLOOKUP($A11,Tablet_Asignada,Departamento_Asignado,"",0))</f>
        <v/>
      </c>
      <c r="P11" s="7" t="str">
        <f t="array" ref="P11">IF(OR($A11="",ISBLANK(XLOOKUP($A11,Tablet_Asignada,Nombres_Directorio,"",0))),"",XLOOKUP($A11,Tablet_Asignada,Nombres_Directorio,"",0))</f>
        <v/>
      </c>
      <c r="Q11" s="7" t="str">
        <f t="array" ref="Q11">IF(OR($A11="",ISBLANK(XLOOKUP($A11,Tablet_Asignada,Correos_Gmail,"",0))),"",XLOOKUP($A11,Tablet_Asignada,Correos_Gmail,"",0))</f>
        <v/>
      </c>
      <c r="R11" s="7" t="str">
        <f t="array" ref="R11">IF(OR($A11="",ISBLANK(XLOOKUP($A11,Tablet_Asignada,Correos_Institucionales,"",0))),"",XLOOKUP($A11,Tablet_Asignada,Correos_Institucionales,"",0))</f>
        <v/>
      </c>
    </row>
    <row r="12">
      <c r="A12" s="7">
        <v>11.0</v>
      </c>
      <c r="B12" s="7" t="s">
        <v>1570</v>
      </c>
      <c r="C12" s="7" t="s">
        <v>1571</v>
      </c>
      <c r="D12" s="19">
        <v>8.64273033251396E14</v>
      </c>
      <c r="E12" s="54" t="s">
        <v>1585</v>
      </c>
      <c r="F12" s="55"/>
      <c r="G12" s="7" t="s">
        <v>788</v>
      </c>
      <c r="H12" s="55"/>
      <c r="I12" s="55"/>
      <c r="J12" s="36"/>
      <c r="K12" s="56">
        <v>2900.0</v>
      </c>
      <c r="L12" s="56">
        <v>1500.0</v>
      </c>
      <c r="M12" s="7" t="str">
        <f t="array" ref="M12">IF(OR($A12="",ISBLANK(XLOOKUP($A12,Tablet_Asignada,Nombres_Directorio,"",0))),"",XLOOKUP($A12,Tablet_Asignada,Nombres_Directorio,"",0))</f>
        <v/>
      </c>
      <c r="N12" s="7" t="str">
        <f t="array" ref="N12">IF(OR($A12="",ISBLANK(XLOOKUP($A12,Tablet_Asignada,Sucursal_Asignada,"",0))),"",XLOOKUP($A12,Tablet_Asignada,Sucursal_Asignada,"",0))</f>
        <v/>
      </c>
      <c r="O12" s="7" t="str">
        <f t="array" ref="O12">IF(OR($A12="",ISBLANK(XLOOKUP($A12,Tablet_Asignada,Departamento_Asignado,"",0))),"",XLOOKUP($A12,Tablet_Asignada,Departamento_Asignado,"",0))</f>
        <v/>
      </c>
      <c r="P12" s="7" t="str">
        <f t="array" ref="P12">IF(OR($A12="",ISBLANK(XLOOKUP($A12,Tablet_Asignada,Nombres_Directorio,"",0))),"",XLOOKUP($A12,Tablet_Asignada,Nombres_Directorio,"",0))</f>
        <v/>
      </c>
      <c r="Q12" s="7" t="str">
        <f t="array" ref="Q12">IF(OR($A12="",ISBLANK(XLOOKUP($A12,Tablet_Asignada,Correos_Gmail,"",0))),"",XLOOKUP($A12,Tablet_Asignada,Correos_Gmail,"",0))</f>
        <v/>
      </c>
      <c r="R12" s="7" t="str">
        <f t="array" ref="R12">IF(OR($A12="",ISBLANK(XLOOKUP($A12,Tablet_Asignada,Correos_Institucionales,"",0))),"",XLOOKUP($A12,Tablet_Asignada,Correos_Institucionales,"",0))</f>
        <v/>
      </c>
    </row>
    <row r="13">
      <c r="A13" s="7">
        <v>12.0</v>
      </c>
      <c r="B13" s="7" t="s">
        <v>1527</v>
      </c>
      <c r="C13" s="7" t="s">
        <v>1590</v>
      </c>
      <c r="D13" s="19">
        <v>3.53996560433569E14</v>
      </c>
      <c r="E13" s="54" t="s">
        <v>1591</v>
      </c>
      <c r="F13" s="7" t="s">
        <v>1592</v>
      </c>
      <c r="G13" s="7" t="s">
        <v>788</v>
      </c>
      <c r="H13" s="55"/>
      <c r="I13" s="55"/>
      <c r="J13" s="36"/>
      <c r="K13" s="56">
        <v>3369.0</v>
      </c>
      <c r="L13" s="56">
        <v>1700.0</v>
      </c>
      <c r="M13" s="7" t="str">
        <f t="array" ref="M13">IF(OR($A13="",ISBLANK(XLOOKUP($A13,Tablet_Asignada,Nombres_Directorio,"",0))),"",XLOOKUP($A13,Tablet_Asignada,Nombres_Directorio,"",0))</f>
        <v/>
      </c>
      <c r="N13" s="7" t="str">
        <f t="array" ref="N13">IF(OR($A13="",ISBLANK(XLOOKUP($A13,Tablet_Asignada,Sucursal_Asignada,"",0))),"",XLOOKUP($A13,Tablet_Asignada,Sucursal_Asignada,"",0))</f>
        <v/>
      </c>
      <c r="O13" s="7" t="str">
        <f t="array" ref="O13">IF(OR($A13="",ISBLANK(XLOOKUP($A13,Tablet_Asignada,Departamento_Asignado,"",0))),"",XLOOKUP($A13,Tablet_Asignada,Departamento_Asignado,"",0))</f>
        <v/>
      </c>
      <c r="P13" s="7" t="str">
        <f t="array" ref="P13">IF(OR($A13="",ISBLANK(XLOOKUP($A13,Tablet_Asignada,Nombres_Directorio,"",0))),"",XLOOKUP($A13,Tablet_Asignada,Nombres_Directorio,"",0))</f>
        <v/>
      </c>
      <c r="Q13" s="7" t="str">
        <f t="array" ref="Q13">IF(OR($A13="",ISBLANK(XLOOKUP($A13,Tablet_Asignada,Correos_Gmail,"",0))),"",XLOOKUP($A13,Tablet_Asignada,Correos_Gmail,"",0))</f>
        <v/>
      </c>
      <c r="R13" s="7" t="str">
        <f t="array" ref="R13">IF(OR($A13="",ISBLANK(XLOOKUP($A13,Tablet_Asignada,Correos_Institucionales,"",0))),"",XLOOKUP($A13,Tablet_Asignada,Correos_Institucionales,"",0))</f>
        <v/>
      </c>
    </row>
    <row r="14">
      <c r="A14" s="7">
        <v>13.0</v>
      </c>
      <c r="B14" s="7" t="s">
        <v>1527</v>
      </c>
      <c r="C14" s="7" t="s">
        <v>1590</v>
      </c>
      <c r="D14" s="19">
        <v>3.53996565604487E16</v>
      </c>
      <c r="E14" s="54" t="s">
        <v>1598</v>
      </c>
      <c r="F14" s="7" t="s">
        <v>1599</v>
      </c>
      <c r="G14" s="7" t="s">
        <v>788</v>
      </c>
      <c r="H14" s="55"/>
      <c r="I14" s="55"/>
      <c r="J14" s="36"/>
      <c r="K14" s="56">
        <v>3369.0</v>
      </c>
      <c r="L14" s="56">
        <v>1700.0</v>
      </c>
      <c r="M14" s="7" t="str">
        <f t="array" ref="M14">IF(OR($A14="",ISBLANK(XLOOKUP($A14,Tablet_Asignada,Nombres_Directorio,"",0))),"",XLOOKUP($A14,Tablet_Asignada,Nombres_Directorio,"",0))</f>
        <v/>
      </c>
      <c r="N14" s="7" t="str">
        <f t="array" ref="N14">IF(OR($A14="",ISBLANK(XLOOKUP($A14,Tablet_Asignada,Sucursal_Asignada,"",0))),"",XLOOKUP($A14,Tablet_Asignada,Sucursal_Asignada,"",0))</f>
        <v/>
      </c>
      <c r="O14" s="7" t="str">
        <f t="array" ref="O14">IF(OR($A14="",ISBLANK(XLOOKUP($A14,Tablet_Asignada,Departamento_Asignado,"",0))),"",XLOOKUP($A14,Tablet_Asignada,Departamento_Asignado,"",0))</f>
        <v/>
      </c>
      <c r="P14" s="7" t="str">
        <f t="array" ref="P14">IF(OR($A14="",ISBLANK(XLOOKUP($A14,Tablet_Asignada,Nombres_Directorio,"",0))),"",XLOOKUP($A14,Tablet_Asignada,Nombres_Directorio,"",0))</f>
        <v/>
      </c>
      <c r="Q14" s="7" t="str">
        <f t="array" ref="Q14">IF(OR($A14="",ISBLANK(XLOOKUP($A14,Tablet_Asignada,Correos_Gmail,"",0))),"",XLOOKUP($A14,Tablet_Asignada,Correos_Gmail,"",0))</f>
        <v/>
      </c>
      <c r="R14" s="7" t="str">
        <f t="array" ref="R14">IF(OR($A14="",ISBLANK(XLOOKUP($A14,Tablet_Asignada,Correos_Institucionales,"",0))),"",XLOOKUP($A14,Tablet_Asignada,Correos_Institucionales,"",0))</f>
        <v/>
      </c>
    </row>
    <row r="15">
      <c r="A15" s="7">
        <v>14.0</v>
      </c>
      <c r="B15" s="7" t="s">
        <v>1527</v>
      </c>
      <c r="C15" s="7" t="s">
        <v>1590</v>
      </c>
      <c r="D15" s="19">
        <v>3.53996560432744E14</v>
      </c>
      <c r="E15" s="54" t="s">
        <v>1603</v>
      </c>
      <c r="F15" s="7" t="s">
        <v>1604</v>
      </c>
      <c r="G15" s="7" t="s">
        <v>788</v>
      </c>
      <c r="H15" s="7" t="s">
        <v>918</v>
      </c>
      <c r="I15" s="55"/>
      <c r="J15" s="36" t="s">
        <v>1605</v>
      </c>
      <c r="K15" s="56">
        <v>3100.0</v>
      </c>
      <c r="L15" s="56">
        <v>1700.0</v>
      </c>
      <c r="M15" s="7" t="str">
        <f t="array" ref="M15">IF(OR($A15="",ISBLANK(XLOOKUP($A15,Tablet_Asignada,Nombres_Directorio,"",0))),"",XLOOKUP($A15,Tablet_Asignada,Nombres_Directorio,"",0))</f>
        <v>Adrián Paskinel Hernández Zavala</v>
      </c>
      <c r="N15" s="7" t="str">
        <f t="array" ref="N15">IF(OR($A15="",ISBLANK(XLOOKUP($A15,Tablet_Asignada,Sucursal_Asignada,"",0))),"",XLOOKUP($A15,Tablet_Asignada,Sucursal_Asignada,"",0))</f>
        <v>La Barca</v>
      </c>
      <c r="O15" s="7" t="str">
        <f t="array" ref="O15">IF(OR($A15="",ISBLANK(XLOOKUP($A15,Tablet_Asignada,Departamento_Asignado,"",0))),"",XLOOKUP($A15,Tablet_Asignada,Departamento_Asignado,"",0))</f>
        <v>Corporativo</v>
      </c>
      <c r="P15" s="7" t="str">
        <f t="array" ref="P15">IF(OR($A15="",ISBLANK(XLOOKUP($A15,Tablet_Asignada,Nombres_Directorio,"",0))),"",XLOOKUP($A15,Tablet_Asignada,Nombres_Directorio,"",0))</f>
        <v>Adrián Paskinel Hernández Zavala</v>
      </c>
      <c r="Q15" s="7" t="str">
        <f t="array" ref="Q15">IF(OR($A15="",ISBLANK(XLOOKUP($A15,Tablet_Asignada,Correos_Gmail,"",0))),"",XLOOKUP($A15,Tablet_Asignada,Correos_Gmail,"",0))</f>
        <v>adrian.hernandez@agrocisa.com.mx</v>
      </c>
      <c r="R15" s="7" t="str">
        <f t="array" ref="R15">IF(OR($A15="",ISBLANK(XLOOKUP($A15,Tablet_Asignada,Correos_Institucionales,"",0))),"",XLOOKUP($A15,Tablet_Asignada,Correos_Institucionales,"",0))</f>
        <v>adrian.hernandez@agrocisa.com.mx</v>
      </c>
    </row>
    <row r="16">
      <c r="A16" s="7">
        <v>15.0</v>
      </c>
      <c r="B16" s="7" t="s">
        <v>1527</v>
      </c>
      <c r="C16" s="7" t="s">
        <v>1590</v>
      </c>
      <c r="D16" s="19">
        <v>3.53996560405542E14</v>
      </c>
      <c r="E16" s="54" t="s">
        <v>1610</v>
      </c>
      <c r="F16" s="7" t="s">
        <v>1611</v>
      </c>
      <c r="G16" s="7" t="s">
        <v>788</v>
      </c>
      <c r="H16" s="7" t="s">
        <v>918</v>
      </c>
      <c r="I16" s="55"/>
      <c r="J16" s="36" t="s">
        <v>1612</v>
      </c>
      <c r="K16" s="56">
        <v>3100.0</v>
      </c>
      <c r="L16" s="56">
        <v>1700.0</v>
      </c>
      <c r="M16" s="7" t="str">
        <f t="array" ref="M16">IF(OR($A16="",ISBLANK(XLOOKUP($A16,Tablet_Asignada,Nombres_Directorio,"",0))),"",XLOOKUP($A16,Tablet_Asignada,Nombres_Directorio,"",0))</f>
        <v>Jorge Humberto Gómez Córdova</v>
      </c>
      <c r="N16" s="7" t="str">
        <f t="array" ref="N16">IF(OR($A16="",ISBLANK(XLOOKUP($A16,Tablet_Asignada,Sucursal_Asignada,"",0))),"",XLOOKUP($A16,Tablet_Asignada,Sucursal_Asignada,"",0))</f>
        <v>La Barca</v>
      </c>
      <c r="O16" s="7" t="str">
        <f t="array" ref="O16">IF(OR($A16="",ISBLANK(XLOOKUP($A16,Tablet_Asignada,Departamento_Asignado,"",0))),"",XLOOKUP($A16,Tablet_Asignada,Departamento_Asignado,"",0))</f>
        <v>Corporativo</v>
      </c>
      <c r="P16" s="7" t="str">
        <f t="array" ref="P16">IF(OR($A16="",ISBLANK(XLOOKUP($A16,Tablet_Asignada,Nombres_Directorio,"",0))),"",XLOOKUP($A16,Tablet_Asignada,Nombres_Directorio,"",0))</f>
        <v>Jorge Humberto Gómez Córdova</v>
      </c>
      <c r="Q16" s="7" t="str">
        <f t="array" ref="Q16">IF(OR($A16="",ISBLANK(XLOOKUP($A16,Tablet_Asignada,Correos_Gmail,"",0))),"",XLOOKUP($A16,Tablet_Asignada,Correos_Gmail,"",0))</f>
        <v>jgomez.agro@gmail.com</v>
      </c>
      <c r="R16" s="7" t="str">
        <f t="array" ref="R16">IF(OR($A16="",ISBLANK(XLOOKUP($A16,Tablet_Asignada,Correos_Institucionales,"",0))),"",XLOOKUP($A16,Tablet_Asignada,Correos_Institucionales,"",0))</f>
        <v>jorge.gomez@agrocisa.com.mx</v>
      </c>
    </row>
    <row r="17">
      <c r="A17" s="7">
        <v>16.0</v>
      </c>
      <c r="B17" s="7" t="s">
        <v>1562</v>
      </c>
      <c r="C17" s="7" t="s">
        <v>1618</v>
      </c>
      <c r="D17" s="19">
        <v>3.57153344159393E14</v>
      </c>
      <c r="E17" s="54" t="s">
        <v>1619</v>
      </c>
      <c r="F17" s="55"/>
      <c r="G17" s="7" t="s">
        <v>788</v>
      </c>
      <c r="H17" s="7" t="s">
        <v>918</v>
      </c>
      <c r="I17" s="55"/>
      <c r="J17" s="36">
        <v>44814.0</v>
      </c>
      <c r="K17" s="56">
        <v>3700.0</v>
      </c>
      <c r="L17" s="56">
        <v>1500.0</v>
      </c>
      <c r="M17" s="7" t="str">
        <f t="array" ref="M17">IF(OR($A17="",ISBLANK(XLOOKUP($A17,Tablet_Asignada,Nombres_Directorio,"",0))),"",XLOOKUP($A17,Tablet_Asignada,Nombres_Directorio,"",0))</f>
        <v>José Alejandro Tellez Gómez</v>
      </c>
      <c r="N17" s="7" t="str">
        <f t="array" ref="N17">IF(OR($A17="",ISBLANK(XLOOKUP($A17,Tablet_Asignada,Sucursal_Asignada,"",0))),"",XLOOKUP($A17,Tablet_Asignada,Sucursal_Asignada,"",0))</f>
        <v>La Barca</v>
      </c>
      <c r="O17" s="7" t="str">
        <f t="array" ref="O17">IF(OR($A17="",ISBLANK(XLOOKUP($A17,Tablet_Asignada,Departamento_Asignado,"",0))),"",XLOOKUP($A17,Tablet_Asignada,Departamento_Asignado,"",0))</f>
        <v>Agricultura Inteligente</v>
      </c>
      <c r="P17" s="7" t="str">
        <f t="array" ref="P17">IF(OR($A17="",ISBLANK(XLOOKUP($A17,Tablet_Asignada,Nombres_Directorio,"",0))),"",XLOOKUP($A17,Tablet_Asignada,Nombres_Directorio,"",0))</f>
        <v>José Alejandro Tellez Gómez</v>
      </c>
      <c r="Q17" s="7" t="str">
        <f t="array" ref="Q17">IF(OR($A17="",ISBLANK(XLOOKUP($A17,Tablet_Asignada,Correos_Gmail,"",0))),"",XLOOKUP($A17,Tablet_Asignada,Correos_Gmail,"",0))</f>
        <v>alejandro.tellez@agrocisa.com.mx</v>
      </c>
      <c r="R17" s="7" t="str">
        <f t="array" ref="R17">IF(OR($A17="",ISBLANK(XLOOKUP($A17,Tablet_Asignada,Correos_Institucionales,"",0))),"",XLOOKUP($A17,Tablet_Asignada,Correos_Institucionales,"",0))</f>
        <v>alejandro.tellez@agrocisa.com.mx</v>
      </c>
    </row>
    <row r="18">
      <c r="M18" s="43"/>
      <c r="N18" s="43"/>
      <c r="O18" s="43"/>
      <c r="P18" s="43"/>
      <c r="Q18" s="43"/>
      <c r="R18" s="43"/>
    </row>
    <row r="19">
      <c r="M19" s="43"/>
      <c r="N19" s="43"/>
      <c r="O19" s="43"/>
      <c r="P19" s="43"/>
      <c r="Q19" s="43"/>
      <c r="R19" s="43"/>
    </row>
    <row r="20">
      <c r="M20" s="43"/>
      <c r="N20" s="43"/>
      <c r="O20" s="43"/>
      <c r="P20" s="43"/>
      <c r="Q20" s="43"/>
      <c r="R20" s="43"/>
    </row>
    <row r="21" ht="15.75" customHeight="1">
      <c r="M21" s="43"/>
      <c r="N21" s="43"/>
      <c r="O21" s="43"/>
      <c r="P21" s="43"/>
      <c r="Q21" s="43"/>
      <c r="R21" s="43"/>
    </row>
    <row r="22" ht="15.75" customHeight="1">
      <c r="M22" s="43"/>
      <c r="N22" s="43"/>
      <c r="O22" s="43"/>
      <c r="P22" s="43"/>
      <c r="Q22" s="43"/>
      <c r="R22" s="43"/>
    </row>
    <row r="23" ht="15.75" customHeight="1">
      <c r="M23" s="43"/>
      <c r="N23" s="43"/>
      <c r="O23" s="43"/>
      <c r="P23" s="43"/>
      <c r="Q23" s="43"/>
      <c r="R23" s="43"/>
    </row>
    <row r="24" ht="15.75" customHeight="1">
      <c r="M24" s="43"/>
      <c r="N24" s="43"/>
      <c r="O24" s="43"/>
      <c r="P24" s="43"/>
      <c r="Q24" s="43"/>
      <c r="R24" s="43"/>
    </row>
    <row r="25" ht="15.75" customHeight="1">
      <c r="M25" s="43"/>
      <c r="N25" s="43"/>
      <c r="O25" s="43"/>
      <c r="P25" s="43"/>
      <c r="Q25" s="43"/>
      <c r="R25" s="43"/>
    </row>
    <row r="26" ht="15.75" customHeight="1">
      <c r="M26" s="43"/>
      <c r="N26" s="43"/>
      <c r="O26" s="43"/>
      <c r="P26" s="43"/>
      <c r="Q26" s="43"/>
      <c r="R26" s="43"/>
    </row>
    <row r="27" ht="15.75" customHeight="1">
      <c r="M27" s="43"/>
      <c r="N27" s="43"/>
      <c r="O27" s="43"/>
      <c r="P27" s="43"/>
      <c r="Q27" s="43"/>
      <c r="R27" s="43"/>
    </row>
    <row r="28" ht="15.75" customHeight="1">
      <c r="M28" s="43"/>
      <c r="N28" s="43"/>
      <c r="O28" s="43"/>
      <c r="P28" s="43"/>
      <c r="Q28" s="43"/>
      <c r="R28" s="43"/>
    </row>
    <row r="29" ht="15.75" customHeight="1">
      <c r="M29" s="43"/>
      <c r="N29" s="43"/>
      <c r="O29" s="43"/>
      <c r="P29" s="43"/>
      <c r="Q29" s="43"/>
      <c r="R29" s="43"/>
    </row>
    <row r="30" ht="15.75" customHeight="1">
      <c r="M30" s="43"/>
      <c r="N30" s="43"/>
      <c r="O30" s="43"/>
      <c r="P30" s="43"/>
      <c r="Q30" s="43"/>
      <c r="R30" s="43"/>
    </row>
    <row r="31" ht="15.75" customHeight="1">
      <c r="M31" s="43"/>
      <c r="N31" s="43"/>
      <c r="O31" s="43"/>
      <c r="P31" s="43"/>
      <c r="Q31" s="43"/>
      <c r="R31" s="43"/>
    </row>
    <row r="32" ht="15.75" customHeight="1">
      <c r="M32" s="43"/>
      <c r="N32" s="43"/>
      <c r="O32" s="43"/>
      <c r="P32" s="43"/>
      <c r="Q32" s="43"/>
      <c r="R32" s="43"/>
    </row>
    <row r="33" ht="15.75" customHeight="1">
      <c r="M33" s="43"/>
      <c r="N33" s="43"/>
      <c r="O33" s="43"/>
      <c r="P33" s="43"/>
      <c r="Q33" s="43"/>
      <c r="R33" s="43"/>
    </row>
    <row r="34" ht="15.75" customHeight="1">
      <c r="M34" s="43"/>
      <c r="N34" s="43"/>
      <c r="O34" s="43"/>
      <c r="P34" s="43"/>
      <c r="Q34" s="43"/>
      <c r="R34" s="43"/>
    </row>
    <row r="35" ht="15.75" customHeight="1">
      <c r="M35" s="43"/>
      <c r="N35" s="43"/>
      <c r="O35" s="43"/>
      <c r="P35" s="43"/>
      <c r="Q35" s="43"/>
      <c r="R35" s="43"/>
    </row>
    <row r="36" ht="15.75" customHeight="1">
      <c r="M36" s="43"/>
      <c r="N36" s="43"/>
      <c r="O36" s="43"/>
      <c r="P36" s="43"/>
      <c r="Q36" s="43"/>
      <c r="R36" s="43"/>
    </row>
    <row r="37" ht="15.75" customHeight="1">
      <c r="M37" s="43"/>
      <c r="N37" s="43"/>
      <c r="O37" s="43"/>
      <c r="P37" s="43"/>
      <c r="Q37" s="43"/>
      <c r="R37" s="43"/>
    </row>
    <row r="38" ht="15.75" customHeight="1">
      <c r="M38" s="43"/>
      <c r="N38" s="43"/>
      <c r="O38" s="43"/>
      <c r="P38" s="43"/>
      <c r="Q38" s="43"/>
      <c r="R38" s="43"/>
    </row>
    <row r="39" ht="15.75" customHeight="1">
      <c r="M39" s="43"/>
      <c r="N39" s="43"/>
      <c r="O39" s="43"/>
      <c r="P39" s="43"/>
      <c r="Q39" s="43"/>
      <c r="R39" s="43"/>
    </row>
    <row r="40" ht="15.75" customHeight="1">
      <c r="M40" s="43"/>
      <c r="N40" s="43"/>
      <c r="O40" s="43"/>
      <c r="P40" s="43"/>
      <c r="Q40" s="43"/>
      <c r="R40" s="43"/>
    </row>
    <row r="41" ht="15.75" customHeight="1">
      <c r="M41" s="43"/>
      <c r="N41" s="43"/>
      <c r="O41" s="43"/>
      <c r="P41" s="43"/>
      <c r="Q41" s="43"/>
      <c r="R41" s="43"/>
    </row>
    <row r="42" ht="15.75" customHeight="1">
      <c r="M42" s="43"/>
      <c r="N42" s="43"/>
      <c r="O42" s="43"/>
      <c r="P42" s="43"/>
      <c r="Q42" s="43"/>
      <c r="R42" s="43"/>
    </row>
    <row r="43" ht="15.75" customHeight="1">
      <c r="M43" s="43"/>
      <c r="N43" s="43"/>
      <c r="O43" s="43"/>
      <c r="P43" s="43"/>
      <c r="Q43" s="43"/>
      <c r="R43" s="43"/>
    </row>
    <row r="44" ht="15.75" customHeight="1">
      <c r="M44" s="43"/>
      <c r="N44" s="43"/>
      <c r="O44" s="43"/>
      <c r="P44" s="43"/>
      <c r="Q44" s="43"/>
      <c r="R44" s="43"/>
    </row>
    <row r="45" ht="15.75" customHeight="1">
      <c r="M45" s="43"/>
      <c r="N45" s="43"/>
      <c r="O45" s="43"/>
      <c r="P45" s="43"/>
      <c r="Q45" s="43"/>
      <c r="R45" s="43"/>
    </row>
    <row r="46" ht="15.75" customHeight="1">
      <c r="M46" s="43"/>
      <c r="N46" s="43"/>
      <c r="O46" s="43"/>
      <c r="P46" s="43"/>
      <c r="Q46" s="43"/>
      <c r="R46" s="43"/>
    </row>
    <row r="47" ht="15.75" customHeight="1">
      <c r="M47" s="43"/>
      <c r="N47" s="43"/>
      <c r="O47" s="43"/>
      <c r="P47" s="43"/>
      <c r="Q47" s="43"/>
      <c r="R47" s="43"/>
    </row>
    <row r="48" ht="15.75" customHeight="1">
      <c r="M48" s="43"/>
      <c r="N48" s="43"/>
      <c r="O48" s="43"/>
      <c r="P48" s="43"/>
      <c r="Q48" s="43"/>
      <c r="R48" s="43"/>
    </row>
    <row r="49" ht="15.75" customHeight="1">
      <c r="M49" s="43"/>
      <c r="N49" s="43"/>
      <c r="O49" s="43"/>
      <c r="P49" s="43"/>
      <c r="Q49" s="43"/>
      <c r="R49" s="43"/>
    </row>
    <row r="50" ht="15.75" customHeight="1">
      <c r="M50" s="43"/>
      <c r="N50" s="43"/>
      <c r="O50" s="43"/>
      <c r="P50" s="43"/>
      <c r="Q50" s="43"/>
      <c r="R50" s="43"/>
    </row>
    <row r="51" ht="15.75" customHeight="1">
      <c r="M51" s="43"/>
      <c r="N51" s="43"/>
      <c r="O51" s="43"/>
      <c r="P51" s="43"/>
      <c r="Q51" s="43"/>
      <c r="R51" s="43"/>
    </row>
    <row r="52" ht="15.75" customHeight="1">
      <c r="M52" s="43"/>
      <c r="N52" s="43"/>
      <c r="O52" s="43"/>
      <c r="P52" s="43"/>
      <c r="Q52" s="43"/>
      <c r="R52" s="43"/>
    </row>
    <row r="53" ht="15.75" customHeight="1">
      <c r="M53" s="43"/>
      <c r="N53" s="43"/>
      <c r="O53" s="43"/>
      <c r="P53" s="43"/>
      <c r="Q53" s="43"/>
      <c r="R53" s="43"/>
    </row>
    <row r="54" ht="15.75" customHeight="1">
      <c r="M54" s="43"/>
      <c r="N54" s="43"/>
      <c r="O54" s="43"/>
      <c r="P54" s="43"/>
      <c r="Q54" s="43"/>
      <c r="R54" s="43"/>
    </row>
    <row r="55" ht="15.75" customHeight="1">
      <c r="M55" s="43"/>
      <c r="N55" s="43"/>
      <c r="O55" s="43"/>
      <c r="P55" s="43"/>
      <c r="Q55" s="43"/>
      <c r="R55" s="43"/>
    </row>
    <row r="56" ht="15.75" customHeight="1">
      <c r="M56" s="43"/>
      <c r="N56" s="43"/>
      <c r="O56" s="43"/>
      <c r="P56" s="43"/>
      <c r="Q56" s="43"/>
      <c r="R56" s="43"/>
    </row>
    <row r="57" ht="15.75" customHeight="1">
      <c r="M57" s="43"/>
      <c r="N57" s="43"/>
      <c r="O57" s="43"/>
      <c r="P57" s="43"/>
      <c r="Q57" s="43"/>
      <c r="R57" s="43"/>
    </row>
    <row r="58" ht="15.75" customHeight="1">
      <c r="M58" s="43"/>
      <c r="N58" s="43"/>
      <c r="O58" s="43"/>
      <c r="P58" s="43"/>
      <c r="Q58" s="43"/>
      <c r="R58" s="43"/>
    </row>
    <row r="59" ht="15.75" customHeight="1">
      <c r="M59" s="43"/>
      <c r="N59" s="43"/>
      <c r="O59" s="43"/>
      <c r="P59" s="43"/>
      <c r="Q59" s="43"/>
      <c r="R59" s="43"/>
    </row>
    <row r="60" ht="15.75" customHeight="1">
      <c r="M60" s="43"/>
      <c r="N60" s="43"/>
      <c r="O60" s="43"/>
      <c r="P60" s="43"/>
      <c r="Q60" s="43"/>
      <c r="R60" s="43"/>
    </row>
    <row r="61" ht="15.75" customHeight="1">
      <c r="M61" s="43"/>
      <c r="N61" s="43"/>
      <c r="O61" s="43"/>
      <c r="P61" s="43"/>
      <c r="Q61" s="43"/>
      <c r="R61" s="43"/>
    </row>
    <row r="62" ht="15.75" customHeight="1">
      <c r="M62" s="43"/>
      <c r="N62" s="43"/>
      <c r="O62" s="43"/>
      <c r="P62" s="43"/>
      <c r="Q62" s="43"/>
      <c r="R62" s="43"/>
    </row>
    <row r="63" ht="15.75" customHeight="1">
      <c r="M63" s="43"/>
      <c r="N63" s="43"/>
      <c r="O63" s="43"/>
      <c r="P63" s="43"/>
      <c r="Q63" s="43"/>
      <c r="R63" s="43"/>
    </row>
    <row r="64" ht="15.75" customHeight="1">
      <c r="M64" s="43"/>
      <c r="N64" s="43"/>
      <c r="O64" s="43"/>
      <c r="P64" s="43"/>
      <c r="Q64" s="43"/>
      <c r="R64" s="43"/>
    </row>
    <row r="65" ht="15.75" customHeight="1">
      <c r="M65" s="43"/>
      <c r="N65" s="43"/>
      <c r="O65" s="43"/>
      <c r="P65" s="43"/>
      <c r="Q65" s="43"/>
      <c r="R65" s="43"/>
    </row>
    <row r="66" ht="15.75" customHeight="1">
      <c r="M66" s="43"/>
      <c r="N66" s="43"/>
      <c r="O66" s="43"/>
      <c r="P66" s="43"/>
      <c r="Q66" s="43"/>
      <c r="R66" s="43"/>
    </row>
    <row r="67" ht="15.75" customHeight="1">
      <c r="M67" s="43"/>
      <c r="N67" s="43"/>
      <c r="O67" s="43"/>
      <c r="P67" s="43"/>
      <c r="Q67" s="43"/>
      <c r="R67" s="43"/>
    </row>
    <row r="68" ht="15.75" customHeight="1">
      <c r="M68" s="43"/>
      <c r="N68" s="43"/>
      <c r="O68" s="43"/>
      <c r="P68" s="43"/>
      <c r="Q68" s="43"/>
      <c r="R68" s="43"/>
    </row>
    <row r="69" ht="15.75" customHeight="1">
      <c r="M69" s="43"/>
      <c r="N69" s="43"/>
      <c r="O69" s="43"/>
      <c r="P69" s="43"/>
      <c r="Q69" s="43"/>
      <c r="R69" s="43"/>
    </row>
    <row r="70" ht="15.75" customHeight="1">
      <c r="M70" s="43"/>
      <c r="N70" s="43"/>
      <c r="O70" s="43"/>
      <c r="P70" s="43"/>
      <c r="Q70" s="43"/>
      <c r="R70" s="43"/>
    </row>
    <row r="71" ht="15.75" customHeight="1">
      <c r="M71" s="43"/>
      <c r="N71" s="43"/>
      <c r="O71" s="43"/>
      <c r="P71" s="43"/>
      <c r="Q71" s="43"/>
      <c r="R71" s="43"/>
    </row>
    <row r="72" ht="15.75" customHeight="1">
      <c r="M72" s="43"/>
      <c r="N72" s="43"/>
      <c r="O72" s="43"/>
      <c r="P72" s="43"/>
      <c r="Q72" s="43"/>
      <c r="R72" s="43"/>
    </row>
    <row r="73" ht="15.75" customHeight="1">
      <c r="M73" s="43"/>
      <c r="N73" s="43"/>
      <c r="O73" s="43"/>
      <c r="P73" s="43"/>
      <c r="Q73" s="43"/>
      <c r="R73" s="43"/>
    </row>
    <row r="74" ht="15.75" customHeight="1">
      <c r="M74" s="43"/>
      <c r="N74" s="43"/>
      <c r="O74" s="43"/>
      <c r="P74" s="43"/>
      <c r="Q74" s="43"/>
      <c r="R74" s="43"/>
    </row>
    <row r="75" ht="15.75" customHeight="1">
      <c r="M75" s="43"/>
      <c r="N75" s="43"/>
      <c r="O75" s="43"/>
      <c r="P75" s="43"/>
      <c r="Q75" s="43"/>
      <c r="R75" s="43"/>
    </row>
    <row r="76" ht="15.75" customHeight="1">
      <c r="M76" s="43"/>
      <c r="N76" s="43"/>
      <c r="O76" s="43"/>
      <c r="P76" s="43"/>
      <c r="Q76" s="43"/>
      <c r="R76" s="43"/>
    </row>
    <row r="77" ht="15.75" customHeight="1">
      <c r="M77" s="43"/>
      <c r="N77" s="43"/>
      <c r="O77" s="43"/>
      <c r="P77" s="43"/>
      <c r="Q77" s="43"/>
      <c r="R77" s="43"/>
    </row>
    <row r="78" ht="15.75" customHeight="1">
      <c r="M78" s="43"/>
      <c r="N78" s="43"/>
      <c r="O78" s="43"/>
      <c r="P78" s="43"/>
      <c r="Q78" s="43"/>
      <c r="R78" s="43"/>
    </row>
    <row r="79" ht="15.75" customHeight="1">
      <c r="M79" s="43"/>
      <c r="N79" s="43"/>
      <c r="O79" s="43"/>
      <c r="P79" s="43"/>
      <c r="Q79" s="43"/>
      <c r="R79" s="43"/>
    </row>
    <row r="80" ht="15.75" customHeight="1">
      <c r="M80" s="43"/>
      <c r="N80" s="43"/>
      <c r="O80" s="43"/>
      <c r="P80" s="43"/>
      <c r="Q80" s="43"/>
      <c r="R80" s="43"/>
    </row>
    <row r="81" ht="15.75" customHeight="1">
      <c r="M81" s="43"/>
      <c r="N81" s="43"/>
      <c r="O81" s="43"/>
      <c r="P81" s="43"/>
      <c r="Q81" s="43"/>
      <c r="R81" s="43"/>
    </row>
    <row r="82" ht="15.75" customHeight="1">
      <c r="M82" s="43"/>
      <c r="N82" s="43"/>
      <c r="O82" s="43"/>
      <c r="P82" s="43"/>
      <c r="Q82" s="43"/>
      <c r="R82" s="43"/>
    </row>
    <row r="83" ht="15.75" customHeight="1">
      <c r="M83" s="43"/>
      <c r="N83" s="43"/>
      <c r="O83" s="43"/>
      <c r="P83" s="43"/>
      <c r="Q83" s="43"/>
      <c r="R83" s="43"/>
    </row>
    <row r="84" ht="15.75" customHeight="1">
      <c r="M84" s="43"/>
      <c r="N84" s="43"/>
      <c r="O84" s="43"/>
      <c r="P84" s="43"/>
      <c r="Q84" s="43"/>
      <c r="R84" s="43"/>
    </row>
    <row r="85" ht="15.75" customHeight="1">
      <c r="M85" s="43"/>
      <c r="N85" s="43"/>
      <c r="O85" s="43"/>
      <c r="P85" s="43"/>
      <c r="Q85" s="43"/>
      <c r="R85" s="43"/>
    </row>
    <row r="86" ht="15.75" customHeight="1">
      <c r="M86" s="43"/>
      <c r="N86" s="43"/>
      <c r="O86" s="43"/>
      <c r="P86" s="43"/>
      <c r="Q86" s="43"/>
      <c r="R86" s="43"/>
    </row>
    <row r="87" ht="15.75" customHeight="1">
      <c r="M87" s="43"/>
      <c r="N87" s="43"/>
      <c r="O87" s="43"/>
      <c r="P87" s="43"/>
      <c r="Q87" s="43"/>
      <c r="R87" s="43"/>
    </row>
    <row r="88" ht="15.75" customHeight="1">
      <c r="M88" s="43"/>
      <c r="N88" s="43"/>
      <c r="O88" s="43"/>
      <c r="P88" s="43"/>
      <c r="Q88" s="43"/>
      <c r="R88" s="43"/>
    </row>
    <row r="89" ht="15.75" customHeight="1">
      <c r="M89" s="43"/>
      <c r="N89" s="43"/>
      <c r="O89" s="43"/>
      <c r="P89" s="43"/>
      <c r="Q89" s="43"/>
      <c r="R89" s="43"/>
    </row>
    <row r="90" ht="15.75" customHeight="1">
      <c r="M90" s="43"/>
      <c r="N90" s="43"/>
      <c r="O90" s="43"/>
      <c r="P90" s="43"/>
      <c r="Q90" s="43"/>
      <c r="R90" s="43"/>
    </row>
    <row r="91" ht="15.75" customHeight="1">
      <c r="M91" s="43"/>
      <c r="N91" s="43"/>
      <c r="O91" s="43"/>
      <c r="P91" s="43"/>
      <c r="Q91" s="43"/>
      <c r="R91" s="43"/>
    </row>
    <row r="92" ht="15.75" customHeight="1">
      <c r="M92" s="43"/>
      <c r="N92" s="43"/>
      <c r="O92" s="43"/>
      <c r="P92" s="43"/>
      <c r="Q92" s="43"/>
      <c r="R92" s="43"/>
    </row>
    <row r="93" ht="15.75" customHeight="1">
      <c r="M93" s="43"/>
      <c r="N93" s="43"/>
      <c r="O93" s="43"/>
      <c r="P93" s="43"/>
      <c r="Q93" s="43"/>
      <c r="R93" s="43"/>
    </row>
    <row r="94" ht="15.75" customHeight="1">
      <c r="M94" s="43"/>
      <c r="N94" s="43"/>
      <c r="O94" s="43"/>
      <c r="P94" s="43"/>
      <c r="Q94" s="43"/>
      <c r="R94" s="43"/>
    </row>
    <row r="95" ht="15.75" customHeight="1">
      <c r="M95" s="43"/>
      <c r="N95" s="43"/>
      <c r="O95" s="43"/>
      <c r="P95" s="43"/>
      <c r="Q95" s="43"/>
      <c r="R95" s="43"/>
    </row>
    <row r="96" ht="15.75" customHeight="1">
      <c r="M96" s="43"/>
      <c r="N96" s="43"/>
      <c r="O96" s="43"/>
      <c r="P96" s="43"/>
      <c r="Q96" s="43"/>
      <c r="R96" s="43"/>
    </row>
    <row r="97" ht="15.75" customHeight="1">
      <c r="M97" s="43"/>
      <c r="N97" s="43"/>
      <c r="O97" s="43"/>
      <c r="P97" s="43"/>
      <c r="Q97" s="43"/>
      <c r="R97" s="43"/>
    </row>
    <row r="98" ht="15.75" customHeight="1">
      <c r="M98" s="43"/>
      <c r="N98" s="43"/>
      <c r="O98" s="43"/>
      <c r="P98" s="43"/>
      <c r="Q98" s="43"/>
      <c r="R98" s="43"/>
    </row>
    <row r="99" ht="15.75" customHeight="1">
      <c r="M99" s="43"/>
      <c r="N99" s="43"/>
      <c r="O99" s="43"/>
      <c r="P99" s="43"/>
      <c r="Q99" s="43"/>
      <c r="R99" s="43"/>
    </row>
    <row r="100" ht="15.75" customHeight="1">
      <c r="M100" s="43"/>
      <c r="N100" s="43"/>
      <c r="O100" s="43"/>
      <c r="P100" s="43"/>
      <c r="Q100" s="43"/>
      <c r="R100" s="43"/>
    </row>
    <row r="101" ht="15.75" customHeight="1">
      <c r="M101" s="43"/>
      <c r="N101" s="43"/>
      <c r="O101" s="43"/>
      <c r="P101" s="43"/>
      <c r="Q101" s="43"/>
      <c r="R101" s="43"/>
    </row>
    <row r="102" ht="15.75" customHeight="1">
      <c r="M102" s="43"/>
      <c r="N102" s="43"/>
      <c r="O102" s="43"/>
      <c r="P102" s="43"/>
      <c r="Q102" s="43"/>
      <c r="R102" s="43"/>
    </row>
    <row r="103" ht="15.75" customHeight="1">
      <c r="M103" s="43"/>
      <c r="N103" s="43"/>
      <c r="O103" s="43"/>
      <c r="P103" s="43"/>
      <c r="Q103" s="43"/>
      <c r="R103" s="43"/>
    </row>
    <row r="104" ht="15.75" customHeight="1">
      <c r="M104" s="43"/>
      <c r="N104" s="43"/>
      <c r="O104" s="43"/>
      <c r="P104" s="43"/>
      <c r="Q104" s="43"/>
      <c r="R104" s="43"/>
    </row>
    <row r="105" ht="15.75" customHeight="1">
      <c r="M105" s="43"/>
      <c r="N105" s="43"/>
      <c r="O105" s="43"/>
      <c r="P105" s="43"/>
      <c r="Q105" s="43"/>
      <c r="R105" s="43"/>
    </row>
    <row r="106" ht="15.75" customHeight="1">
      <c r="M106" s="43"/>
      <c r="N106" s="43"/>
      <c r="O106" s="43"/>
      <c r="P106" s="43"/>
      <c r="Q106" s="43"/>
      <c r="R106" s="43"/>
    </row>
    <row r="107" ht="15.75" customHeight="1">
      <c r="M107" s="43"/>
      <c r="N107" s="43"/>
      <c r="O107" s="43"/>
      <c r="P107" s="43"/>
      <c r="Q107" s="43"/>
      <c r="R107" s="43"/>
    </row>
    <row r="108" ht="15.75" customHeight="1">
      <c r="M108" s="43"/>
      <c r="N108" s="43"/>
      <c r="O108" s="43"/>
      <c r="P108" s="43"/>
      <c r="Q108" s="43"/>
      <c r="R108" s="43"/>
    </row>
    <row r="109" ht="15.75" customHeight="1">
      <c r="M109" s="43"/>
      <c r="N109" s="43"/>
      <c r="O109" s="43"/>
      <c r="P109" s="43"/>
      <c r="Q109" s="43"/>
      <c r="R109" s="43"/>
    </row>
    <row r="110" ht="15.75" customHeight="1">
      <c r="M110" s="43"/>
      <c r="N110" s="43"/>
      <c r="O110" s="43"/>
      <c r="P110" s="43"/>
      <c r="Q110" s="43"/>
      <c r="R110" s="43"/>
    </row>
    <row r="111" ht="15.75" customHeight="1">
      <c r="M111" s="43"/>
      <c r="N111" s="43"/>
      <c r="O111" s="43"/>
      <c r="P111" s="43"/>
      <c r="Q111" s="43"/>
      <c r="R111" s="43"/>
    </row>
    <row r="112" ht="15.75" customHeight="1">
      <c r="M112" s="43"/>
      <c r="N112" s="43"/>
      <c r="O112" s="43"/>
      <c r="P112" s="43"/>
      <c r="Q112" s="43"/>
      <c r="R112" s="43"/>
    </row>
    <row r="113" ht="15.75" customHeight="1">
      <c r="M113" s="43"/>
      <c r="N113" s="43"/>
      <c r="O113" s="43"/>
      <c r="P113" s="43"/>
      <c r="Q113" s="43"/>
      <c r="R113" s="43"/>
    </row>
    <row r="114" ht="15.75" customHeight="1">
      <c r="M114" s="43"/>
      <c r="N114" s="43"/>
      <c r="O114" s="43"/>
      <c r="P114" s="43"/>
      <c r="Q114" s="43"/>
      <c r="R114" s="43"/>
    </row>
    <row r="115" ht="15.75" customHeight="1">
      <c r="M115" s="43"/>
      <c r="N115" s="43"/>
      <c r="O115" s="43"/>
      <c r="P115" s="43"/>
      <c r="Q115" s="43"/>
      <c r="R115" s="43"/>
    </row>
    <row r="116" ht="15.75" customHeight="1">
      <c r="M116" s="43"/>
      <c r="N116" s="43"/>
      <c r="O116" s="43"/>
      <c r="P116" s="43"/>
      <c r="Q116" s="43"/>
      <c r="R116" s="43"/>
    </row>
    <row r="117" ht="15.75" customHeight="1">
      <c r="M117" s="43"/>
      <c r="N117" s="43"/>
      <c r="O117" s="43"/>
      <c r="P117" s="43"/>
      <c r="Q117" s="43"/>
      <c r="R117" s="43"/>
    </row>
    <row r="118" ht="15.75" customHeight="1">
      <c r="M118" s="43"/>
      <c r="N118" s="43"/>
      <c r="O118" s="43"/>
      <c r="P118" s="43"/>
      <c r="Q118" s="43"/>
      <c r="R118" s="43"/>
    </row>
    <row r="119" ht="15.75" customHeight="1">
      <c r="M119" s="43"/>
      <c r="N119" s="43"/>
      <c r="O119" s="43"/>
      <c r="P119" s="43"/>
      <c r="Q119" s="43"/>
      <c r="R119" s="43"/>
    </row>
    <row r="120" ht="15.75" customHeight="1">
      <c r="M120" s="43"/>
      <c r="N120" s="43"/>
      <c r="O120" s="43"/>
      <c r="P120" s="43"/>
      <c r="Q120" s="43"/>
      <c r="R120" s="43"/>
    </row>
    <row r="121" ht="15.75" customHeight="1">
      <c r="M121" s="43"/>
      <c r="N121" s="43"/>
      <c r="O121" s="43"/>
      <c r="P121" s="43"/>
      <c r="Q121" s="43"/>
      <c r="R121" s="43"/>
    </row>
    <row r="122" ht="15.75" customHeight="1">
      <c r="M122" s="43"/>
      <c r="N122" s="43"/>
      <c r="O122" s="43"/>
      <c r="P122" s="43"/>
      <c r="Q122" s="43"/>
      <c r="R122" s="43"/>
    </row>
    <row r="123" ht="15.75" customHeight="1">
      <c r="M123" s="43"/>
      <c r="N123" s="43"/>
      <c r="O123" s="43"/>
      <c r="P123" s="43"/>
      <c r="Q123" s="43"/>
      <c r="R123" s="43"/>
    </row>
    <row r="124" ht="15.75" customHeight="1">
      <c r="M124" s="43"/>
      <c r="N124" s="43"/>
      <c r="O124" s="43"/>
      <c r="P124" s="43"/>
      <c r="Q124" s="43"/>
      <c r="R124" s="43"/>
    </row>
    <row r="125" ht="15.75" customHeight="1">
      <c r="M125" s="43"/>
      <c r="N125" s="43"/>
      <c r="O125" s="43"/>
      <c r="P125" s="43"/>
      <c r="Q125" s="43"/>
      <c r="R125" s="43"/>
    </row>
    <row r="126" ht="15.75" customHeight="1">
      <c r="M126" s="43"/>
      <c r="N126" s="43"/>
      <c r="O126" s="43"/>
      <c r="P126" s="43"/>
      <c r="Q126" s="43"/>
      <c r="R126" s="43"/>
    </row>
    <row r="127" ht="15.75" customHeight="1">
      <c r="M127" s="43"/>
      <c r="N127" s="43"/>
      <c r="O127" s="43"/>
      <c r="P127" s="43"/>
      <c r="Q127" s="43"/>
      <c r="R127" s="43"/>
    </row>
    <row r="128" ht="15.75" customHeight="1">
      <c r="M128" s="43"/>
      <c r="N128" s="43"/>
      <c r="O128" s="43"/>
      <c r="P128" s="43"/>
      <c r="Q128" s="43"/>
      <c r="R128" s="43"/>
    </row>
    <row r="129" ht="15.75" customHeight="1">
      <c r="M129" s="43"/>
      <c r="N129" s="43"/>
      <c r="O129" s="43"/>
      <c r="P129" s="43"/>
      <c r="Q129" s="43"/>
      <c r="R129" s="43"/>
    </row>
    <row r="130" ht="15.75" customHeight="1">
      <c r="M130" s="43"/>
      <c r="N130" s="43"/>
      <c r="O130" s="43"/>
      <c r="P130" s="43"/>
      <c r="Q130" s="43"/>
      <c r="R130" s="43"/>
    </row>
    <row r="131" ht="15.75" customHeight="1">
      <c r="M131" s="43"/>
      <c r="N131" s="43"/>
      <c r="O131" s="43"/>
      <c r="P131" s="43"/>
      <c r="Q131" s="43"/>
      <c r="R131" s="43"/>
    </row>
    <row r="132" ht="15.75" customHeight="1">
      <c r="M132" s="43"/>
      <c r="N132" s="43"/>
      <c r="O132" s="43"/>
      <c r="P132" s="43"/>
      <c r="Q132" s="43"/>
      <c r="R132" s="43"/>
    </row>
    <row r="133" ht="15.75" customHeight="1">
      <c r="M133" s="43"/>
      <c r="N133" s="43"/>
      <c r="O133" s="43"/>
      <c r="P133" s="43"/>
      <c r="Q133" s="43"/>
      <c r="R133" s="43"/>
    </row>
    <row r="134" ht="15.75" customHeight="1">
      <c r="M134" s="43"/>
      <c r="N134" s="43"/>
      <c r="O134" s="43"/>
      <c r="P134" s="43"/>
      <c r="Q134" s="43"/>
      <c r="R134" s="43"/>
    </row>
    <row r="135" ht="15.75" customHeight="1">
      <c r="M135" s="43"/>
      <c r="N135" s="43"/>
      <c r="O135" s="43"/>
      <c r="P135" s="43"/>
      <c r="Q135" s="43"/>
      <c r="R135" s="43"/>
    </row>
    <row r="136" ht="15.75" customHeight="1">
      <c r="M136" s="43"/>
      <c r="N136" s="43"/>
      <c r="O136" s="43"/>
      <c r="P136" s="43"/>
      <c r="Q136" s="43"/>
      <c r="R136" s="43"/>
    </row>
    <row r="137" ht="15.75" customHeight="1">
      <c r="M137" s="43"/>
      <c r="N137" s="43"/>
      <c r="O137" s="43"/>
      <c r="P137" s="43"/>
      <c r="Q137" s="43"/>
      <c r="R137" s="43"/>
    </row>
    <row r="138" ht="15.75" customHeight="1">
      <c r="M138" s="43"/>
      <c r="N138" s="43"/>
      <c r="O138" s="43"/>
      <c r="P138" s="43"/>
      <c r="Q138" s="43"/>
      <c r="R138" s="43"/>
    </row>
    <row r="139" ht="15.75" customHeight="1">
      <c r="M139" s="43"/>
      <c r="N139" s="43"/>
      <c r="O139" s="43"/>
      <c r="P139" s="43"/>
      <c r="Q139" s="43"/>
      <c r="R139" s="43"/>
    </row>
    <row r="140" ht="15.75" customHeight="1">
      <c r="M140" s="43"/>
      <c r="N140" s="43"/>
      <c r="O140" s="43"/>
      <c r="P140" s="43"/>
      <c r="Q140" s="43"/>
      <c r="R140" s="43"/>
    </row>
    <row r="141" ht="15.75" customHeight="1">
      <c r="M141" s="43"/>
      <c r="N141" s="43"/>
      <c r="O141" s="43"/>
      <c r="P141" s="43"/>
      <c r="Q141" s="43"/>
      <c r="R141" s="43"/>
    </row>
    <row r="142" ht="15.75" customHeight="1">
      <c r="M142" s="43"/>
      <c r="N142" s="43"/>
      <c r="O142" s="43"/>
      <c r="P142" s="43"/>
      <c r="Q142" s="43"/>
      <c r="R142" s="43"/>
    </row>
    <row r="143" ht="15.75" customHeight="1">
      <c r="M143" s="43"/>
      <c r="N143" s="43"/>
      <c r="O143" s="43"/>
      <c r="P143" s="43"/>
      <c r="Q143" s="43"/>
      <c r="R143" s="43"/>
    </row>
    <row r="144" ht="15.75" customHeight="1">
      <c r="M144" s="43"/>
      <c r="N144" s="43"/>
      <c r="O144" s="43"/>
      <c r="P144" s="43"/>
      <c r="Q144" s="43"/>
      <c r="R144" s="43"/>
    </row>
    <row r="145" ht="15.75" customHeight="1">
      <c r="M145" s="43"/>
      <c r="N145" s="43"/>
      <c r="O145" s="43"/>
      <c r="P145" s="43"/>
      <c r="Q145" s="43"/>
      <c r="R145" s="43"/>
    </row>
    <row r="146" ht="15.75" customHeight="1">
      <c r="M146" s="43"/>
      <c r="N146" s="43"/>
      <c r="O146" s="43"/>
      <c r="P146" s="43"/>
      <c r="Q146" s="43"/>
      <c r="R146" s="43"/>
    </row>
    <row r="147" ht="15.75" customHeight="1">
      <c r="M147" s="43"/>
      <c r="N147" s="43"/>
      <c r="O147" s="43"/>
      <c r="P147" s="43"/>
      <c r="Q147" s="43"/>
      <c r="R147" s="43"/>
    </row>
    <row r="148" ht="15.75" customHeight="1">
      <c r="M148" s="43"/>
      <c r="N148" s="43"/>
      <c r="O148" s="43"/>
      <c r="P148" s="43"/>
      <c r="Q148" s="43"/>
      <c r="R148" s="43"/>
    </row>
    <row r="149" ht="15.75" customHeight="1">
      <c r="M149" s="43"/>
      <c r="N149" s="43"/>
      <c r="O149" s="43"/>
      <c r="P149" s="43"/>
      <c r="Q149" s="43"/>
      <c r="R149" s="43"/>
    </row>
    <row r="150" ht="15.75" customHeight="1">
      <c r="M150" s="43"/>
      <c r="N150" s="43"/>
      <c r="O150" s="43"/>
      <c r="P150" s="43"/>
      <c r="Q150" s="43"/>
      <c r="R150" s="43"/>
    </row>
    <row r="151" ht="15.75" customHeight="1">
      <c r="M151" s="43"/>
      <c r="N151" s="43"/>
      <c r="O151" s="43"/>
      <c r="P151" s="43"/>
      <c r="Q151" s="43"/>
      <c r="R151" s="43"/>
    </row>
    <row r="152" ht="15.75" customHeight="1">
      <c r="M152" s="43"/>
      <c r="N152" s="43"/>
      <c r="O152" s="43"/>
      <c r="P152" s="43"/>
      <c r="Q152" s="43"/>
      <c r="R152" s="43"/>
    </row>
    <row r="153" ht="15.75" customHeight="1">
      <c r="M153" s="43"/>
      <c r="N153" s="43"/>
      <c r="O153" s="43"/>
      <c r="P153" s="43"/>
      <c r="Q153" s="43"/>
      <c r="R153" s="43"/>
    </row>
    <row r="154" ht="15.75" customHeight="1">
      <c r="M154" s="43"/>
      <c r="N154" s="43"/>
      <c r="O154" s="43"/>
      <c r="P154" s="43"/>
      <c r="Q154" s="43"/>
      <c r="R154" s="43"/>
    </row>
    <row r="155" ht="15.75" customHeight="1">
      <c r="M155" s="43"/>
      <c r="N155" s="43"/>
      <c r="O155" s="43"/>
      <c r="P155" s="43"/>
      <c r="Q155" s="43"/>
      <c r="R155" s="43"/>
    </row>
    <row r="156" ht="15.75" customHeight="1">
      <c r="M156" s="43"/>
      <c r="N156" s="43"/>
      <c r="O156" s="43"/>
      <c r="P156" s="43"/>
      <c r="Q156" s="43"/>
      <c r="R156" s="43"/>
    </row>
    <row r="157" ht="15.75" customHeight="1">
      <c r="M157" s="43"/>
      <c r="N157" s="43"/>
      <c r="O157" s="43"/>
      <c r="P157" s="43"/>
      <c r="Q157" s="43"/>
      <c r="R157" s="43"/>
    </row>
    <row r="158" ht="15.75" customHeight="1">
      <c r="M158" s="43"/>
      <c r="N158" s="43"/>
      <c r="O158" s="43"/>
      <c r="P158" s="43"/>
      <c r="Q158" s="43"/>
      <c r="R158" s="43"/>
    </row>
    <row r="159" ht="15.75" customHeight="1">
      <c r="M159" s="43"/>
      <c r="N159" s="43"/>
      <c r="O159" s="43"/>
      <c r="P159" s="43"/>
      <c r="Q159" s="43"/>
      <c r="R159" s="43"/>
    </row>
    <row r="160" ht="15.75" customHeight="1">
      <c r="M160" s="43"/>
      <c r="N160" s="43"/>
      <c r="O160" s="43"/>
      <c r="P160" s="43"/>
      <c r="Q160" s="43"/>
      <c r="R160" s="43"/>
    </row>
    <row r="161" ht="15.75" customHeight="1">
      <c r="M161" s="43"/>
      <c r="N161" s="43"/>
      <c r="O161" s="43"/>
      <c r="P161" s="43"/>
      <c r="Q161" s="43"/>
      <c r="R161" s="43"/>
    </row>
    <row r="162" ht="15.75" customHeight="1">
      <c r="M162" s="43"/>
      <c r="N162" s="43"/>
      <c r="O162" s="43"/>
      <c r="P162" s="43"/>
      <c r="Q162" s="43"/>
      <c r="R162" s="43"/>
    </row>
    <row r="163" ht="15.75" customHeight="1">
      <c r="M163" s="43"/>
      <c r="N163" s="43"/>
      <c r="O163" s="43"/>
      <c r="P163" s="43"/>
      <c r="Q163" s="43"/>
      <c r="R163" s="43"/>
    </row>
    <row r="164" ht="15.75" customHeight="1">
      <c r="M164" s="43"/>
      <c r="N164" s="43"/>
      <c r="O164" s="43"/>
      <c r="P164" s="43"/>
      <c r="Q164" s="43"/>
      <c r="R164" s="43"/>
    </row>
    <row r="165" ht="15.75" customHeight="1">
      <c r="M165" s="43"/>
      <c r="N165" s="43"/>
      <c r="O165" s="43"/>
      <c r="P165" s="43"/>
      <c r="Q165" s="43"/>
      <c r="R165" s="43"/>
    </row>
    <row r="166" ht="15.75" customHeight="1">
      <c r="M166" s="43"/>
      <c r="N166" s="43"/>
      <c r="O166" s="43"/>
      <c r="P166" s="43"/>
      <c r="Q166" s="43"/>
      <c r="R166" s="43"/>
    </row>
    <row r="167" ht="15.75" customHeight="1">
      <c r="M167" s="43"/>
      <c r="N167" s="43"/>
      <c r="O167" s="43"/>
      <c r="P167" s="43"/>
      <c r="Q167" s="43"/>
      <c r="R167" s="43"/>
    </row>
    <row r="168" ht="15.75" customHeight="1">
      <c r="M168" s="43"/>
      <c r="N168" s="43"/>
      <c r="O168" s="43"/>
      <c r="P168" s="43"/>
      <c r="Q168" s="43"/>
      <c r="R168" s="43"/>
    </row>
    <row r="169" ht="15.75" customHeight="1">
      <c r="M169" s="43"/>
      <c r="N169" s="43"/>
      <c r="O169" s="43"/>
      <c r="P169" s="43"/>
      <c r="Q169" s="43"/>
      <c r="R169" s="43"/>
    </row>
    <row r="170" ht="15.75" customHeight="1">
      <c r="M170" s="43"/>
      <c r="N170" s="43"/>
      <c r="O170" s="43"/>
      <c r="P170" s="43"/>
      <c r="Q170" s="43"/>
      <c r="R170" s="43"/>
    </row>
    <row r="171" ht="15.75" customHeight="1">
      <c r="M171" s="43"/>
      <c r="N171" s="43"/>
      <c r="O171" s="43"/>
      <c r="P171" s="43"/>
      <c r="Q171" s="43"/>
      <c r="R171" s="43"/>
    </row>
    <row r="172" ht="15.75" customHeight="1">
      <c r="M172" s="43"/>
      <c r="N172" s="43"/>
      <c r="O172" s="43"/>
      <c r="P172" s="43"/>
      <c r="Q172" s="43"/>
      <c r="R172" s="43"/>
    </row>
    <row r="173" ht="15.75" customHeight="1">
      <c r="M173" s="43"/>
      <c r="N173" s="43"/>
      <c r="O173" s="43"/>
      <c r="P173" s="43"/>
      <c r="Q173" s="43"/>
      <c r="R173" s="43"/>
    </row>
    <row r="174" ht="15.75" customHeight="1">
      <c r="M174" s="43"/>
      <c r="N174" s="43"/>
      <c r="O174" s="43"/>
      <c r="P174" s="43"/>
      <c r="Q174" s="43"/>
      <c r="R174" s="43"/>
    </row>
    <row r="175" ht="15.75" customHeight="1">
      <c r="M175" s="43"/>
      <c r="N175" s="43"/>
      <c r="O175" s="43"/>
      <c r="P175" s="43"/>
      <c r="Q175" s="43"/>
      <c r="R175" s="43"/>
    </row>
    <row r="176" ht="15.75" customHeight="1">
      <c r="M176" s="43"/>
      <c r="N176" s="43"/>
      <c r="O176" s="43"/>
      <c r="P176" s="43"/>
      <c r="Q176" s="43"/>
      <c r="R176" s="43"/>
    </row>
    <row r="177" ht="15.75" customHeight="1">
      <c r="M177" s="43"/>
      <c r="N177" s="43"/>
      <c r="O177" s="43"/>
      <c r="P177" s="43"/>
      <c r="Q177" s="43"/>
      <c r="R177" s="43"/>
    </row>
    <row r="178" ht="15.75" customHeight="1">
      <c r="M178" s="43"/>
      <c r="N178" s="43"/>
      <c r="O178" s="43"/>
      <c r="P178" s="43"/>
      <c r="Q178" s="43"/>
      <c r="R178" s="43"/>
    </row>
    <row r="179" ht="15.75" customHeight="1">
      <c r="M179" s="43"/>
      <c r="N179" s="43"/>
      <c r="O179" s="43"/>
      <c r="P179" s="43"/>
      <c r="Q179" s="43"/>
      <c r="R179" s="43"/>
    </row>
    <row r="180" ht="15.75" customHeight="1">
      <c r="M180" s="43"/>
      <c r="N180" s="43"/>
      <c r="O180" s="43"/>
      <c r="P180" s="43"/>
      <c r="Q180" s="43"/>
      <c r="R180" s="43"/>
    </row>
    <row r="181" ht="15.75" customHeight="1">
      <c r="M181" s="43"/>
      <c r="N181" s="43"/>
      <c r="O181" s="43"/>
      <c r="P181" s="43"/>
      <c r="Q181" s="43"/>
      <c r="R181" s="43"/>
    </row>
    <row r="182" ht="15.75" customHeight="1">
      <c r="M182" s="43"/>
      <c r="N182" s="43"/>
      <c r="O182" s="43"/>
      <c r="P182" s="43"/>
      <c r="Q182" s="43"/>
      <c r="R182" s="43"/>
    </row>
    <row r="183" ht="15.75" customHeight="1">
      <c r="M183" s="43"/>
      <c r="N183" s="43"/>
      <c r="O183" s="43"/>
      <c r="P183" s="43"/>
      <c r="Q183" s="43"/>
      <c r="R183" s="43"/>
    </row>
    <row r="184" ht="15.75" customHeight="1">
      <c r="M184" s="43"/>
      <c r="N184" s="43"/>
      <c r="O184" s="43"/>
      <c r="P184" s="43"/>
      <c r="Q184" s="43"/>
      <c r="R184" s="43"/>
    </row>
    <row r="185" ht="15.75" customHeight="1">
      <c r="M185" s="43"/>
      <c r="N185" s="43"/>
      <c r="O185" s="43"/>
      <c r="P185" s="43"/>
      <c r="Q185" s="43"/>
      <c r="R185" s="43"/>
    </row>
    <row r="186" ht="15.75" customHeight="1">
      <c r="M186" s="43"/>
      <c r="N186" s="43"/>
      <c r="O186" s="43"/>
      <c r="P186" s="43"/>
      <c r="Q186" s="43"/>
      <c r="R186" s="43"/>
    </row>
    <row r="187" ht="15.75" customHeight="1">
      <c r="M187" s="43"/>
      <c r="N187" s="43"/>
      <c r="O187" s="43"/>
      <c r="P187" s="43"/>
      <c r="Q187" s="43"/>
      <c r="R187" s="43"/>
    </row>
    <row r="188" ht="15.75" customHeight="1">
      <c r="M188" s="43"/>
      <c r="N188" s="43"/>
      <c r="O188" s="43"/>
      <c r="P188" s="43"/>
      <c r="Q188" s="43"/>
      <c r="R188" s="43"/>
    </row>
    <row r="189" ht="15.75" customHeight="1">
      <c r="M189" s="43"/>
      <c r="N189" s="43"/>
      <c r="O189" s="43"/>
      <c r="P189" s="43"/>
      <c r="Q189" s="43"/>
      <c r="R189" s="43"/>
    </row>
    <row r="190" ht="15.75" customHeight="1">
      <c r="M190" s="43"/>
      <c r="N190" s="43"/>
      <c r="O190" s="43"/>
      <c r="P190" s="43"/>
      <c r="Q190" s="43"/>
      <c r="R190" s="43"/>
    </row>
    <row r="191" ht="15.75" customHeight="1">
      <c r="M191" s="43"/>
      <c r="N191" s="43"/>
      <c r="O191" s="43"/>
      <c r="P191" s="43"/>
      <c r="Q191" s="43"/>
      <c r="R191" s="43"/>
    </row>
    <row r="192" ht="15.75" customHeight="1">
      <c r="M192" s="43"/>
      <c r="N192" s="43"/>
      <c r="O192" s="43"/>
      <c r="P192" s="43"/>
      <c r="Q192" s="43"/>
      <c r="R192" s="43"/>
    </row>
    <row r="193" ht="15.75" customHeight="1">
      <c r="M193" s="43"/>
      <c r="N193" s="43"/>
      <c r="O193" s="43"/>
      <c r="P193" s="43"/>
      <c r="Q193" s="43"/>
      <c r="R193" s="43"/>
    </row>
    <row r="194" ht="15.75" customHeight="1">
      <c r="M194" s="43"/>
      <c r="N194" s="43"/>
      <c r="O194" s="43"/>
      <c r="P194" s="43"/>
      <c r="Q194" s="43"/>
      <c r="R194" s="43"/>
    </row>
    <row r="195" ht="15.75" customHeight="1">
      <c r="M195" s="43"/>
      <c r="N195" s="43"/>
      <c r="O195" s="43"/>
      <c r="P195" s="43"/>
      <c r="Q195" s="43"/>
      <c r="R195" s="43"/>
    </row>
    <row r="196" ht="15.75" customHeight="1">
      <c r="M196" s="43"/>
      <c r="N196" s="43"/>
      <c r="O196" s="43"/>
      <c r="P196" s="43"/>
      <c r="Q196" s="43"/>
      <c r="R196" s="43"/>
    </row>
    <row r="197" ht="15.75" customHeight="1">
      <c r="M197" s="43"/>
      <c r="N197" s="43"/>
      <c r="O197" s="43"/>
      <c r="P197" s="43"/>
      <c r="Q197" s="43"/>
      <c r="R197" s="43"/>
    </row>
    <row r="198" ht="15.75" customHeight="1">
      <c r="M198" s="43"/>
      <c r="N198" s="43"/>
      <c r="O198" s="43"/>
      <c r="P198" s="43"/>
      <c r="Q198" s="43"/>
      <c r="R198" s="43"/>
    </row>
    <row r="199" ht="15.75" customHeight="1">
      <c r="M199" s="43"/>
      <c r="N199" s="43"/>
      <c r="O199" s="43"/>
      <c r="P199" s="43"/>
      <c r="Q199" s="43"/>
      <c r="R199" s="43"/>
    </row>
    <row r="200" ht="15.75" customHeight="1">
      <c r="M200" s="43"/>
      <c r="N200" s="43"/>
      <c r="O200" s="43"/>
      <c r="P200" s="43"/>
      <c r="Q200" s="43"/>
      <c r="R200" s="43"/>
    </row>
    <row r="201" ht="15.75" customHeight="1">
      <c r="M201" s="43"/>
      <c r="N201" s="43"/>
      <c r="O201" s="43"/>
      <c r="P201" s="43"/>
      <c r="Q201" s="43"/>
      <c r="R201" s="43"/>
    </row>
    <row r="202" ht="15.75" customHeight="1">
      <c r="M202" s="43"/>
      <c r="N202" s="43"/>
      <c r="O202" s="43"/>
      <c r="P202" s="43"/>
      <c r="Q202" s="43"/>
      <c r="R202" s="43"/>
    </row>
    <row r="203" ht="15.75" customHeight="1">
      <c r="M203" s="43"/>
      <c r="N203" s="43"/>
      <c r="O203" s="43"/>
      <c r="P203" s="43"/>
      <c r="Q203" s="43"/>
      <c r="R203" s="43"/>
    </row>
    <row r="204" ht="15.75" customHeight="1">
      <c r="M204" s="43"/>
      <c r="N204" s="43"/>
      <c r="O204" s="43"/>
      <c r="P204" s="43"/>
      <c r="Q204" s="43"/>
      <c r="R204" s="43"/>
    </row>
    <row r="205" ht="15.75" customHeight="1">
      <c r="M205" s="43"/>
      <c r="N205" s="43"/>
      <c r="O205" s="43"/>
      <c r="P205" s="43"/>
      <c r="Q205" s="43"/>
      <c r="R205" s="43"/>
    </row>
    <row r="206" ht="15.75" customHeight="1">
      <c r="M206" s="43"/>
      <c r="N206" s="43"/>
      <c r="O206" s="43"/>
      <c r="P206" s="43"/>
      <c r="Q206" s="43"/>
      <c r="R206" s="43"/>
    </row>
    <row r="207" ht="15.75" customHeight="1">
      <c r="M207" s="43"/>
      <c r="N207" s="43"/>
      <c r="O207" s="43"/>
      <c r="P207" s="43"/>
      <c r="Q207" s="43"/>
      <c r="R207" s="43"/>
    </row>
    <row r="208" ht="15.75" customHeight="1">
      <c r="M208" s="43"/>
      <c r="N208" s="43"/>
      <c r="O208" s="43"/>
      <c r="P208" s="43"/>
      <c r="Q208" s="43"/>
      <c r="R208" s="43"/>
    </row>
    <row r="209" ht="15.75" customHeight="1">
      <c r="M209" s="43"/>
      <c r="N209" s="43"/>
      <c r="O209" s="43"/>
      <c r="P209" s="43"/>
      <c r="Q209" s="43"/>
      <c r="R209" s="43"/>
    </row>
    <row r="210" ht="15.75" customHeight="1">
      <c r="M210" s="43"/>
      <c r="N210" s="43"/>
      <c r="O210" s="43"/>
      <c r="P210" s="43"/>
      <c r="Q210" s="43"/>
      <c r="R210" s="43"/>
    </row>
    <row r="211" ht="15.75" customHeight="1">
      <c r="M211" s="43"/>
      <c r="N211" s="43"/>
      <c r="O211" s="43"/>
      <c r="P211" s="43"/>
      <c r="Q211" s="43"/>
      <c r="R211" s="43"/>
    </row>
    <row r="212" ht="15.75" customHeight="1">
      <c r="M212" s="43"/>
      <c r="N212" s="43"/>
      <c r="O212" s="43"/>
      <c r="P212" s="43"/>
      <c r="Q212" s="43"/>
      <c r="R212" s="43"/>
    </row>
    <row r="213" ht="15.75" customHeight="1">
      <c r="M213" s="43"/>
      <c r="N213" s="43"/>
      <c r="O213" s="43"/>
      <c r="P213" s="43"/>
      <c r="Q213" s="43"/>
      <c r="R213" s="43"/>
    </row>
    <row r="214" ht="15.75" customHeight="1">
      <c r="M214" s="43"/>
      <c r="N214" s="43"/>
      <c r="O214" s="43"/>
      <c r="P214" s="43"/>
      <c r="Q214" s="43"/>
      <c r="R214" s="43"/>
    </row>
    <row r="215" ht="15.75" customHeight="1">
      <c r="M215" s="43"/>
      <c r="N215" s="43"/>
      <c r="O215" s="43"/>
      <c r="P215" s="43"/>
      <c r="Q215" s="43"/>
      <c r="R215" s="43"/>
    </row>
    <row r="216" ht="15.75" customHeight="1">
      <c r="M216" s="43"/>
      <c r="N216" s="43"/>
      <c r="O216" s="43"/>
      <c r="P216" s="43"/>
      <c r="Q216" s="43"/>
      <c r="R216" s="43"/>
    </row>
    <row r="217" ht="15.75" customHeight="1">
      <c r="M217" s="43"/>
      <c r="N217" s="43"/>
      <c r="O217" s="43"/>
      <c r="P217" s="43"/>
      <c r="Q217" s="43"/>
      <c r="R217" s="43"/>
    </row>
    <row r="218" ht="15.75" customHeight="1">
      <c r="M218" s="43"/>
      <c r="N218" s="43"/>
      <c r="O218" s="43"/>
      <c r="P218" s="43"/>
      <c r="Q218" s="43"/>
      <c r="R218" s="43"/>
    </row>
    <row r="219" ht="15.75" customHeight="1">
      <c r="M219" s="43"/>
      <c r="N219" s="43"/>
      <c r="O219" s="43"/>
      <c r="P219" s="43"/>
      <c r="Q219" s="43"/>
      <c r="R219" s="43"/>
    </row>
    <row r="220" ht="15.75" customHeight="1">
      <c r="M220" s="43"/>
      <c r="N220" s="43"/>
      <c r="O220" s="43"/>
      <c r="P220" s="43"/>
      <c r="Q220" s="43"/>
      <c r="R220" s="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7"/>
  <dataValidations>
    <dataValidation type="list" allowBlank="1" showErrorMessage="1" sqref="G2:G17">
      <formula1>Condición</formula1>
    </dataValidation>
    <dataValidation type="list" allowBlank="1" showErrorMessage="1" sqref="H2:H17">
      <formula1>Cargadores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showGridLines="0" workbookViewId="0"/>
  </sheetViews>
  <sheetFormatPr customHeight="1" defaultColWidth="14.43" defaultRowHeight="15.0"/>
  <cols>
    <col customWidth="1" min="1" max="1" width="8.43"/>
    <col customWidth="1" min="2" max="2" width="11.43"/>
    <col customWidth="1" min="3" max="3" width="17.86"/>
    <col customWidth="1" min="4" max="4" width="11.43"/>
    <col customWidth="1" min="5" max="5" width="9.0"/>
    <col customWidth="1" min="6" max="6" width="11.43"/>
    <col customWidth="1" min="7" max="7" width="8.57"/>
    <col customWidth="1" min="8" max="8" width="11.43"/>
    <col customWidth="1" min="9" max="9" width="9.43"/>
    <col customWidth="1" min="10" max="10" width="11.43"/>
    <col customWidth="1" min="11" max="11" width="5.71"/>
    <col customWidth="1" min="12" max="12" width="12.43"/>
    <col customWidth="1" min="13" max="13" width="13.71"/>
    <col customWidth="1" min="14" max="14" width="11.43"/>
    <col customWidth="1" min="15" max="15" width="23.14"/>
    <col customWidth="1" min="16" max="16" width="9.71"/>
    <col customWidth="1" min="17" max="17" width="16.29"/>
    <col customWidth="1" min="18" max="18" width="11.43"/>
    <col customWidth="1" min="19" max="19" width="35.14"/>
    <col customWidth="1" min="20" max="20" width="11.43"/>
    <col customWidth="1" min="21" max="22" width="10.71"/>
    <col customWidth="1" min="23" max="23" width="32.0"/>
    <col customWidth="1" min="24" max="24" width="10.71"/>
    <col customWidth="1" min="25" max="25" width="30.86"/>
    <col customWidth="1" min="26" max="26" width="10.71"/>
    <col customWidth="1" min="27" max="27" width="12.43"/>
  </cols>
  <sheetData>
    <row r="1">
      <c r="A1" s="60" t="s">
        <v>166</v>
      </c>
      <c r="B1" s="61"/>
      <c r="C1" s="60" t="s">
        <v>162</v>
      </c>
      <c r="D1" s="62"/>
      <c r="E1" s="63" t="s">
        <v>391</v>
      </c>
      <c r="F1" s="62"/>
      <c r="G1" s="63" t="s">
        <v>392</v>
      </c>
      <c r="H1" s="62"/>
      <c r="I1" s="63" t="s">
        <v>1635</v>
      </c>
      <c r="J1" s="62"/>
      <c r="K1" s="64" t="s">
        <v>1636</v>
      </c>
      <c r="L1" s="65"/>
      <c r="M1" s="66"/>
      <c r="N1" s="62"/>
      <c r="O1" s="64" t="s">
        <v>1637</v>
      </c>
      <c r="P1" s="65"/>
      <c r="Q1" s="67"/>
      <c r="R1" s="62"/>
      <c r="S1" s="63" t="s">
        <v>1638</v>
      </c>
      <c r="T1" s="62"/>
      <c r="U1" s="1" t="s">
        <v>6</v>
      </c>
      <c r="W1" s="1" t="s">
        <v>7</v>
      </c>
      <c r="Y1" s="1" t="s">
        <v>9</v>
      </c>
      <c r="AA1" s="1" t="s">
        <v>1640</v>
      </c>
    </row>
    <row r="2">
      <c r="A2" s="68" t="s">
        <v>198</v>
      </c>
      <c r="B2" s="69"/>
      <c r="C2" s="68" t="s">
        <v>194</v>
      </c>
      <c r="D2" s="62"/>
      <c r="E2" s="70" t="s">
        <v>499</v>
      </c>
      <c r="F2" s="62"/>
      <c r="G2" s="70" t="s">
        <v>242</v>
      </c>
      <c r="H2" s="62"/>
      <c r="I2" s="70" t="s">
        <v>33</v>
      </c>
      <c r="J2" s="62"/>
      <c r="K2" s="71" t="s">
        <v>1635</v>
      </c>
      <c r="L2" s="72" t="s">
        <v>3</v>
      </c>
      <c r="M2" s="73" t="s">
        <v>1642</v>
      </c>
      <c r="N2" s="62"/>
      <c r="O2" s="74" t="s">
        <v>1643</v>
      </c>
      <c r="P2" s="75" t="s">
        <v>176</v>
      </c>
      <c r="Q2" s="76" t="s">
        <v>1644</v>
      </c>
      <c r="R2" s="62"/>
      <c r="S2" s="70" t="s">
        <v>918</v>
      </c>
      <c r="T2" s="62"/>
      <c r="U2" s="7" t="s">
        <v>43</v>
      </c>
      <c r="W2" s="7" t="s">
        <v>42</v>
      </c>
      <c r="Y2" s="7" t="s">
        <v>452</v>
      </c>
      <c r="AA2" s="7">
        <v>3.310431719E9</v>
      </c>
    </row>
    <row r="3">
      <c r="A3" s="70" t="s">
        <v>1645</v>
      </c>
      <c r="B3" s="69"/>
      <c r="C3" s="70" t="s">
        <v>788</v>
      </c>
      <c r="D3" s="62"/>
      <c r="E3" s="70" t="s">
        <v>454</v>
      </c>
      <c r="F3" s="62"/>
      <c r="G3" s="70" t="s">
        <v>455</v>
      </c>
      <c r="H3" s="62"/>
      <c r="I3" s="70" t="s">
        <v>1646</v>
      </c>
      <c r="J3" s="62"/>
      <c r="K3" s="77" t="s">
        <v>713</v>
      </c>
      <c r="L3" s="9">
        <v>229.0</v>
      </c>
      <c r="M3" s="78">
        <v>4.5</v>
      </c>
      <c r="N3" s="62"/>
      <c r="O3" s="7" t="s">
        <v>714</v>
      </c>
      <c r="P3" s="28">
        <v>19999.0</v>
      </c>
      <c r="Q3" s="9">
        <v>11250.0</v>
      </c>
      <c r="R3" s="62"/>
      <c r="S3" s="70" t="s">
        <v>1647</v>
      </c>
      <c r="T3" s="62"/>
      <c r="U3" s="7" t="s">
        <v>40</v>
      </c>
      <c r="W3" s="7" t="s">
        <v>75</v>
      </c>
      <c r="Y3" s="7" t="s">
        <v>331</v>
      </c>
      <c r="AA3" s="7">
        <v>3.312846765E9</v>
      </c>
    </row>
    <row r="4">
      <c r="A4" s="62"/>
      <c r="B4" s="62"/>
      <c r="C4" s="70" t="s">
        <v>456</v>
      </c>
      <c r="D4" s="62"/>
      <c r="E4" s="62"/>
      <c r="F4" s="62"/>
      <c r="G4" s="62"/>
      <c r="H4" s="62"/>
      <c r="I4" s="70" t="s">
        <v>35</v>
      </c>
      <c r="J4" s="62"/>
      <c r="K4" s="77">
        <v>1.0</v>
      </c>
      <c r="L4" s="9">
        <v>269.0</v>
      </c>
      <c r="M4" s="78">
        <v>9.0</v>
      </c>
      <c r="N4" s="62"/>
      <c r="O4" s="7" t="s">
        <v>1185</v>
      </c>
      <c r="P4" s="28">
        <v>28499.0</v>
      </c>
      <c r="Q4" s="28">
        <v>17500.079999999998</v>
      </c>
      <c r="R4" s="62"/>
      <c r="S4" s="70" t="s">
        <v>1096</v>
      </c>
      <c r="T4" s="62"/>
      <c r="U4" s="7" t="s">
        <v>22</v>
      </c>
      <c r="W4" s="7" t="s">
        <v>85</v>
      </c>
      <c r="Y4" s="7" t="s">
        <v>460</v>
      </c>
      <c r="AA4" s="7">
        <v>3.313254527E9</v>
      </c>
    </row>
    <row r="5">
      <c r="A5" s="62"/>
      <c r="B5" s="62"/>
      <c r="C5" s="70" t="s">
        <v>1296</v>
      </c>
      <c r="D5" s="62"/>
      <c r="E5" s="62"/>
      <c r="F5" s="62"/>
      <c r="G5" s="62"/>
      <c r="H5" s="62"/>
      <c r="I5" s="62"/>
      <c r="J5" s="62"/>
      <c r="K5" s="77">
        <v>2.0</v>
      </c>
      <c r="L5" s="9">
        <v>329.0</v>
      </c>
      <c r="M5" s="78">
        <v>7.5</v>
      </c>
      <c r="N5" s="62"/>
      <c r="O5" s="7" t="s">
        <v>1650</v>
      </c>
      <c r="P5" s="28">
        <v>30999.0</v>
      </c>
      <c r="Q5" s="9"/>
      <c r="R5" s="62"/>
      <c r="S5" s="70" t="s">
        <v>1651</v>
      </c>
      <c r="T5" s="62"/>
      <c r="U5" s="7" t="s">
        <v>168</v>
      </c>
      <c r="W5" s="7" t="s">
        <v>94</v>
      </c>
      <c r="Y5" s="7" t="s">
        <v>1652</v>
      </c>
      <c r="AA5" s="7">
        <v>3.313697838E9</v>
      </c>
    </row>
    <row r="6">
      <c r="A6" s="62"/>
      <c r="B6" s="62"/>
      <c r="C6" s="70" t="s">
        <v>1034</v>
      </c>
      <c r="D6" s="62"/>
      <c r="E6" s="62"/>
      <c r="F6" s="62"/>
      <c r="G6" s="62"/>
      <c r="H6" s="62"/>
      <c r="I6" s="62"/>
      <c r="J6" s="62"/>
      <c r="K6" s="77">
        <v>4.0</v>
      </c>
      <c r="L6" s="9">
        <v>599.0</v>
      </c>
      <c r="M6" s="78">
        <v>22.5</v>
      </c>
      <c r="N6" s="62"/>
      <c r="O6" s="7" t="s">
        <v>1653</v>
      </c>
      <c r="P6" s="28">
        <v>33499.0</v>
      </c>
      <c r="Q6" s="28">
        <v>15624.96</v>
      </c>
      <c r="R6" s="62"/>
      <c r="S6" s="70" t="s">
        <v>1654</v>
      </c>
      <c r="T6" s="62"/>
      <c r="U6" s="7" t="s">
        <v>21</v>
      </c>
      <c r="W6" s="7" t="s">
        <v>98</v>
      </c>
      <c r="Y6" s="7" t="s">
        <v>1655</v>
      </c>
      <c r="AA6" s="7">
        <v>3.315684816E9</v>
      </c>
    </row>
    <row r="7">
      <c r="A7" s="62"/>
      <c r="B7" s="62"/>
      <c r="C7" s="62"/>
      <c r="D7" s="62"/>
      <c r="E7" s="62"/>
      <c r="F7" s="62"/>
      <c r="G7" s="62"/>
      <c r="H7" s="62"/>
      <c r="I7" s="62"/>
      <c r="J7" s="62"/>
      <c r="K7" s="77">
        <v>5.0</v>
      </c>
      <c r="L7" s="9">
        <v>649.0</v>
      </c>
      <c r="M7" s="78">
        <v>45.0</v>
      </c>
      <c r="N7" s="62"/>
      <c r="O7" s="7" t="s">
        <v>413</v>
      </c>
      <c r="P7" s="28">
        <v>15499.0</v>
      </c>
      <c r="Q7" s="9">
        <v>6250.08</v>
      </c>
      <c r="R7" s="62"/>
      <c r="S7" s="70" t="s">
        <v>1656</v>
      </c>
      <c r="T7" s="62"/>
      <c r="U7" s="7" t="s">
        <v>284</v>
      </c>
      <c r="W7" s="79" t="s">
        <v>43</v>
      </c>
      <c r="Y7" s="7" t="s">
        <v>465</v>
      </c>
      <c r="AA7" s="7">
        <v>3.316091328E9</v>
      </c>
    </row>
    <row r="8">
      <c r="A8" s="62"/>
      <c r="B8" s="62"/>
      <c r="C8" s="62"/>
      <c r="D8" s="62"/>
      <c r="E8" s="62"/>
      <c r="F8" s="62"/>
      <c r="G8" s="62"/>
      <c r="H8" s="62"/>
      <c r="I8" s="62"/>
      <c r="J8" s="62"/>
      <c r="K8" s="80"/>
      <c r="L8" s="81"/>
      <c r="M8" s="80"/>
      <c r="N8" s="62"/>
      <c r="O8" s="7" t="s">
        <v>190</v>
      </c>
      <c r="P8" s="28">
        <v>7499.0</v>
      </c>
      <c r="Q8" s="9">
        <v>2749.92</v>
      </c>
      <c r="R8" s="62"/>
      <c r="S8" s="70" t="s">
        <v>196</v>
      </c>
      <c r="T8" s="62"/>
      <c r="U8" s="7" t="s">
        <v>853</v>
      </c>
      <c r="W8" s="24" t="s">
        <v>1657</v>
      </c>
      <c r="Y8" s="7" t="s">
        <v>482</v>
      </c>
      <c r="AA8" s="7">
        <v>3.316091879E9</v>
      </c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7" t="s">
        <v>294</v>
      </c>
      <c r="P9" s="28">
        <v>10999.0</v>
      </c>
      <c r="Q9" s="9">
        <v>5303.670280373832</v>
      </c>
      <c r="R9" s="5"/>
      <c r="S9" s="5"/>
      <c r="T9" s="5"/>
      <c r="W9" s="7" t="s">
        <v>254</v>
      </c>
      <c r="Y9" s="7" t="s">
        <v>44</v>
      </c>
      <c r="AA9" s="7">
        <v>3.316092672E9</v>
      </c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N10" s="5"/>
      <c r="O10" s="7" t="s">
        <v>1536</v>
      </c>
      <c r="P10" s="28">
        <v>29999.0</v>
      </c>
      <c r="Q10" s="9">
        <v>17500.079999999998</v>
      </c>
      <c r="R10" s="5"/>
      <c r="S10" s="5"/>
      <c r="T10" s="5"/>
      <c r="W10" s="7" t="s">
        <v>299</v>
      </c>
      <c r="Y10" s="7" t="s">
        <v>420</v>
      </c>
      <c r="AA10" s="7">
        <v>3.316092786E9</v>
      </c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N11" s="5"/>
      <c r="O11" s="43"/>
      <c r="P11" s="82"/>
      <c r="Q11" s="83"/>
      <c r="R11" s="5"/>
      <c r="S11" s="5"/>
      <c r="T11" s="5"/>
      <c r="W11" s="7" t="s">
        <v>45</v>
      </c>
      <c r="Y11" s="7" t="s">
        <v>67</v>
      </c>
      <c r="AA11" s="7">
        <v>3.31609388E9</v>
      </c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N12" s="5"/>
      <c r="R12" s="5"/>
      <c r="S12" s="5"/>
      <c r="T12" s="5"/>
      <c r="W12" s="7" t="s">
        <v>309</v>
      </c>
      <c r="Y12" s="7" t="s">
        <v>556</v>
      </c>
      <c r="AA12" s="7">
        <v>3.316094471E9</v>
      </c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N13" s="5"/>
      <c r="R13" s="5"/>
      <c r="S13" s="5"/>
      <c r="T13" s="5"/>
      <c r="W13" s="7" t="s">
        <v>319</v>
      </c>
      <c r="Y13" s="7" t="s">
        <v>287</v>
      </c>
      <c r="AA13" s="7">
        <v>3.316094916E9</v>
      </c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N14" s="5"/>
      <c r="R14" s="5"/>
      <c r="S14" s="5"/>
      <c r="T14" s="5"/>
      <c r="W14" s="7" t="s">
        <v>326</v>
      </c>
      <c r="Y14" s="7" t="s">
        <v>91</v>
      </c>
      <c r="AA14" s="7">
        <v>3.316096709E9</v>
      </c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R15" s="5"/>
      <c r="S15" s="5"/>
      <c r="T15" s="5"/>
      <c r="W15" s="7" t="s">
        <v>1549</v>
      </c>
      <c r="Y15" s="7" t="s">
        <v>47</v>
      </c>
      <c r="AA15" s="7">
        <v>3.316097179E9</v>
      </c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R16" s="5"/>
      <c r="S16" s="5"/>
      <c r="T16" s="5"/>
      <c r="W16" s="7" t="s">
        <v>227</v>
      </c>
      <c r="Y16" s="7" t="s">
        <v>423</v>
      </c>
      <c r="AA16" s="7">
        <v>3.316097328E9</v>
      </c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R17" s="5"/>
      <c r="S17" s="5"/>
      <c r="T17" s="5"/>
      <c r="W17" s="7" t="s">
        <v>378</v>
      </c>
      <c r="Y17" s="7" t="s">
        <v>300</v>
      </c>
      <c r="AA17" s="7">
        <v>3.316097918E9</v>
      </c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R18" s="5"/>
      <c r="S18" s="5"/>
      <c r="T18" s="5"/>
      <c r="W18" s="7" t="s">
        <v>271</v>
      </c>
      <c r="Y18" s="7" t="s">
        <v>487</v>
      </c>
      <c r="AA18" s="7">
        <v>3.316098052E9</v>
      </c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R19" s="5"/>
      <c r="S19" s="5"/>
      <c r="T19" s="5"/>
      <c r="W19" s="7" t="s">
        <v>171</v>
      </c>
      <c r="Y19" s="7" t="s">
        <v>609</v>
      </c>
      <c r="AA19" s="7">
        <v>3.316098501E9</v>
      </c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R20" s="5"/>
      <c r="S20" s="5"/>
      <c r="T20" s="5"/>
      <c r="W20" s="7" t="s">
        <v>431</v>
      </c>
      <c r="Y20" s="7" t="s">
        <v>560</v>
      </c>
      <c r="AA20" s="7">
        <v>3.316098529E9</v>
      </c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84"/>
      <c r="P21" s="84"/>
      <c r="Q21" s="84"/>
      <c r="R21" s="5"/>
      <c r="S21" s="5"/>
      <c r="T21" s="5"/>
      <c r="W21" s="7" t="s">
        <v>1663</v>
      </c>
      <c r="Y21" s="7" t="s">
        <v>408</v>
      </c>
      <c r="AA21" s="7">
        <v>3.316099062E9</v>
      </c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84"/>
      <c r="P22" s="84"/>
      <c r="Q22" s="84"/>
      <c r="R22" s="5"/>
      <c r="S22" s="5"/>
      <c r="T22" s="5"/>
      <c r="W22" s="7" t="s">
        <v>450</v>
      </c>
      <c r="Y22" s="7" t="s">
        <v>117</v>
      </c>
      <c r="AA22" s="7">
        <v>3.316106051E9</v>
      </c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84"/>
      <c r="P23" s="84"/>
      <c r="Q23" s="84"/>
      <c r="R23" s="5"/>
      <c r="S23" s="5"/>
      <c r="T23" s="5"/>
      <c r="W23" s="7" t="s">
        <v>240</v>
      </c>
      <c r="Y23" s="7" t="s">
        <v>123</v>
      </c>
      <c r="AA23" s="7">
        <v>3.316106113E9</v>
      </c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84"/>
      <c r="P24" s="84"/>
      <c r="Q24" s="84"/>
      <c r="R24" s="5"/>
      <c r="S24" s="5"/>
      <c r="T24" s="5"/>
      <c r="W24" s="7" t="s">
        <v>1664</v>
      </c>
      <c r="Y24" s="7" t="s">
        <v>130</v>
      </c>
      <c r="AA24" s="7">
        <v>3.316106119E9</v>
      </c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84"/>
      <c r="P25" s="84"/>
      <c r="Q25" s="84"/>
      <c r="R25" s="5"/>
      <c r="S25" s="5"/>
      <c r="T25" s="5"/>
      <c r="W25" s="7" t="s">
        <v>555</v>
      </c>
      <c r="Y25" s="7" t="s">
        <v>134</v>
      </c>
      <c r="AA25" s="7">
        <v>3.316114768E9</v>
      </c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84"/>
      <c r="P26" s="84"/>
      <c r="Q26" s="84"/>
      <c r="R26" s="5"/>
      <c r="S26" s="5"/>
      <c r="T26" s="5"/>
      <c r="W26" s="7" t="s">
        <v>1665</v>
      </c>
      <c r="Y26" s="7" t="s">
        <v>140</v>
      </c>
      <c r="AA26" s="7">
        <v>3.316117782E9</v>
      </c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84"/>
      <c r="P27" s="84"/>
      <c r="Q27" s="84"/>
      <c r="R27" s="5"/>
      <c r="S27" s="5"/>
      <c r="T27" s="5"/>
      <c r="W27" s="7" t="s">
        <v>559</v>
      </c>
      <c r="Y27" s="7" t="s">
        <v>145</v>
      </c>
      <c r="AA27" s="7">
        <v>3.316118572E9</v>
      </c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84"/>
      <c r="P28" s="84"/>
      <c r="Q28" s="84"/>
      <c r="R28" s="5"/>
      <c r="S28" s="5"/>
      <c r="T28" s="5"/>
      <c r="Y28" s="7" t="s">
        <v>327</v>
      </c>
      <c r="AA28" s="7">
        <v>3.316129046E9</v>
      </c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84"/>
      <c r="P29" s="84"/>
      <c r="Q29" s="84"/>
      <c r="R29" s="5"/>
      <c r="S29" s="5"/>
      <c r="T29" s="5"/>
      <c r="Y29" s="7" t="s">
        <v>155</v>
      </c>
      <c r="AA29" s="7">
        <v>3.316132351E9</v>
      </c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84"/>
      <c r="P30" s="84"/>
      <c r="Q30" s="84"/>
      <c r="R30" s="5"/>
      <c r="S30" s="5"/>
      <c r="T30" s="5"/>
      <c r="Y30" s="7" t="s">
        <v>173</v>
      </c>
      <c r="AA30" s="7">
        <v>3.316133712E9</v>
      </c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84"/>
      <c r="P31" s="84"/>
      <c r="Q31" s="84"/>
      <c r="R31" s="5"/>
      <c r="S31" s="5"/>
      <c r="T31" s="5"/>
      <c r="Y31" s="7" t="s">
        <v>183</v>
      </c>
      <c r="AA31" s="7">
        <v>3.31613378E9</v>
      </c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84"/>
      <c r="P32" s="84"/>
      <c r="Q32" s="84"/>
      <c r="R32" s="5"/>
      <c r="S32" s="5"/>
      <c r="T32" s="5"/>
      <c r="Y32" s="7" t="s">
        <v>193</v>
      </c>
      <c r="AA32" s="7">
        <v>3.316135271E9</v>
      </c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84"/>
      <c r="P33" s="84"/>
      <c r="Q33" s="84"/>
      <c r="R33" s="5"/>
      <c r="S33" s="5"/>
      <c r="T33" s="5"/>
      <c r="Y33" s="7" t="s">
        <v>203</v>
      </c>
      <c r="AA33" s="7">
        <v>3.316135604E9</v>
      </c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84"/>
      <c r="P34" s="84"/>
      <c r="Q34" s="84"/>
      <c r="R34" s="5"/>
      <c r="S34" s="5"/>
      <c r="T34" s="5"/>
      <c r="Y34" s="7" t="s">
        <v>210</v>
      </c>
      <c r="AA34" s="7">
        <v>3.316135759E9</v>
      </c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84"/>
      <c r="P35" s="84"/>
      <c r="Q35" s="84"/>
      <c r="R35" s="5"/>
      <c r="S35" s="5"/>
      <c r="T35" s="5"/>
      <c r="Y35" s="7" t="s">
        <v>517</v>
      </c>
      <c r="AA35" s="7">
        <v>3.316137123E9</v>
      </c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84"/>
      <c r="P36" s="84"/>
      <c r="Q36" s="84"/>
      <c r="R36" s="5"/>
      <c r="S36" s="5"/>
      <c r="T36" s="5"/>
      <c r="Y36" s="7" t="s">
        <v>521</v>
      </c>
      <c r="AA36" s="7">
        <v>3.316142992E9</v>
      </c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84"/>
      <c r="P37" s="84"/>
      <c r="Q37" s="84"/>
      <c r="R37" s="5"/>
      <c r="S37" s="5"/>
      <c r="T37" s="5"/>
      <c r="Y37" s="24" t="s">
        <v>525</v>
      </c>
      <c r="AA37" s="7">
        <v>3.316147399E9</v>
      </c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84"/>
      <c r="P38" s="84"/>
      <c r="Q38" s="84"/>
      <c r="R38" s="5"/>
      <c r="S38" s="5"/>
      <c r="T38" s="5"/>
      <c r="Y38" s="7" t="s">
        <v>217</v>
      </c>
      <c r="AA38" s="7">
        <v>3.316156385E9</v>
      </c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84"/>
      <c r="P39" s="84"/>
      <c r="Q39" s="84"/>
      <c r="R39" s="5"/>
      <c r="S39" s="5"/>
      <c r="T39" s="5"/>
      <c r="Y39" s="7" t="s">
        <v>223</v>
      </c>
      <c r="AA39" s="7">
        <v>3.316158093E9</v>
      </c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84"/>
      <c r="P40" s="84"/>
      <c r="Q40" s="84"/>
      <c r="R40" s="5"/>
      <c r="S40" s="5"/>
      <c r="T40" s="5"/>
      <c r="Y40" s="7" t="s">
        <v>235</v>
      </c>
      <c r="AA40" s="7">
        <v>3.316160073E9</v>
      </c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84"/>
      <c r="P41" s="84"/>
      <c r="Q41" s="84"/>
      <c r="R41" s="5"/>
      <c r="S41" s="5"/>
      <c r="T41" s="5"/>
      <c r="Y41" s="7" t="s">
        <v>247</v>
      </c>
      <c r="AA41" s="7">
        <v>3.316172428E9</v>
      </c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84"/>
      <c r="P42" s="84"/>
      <c r="Q42" s="84"/>
      <c r="R42" s="5"/>
      <c r="S42" s="5"/>
      <c r="T42" s="5"/>
      <c r="Y42" s="7" t="s">
        <v>440</v>
      </c>
      <c r="AA42" s="7">
        <v>3.318218012E9</v>
      </c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84"/>
      <c r="P43" s="84"/>
      <c r="Q43" s="84"/>
      <c r="R43" s="5"/>
      <c r="S43" s="5"/>
      <c r="T43" s="5"/>
      <c r="Y43" s="7" t="s">
        <v>426</v>
      </c>
      <c r="AA43" s="7">
        <v>3.318621158E9</v>
      </c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84"/>
      <c r="P44" s="84"/>
      <c r="Q44" s="84"/>
      <c r="R44" s="5"/>
      <c r="S44" s="5"/>
      <c r="T44" s="5"/>
      <c r="Y44" s="7" t="s">
        <v>174</v>
      </c>
      <c r="AA44" s="7">
        <v>3.318629135E9</v>
      </c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84"/>
      <c r="P45" s="84"/>
      <c r="Q45" s="84"/>
      <c r="R45" s="5"/>
      <c r="S45" s="5"/>
      <c r="T45" s="5"/>
      <c r="Y45" s="7" t="s">
        <v>1670</v>
      </c>
      <c r="AA45" s="7">
        <v>3.318934914E9</v>
      </c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84"/>
      <c r="P46" s="84"/>
      <c r="Q46" s="84"/>
      <c r="R46" s="5"/>
      <c r="S46" s="5"/>
      <c r="T46" s="5"/>
      <c r="Y46" s="7" t="s">
        <v>241</v>
      </c>
      <c r="AA46" s="7">
        <v>3.321830554E9</v>
      </c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84"/>
      <c r="P47" s="84"/>
      <c r="Q47" s="84"/>
      <c r="R47" s="5"/>
      <c r="S47" s="5"/>
      <c r="T47" s="5"/>
      <c r="Y47" s="79" t="s">
        <v>200</v>
      </c>
      <c r="AA47" s="7">
        <v>3.321842313E9</v>
      </c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84"/>
      <c r="P48" s="84"/>
      <c r="Q48" s="84"/>
      <c r="R48" s="5"/>
      <c r="S48" s="5"/>
      <c r="T48" s="5"/>
      <c r="Y48" s="7" t="s">
        <v>81</v>
      </c>
      <c r="AA48" s="7">
        <v>3.328358335E9</v>
      </c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84"/>
      <c r="P49" s="84"/>
      <c r="Q49" s="84"/>
      <c r="R49" s="5"/>
      <c r="S49" s="5"/>
      <c r="T49" s="5"/>
      <c r="Y49" s="7" t="s">
        <v>320</v>
      </c>
      <c r="AA49" s="7">
        <v>3.331523332E9</v>
      </c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84"/>
      <c r="P50" s="84"/>
      <c r="Q50" s="84"/>
      <c r="R50" s="5"/>
      <c r="S50" s="5"/>
      <c r="T50" s="5"/>
      <c r="Y50" s="7" t="s">
        <v>1664</v>
      </c>
      <c r="AA50" s="7">
        <v>3.33152505E9</v>
      </c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84"/>
      <c r="P51" s="84"/>
      <c r="Q51" s="84"/>
      <c r="R51" s="5"/>
      <c r="S51" s="5"/>
      <c r="T51" s="5"/>
      <c r="Y51" s="7" t="s">
        <v>71</v>
      </c>
      <c r="AA51" s="7">
        <v>3.337194504E9</v>
      </c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84"/>
      <c r="P52" s="84"/>
      <c r="Q52" s="84"/>
      <c r="R52" s="5"/>
      <c r="S52" s="5"/>
      <c r="T52" s="5"/>
      <c r="Y52" s="24" t="s">
        <v>510</v>
      </c>
      <c r="AA52" s="7">
        <v>3.337194505E9</v>
      </c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84"/>
      <c r="P53" s="84"/>
      <c r="Q53" s="84"/>
      <c r="R53" s="5"/>
      <c r="S53" s="5"/>
      <c r="T53" s="5"/>
      <c r="Y53" s="7" t="s">
        <v>549</v>
      </c>
      <c r="AA53" s="7">
        <v>3.337194517E9</v>
      </c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84"/>
      <c r="P54" s="84"/>
      <c r="Q54" s="84"/>
      <c r="R54" s="5"/>
      <c r="S54" s="5"/>
      <c r="T54" s="5"/>
      <c r="Y54" s="24"/>
      <c r="AA54" s="7">
        <v>3.338560241E9</v>
      </c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84"/>
      <c r="P55" s="84"/>
      <c r="Q55" s="84"/>
      <c r="R55" s="5"/>
      <c r="S55" s="5"/>
      <c r="T55" s="5"/>
      <c r="AA55" s="7">
        <v>3.338560382E9</v>
      </c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84"/>
      <c r="P56" s="84"/>
      <c r="Q56" s="84"/>
      <c r="R56" s="5"/>
      <c r="S56" s="5"/>
      <c r="T56" s="5"/>
      <c r="AA56" s="7">
        <v>3.338561078E9</v>
      </c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84"/>
      <c r="P57" s="84"/>
      <c r="Q57" s="84"/>
      <c r="R57" s="5"/>
      <c r="S57" s="5"/>
      <c r="T57" s="5"/>
      <c r="AA57" s="7">
        <v>3.339580163E9</v>
      </c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84"/>
      <c r="P58" s="84"/>
      <c r="Q58" s="84"/>
      <c r="R58" s="5"/>
      <c r="S58" s="5"/>
      <c r="T58" s="5"/>
      <c r="AA58" s="7">
        <v>3.481044349E9</v>
      </c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84"/>
      <c r="P59" s="84"/>
      <c r="Q59" s="84"/>
      <c r="R59" s="5"/>
      <c r="S59" s="5"/>
      <c r="T59" s="5"/>
      <c r="AA59" s="7">
        <v>3.481082366E9</v>
      </c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84"/>
      <c r="P60" s="84"/>
      <c r="Q60" s="84"/>
      <c r="R60" s="5"/>
      <c r="S60" s="5"/>
      <c r="T60" s="5"/>
      <c r="AA60" s="7">
        <v>3.51111143E9</v>
      </c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84"/>
      <c r="P61" s="84"/>
      <c r="Q61" s="84"/>
      <c r="R61" s="5"/>
      <c r="S61" s="5"/>
      <c r="T61" s="5"/>
      <c r="AA61" s="7">
        <v>3.521250804E9</v>
      </c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84"/>
      <c r="P62" s="84"/>
      <c r="Q62" s="84"/>
      <c r="R62" s="5"/>
      <c r="S62" s="5"/>
      <c r="T62" s="5"/>
      <c r="AA62" s="7">
        <v>3.52138702E9</v>
      </c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84"/>
      <c r="P63" s="84"/>
      <c r="Q63" s="84"/>
      <c r="R63" s="5"/>
      <c r="S63" s="5"/>
      <c r="T63" s="5"/>
      <c r="AA63" s="7">
        <v>3.521399533E9</v>
      </c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84"/>
      <c r="P64" s="84"/>
      <c r="Q64" s="84"/>
      <c r="R64" s="5"/>
      <c r="S64" s="5"/>
      <c r="T64" s="5"/>
      <c r="AA64" s="7">
        <v>3.521420398E9</v>
      </c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84"/>
      <c r="P65" s="84"/>
      <c r="Q65" s="84"/>
      <c r="R65" s="5"/>
      <c r="S65" s="5"/>
      <c r="T65" s="5"/>
      <c r="AA65" s="7">
        <v>3.521421218E9</v>
      </c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84"/>
      <c r="P66" s="84"/>
      <c r="Q66" s="84"/>
      <c r="R66" s="5"/>
      <c r="S66" s="5"/>
      <c r="T66" s="5"/>
      <c r="AA66" s="7">
        <v>3.521423189E9</v>
      </c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84"/>
      <c r="P67" s="84"/>
      <c r="Q67" s="84"/>
      <c r="R67" s="5"/>
      <c r="S67" s="5"/>
      <c r="T67" s="5"/>
      <c r="AA67" s="7">
        <v>3.521471232E9</v>
      </c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84"/>
      <c r="P68" s="84"/>
      <c r="Q68" s="84"/>
      <c r="R68" s="5"/>
      <c r="S68" s="5"/>
      <c r="T68" s="5"/>
      <c r="AA68" s="7">
        <v>3.521949987E9</v>
      </c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84"/>
      <c r="P69" s="84"/>
      <c r="Q69" s="84"/>
      <c r="R69" s="5"/>
      <c r="S69" s="5"/>
      <c r="T69" s="5"/>
      <c r="AA69" s="7">
        <v>3.522060309E9</v>
      </c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84"/>
      <c r="P70" s="84"/>
      <c r="Q70" s="84"/>
      <c r="R70" s="5"/>
      <c r="S70" s="5"/>
      <c r="T70" s="5"/>
      <c r="AA70" s="7">
        <v>3.781155312E9</v>
      </c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84"/>
      <c r="P71" s="84"/>
      <c r="Q71" s="84"/>
      <c r="R71" s="5"/>
      <c r="S71" s="5"/>
      <c r="T71" s="5"/>
      <c r="AA71" s="7">
        <v>3.781868857E9</v>
      </c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84"/>
      <c r="P72" s="84"/>
      <c r="Q72" s="84"/>
      <c r="R72" s="5"/>
      <c r="S72" s="5"/>
      <c r="T72" s="5"/>
      <c r="AA72" s="7">
        <v>3.781868858E9</v>
      </c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84"/>
      <c r="P73" s="84"/>
      <c r="Q73" s="84"/>
      <c r="R73" s="5"/>
      <c r="S73" s="5"/>
      <c r="T73" s="5"/>
      <c r="AA73" s="7">
        <v>3.781868859E9</v>
      </c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84"/>
      <c r="P74" s="84"/>
      <c r="Q74" s="84"/>
      <c r="R74" s="5"/>
      <c r="S74" s="5"/>
      <c r="T74" s="5"/>
      <c r="AA74" s="7">
        <v>3.78186886E9</v>
      </c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84"/>
      <c r="P75" s="84"/>
      <c r="Q75" s="84"/>
      <c r="R75" s="5"/>
      <c r="S75" s="5"/>
      <c r="T75" s="5"/>
      <c r="AA75" s="7">
        <v>3.781868861E9</v>
      </c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84"/>
      <c r="P76" s="84"/>
      <c r="Q76" s="84"/>
      <c r="R76" s="5"/>
      <c r="S76" s="5"/>
      <c r="T76" s="5"/>
      <c r="AA76" s="7">
        <v>3.781868862E9</v>
      </c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84"/>
      <c r="P77" s="84"/>
      <c r="Q77" s="84"/>
      <c r="R77" s="5"/>
      <c r="S77" s="5"/>
      <c r="T77" s="5"/>
      <c r="AA77" s="7">
        <v>3.781868863E9</v>
      </c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84"/>
      <c r="P78" s="84"/>
      <c r="Q78" s="84"/>
      <c r="R78" s="5"/>
      <c r="S78" s="5"/>
      <c r="T78" s="5"/>
      <c r="AA78" s="7">
        <v>3.781868864E9</v>
      </c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84"/>
      <c r="P79" s="84"/>
      <c r="Q79" s="84"/>
      <c r="R79" s="5"/>
      <c r="S79" s="5"/>
      <c r="T79" s="5"/>
      <c r="AA79" s="7">
        <v>3.911035841E9</v>
      </c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84"/>
      <c r="P80" s="84"/>
      <c r="Q80" s="84"/>
      <c r="R80" s="5"/>
      <c r="S80" s="5"/>
      <c r="T80" s="5"/>
      <c r="AA80" s="7">
        <v>3.911039008E9</v>
      </c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84"/>
      <c r="P81" s="84"/>
      <c r="Q81" s="84"/>
      <c r="R81" s="5"/>
      <c r="S81" s="5"/>
      <c r="T81" s="5"/>
      <c r="AA81" s="7">
        <v>3.91125726E9</v>
      </c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84"/>
      <c r="P82" s="84"/>
      <c r="Q82" s="84"/>
      <c r="R82" s="5"/>
      <c r="S82" s="5"/>
      <c r="T82" s="5"/>
      <c r="AA82" s="7">
        <v>3.911257736E9</v>
      </c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84"/>
      <c r="P83" s="84"/>
      <c r="Q83" s="84"/>
      <c r="R83" s="5"/>
      <c r="S83" s="5"/>
      <c r="T83" s="5"/>
      <c r="AA83" s="7">
        <v>3.911750242E9</v>
      </c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84"/>
      <c r="P84" s="84"/>
      <c r="Q84" s="84"/>
      <c r="R84" s="5"/>
      <c r="S84" s="5"/>
      <c r="T84" s="5"/>
      <c r="AA84" s="7">
        <v>3.921006351E9</v>
      </c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84"/>
      <c r="P85" s="84"/>
      <c r="Q85" s="84"/>
      <c r="R85" s="5"/>
      <c r="S85" s="5"/>
      <c r="T85" s="5"/>
      <c r="AA85" s="7">
        <v>3.921057608E9</v>
      </c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84"/>
      <c r="P86" s="84"/>
      <c r="Q86" s="84"/>
      <c r="R86" s="5"/>
      <c r="S86" s="5"/>
      <c r="T86" s="5"/>
      <c r="AA86" s="7">
        <v>3.921237762E9</v>
      </c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84"/>
      <c r="P87" s="84"/>
      <c r="Q87" s="84"/>
      <c r="R87" s="5"/>
      <c r="S87" s="5"/>
      <c r="T87" s="5"/>
      <c r="AA87" s="7">
        <v>3.921368208E9</v>
      </c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84"/>
      <c r="P88" s="84"/>
      <c r="Q88" s="84"/>
      <c r="R88" s="5"/>
      <c r="S88" s="5"/>
      <c r="T88" s="5"/>
      <c r="AA88" s="7">
        <v>3.921368749E9</v>
      </c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84"/>
      <c r="P89" s="84"/>
      <c r="Q89" s="84"/>
      <c r="R89" s="5"/>
      <c r="S89" s="5"/>
      <c r="T89" s="5"/>
      <c r="AA89" s="19">
        <v>3.921369057E9</v>
      </c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84"/>
      <c r="P90" s="84"/>
      <c r="Q90" s="84"/>
      <c r="R90" s="5"/>
      <c r="S90" s="5"/>
      <c r="T90" s="5"/>
      <c r="AA90" s="7">
        <v>3.921580546E9</v>
      </c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84"/>
      <c r="P91" s="84"/>
      <c r="Q91" s="84"/>
      <c r="R91" s="5"/>
      <c r="S91" s="5"/>
      <c r="T91" s="5"/>
      <c r="AA91" s="7">
        <v>3.931001237E9</v>
      </c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84"/>
      <c r="P92" s="84"/>
      <c r="Q92" s="84"/>
      <c r="R92" s="5"/>
      <c r="S92" s="5"/>
      <c r="T92" s="5"/>
      <c r="AA92" s="7">
        <v>3.93100134E9</v>
      </c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84"/>
      <c r="P93" s="84"/>
      <c r="Q93" s="84"/>
      <c r="R93" s="5"/>
      <c r="S93" s="5"/>
      <c r="T93" s="5"/>
      <c r="AA93" s="7">
        <v>3.93100141E9</v>
      </c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84"/>
      <c r="P94" s="84"/>
      <c r="Q94" s="84"/>
      <c r="R94" s="5"/>
      <c r="S94" s="5"/>
      <c r="T94" s="5"/>
      <c r="AA94" s="7">
        <v>3.931001477E9</v>
      </c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84"/>
      <c r="P95" s="84"/>
      <c r="Q95" s="84"/>
      <c r="R95" s="5"/>
      <c r="S95" s="5"/>
      <c r="T95" s="5"/>
      <c r="AA95" s="7">
        <v>3.931001479E9</v>
      </c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84"/>
      <c r="P96" s="84"/>
      <c r="Q96" s="84"/>
      <c r="R96" s="5"/>
      <c r="S96" s="5"/>
      <c r="T96" s="5"/>
      <c r="AA96" s="7">
        <v>3.93104207E9</v>
      </c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84"/>
      <c r="P97" s="84"/>
      <c r="Q97" s="84"/>
      <c r="R97" s="5"/>
      <c r="S97" s="5"/>
      <c r="T97" s="5"/>
      <c r="AA97" s="7">
        <v>3.931042365E9</v>
      </c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84"/>
      <c r="P98" s="84"/>
      <c r="Q98" s="84"/>
      <c r="R98" s="5"/>
      <c r="S98" s="5"/>
      <c r="T98" s="5"/>
      <c r="AA98" s="7">
        <v>3.931042392E9</v>
      </c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84"/>
      <c r="P99" s="84"/>
      <c r="Q99" s="84"/>
      <c r="R99" s="5"/>
      <c r="S99" s="5"/>
      <c r="T99" s="5"/>
      <c r="AA99" s="7">
        <v>3.931042394E9</v>
      </c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84"/>
      <c r="P100" s="84"/>
      <c r="Q100" s="84"/>
      <c r="R100" s="5"/>
      <c r="S100" s="5"/>
      <c r="T100" s="5"/>
      <c r="AA100" s="7">
        <v>3.931047948E9</v>
      </c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84"/>
      <c r="P101" s="84"/>
      <c r="Q101" s="84"/>
      <c r="R101" s="5"/>
      <c r="S101" s="5"/>
      <c r="T101" s="5"/>
      <c r="AA101" s="7">
        <v>3.93106444E9</v>
      </c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84"/>
      <c r="P102" s="84"/>
      <c r="Q102" s="84"/>
      <c r="R102" s="5"/>
      <c r="S102" s="5"/>
      <c r="T102" s="5"/>
      <c r="AA102" s="7">
        <v>3.931073664E9</v>
      </c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84"/>
      <c r="P103" s="84"/>
      <c r="Q103" s="84"/>
      <c r="R103" s="5"/>
      <c r="S103" s="5"/>
      <c r="T103" s="5"/>
      <c r="AA103" s="7">
        <v>3.931073736E9</v>
      </c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84"/>
      <c r="P104" s="84"/>
      <c r="Q104" s="84"/>
      <c r="R104" s="5"/>
      <c r="S104" s="5"/>
      <c r="T104" s="5"/>
      <c r="AA104" s="7">
        <v>3.931073856E9</v>
      </c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84"/>
      <c r="P105" s="84"/>
      <c r="Q105" s="84"/>
      <c r="R105" s="5"/>
      <c r="S105" s="5"/>
      <c r="T105" s="5"/>
      <c r="AA105" s="7">
        <v>3.931073857E9</v>
      </c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84"/>
      <c r="P106" s="84"/>
      <c r="Q106" s="84"/>
      <c r="R106" s="5"/>
      <c r="S106" s="5"/>
      <c r="T106" s="5"/>
      <c r="AA106" s="7">
        <v>3.931078005E9</v>
      </c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84"/>
      <c r="P107" s="84"/>
      <c r="Q107" s="84"/>
      <c r="R107" s="5"/>
      <c r="S107" s="5"/>
      <c r="T107" s="5"/>
      <c r="AA107" s="7">
        <v>3.931078006E9</v>
      </c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84"/>
      <c r="P108" s="84"/>
      <c r="Q108" s="84"/>
      <c r="R108" s="5"/>
      <c r="S108" s="5"/>
      <c r="T108" s="5"/>
      <c r="AA108" s="7">
        <v>3.931078067E9</v>
      </c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84"/>
      <c r="P109" s="84"/>
      <c r="Q109" s="84"/>
      <c r="R109" s="5"/>
      <c r="S109" s="5"/>
      <c r="T109" s="5"/>
      <c r="AA109" s="7">
        <v>3.931079811E9</v>
      </c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84"/>
      <c r="P110" s="84"/>
      <c r="Q110" s="84"/>
      <c r="R110" s="5"/>
      <c r="S110" s="5"/>
      <c r="T110" s="5"/>
      <c r="AA110" s="7">
        <v>3.931079956E9</v>
      </c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84"/>
      <c r="P111" s="84"/>
      <c r="Q111" s="84"/>
      <c r="R111" s="5"/>
      <c r="S111" s="5"/>
      <c r="T111" s="5"/>
      <c r="AA111" s="7">
        <v>3.931079959E9</v>
      </c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84"/>
      <c r="P112" s="84"/>
      <c r="Q112" s="84"/>
      <c r="R112" s="5"/>
      <c r="S112" s="5"/>
      <c r="T112" s="5"/>
      <c r="AA112" s="7">
        <v>3.93107996E9</v>
      </c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84"/>
      <c r="P113" s="84"/>
      <c r="Q113" s="84"/>
      <c r="R113" s="5"/>
      <c r="S113" s="5"/>
      <c r="T113" s="5"/>
      <c r="AA113" s="7">
        <v>3.931090656E9</v>
      </c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84"/>
      <c r="P114" s="84"/>
      <c r="Q114" s="84"/>
      <c r="R114" s="5"/>
      <c r="S114" s="5"/>
      <c r="T114" s="5"/>
      <c r="AA114" s="7">
        <v>3.931091335E9</v>
      </c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84"/>
      <c r="P115" s="84"/>
      <c r="Q115" s="84"/>
      <c r="R115" s="5"/>
      <c r="S115" s="5"/>
      <c r="T115" s="5"/>
      <c r="AA115" s="7">
        <v>3.931099049E9</v>
      </c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84"/>
      <c r="P116" s="84"/>
      <c r="Q116" s="84"/>
      <c r="R116" s="5"/>
      <c r="S116" s="5"/>
      <c r="T116" s="5"/>
      <c r="AA116" s="7">
        <v>3.931171122E9</v>
      </c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84"/>
      <c r="P117" s="84"/>
      <c r="Q117" s="84"/>
      <c r="R117" s="5"/>
      <c r="S117" s="5"/>
      <c r="T117" s="5"/>
      <c r="AA117" s="7">
        <v>3.93117983E9</v>
      </c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84"/>
      <c r="P118" s="84"/>
      <c r="Q118" s="84"/>
      <c r="R118" s="5"/>
      <c r="S118" s="5"/>
      <c r="T118" s="5"/>
      <c r="AA118" s="7">
        <v>3.931190074E9</v>
      </c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84"/>
      <c r="P119" s="84"/>
      <c r="Q119" s="84"/>
      <c r="R119" s="5"/>
      <c r="S119" s="5"/>
      <c r="T119" s="5"/>
      <c r="AA119" s="7">
        <v>3.93119008E9</v>
      </c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84"/>
      <c r="P120" s="84"/>
      <c r="Q120" s="84"/>
      <c r="R120" s="5"/>
      <c r="S120" s="5"/>
      <c r="T120" s="5"/>
      <c r="AA120" s="7">
        <v>3.931190222E9</v>
      </c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84"/>
      <c r="P121" s="84"/>
      <c r="Q121" s="84"/>
      <c r="R121" s="5"/>
      <c r="S121" s="5"/>
      <c r="T121" s="5"/>
      <c r="AA121" s="7">
        <v>3.931190252E9</v>
      </c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84"/>
      <c r="P122" s="84"/>
      <c r="Q122" s="84"/>
      <c r="R122" s="5"/>
      <c r="S122" s="5"/>
      <c r="T122" s="5"/>
      <c r="AA122" s="7">
        <v>3.931190275E9</v>
      </c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84"/>
      <c r="P123" s="84"/>
      <c r="Q123" s="84"/>
      <c r="R123" s="5"/>
      <c r="S123" s="5"/>
      <c r="T123" s="5"/>
      <c r="AA123" s="7">
        <v>3.931190277E9</v>
      </c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84"/>
      <c r="P124" s="84"/>
      <c r="Q124" s="84"/>
      <c r="R124" s="5"/>
      <c r="S124" s="5"/>
      <c r="T124" s="5"/>
      <c r="AA124" s="7">
        <v>3.931196086E9</v>
      </c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84"/>
      <c r="P125" s="84"/>
      <c r="Q125" s="84"/>
      <c r="R125" s="5"/>
      <c r="S125" s="5"/>
      <c r="T125" s="5"/>
      <c r="AA125" s="7">
        <v>3.931196087E9</v>
      </c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84"/>
      <c r="P126" s="84"/>
      <c r="Q126" s="84"/>
      <c r="R126" s="5"/>
      <c r="S126" s="5"/>
      <c r="T126" s="5"/>
      <c r="AA126" s="7">
        <v>3.931196103E9</v>
      </c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84"/>
      <c r="P127" s="84"/>
      <c r="Q127" s="84"/>
      <c r="R127" s="5"/>
      <c r="S127" s="5"/>
      <c r="T127" s="5"/>
      <c r="AA127" s="7">
        <v>3.931196104E9</v>
      </c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84"/>
      <c r="P128" s="84"/>
      <c r="Q128" s="84"/>
      <c r="R128" s="5"/>
      <c r="S128" s="5"/>
      <c r="T128" s="5"/>
      <c r="AA128" s="7">
        <v>3.93119646E9</v>
      </c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84"/>
      <c r="P129" s="84"/>
      <c r="Q129" s="84"/>
      <c r="R129" s="5"/>
      <c r="S129" s="5"/>
      <c r="T129" s="5"/>
      <c r="AA129" s="7">
        <v>3.93119711E9</v>
      </c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84"/>
      <c r="P130" s="84"/>
      <c r="Q130" s="84"/>
      <c r="R130" s="5"/>
      <c r="S130" s="5"/>
      <c r="T130" s="5"/>
      <c r="AA130" s="7">
        <v>3.931205198E9</v>
      </c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84"/>
      <c r="P131" s="84"/>
      <c r="Q131" s="84"/>
      <c r="R131" s="5"/>
      <c r="S131" s="5"/>
      <c r="T131" s="5"/>
      <c r="AA131" s="7">
        <v>3.931245167E9</v>
      </c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84"/>
      <c r="P132" s="84"/>
      <c r="Q132" s="84"/>
      <c r="R132" s="5"/>
      <c r="S132" s="5"/>
      <c r="T132" s="5"/>
      <c r="AA132" s="7">
        <v>3.931245173E9</v>
      </c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84"/>
      <c r="P133" s="84"/>
      <c r="Q133" s="84"/>
      <c r="R133" s="5"/>
      <c r="S133" s="5"/>
      <c r="T133" s="5"/>
      <c r="AA133" s="7">
        <v>3.931245174E9</v>
      </c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84"/>
      <c r="P134" s="84"/>
      <c r="Q134" s="84"/>
      <c r="R134" s="5"/>
      <c r="S134" s="5"/>
      <c r="T134" s="5"/>
      <c r="AA134" s="7">
        <v>3.931245176E9</v>
      </c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84"/>
      <c r="P135" s="84"/>
      <c r="Q135" s="84"/>
      <c r="R135" s="5"/>
      <c r="S135" s="5"/>
      <c r="T135" s="5"/>
      <c r="AA135" s="7">
        <v>3.931245254E9</v>
      </c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84"/>
      <c r="P136" s="84"/>
      <c r="Q136" s="84"/>
      <c r="R136" s="5"/>
      <c r="S136" s="5"/>
      <c r="T136" s="5"/>
      <c r="AA136" s="7">
        <v>3.931245288E9</v>
      </c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84"/>
      <c r="P137" s="84"/>
      <c r="Q137" s="84"/>
      <c r="R137" s="5"/>
      <c r="S137" s="5"/>
      <c r="T137" s="5"/>
      <c r="AA137" s="7">
        <v>3.931583046E9</v>
      </c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84"/>
      <c r="P138" s="84"/>
      <c r="Q138" s="84"/>
      <c r="R138" s="5"/>
      <c r="S138" s="5"/>
      <c r="T138" s="5"/>
      <c r="AA138" s="7">
        <v>3.9315832E9</v>
      </c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84"/>
      <c r="P139" s="84"/>
      <c r="Q139" s="84"/>
      <c r="R139" s="5"/>
      <c r="S139" s="5"/>
      <c r="T139" s="5"/>
      <c r="AA139" s="7">
        <v>3.931583232E9</v>
      </c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84"/>
      <c r="P140" s="84"/>
      <c r="Q140" s="84"/>
      <c r="R140" s="5"/>
      <c r="S140" s="5"/>
      <c r="T140" s="5"/>
      <c r="AA140" s="7">
        <v>3.931583234E9</v>
      </c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84"/>
      <c r="P141" s="84"/>
      <c r="Q141" s="84"/>
      <c r="R141" s="5"/>
      <c r="S141" s="5"/>
      <c r="T141" s="5"/>
      <c r="AA141" s="7">
        <v>3.931583367E9</v>
      </c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84"/>
      <c r="P142" s="84"/>
      <c r="Q142" s="84"/>
      <c r="R142" s="5"/>
      <c r="S142" s="5"/>
      <c r="T142" s="5"/>
      <c r="AA142" s="7">
        <v>3.939332335E9</v>
      </c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84"/>
      <c r="P143" s="84"/>
      <c r="Q143" s="84"/>
      <c r="R143" s="5"/>
      <c r="S143" s="5"/>
      <c r="T143" s="5"/>
      <c r="AA143" s="7">
        <v>3.939336334E9</v>
      </c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84"/>
      <c r="P144" s="84"/>
      <c r="Q144" s="84"/>
      <c r="R144" s="5"/>
      <c r="S144" s="5"/>
      <c r="T144" s="5"/>
      <c r="AA144" s="7">
        <v>3.939366538E9</v>
      </c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84"/>
      <c r="P145" s="84"/>
      <c r="Q145" s="84"/>
      <c r="R145" s="5"/>
      <c r="S145" s="5"/>
      <c r="T145" s="5"/>
      <c r="AA145" s="7">
        <v>3.939382471E9</v>
      </c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84"/>
      <c r="P146" s="84"/>
      <c r="Q146" s="84"/>
      <c r="R146" s="5"/>
      <c r="S146" s="5"/>
      <c r="T146" s="5"/>
      <c r="AA146" s="7">
        <v>3.939385641E9</v>
      </c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84"/>
      <c r="P147" s="84"/>
      <c r="Q147" s="84"/>
      <c r="R147" s="5"/>
      <c r="S147" s="5"/>
      <c r="T147" s="5"/>
      <c r="AA147" s="7">
        <v>3.951198072E9</v>
      </c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84"/>
      <c r="P148" s="84"/>
      <c r="Q148" s="84"/>
      <c r="R148" s="5"/>
      <c r="S148" s="5"/>
      <c r="T148" s="5"/>
      <c r="AA148" s="7">
        <v>3.951428204E9</v>
      </c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84"/>
      <c r="P149" s="84"/>
      <c r="Q149" s="84"/>
      <c r="R149" s="5"/>
      <c r="S149" s="5"/>
      <c r="T149" s="5"/>
      <c r="AA149" s="7">
        <v>3.952680842E9</v>
      </c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84"/>
      <c r="P150" s="84"/>
      <c r="Q150" s="84"/>
      <c r="R150" s="5"/>
      <c r="S150" s="5"/>
      <c r="T150" s="5"/>
      <c r="AA150" s="7">
        <v>4.431281396E9</v>
      </c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84"/>
      <c r="P151" s="84"/>
      <c r="Q151" s="84"/>
      <c r="R151" s="5"/>
      <c r="S151" s="5"/>
      <c r="T151" s="5"/>
      <c r="AA151" s="7">
        <v>4.431358405E9</v>
      </c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84"/>
      <c r="P152" s="84"/>
      <c r="Q152" s="84"/>
      <c r="R152" s="5"/>
      <c r="S152" s="5"/>
      <c r="T152" s="5"/>
      <c r="AA152" s="7">
        <v>4.431415536E9</v>
      </c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84"/>
      <c r="P153" s="84"/>
      <c r="Q153" s="84"/>
      <c r="R153" s="5"/>
      <c r="S153" s="5"/>
      <c r="T153" s="5"/>
      <c r="AA153" s="7">
        <v>4.431677121E9</v>
      </c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84"/>
      <c r="P154" s="84"/>
      <c r="Q154" s="84"/>
      <c r="R154" s="5"/>
      <c r="S154" s="5"/>
      <c r="T154" s="5"/>
      <c r="AA154" s="7">
        <v>4.432078351E9</v>
      </c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84"/>
      <c r="P155" s="84"/>
      <c r="Q155" s="84"/>
      <c r="R155" s="5"/>
      <c r="S155" s="5"/>
      <c r="T155" s="5"/>
      <c r="AA155" s="7">
        <v>4.432276388E9</v>
      </c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84"/>
      <c r="P156" s="84"/>
      <c r="Q156" s="84"/>
      <c r="R156" s="5"/>
      <c r="S156" s="5"/>
      <c r="T156" s="5"/>
      <c r="AA156" s="7">
        <v>4.43264681E9</v>
      </c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84"/>
      <c r="P157" s="84"/>
      <c r="Q157" s="84"/>
      <c r="R157" s="5"/>
      <c r="S157" s="5"/>
      <c r="T157" s="5"/>
      <c r="AA157" s="7">
        <v>4.432725034E9</v>
      </c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84"/>
      <c r="P158" s="84"/>
      <c r="Q158" s="84"/>
      <c r="R158" s="5"/>
      <c r="S158" s="5"/>
      <c r="T158" s="5"/>
      <c r="AA158" s="7">
        <v>4.433031171E9</v>
      </c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84"/>
      <c r="P159" s="84"/>
      <c r="Q159" s="84"/>
      <c r="R159" s="5"/>
      <c r="S159" s="5"/>
      <c r="T159" s="5"/>
      <c r="AA159" s="7">
        <v>4.433765288E9</v>
      </c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84"/>
      <c r="P160" s="84"/>
      <c r="Q160" s="84"/>
      <c r="R160" s="5"/>
      <c r="S160" s="5"/>
      <c r="T160" s="5"/>
      <c r="AA160" s="7">
        <v>4.434108329E9</v>
      </c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84"/>
      <c r="P161" s="84"/>
      <c r="Q161" s="84"/>
      <c r="R161" s="5"/>
      <c r="S161" s="5"/>
      <c r="T161" s="5"/>
      <c r="AA161" s="7">
        <v>4.434108665E9</v>
      </c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84"/>
      <c r="P162" s="84"/>
      <c r="Q162" s="84"/>
      <c r="R162" s="5"/>
      <c r="S162" s="5"/>
      <c r="T162" s="5"/>
      <c r="AA162" s="7">
        <v>4.434913907E9</v>
      </c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84"/>
      <c r="P163" s="84"/>
      <c r="Q163" s="84"/>
      <c r="R163" s="5"/>
      <c r="S163" s="5"/>
      <c r="T163" s="5"/>
      <c r="AA163" s="7">
        <v>4.434913911E9</v>
      </c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84"/>
      <c r="P164" s="84"/>
      <c r="Q164" s="84"/>
      <c r="R164" s="5"/>
      <c r="S164" s="5"/>
      <c r="T164" s="5"/>
      <c r="AA164" s="7">
        <v>4.434913913E9</v>
      </c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84"/>
      <c r="P165" s="84"/>
      <c r="Q165" s="84"/>
      <c r="R165" s="5"/>
      <c r="S165" s="5"/>
      <c r="T165" s="5"/>
      <c r="AA165" s="7">
        <v>4.434913915E9</v>
      </c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84"/>
      <c r="P166" s="84"/>
      <c r="Q166" s="84"/>
      <c r="R166" s="5"/>
      <c r="S166" s="5"/>
      <c r="T166" s="5"/>
      <c r="AA166" s="7">
        <v>4.691214431E9</v>
      </c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84"/>
      <c r="P167" s="84"/>
      <c r="Q167" s="84"/>
      <c r="R167" s="5"/>
      <c r="S167" s="5"/>
      <c r="T167" s="5"/>
      <c r="AA167" s="7">
        <v>4.691214464E9</v>
      </c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84"/>
      <c r="P168" s="84"/>
      <c r="Q168" s="84"/>
      <c r="R168" s="5"/>
      <c r="S168" s="5"/>
      <c r="T168" s="5"/>
      <c r="AA168" s="7">
        <v>4.691215361E9</v>
      </c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84"/>
      <c r="P169" s="84"/>
      <c r="Q169" s="84"/>
      <c r="R169" s="5"/>
      <c r="S169" s="5"/>
      <c r="T169" s="5"/>
      <c r="AA169" s="7">
        <v>4.691215969E9</v>
      </c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84"/>
      <c r="P170" s="84"/>
      <c r="Q170" s="84"/>
      <c r="R170" s="5"/>
      <c r="S170" s="5"/>
      <c r="T170" s="5"/>
      <c r="AA170" s="7">
        <v>4.696211513E9</v>
      </c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84"/>
      <c r="P171" s="84"/>
      <c r="Q171" s="84"/>
      <c r="R171" s="5"/>
      <c r="S171" s="5"/>
      <c r="T171" s="5"/>
      <c r="AA171" s="7">
        <v>7.531153361E9</v>
      </c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84"/>
      <c r="P172" s="84"/>
      <c r="Q172" s="84"/>
      <c r="R172" s="5"/>
      <c r="S172" s="5"/>
      <c r="T172" s="5"/>
      <c r="AA172" s="7">
        <v>7.531200508E9</v>
      </c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84"/>
      <c r="P173" s="84"/>
      <c r="Q173" s="84"/>
      <c r="R173" s="5"/>
      <c r="S173" s="5"/>
      <c r="T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84"/>
      <c r="P174" s="84"/>
      <c r="Q174" s="84"/>
      <c r="R174" s="5"/>
      <c r="S174" s="5"/>
      <c r="T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84"/>
      <c r="P175" s="84"/>
      <c r="Q175" s="84"/>
      <c r="R175" s="5"/>
      <c r="S175" s="5"/>
      <c r="T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84"/>
      <c r="P176" s="84"/>
      <c r="Q176" s="84"/>
      <c r="R176" s="5"/>
      <c r="S176" s="5"/>
      <c r="T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84"/>
      <c r="P177" s="84"/>
      <c r="Q177" s="84"/>
      <c r="R177" s="5"/>
      <c r="S177" s="5"/>
      <c r="T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84"/>
      <c r="P178" s="84"/>
      <c r="Q178" s="84"/>
      <c r="R178" s="5"/>
      <c r="S178" s="5"/>
      <c r="T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84"/>
      <c r="P179" s="84"/>
      <c r="Q179" s="84"/>
      <c r="R179" s="5"/>
      <c r="S179" s="5"/>
      <c r="T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84"/>
      <c r="P180" s="84"/>
      <c r="Q180" s="84"/>
      <c r="R180" s="5"/>
      <c r="S180" s="5"/>
      <c r="T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84"/>
      <c r="P181" s="84"/>
      <c r="Q181" s="84"/>
      <c r="R181" s="5"/>
      <c r="S181" s="5"/>
      <c r="T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84"/>
      <c r="P182" s="84"/>
      <c r="Q182" s="84"/>
      <c r="R182" s="5"/>
      <c r="S182" s="5"/>
      <c r="T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84"/>
      <c r="P183" s="84"/>
      <c r="Q183" s="84"/>
      <c r="R183" s="5"/>
      <c r="S183" s="5"/>
      <c r="T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84"/>
      <c r="P184" s="84"/>
      <c r="Q184" s="84"/>
      <c r="R184" s="5"/>
      <c r="S184" s="5"/>
      <c r="T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84"/>
      <c r="P185" s="84"/>
      <c r="Q185" s="84"/>
      <c r="R185" s="5"/>
      <c r="S185" s="5"/>
      <c r="T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84"/>
      <c r="P186" s="84"/>
      <c r="Q186" s="84"/>
      <c r="R186" s="5"/>
      <c r="S186" s="5"/>
      <c r="T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84"/>
      <c r="P187" s="84"/>
      <c r="Q187" s="84"/>
      <c r="R187" s="5"/>
      <c r="S187" s="5"/>
      <c r="T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84"/>
      <c r="P188" s="84"/>
      <c r="Q188" s="84"/>
      <c r="R188" s="5"/>
      <c r="S188" s="5"/>
      <c r="T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84"/>
      <c r="P189" s="84"/>
      <c r="Q189" s="84"/>
      <c r="R189" s="5"/>
      <c r="S189" s="5"/>
      <c r="T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84"/>
      <c r="P190" s="84"/>
      <c r="Q190" s="84"/>
      <c r="R190" s="5"/>
      <c r="S190" s="5"/>
      <c r="T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84"/>
      <c r="P191" s="84"/>
      <c r="Q191" s="84"/>
      <c r="R191" s="5"/>
      <c r="S191" s="5"/>
      <c r="T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84"/>
      <c r="P192" s="84"/>
      <c r="Q192" s="84"/>
      <c r="R192" s="5"/>
      <c r="S192" s="5"/>
      <c r="T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84"/>
      <c r="P193" s="84"/>
      <c r="Q193" s="84"/>
      <c r="R193" s="5"/>
      <c r="S193" s="5"/>
      <c r="T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84"/>
      <c r="P194" s="84"/>
      <c r="Q194" s="84"/>
      <c r="R194" s="5"/>
      <c r="S194" s="5"/>
      <c r="T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84"/>
      <c r="P195" s="84"/>
      <c r="Q195" s="84"/>
      <c r="R195" s="5"/>
      <c r="S195" s="5"/>
      <c r="T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84"/>
      <c r="P196" s="84"/>
      <c r="Q196" s="84"/>
      <c r="R196" s="5"/>
      <c r="S196" s="5"/>
      <c r="T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84"/>
      <c r="P197" s="84"/>
      <c r="Q197" s="84"/>
      <c r="R197" s="5"/>
      <c r="S197" s="5"/>
      <c r="T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84"/>
      <c r="P198" s="84"/>
      <c r="Q198" s="84"/>
      <c r="R198" s="5"/>
      <c r="S198" s="5"/>
      <c r="T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84"/>
      <c r="P199" s="84"/>
      <c r="Q199" s="84"/>
      <c r="R199" s="5"/>
      <c r="S199" s="5"/>
      <c r="T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84"/>
      <c r="P200" s="84"/>
      <c r="Q200" s="84"/>
      <c r="R200" s="5"/>
      <c r="S200" s="5"/>
      <c r="T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84"/>
      <c r="P201" s="84"/>
      <c r="Q201" s="84"/>
      <c r="R201" s="5"/>
      <c r="S201" s="5"/>
      <c r="T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84"/>
      <c r="P202" s="84"/>
      <c r="Q202" s="84"/>
      <c r="R202" s="5"/>
      <c r="S202" s="5"/>
      <c r="T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84"/>
      <c r="P203" s="84"/>
      <c r="Q203" s="84"/>
      <c r="R203" s="5"/>
      <c r="S203" s="5"/>
      <c r="T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84"/>
      <c r="P204" s="84"/>
      <c r="Q204" s="84"/>
      <c r="R204" s="5"/>
      <c r="S204" s="5"/>
      <c r="T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84"/>
      <c r="P205" s="84"/>
      <c r="Q205" s="84"/>
      <c r="R205" s="5"/>
      <c r="S205" s="5"/>
      <c r="T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84"/>
      <c r="P206" s="84"/>
      <c r="Q206" s="84"/>
      <c r="R206" s="5"/>
      <c r="S206" s="5"/>
      <c r="T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84"/>
      <c r="P207" s="84"/>
      <c r="Q207" s="84"/>
      <c r="R207" s="5"/>
      <c r="S207" s="5"/>
      <c r="T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84"/>
      <c r="P208" s="84"/>
      <c r="Q208" s="84"/>
      <c r="R208" s="5"/>
      <c r="S208" s="5"/>
      <c r="T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84"/>
      <c r="P209" s="84"/>
      <c r="Q209" s="84"/>
      <c r="R209" s="5"/>
      <c r="S209" s="5"/>
      <c r="T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84"/>
      <c r="P210" s="84"/>
      <c r="Q210" s="84"/>
      <c r="R210" s="5"/>
      <c r="S210" s="5"/>
      <c r="T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84"/>
      <c r="P211" s="84"/>
      <c r="Q211" s="84"/>
      <c r="R211" s="5"/>
      <c r="S211" s="5"/>
      <c r="T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84"/>
      <c r="P212" s="84"/>
      <c r="Q212" s="84"/>
      <c r="R212" s="5"/>
      <c r="S212" s="5"/>
      <c r="T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84"/>
      <c r="P213" s="84"/>
      <c r="Q213" s="84"/>
      <c r="R213" s="5"/>
      <c r="S213" s="5"/>
      <c r="T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84"/>
      <c r="P214" s="84"/>
      <c r="Q214" s="84"/>
      <c r="R214" s="5"/>
      <c r="S214" s="5"/>
      <c r="T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84"/>
      <c r="P215" s="84"/>
      <c r="Q215" s="84"/>
      <c r="R215" s="5"/>
      <c r="S215" s="5"/>
      <c r="T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84"/>
      <c r="P216" s="84"/>
      <c r="Q216" s="84"/>
      <c r="R216" s="5"/>
      <c r="S216" s="5"/>
      <c r="T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84"/>
      <c r="P217" s="84"/>
      <c r="Q217" s="84"/>
      <c r="R217" s="5"/>
      <c r="S217" s="5"/>
      <c r="T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84"/>
      <c r="P218" s="84"/>
      <c r="Q218" s="84"/>
      <c r="R218" s="5"/>
      <c r="S218" s="5"/>
      <c r="T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84"/>
      <c r="P219" s="84"/>
      <c r="Q219" s="84"/>
      <c r="R219" s="5"/>
      <c r="S219" s="5"/>
      <c r="T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84"/>
      <c r="P220" s="84"/>
      <c r="Q220" s="84"/>
      <c r="R220" s="5"/>
      <c r="S220" s="5"/>
      <c r="T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84"/>
      <c r="P221" s="84"/>
      <c r="Q221" s="84"/>
      <c r="R221" s="5"/>
      <c r="S221" s="5"/>
      <c r="T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84"/>
      <c r="P222" s="84"/>
      <c r="Q222" s="84"/>
      <c r="R222" s="5"/>
      <c r="S222" s="5"/>
      <c r="T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84"/>
      <c r="P223" s="84"/>
      <c r="Q223" s="84"/>
      <c r="R223" s="5"/>
      <c r="S223" s="5"/>
      <c r="T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84"/>
      <c r="P224" s="84"/>
      <c r="Q224" s="84"/>
      <c r="R224" s="5"/>
      <c r="S224" s="5"/>
      <c r="T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84"/>
      <c r="P225" s="84"/>
      <c r="Q225" s="84"/>
      <c r="R225" s="5"/>
      <c r="S225" s="5"/>
      <c r="T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84"/>
      <c r="P226" s="84"/>
      <c r="Q226" s="84"/>
      <c r="R226" s="5"/>
      <c r="S226" s="5"/>
      <c r="T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84"/>
      <c r="P227" s="84"/>
      <c r="Q227" s="84"/>
      <c r="R227" s="5"/>
      <c r="S227" s="5"/>
      <c r="T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84"/>
      <c r="P228" s="84"/>
      <c r="Q228" s="84"/>
      <c r="R228" s="5"/>
      <c r="S228" s="5"/>
      <c r="T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84"/>
      <c r="P229" s="84"/>
      <c r="Q229" s="84"/>
      <c r="R229" s="5"/>
      <c r="S229" s="5"/>
      <c r="T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84"/>
      <c r="P230" s="84"/>
      <c r="Q230" s="84"/>
      <c r="R230" s="5"/>
      <c r="S230" s="5"/>
      <c r="T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84"/>
      <c r="P231" s="84"/>
      <c r="Q231" s="84"/>
      <c r="R231" s="5"/>
      <c r="S231" s="5"/>
      <c r="T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84"/>
      <c r="P232" s="84"/>
      <c r="Q232" s="84"/>
      <c r="R232" s="5"/>
      <c r="S232" s="5"/>
      <c r="T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84"/>
      <c r="P233" s="84"/>
      <c r="Q233" s="84"/>
      <c r="R233" s="5"/>
      <c r="S233" s="5"/>
      <c r="T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84"/>
      <c r="P234" s="84"/>
      <c r="Q234" s="84"/>
      <c r="R234" s="5"/>
      <c r="S234" s="5"/>
      <c r="T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84"/>
      <c r="P235" s="84"/>
      <c r="Q235" s="84"/>
      <c r="R235" s="5"/>
      <c r="S235" s="5"/>
      <c r="T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84"/>
      <c r="P236" s="84"/>
      <c r="Q236" s="84"/>
      <c r="R236" s="5"/>
      <c r="S236" s="5"/>
      <c r="T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84"/>
      <c r="P237" s="84"/>
      <c r="Q237" s="84"/>
      <c r="R237" s="5"/>
      <c r="S237" s="5"/>
      <c r="T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84"/>
      <c r="P238" s="84"/>
      <c r="Q238" s="84"/>
      <c r="R238" s="5"/>
      <c r="S238" s="5"/>
      <c r="T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84"/>
      <c r="P239" s="84"/>
      <c r="Q239" s="84"/>
      <c r="R239" s="5"/>
      <c r="S239" s="5"/>
      <c r="T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84"/>
      <c r="P240" s="84"/>
      <c r="Q240" s="84"/>
      <c r="R240" s="5"/>
      <c r="S240" s="5"/>
      <c r="T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84"/>
      <c r="P241" s="84"/>
      <c r="Q241" s="84"/>
      <c r="R241" s="5"/>
      <c r="S241" s="5"/>
      <c r="T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84"/>
      <c r="P242" s="84"/>
      <c r="Q242" s="84"/>
      <c r="R242" s="5"/>
      <c r="S242" s="5"/>
      <c r="T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84"/>
      <c r="P243" s="84"/>
      <c r="Q243" s="84"/>
      <c r="R243" s="5"/>
      <c r="S243" s="5"/>
      <c r="T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84"/>
      <c r="P244" s="84"/>
      <c r="Q244" s="84"/>
      <c r="R244" s="5"/>
      <c r="S244" s="5"/>
      <c r="T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84"/>
      <c r="P245" s="84"/>
      <c r="Q245" s="84"/>
      <c r="R245" s="5"/>
      <c r="S245" s="5"/>
      <c r="T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84"/>
      <c r="P246" s="84"/>
      <c r="Q246" s="84"/>
      <c r="R246" s="5"/>
      <c r="S246" s="5"/>
      <c r="T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84"/>
      <c r="P247" s="84"/>
      <c r="Q247" s="84"/>
      <c r="R247" s="5"/>
      <c r="S247" s="5"/>
      <c r="T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84"/>
      <c r="P248" s="84"/>
      <c r="Q248" s="84"/>
      <c r="R248" s="5"/>
      <c r="S248" s="5"/>
      <c r="T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84"/>
      <c r="P249" s="84"/>
      <c r="Q249" s="84"/>
      <c r="R249" s="5"/>
      <c r="S249" s="5"/>
      <c r="T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84"/>
      <c r="P250" s="84"/>
      <c r="Q250" s="84"/>
      <c r="R250" s="5"/>
      <c r="S250" s="5"/>
      <c r="T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84"/>
      <c r="P251" s="84"/>
      <c r="Q251" s="84"/>
      <c r="R251" s="5"/>
      <c r="S251" s="5"/>
      <c r="T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84"/>
      <c r="P252" s="84"/>
      <c r="Q252" s="84"/>
      <c r="R252" s="5"/>
      <c r="S252" s="5"/>
      <c r="T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84"/>
      <c r="P253" s="84"/>
      <c r="Q253" s="84"/>
      <c r="R253" s="5"/>
      <c r="S253" s="5"/>
      <c r="T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84"/>
      <c r="P254" s="84"/>
      <c r="Q254" s="84"/>
      <c r="R254" s="5"/>
      <c r="S254" s="5"/>
      <c r="T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84"/>
      <c r="P255" s="84"/>
      <c r="Q255" s="84"/>
      <c r="R255" s="5"/>
      <c r="S255" s="5"/>
      <c r="T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84"/>
      <c r="P256" s="84"/>
      <c r="Q256" s="84"/>
      <c r="R256" s="5"/>
      <c r="S256" s="5"/>
      <c r="T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84"/>
      <c r="P257" s="84"/>
      <c r="Q257" s="84"/>
      <c r="R257" s="5"/>
      <c r="S257" s="5"/>
      <c r="T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84"/>
      <c r="P258" s="84"/>
      <c r="Q258" s="84"/>
      <c r="R258" s="5"/>
      <c r="S258" s="5"/>
      <c r="T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84"/>
      <c r="P259" s="84"/>
      <c r="Q259" s="84"/>
      <c r="R259" s="5"/>
      <c r="S259" s="5"/>
      <c r="T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84"/>
      <c r="P260" s="84"/>
      <c r="Q260" s="84"/>
      <c r="R260" s="5"/>
      <c r="S260" s="5"/>
      <c r="T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84"/>
      <c r="P261" s="84"/>
      <c r="Q261" s="84"/>
      <c r="R261" s="5"/>
      <c r="S261" s="5"/>
      <c r="T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84"/>
      <c r="P262" s="84"/>
      <c r="Q262" s="84"/>
      <c r="R262" s="5"/>
      <c r="S262" s="5"/>
      <c r="T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84"/>
      <c r="P263" s="84"/>
      <c r="Q263" s="84"/>
      <c r="R263" s="5"/>
      <c r="S263" s="5"/>
      <c r="T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84"/>
      <c r="P264" s="84"/>
      <c r="Q264" s="84"/>
      <c r="R264" s="5"/>
      <c r="S264" s="5"/>
      <c r="T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84"/>
      <c r="P265" s="84"/>
      <c r="Q265" s="84"/>
      <c r="R265" s="5"/>
      <c r="S265" s="5"/>
      <c r="T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84"/>
      <c r="P266" s="84"/>
      <c r="Q266" s="84"/>
      <c r="R266" s="5"/>
      <c r="S266" s="5"/>
      <c r="T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84"/>
      <c r="P267" s="84"/>
      <c r="Q267" s="84"/>
      <c r="R267" s="5"/>
      <c r="S267" s="5"/>
      <c r="T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84"/>
      <c r="P268" s="84"/>
      <c r="Q268" s="84"/>
      <c r="R268" s="5"/>
      <c r="S268" s="5"/>
      <c r="T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84"/>
      <c r="P269" s="84"/>
      <c r="Q269" s="84"/>
      <c r="R269" s="5"/>
      <c r="S269" s="5"/>
      <c r="T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84"/>
      <c r="P270" s="84"/>
      <c r="Q270" s="84"/>
      <c r="R270" s="5"/>
      <c r="S270" s="5"/>
      <c r="T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84"/>
      <c r="P271" s="84"/>
      <c r="Q271" s="84"/>
      <c r="R271" s="5"/>
      <c r="S271" s="5"/>
      <c r="T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84"/>
      <c r="P272" s="84"/>
      <c r="Q272" s="84"/>
      <c r="R272" s="5"/>
      <c r="S272" s="5"/>
      <c r="T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84"/>
      <c r="P273" s="84"/>
      <c r="Q273" s="84"/>
      <c r="R273" s="5"/>
      <c r="S273" s="5"/>
      <c r="T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84"/>
      <c r="P274" s="84"/>
      <c r="Q274" s="84"/>
      <c r="R274" s="5"/>
      <c r="S274" s="5"/>
      <c r="T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84"/>
      <c r="P275" s="84"/>
      <c r="Q275" s="84"/>
      <c r="R275" s="5"/>
      <c r="S275" s="5"/>
      <c r="T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84"/>
      <c r="P276" s="84"/>
      <c r="Q276" s="84"/>
      <c r="R276" s="5"/>
      <c r="S276" s="5"/>
      <c r="T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84"/>
      <c r="P277" s="84"/>
      <c r="Q277" s="84"/>
      <c r="R277" s="5"/>
      <c r="S277" s="5"/>
      <c r="T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84"/>
      <c r="P278" s="84"/>
      <c r="Q278" s="84"/>
      <c r="R278" s="5"/>
      <c r="S278" s="5"/>
      <c r="T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84"/>
      <c r="P279" s="84"/>
      <c r="Q279" s="84"/>
      <c r="R279" s="5"/>
      <c r="S279" s="5"/>
      <c r="T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84"/>
      <c r="P280" s="84"/>
      <c r="Q280" s="84"/>
      <c r="R280" s="5"/>
      <c r="S280" s="5"/>
      <c r="T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84"/>
      <c r="P281" s="84"/>
      <c r="Q281" s="84"/>
      <c r="R281" s="5"/>
      <c r="S281" s="5"/>
      <c r="T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84"/>
      <c r="P282" s="84"/>
      <c r="Q282" s="84"/>
      <c r="R282" s="5"/>
      <c r="S282" s="5"/>
      <c r="T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84"/>
      <c r="P283" s="84"/>
      <c r="Q283" s="84"/>
      <c r="R283" s="5"/>
      <c r="S283" s="5"/>
      <c r="T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84"/>
      <c r="P284" s="84"/>
      <c r="Q284" s="84"/>
      <c r="R284" s="5"/>
      <c r="S284" s="5"/>
      <c r="T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84"/>
      <c r="P285" s="84"/>
      <c r="Q285" s="84"/>
      <c r="R285" s="5"/>
      <c r="S285" s="5"/>
      <c r="T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84"/>
      <c r="P286" s="84"/>
      <c r="Q286" s="84"/>
      <c r="R286" s="5"/>
      <c r="S286" s="5"/>
      <c r="T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84"/>
      <c r="P287" s="84"/>
      <c r="Q287" s="84"/>
      <c r="R287" s="5"/>
      <c r="S287" s="5"/>
      <c r="T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84"/>
      <c r="P288" s="84"/>
      <c r="Q288" s="84"/>
      <c r="R288" s="5"/>
      <c r="S288" s="5"/>
      <c r="T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84"/>
      <c r="P289" s="84"/>
      <c r="Q289" s="84"/>
      <c r="R289" s="5"/>
      <c r="S289" s="5"/>
      <c r="T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84"/>
      <c r="P290" s="84"/>
      <c r="Q290" s="84"/>
      <c r="R290" s="5"/>
      <c r="S290" s="5"/>
      <c r="T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84"/>
      <c r="P291" s="84"/>
      <c r="Q291" s="84"/>
      <c r="R291" s="5"/>
      <c r="S291" s="5"/>
      <c r="T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84"/>
      <c r="P292" s="84"/>
      <c r="Q292" s="84"/>
      <c r="R292" s="5"/>
      <c r="S292" s="5"/>
      <c r="T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84"/>
      <c r="P293" s="84"/>
      <c r="Q293" s="84"/>
      <c r="R293" s="5"/>
      <c r="S293" s="5"/>
      <c r="T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84"/>
      <c r="P294" s="84"/>
      <c r="Q294" s="84"/>
      <c r="R294" s="5"/>
      <c r="S294" s="5"/>
      <c r="T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84"/>
      <c r="P295" s="84"/>
      <c r="Q295" s="84"/>
      <c r="R295" s="5"/>
      <c r="S295" s="5"/>
      <c r="T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84"/>
      <c r="P296" s="84"/>
      <c r="Q296" s="84"/>
      <c r="R296" s="5"/>
      <c r="S296" s="5"/>
      <c r="T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84"/>
      <c r="P297" s="84"/>
      <c r="Q297" s="84"/>
      <c r="R297" s="5"/>
      <c r="S297" s="5"/>
      <c r="T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84"/>
      <c r="P298" s="84"/>
      <c r="Q298" s="84"/>
      <c r="R298" s="5"/>
      <c r="S298" s="5"/>
      <c r="T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84"/>
      <c r="P299" s="84"/>
      <c r="Q299" s="84"/>
      <c r="R299" s="5"/>
      <c r="S299" s="5"/>
      <c r="T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84"/>
      <c r="P300" s="84"/>
      <c r="Q300" s="84"/>
      <c r="R300" s="5"/>
      <c r="S300" s="5"/>
      <c r="T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84"/>
      <c r="P301" s="84"/>
      <c r="Q301" s="84"/>
      <c r="R301" s="5"/>
      <c r="S301" s="5"/>
      <c r="T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84"/>
      <c r="P302" s="84"/>
      <c r="Q302" s="84"/>
      <c r="R302" s="5"/>
      <c r="S302" s="5"/>
      <c r="T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84"/>
      <c r="P303" s="84"/>
      <c r="Q303" s="84"/>
      <c r="R303" s="5"/>
      <c r="S303" s="5"/>
      <c r="T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84"/>
      <c r="P304" s="84"/>
      <c r="Q304" s="84"/>
      <c r="R304" s="5"/>
      <c r="S304" s="5"/>
      <c r="T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84"/>
      <c r="P305" s="84"/>
      <c r="Q305" s="84"/>
      <c r="R305" s="5"/>
      <c r="S305" s="5"/>
      <c r="T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84"/>
      <c r="P306" s="84"/>
      <c r="Q306" s="84"/>
      <c r="R306" s="5"/>
      <c r="S306" s="5"/>
      <c r="T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84"/>
      <c r="P307" s="84"/>
      <c r="Q307" s="84"/>
      <c r="R307" s="5"/>
      <c r="S307" s="5"/>
      <c r="T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84"/>
      <c r="P308" s="84"/>
      <c r="Q308" s="84"/>
      <c r="R308" s="5"/>
      <c r="S308" s="5"/>
      <c r="T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84"/>
      <c r="P309" s="84"/>
      <c r="Q309" s="84"/>
      <c r="R309" s="5"/>
      <c r="S309" s="5"/>
      <c r="T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84"/>
      <c r="P310" s="84"/>
      <c r="Q310" s="84"/>
      <c r="R310" s="5"/>
      <c r="S310" s="5"/>
      <c r="T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84"/>
      <c r="P311" s="84"/>
      <c r="Q311" s="84"/>
      <c r="R311" s="5"/>
      <c r="S311" s="5"/>
      <c r="T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84"/>
      <c r="P312" s="84"/>
      <c r="Q312" s="84"/>
      <c r="R312" s="5"/>
      <c r="S312" s="5"/>
      <c r="T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84"/>
      <c r="P313" s="84"/>
      <c r="Q313" s="84"/>
      <c r="R313" s="5"/>
      <c r="S313" s="5"/>
      <c r="T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84"/>
      <c r="P314" s="84"/>
      <c r="Q314" s="84"/>
      <c r="R314" s="5"/>
      <c r="S314" s="5"/>
      <c r="T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84"/>
      <c r="P315" s="84"/>
      <c r="Q315" s="84"/>
      <c r="R315" s="5"/>
      <c r="S315" s="5"/>
      <c r="T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84"/>
      <c r="P316" s="84"/>
      <c r="Q316" s="84"/>
      <c r="R316" s="5"/>
      <c r="S316" s="5"/>
      <c r="T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84"/>
      <c r="P317" s="84"/>
      <c r="Q317" s="84"/>
      <c r="R317" s="5"/>
      <c r="S317" s="5"/>
      <c r="T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84"/>
      <c r="P318" s="84"/>
      <c r="Q318" s="84"/>
      <c r="R318" s="5"/>
      <c r="S318" s="5"/>
      <c r="T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84"/>
      <c r="P319" s="84"/>
      <c r="Q319" s="84"/>
      <c r="R319" s="5"/>
      <c r="S319" s="5"/>
      <c r="T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84"/>
      <c r="P320" s="84"/>
      <c r="Q320" s="84"/>
      <c r="R320" s="5"/>
      <c r="S320" s="5"/>
      <c r="T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84"/>
      <c r="P321" s="84"/>
      <c r="Q321" s="84"/>
      <c r="R321" s="5"/>
      <c r="S321" s="5"/>
      <c r="T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84"/>
      <c r="P322" s="84"/>
      <c r="Q322" s="84"/>
      <c r="R322" s="5"/>
      <c r="S322" s="5"/>
      <c r="T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84"/>
      <c r="P323" s="84"/>
      <c r="Q323" s="84"/>
      <c r="R323" s="5"/>
      <c r="S323" s="5"/>
      <c r="T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84"/>
      <c r="P324" s="84"/>
      <c r="Q324" s="84"/>
      <c r="R324" s="5"/>
      <c r="S324" s="5"/>
      <c r="T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84"/>
      <c r="P325" s="84"/>
      <c r="Q325" s="84"/>
      <c r="R325" s="5"/>
      <c r="S325" s="5"/>
      <c r="T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84"/>
      <c r="P326" s="84"/>
      <c r="Q326" s="84"/>
      <c r="R326" s="5"/>
      <c r="S326" s="5"/>
      <c r="T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84"/>
      <c r="P327" s="84"/>
      <c r="Q327" s="84"/>
      <c r="R327" s="5"/>
      <c r="S327" s="5"/>
      <c r="T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84"/>
      <c r="P328" s="84"/>
      <c r="Q328" s="84"/>
      <c r="R328" s="5"/>
      <c r="S328" s="5"/>
      <c r="T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84"/>
      <c r="P329" s="84"/>
      <c r="Q329" s="84"/>
      <c r="R329" s="5"/>
      <c r="S329" s="5"/>
      <c r="T329" s="5"/>
    </row>
    <row r="330" ht="15.75" customHeight="1">
      <c r="O330" s="84"/>
      <c r="P330" s="84"/>
      <c r="Q330" s="84"/>
    </row>
    <row r="331" ht="15.75" customHeight="1">
      <c r="O331" s="84"/>
      <c r="P331" s="84"/>
      <c r="Q331" s="84"/>
    </row>
    <row r="332" ht="15.75" customHeight="1">
      <c r="O332" s="84"/>
      <c r="P332" s="84"/>
      <c r="Q332" s="84"/>
    </row>
    <row r="333" ht="15.75" customHeight="1">
      <c r="O333" s="84"/>
      <c r="P333" s="84"/>
      <c r="Q333" s="84"/>
    </row>
    <row r="334" ht="15.75" customHeight="1">
      <c r="O334" s="84"/>
      <c r="P334" s="84"/>
      <c r="Q334" s="84"/>
    </row>
    <row r="335" ht="15.75" customHeight="1">
      <c r="O335" s="84"/>
      <c r="P335" s="84"/>
      <c r="Q335" s="84"/>
    </row>
    <row r="336" ht="15.75" customHeight="1">
      <c r="O336" s="84"/>
      <c r="P336" s="84"/>
      <c r="Q336" s="84"/>
    </row>
    <row r="337" ht="15.75" customHeight="1">
      <c r="O337" s="84"/>
      <c r="P337" s="84"/>
      <c r="Q337" s="84"/>
    </row>
    <row r="338" ht="15.75" customHeight="1">
      <c r="O338" s="84"/>
      <c r="P338" s="84"/>
      <c r="Q338" s="84"/>
    </row>
    <row r="339" ht="15.75" customHeight="1">
      <c r="O339" s="84"/>
      <c r="P339" s="84"/>
      <c r="Q339" s="84"/>
    </row>
    <row r="340" ht="15.75" customHeight="1">
      <c r="O340" s="84"/>
      <c r="P340" s="84"/>
      <c r="Q340" s="84"/>
    </row>
    <row r="341" ht="15.75" customHeight="1">
      <c r="O341" s="84"/>
      <c r="P341" s="84"/>
      <c r="Q341" s="84"/>
    </row>
    <row r="342" ht="15.75" customHeight="1">
      <c r="O342" s="84"/>
      <c r="P342" s="84"/>
      <c r="Q342" s="84"/>
    </row>
    <row r="343" ht="15.75" customHeight="1">
      <c r="O343" s="84"/>
      <c r="P343" s="84"/>
      <c r="Q343" s="84"/>
    </row>
    <row r="344" ht="15.75" customHeight="1">
      <c r="O344" s="84"/>
      <c r="P344" s="84"/>
      <c r="Q344" s="84"/>
    </row>
    <row r="345" ht="15.75" customHeight="1">
      <c r="O345" s="84"/>
      <c r="P345" s="84"/>
      <c r="Q345" s="84"/>
    </row>
    <row r="346" ht="15.75" customHeight="1">
      <c r="O346" s="84"/>
      <c r="P346" s="84"/>
      <c r="Q346" s="84"/>
    </row>
    <row r="347" ht="15.75" customHeight="1">
      <c r="O347" s="84"/>
      <c r="P347" s="84"/>
      <c r="Q347" s="84"/>
    </row>
    <row r="348" ht="15.75" customHeight="1">
      <c r="O348" s="84"/>
      <c r="P348" s="84"/>
      <c r="Q348" s="84"/>
    </row>
    <row r="349" ht="15.75" customHeight="1">
      <c r="O349" s="84"/>
      <c r="P349" s="84"/>
      <c r="Q349" s="84"/>
    </row>
    <row r="350" ht="15.75" customHeight="1">
      <c r="O350" s="84"/>
      <c r="P350" s="84"/>
      <c r="Q350" s="84"/>
    </row>
    <row r="351" ht="15.75" customHeight="1">
      <c r="O351" s="84"/>
      <c r="P351" s="84"/>
      <c r="Q351" s="84"/>
    </row>
    <row r="352" ht="15.75" customHeight="1">
      <c r="O352" s="84"/>
      <c r="P352" s="84"/>
      <c r="Q352" s="84"/>
    </row>
    <row r="353" ht="15.75" customHeight="1">
      <c r="O353" s="84"/>
      <c r="P353" s="84"/>
      <c r="Q353" s="84"/>
    </row>
    <row r="354" ht="15.75" customHeight="1">
      <c r="O354" s="84"/>
      <c r="P354" s="84"/>
      <c r="Q354" s="84"/>
    </row>
    <row r="355" ht="15.75" customHeight="1">
      <c r="O355" s="84"/>
      <c r="P355" s="84"/>
      <c r="Q355" s="84"/>
    </row>
    <row r="356" ht="15.75" customHeight="1">
      <c r="O356" s="84"/>
      <c r="P356" s="84"/>
      <c r="Q356" s="84"/>
    </row>
    <row r="357" ht="15.75" customHeight="1">
      <c r="O357" s="84"/>
      <c r="P357" s="84"/>
      <c r="Q357" s="84"/>
    </row>
    <row r="358" ht="15.75" customHeight="1">
      <c r="O358" s="84"/>
      <c r="P358" s="84"/>
      <c r="Q358" s="84"/>
    </row>
    <row r="359" ht="15.75" customHeight="1">
      <c r="O359" s="84"/>
      <c r="P359" s="84"/>
      <c r="Q359" s="84"/>
    </row>
    <row r="360" ht="15.75" customHeight="1">
      <c r="O360" s="84"/>
      <c r="P360" s="84"/>
      <c r="Q360" s="84"/>
    </row>
    <row r="361" ht="15.75" customHeight="1">
      <c r="O361" s="84"/>
      <c r="P361" s="84"/>
      <c r="Q361" s="84"/>
    </row>
    <row r="362" ht="15.75" customHeight="1">
      <c r="O362" s="84"/>
      <c r="P362" s="84"/>
      <c r="Q362" s="84"/>
    </row>
    <row r="363" ht="15.75" customHeight="1">
      <c r="O363" s="84"/>
      <c r="P363" s="84"/>
      <c r="Q363" s="84"/>
    </row>
    <row r="364" ht="15.75" customHeight="1">
      <c r="O364" s="84"/>
      <c r="P364" s="84"/>
      <c r="Q364" s="84"/>
    </row>
    <row r="365" ht="15.75" customHeight="1">
      <c r="O365" s="84"/>
      <c r="P365" s="84"/>
      <c r="Q365" s="84"/>
    </row>
    <row r="366" ht="15.75" customHeight="1">
      <c r="O366" s="84"/>
      <c r="P366" s="84"/>
      <c r="Q366" s="84"/>
    </row>
    <row r="367" ht="15.75" customHeight="1">
      <c r="O367" s="84"/>
      <c r="P367" s="84"/>
      <c r="Q367" s="84"/>
    </row>
    <row r="368" ht="15.75" customHeight="1">
      <c r="O368" s="84"/>
      <c r="P368" s="84"/>
      <c r="Q368" s="84"/>
    </row>
    <row r="369" ht="15.75" customHeight="1">
      <c r="O369" s="84"/>
      <c r="P369" s="84"/>
      <c r="Q369" s="84"/>
    </row>
    <row r="370" ht="15.75" customHeight="1">
      <c r="O370" s="84"/>
      <c r="P370" s="84"/>
      <c r="Q370" s="84"/>
    </row>
    <row r="371" ht="15.75" customHeight="1">
      <c r="O371" s="84"/>
      <c r="P371" s="84"/>
      <c r="Q371" s="84"/>
    </row>
    <row r="372" ht="15.75" customHeight="1">
      <c r="O372" s="84"/>
      <c r="P372" s="84"/>
      <c r="Q372" s="84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1:M1"/>
    <mergeCell ref="O1:Q1"/>
  </mergeCells>
  <printOptions/>
  <pageMargins bottom="0.75" footer="0.0" header="0.0" left="0.7" right="0.7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1.0"/>
    <col customWidth="1" min="2" max="2" width="30.29"/>
    <col customWidth="1" min="3" max="3" width="11.0"/>
    <col customWidth="1" min="4" max="4" width="20.0"/>
    <col customWidth="1" min="5" max="5" width="21.43"/>
    <col customWidth="1" min="6" max="6" width="14.43"/>
  </cols>
  <sheetData>
    <row r="1" ht="15.0" customHeight="1">
      <c r="A1" s="1" t="s">
        <v>32</v>
      </c>
      <c r="B1" s="1" t="s">
        <v>5</v>
      </c>
      <c r="C1" s="1" t="s">
        <v>6</v>
      </c>
      <c r="D1" s="1" t="s">
        <v>7</v>
      </c>
      <c r="E1" s="1" t="s">
        <v>9</v>
      </c>
    </row>
    <row r="2" ht="15.0" customHeight="1">
      <c r="A2" s="40">
        <v>3.318621158E9</v>
      </c>
      <c r="B2" s="40" t="s">
        <v>339</v>
      </c>
      <c r="C2" s="40" t="s">
        <v>40</v>
      </c>
      <c r="D2" s="40" t="s">
        <v>227</v>
      </c>
      <c r="E2" s="40" t="s">
        <v>44</v>
      </c>
    </row>
    <row r="3" ht="15.0" customHeight="1">
      <c r="A3" s="7">
        <v>3.93100134E9</v>
      </c>
      <c r="B3" s="7"/>
      <c r="C3" s="7"/>
      <c r="D3" s="7"/>
      <c r="E3" s="7"/>
    </row>
    <row r="4" ht="15.0" customHeight="1">
      <c r="A4" s="40">
        <v>3.931190252E9</v>
      </c>
      <c r="B4" s="40" t="s">
        <v>60</v>
      </c>
      <c r="C4" s="40" t="s">
        <v>40</v>
      </c>
      <c r="D4" s="40" t="s">
        <v>42</v>
      </c>
      <c r="E4" s="40" t="s">
        <v>44</v>
      </c>
    </row>
    <row r="5" ht="15.0" customHeight="1">
      <c r="A5" s="47">
        <v>3.931190275E9</v>
      </c>
      <c r="B5" s="47"/>
      <c r="C5" s="47"/>
      <c r="D5" s="47"/>
      <c r="E5" s="47"/>
    </row>
    <row r="6" ht="15.0" customHeight="1">
      <c r="A6" s="40">
        <v>3.931190277E9</v>
      </c>
      <c r="B6" s="40" t="s">
        <v>439</v>
      </c>
      <c r="C6" s="40" t="s">
        <v>40</v>
      </c>
      <c r="D6" s="40" t="s">
        <v>431</v>
      </c>
      <c r="E6" s="40" t="s">
        <v>440</v>
      </c>
    </row>
    <row r="7" ht="15.0" customHeight="1">
      <c r="A7" s="40">
        <v>3.931205198E9</v>
      </c>
      <c r="B7" s="40" t="s">
        <v>84</v>
      </c>
      <c r="C7" s="40" t="s">
        <v>40</v>
      </c>
      <c r="D7" s="40" t="s">
        <v>85</v>
      </c>
      <c r="E7" s="40" t="s">
        <v>67</v>
      </c>
    </row>
    <row r="8" ht="15.0" customHeight="1">
      <c r="A8" s="40">
        <v>3.931245254E9</v>
      </c>
      <c r="B8" s="40" t="s">
        <v>90</v>
      </c>
      <c r="C8" s="40" t="s">
        <v>40</v>
      </c>
      <c r="D8" s="40" t="s">
        <v>85</v>
      </c>
      <c r="E8" s="40" t="s">
        <v>91</v>
      </c>
    </row>
    <row r="9" ht="15.0" customHeight="1">
      <c r="A9" s="40">
        <v>3.951428204E9</v>
      </c>
      <c r="B9" s="40" t="s">
        <v>222</v>
      </c>
      <c r="C9" s="40" t="s">
        <v>43</v>
      </c>
      <c r="D9" s="40" t="s">
        <v>431</v>
      </c>
      <c r="E9" s="40" t="s">
        <v>223</v>
      </c>
    </row>
    <row r="10" ht="15.0" customHeight="1">
      <c r="A10" s="40">
        <v>4.432078351E9</v>
      </c>
      <c r="B10" s="40" t="s">
        <v>684</v>
      </c>
      <c r="C10" s="40" t="s">
        <v>168</v>
      </c>
      <c r="D10" s="40" t="s">
        <v>1549</v>
      </c>
      <c r="E10" s="40" t="s">
        <v>67</v>
      </c>
    </row>
    <row r="11" ht="15.0" customHeight="1">
      <c r="A11" s="40">
        <v>4.432276388E9</v>
      </c>
      <c r="B11" s="40" t="s">
        <v>675</v>
      </c>
      <c r="C11" s="40" t="s">
        <v>168</v>
      </c>
      <c r="D11" s="40" t="s">
        <v>227</v>
      </c>
      <c r="E11" s="40" t="s">
        <v>44</v>
      </c>
    </row>
    <row r="12">
      <c r="A12" s="62"/>
      <c r="B12" s="62"/>
      <c r="C12" s="62"/>
      <c r="D12" s="62"/>
      <c r="E12" s="62"/>
    </row>
    <row r="13">
      <c r="A13" s="62"/>
      <c r="B13" s="62"/>
      <c r="C13" s="62"/>
      <c r="D13" s="62"/>
      <c r="E13" s="62"/>
    </row>
    <row r="14">
      <c r="A14" s="62"/>
      <c r="B14" s="62"/>
      <c r="C14" s="62"/>
      <c r="D14" s="62"/>
      <c r="E14" s="62"/>
    </row>
    <row r="15">
      <c r="A15" s="62"/>
      <c r="B15" s="62"/>
      <c r="C15" s="62"/>
      <c r="D15" s="62"/>
      <c r="E15" s="62"/>
    </row>
    <row r="16">
      <c r="A16" s="62"/>
      <c r="B16" s="62"/>
      <c r="C16" s="62"/>
      <c r="D16" s="62"/>
      <c r="E16" s="62"/>
    </row>
    <row r="17">
      <c r="A17" s="62"/>
      <c r="B17" s="62"/>
      <c r="C17" s="62"/>
      <c r="D17" s="62"/>
      <c r="E17" s="62"/>
    </row>
    <row r="18">
      <c r="A18" s="62"/>
      <c r="B18" s="62"/>
      <c r="C18" s="62"/>
      <c r="D18" s="62"/>
      <c r="E18" s="62"/>
    </row>
    <row r="19">
      <c r="A19" s="62"/>
      <c r="B19" s="62"/>
      <c r="C19" s="62"/>
      <c r="D19" s="62"/>
      <c r="E19" s="62"/>
    </row>
    <row r="20">
      <c r="A20" s="62"/>
      <c r="B20" s="62"/>
      <c r="C20" s="62"/>
      <c r="D20" s="62"/>
      <c r="E20" s="62"/>
    </row>
    <row r="21" ht="15.75" customHeight="1">
      <c r="A21" s="62"/>
      <c r="B21" s="62"/>
      <c r="C21" s="62"/>
      <c r="D21" s="62"/>
      <c r="E21" s="62"/>
    </row>
    <row r="22" ht="15.75" customHeight="1">
      <c r="A22" s="62"/>
      <c r="B22" s="62"/>
      <c r="C22" s="62"/>
      <c r="D22" s="62"/>
      <c r="E22" s="62"/>
    </row>
    <row r="23" ht="15.75" customHeight="1">
      <c r="A23" s="62"/>
      <c r="B23" s="62"/>
      <c r="C23" s="62"/>
      <c r="D23" s="62"/>
      <c r="E23" s="62"/>
    </row>
    <row r="24" ht="15.75" customHeight="1">
      <c r="A24" s="62"/>
      <c r="B24" s="62"/>
      <c r="C24" s="62"/>
      <c r="D24" s="62"/>
      <c r="E24" s="62"/>
    </row>
    <row r="25" ht="15.75" customHeight="1">
      <c r="A25" s="62"/>
      <c r="B25" s="62"/>
      <c r="C25" s="62"/>
      <c r="D25" s="62"/>
      <c r="E25" s="62"/>
    </row>
    <row r="26" ht="15.75" customHeight="1">
      <c r="A26" s="62"/>
      <c r="B26" s="62"/>
      <c r="C26" s="62"/>
      <c r="D26" s="62"/>
      <c r="E26" s="62"/>
    </row>
    <row r="27" ht="15.75" customHeight="1">
      <c r="A27" s="62"/>
      <c r="B27" s="62"/>
      <c r="C27" s="62"/>
      <c r="D27" s="62"/>
      <c r="E27" s="62"/>
    </row>
    <row r="28" ht="15.75" customHeight="1">
      <c r="A28" s="62"/>
      <c r="B28" s="62"/>
      <c r="C28" s="62"/>
      <c r="D28" s="62"/>
      <c r="E28" s="62"/>
    </row>
    <row r="29" ht="15.75" customHeight="1">
      <c r="A29" s="62"/>
      <c r="B29" s="62"/>
      <c r="C29" s="62"/>
      <c r="D29" s="62"/>
      <c r="E29" s="62"/>
    </row>
    <row r="30" ht="15.75" customHeight="1">
      <c r="A30" s="62"/>
      <c r="B30" s="62"/>
      <c r="C30" s="62"/>
      <c r="D30" s="62"/>
      <c r="E30" s="62"/>
    </row>
    <row r="31" ht="15.75" customHeight="1">
      <c r="A31" s="62"/>
      <c r="B31" s="62"/>
      <c r="C31" s="62"/>
      <c r="D31" s="62"/>
      <c r="E31" s="62"/>
    </row>
    <row r="32" ht="15.75" customHeight="1">
      <c r="A32" s="62"/>
      <c r="B32" s="62"/>
      <c r="C32" s="62"/>
      <c r="D32" s="62"/>
      <c r="E32" s="62"/>
    </row>
    <row r="33" ht="15.75" customHeight="1">
      <c r="A33" s="62"/>
      <c r="B33" s="62"/>
      <c r="C33" s="62"/>
      <c r="D33" s="62"/>
      <c r="E33" s="62"/>
    </row>
    <row r="34" ht="15.75" customHeight="1">
      <c r="A34" s="62"/>
      <c r="B34" s="62"/>
      <c r="C34" s="62"/>
      <c r="D34" s="62"/>
      <c r="E34" s="62"/>
    </row>
    <row r="35" ht="15.75" customHeight="1">
      <c r="A35" s="62"/>
      <c r="B35" s="62"/>
      <c r="C35" s="62"/>
      <c r="D35" s="62"/>
      <c r="E35" s="62"/>
    </row>
    <row r="36" ht="15.75" customHeight="1">
      <c r="A36" s="62"/>
      <c r="B36" s="62"/>
      <c r="C36" s="62"/>
      <c r="D36" s="62"/>
      <c r="E36" s="62"/>
    </row>
    <row r="37" ht="15.75" customHeight="1">
      <c r="A37" s="62"/>
      <c r="B37" s="62"/>
      <c r="C37" s="62"/>
      <c r="D37" s="62"/>
      <c r="E37" s="62"/>
    </row>
    <row r="38" ht="15.75" customHeight="1">
      <c r="A38" s="62"/>
      <c r="B38" s="62"/>
      <c r="C38" s="62"/>
      <c r="D38" s="62"/>
      <c r="E38" s="62"/>
    </row>
    <row r="39" ht="15.75" customHeight="1">
      <c r="A39" s="62"/>
      <c r="B39" s="62"/>
      <c r="C39" s="62"/>
      <c r="D39" s="62"/>
      <c r="E39" s="62"/>
    </row>
    <row r="40" ht="15.75" customHeight="1">
      <c r="A40" s="62"/>
      <c r="B40" s="62"/>
      <c r="C40" s="62"/>
      <c r="D40" s="62"/>
      <c r="E40" s="62"/>
    </row>
    <row r="41" ht="15.75" customHeight="1">
      <c r="A41" s="62"/>
      <c r="B41" s="62"/>
      <c r="C41" s="62"/>
      <c r="D41" s="62"/>
      <c r="E41" s="62"/>
    </row>
    <row r="42" ht="15.75" customHeight="1">
      <c r="A42" s="62"/>
      <c r="B42" s="62"/>
      <c r="C42" s="62"/>
      <c r="D42" s="62"/>
      <c r="E42" s="62"/>
    </row>
    <row r="43" ht="15.75" customHeight="1">
      <c r="A43" s="62"/>
      <c r="B43" s="62"/>
      <c r="C43" s="62"/>
      <c r="D43" s="62"/>
      <c r="E43" s="62"/>
    </row>
    <row r="44" ht="15.75" customHeight="1">
      <c r="A44" s="62"/>
      <c r="B44" s="62"/>
      <c r="C44" s="62"/>
      <c r="D44" s="62"/>
      <c r="E44" s="62"/>
    </row>
    <row r="45" ht="15.75" customHeight="1">
      <c r="A45" s="62"/>
      <c r="B45" s="62"/>
      <c r="C45" s="62"/>
      <c r="D45" s="62"/>
      <c r="E45" s="62"/>
    </row>
    <row r="46" ht="15.75" customHeight="1">
      <c r="A46" s="62"/>
      <c r="B46" s="62"/>
      <c r="C46" s="62"/>
      <c r="D46" s="62"/>
      <c r="E46" s="62"/>
    </row>
    <row r="47" ht="15.75" customHeight="1">
      <c r="A47" s="62"/>
      <c r="B47" s="62"/>
      <c r="C47" s="62"/>
      <c r="D47" s="62"/>
      <c r="E47" s="62"/>
    </row>
    <row r="48" ht="15.75" customHeight="1">
      <c r="A48" s="62"/>
      <c r="B48" s="62"/>
      <c r="C48" s="62"/>
      <c r="D48" s="62"/>
      <c r="E48" s="62"/>
    </row>
    <row r="49" ht="15.75" customHeight="1">
      <c r="A49" s="62"/>
      <c r="B49" s="62"/>
      <c r="C49" s="62"/>
      <c r="D49" s="62"/>
      <c r="E49" s="62"/>
    </row>
    <row r="50" ht="15.75" customHeight="1">
      <c r="A50" s="62"/>
      <c r="B50" s="62"/>
      <c r="C50" s="62"/>
      <c r="D50" s="62"/>
      <c r="E50" s="62"/>
    </row>
    <row r="51" ht="15.75" customHeight="1">
      <c r="A51" s="62"/>
      <c r="B51" s="62"/>
      <c r="C51" s="62"/>
      <c r="D51" s="62"/>
      <c r="E51" s="62"/>
    </row>
    <row r="52" ht="15.75" customHeight="1">
      <c r="A52" s="62"/>
      <c r="B52" s="62"/>
      <c r="C52" s="62"/>
      <c r="D52" s="62"/>
      <c r="E52" s="62"/>
    </row>
    <row r="53" ht="15.75" customHeight="1">
      <c r="A53" s="62"/>
      <c r="B53" s="62"/>
      <c r="C53" s="62"/>
      <c r="D53" s="62"/>
      <c r="E53" s="62"/>
    </row>
    <row r="54" ht="15.75" customHeight="1">
      <c r="A54" s="62"/>
      <c r="B54" s="62"/>
      <c r="C54" s="62"/>
      <c r="D54" s="62"/>
      <c r="E54" s="62"/>
    </row>
    <row r="55" ht="15.75" customHeight="1">
      <c r="A55" s="62"/>
      <c r="B55" s="62"/>
      <c r="C55" s="62"/>
      <c r="D55" s="62"/>
      <c r="E55" s="62"/>
    </row>
    <row r="56" ht="15.75" customHeight="1">
      <c r="A56" s="62"/>
      <c r="B56" s="62"/>
      <c r="C56" s="62"/>
      <c r="D56" s="62"/>
      <c r="E56" s="62"/>
    </row>
    <row r="57" ht="15.75" customHeight="1">
      <c r="A57" s="62"/>
      <c r="B57" s="62"/>
      <c r="C57" s="62"/>
      <c r="D57" s="62"/>
      <c r="E57" s="62"/>
    </row>
    <row r="58" ht="15.75" customHeight="1">
      <c r="A58" s="62"/>
      <c r="B58" s="62"/>
      <c r="C58" s="62"/>
      <c r="D58" s="62"/>
      <c r="E58" s="62"/>
    </row>
    <row r="59" ht="15.75" customHeight="1">
      <c r="A59" s="62"/>
      <c r="B59" s="62"/>
      <c r="C59" s="62"/>
      <c r="D59" s="62"/>
      <c r="E59" s="62"/>
    </row>
    <row r="60" ht="15.75" customHeight="1">
      <c r="A60" s="62"/>
      <c r="B60" s="62"/>
      <c r="C60" s="62"/>
      <c r="D60" s="62"/>
      <c r="E60" s="62"/>
    </row>
    <row r="61" ht="15.75" customHeight="1">
      <c r="A61" s="62"/>
      <c r="B61" s="62"/>
      <c r="C61" s="62"/>
      <c r="D61" s="62"/>
      <c r="E61" s="62"/>
    </row>
    <row r="62" ht="15.75" customHeight="1">
      <c r="A62" s="62"/>
      <c r="B62" s="62"/>
      <c r="C62" s="62"/>
      <c r="D62" s="62"/>
      <c r="E62" s="62"/>
    </row>
    <row r="63" ht="15.75" customHeight="1">
      <c r="A63" s="62"/>
      <c r="B63" s="62"/>
      <c r="C63" s="62"/>
      <c r="D63" s="62"/>
      <c r="E63" s="62"/>
    </row>
    <row r="64" ht="15.75" customHeight="1">
      <c r="A64" s="62"/>
      <c r="B64" s="62"/>
      <c r="C64" s="62"/>
      <c r="D64" s="62"/>
      <c r="E64" s="62"/>
    </row>
    <row r="65" ht="15.75" customHeight="1">
      <c r="A65" s="62"/>
      <c r="B65" s="62"/>
      <c r="C65" s="62"/>
      <c r="D65" s="62"/>
      <c r="E65" s="62"/>
    </row>
    <row r="66" ht="15.75" customHeight="1">
      <c r="A66" s="62"/>
      <c r="B66" s="62"/>
      <c r="C66" s="62"/>
      <c r="D66" s="62"/>
      <c r="E66" s="62"/>
    </row>
    <row r="67" ht="15.75" customHeight="1">
      <c r="A67" s="62"/>
      <c r="B67" s="62"/>
      <c r="C67" s="62"/>
      <c r="D67" s="62"/>
      <c r="E67" s="62"/>
    </row>
    <row r="68" ht="15.75" customHeight="1">
      <c r="A68" s="62"/>
      <c r="B68" s="62"/>
      <c r="C68" s="62"/>
      <c r="D68" s="62"/>
      <c r="E68" s="62"/>
    </row>
    <row r="69" ht="15.75" customHeight="1">
      <c r="A69" s="62"/>
      <c r="B69" s="62"/>
      <c r="C69" s="62"/>
      <c r="D69" s="62"/>
      <c r="E69" s="62"/>
    </row>
    <row r="70" ht="15.75" customHeight="1">
      <c r="A70" s="62"/>
      <c r="B70" s="62"/>
      <c r="C70" s="62"/>
      <c r="D70" s="62"/>
      <c r="E70" s="62"/>
    </row>
    <row r="71" ht="15.75" customHeight="1">
      <c r="A71" s="62"/>
      <c r="B71" s="62"/>
      <c r="C71" s="62"/>
      <c r="D71" s="62"/>
      <c r="E71" s="62"/>
    </row>
    <row r="72" ht="15.75" customHeight="1">
      <c r="A72" s="62"/>
      <c r="B72" s="62"/>
      <c r="C72" s="62"/>
      <c r="D72" s="62"/>
      <c r="E72" s="62"/>
    </row>
    <row r="73" ht="15.75" customHeight="1">
      <c r="A73" s="62"/>
      <c r="B73" s="62"/>
      <c r="C73" s="62"/>
      <c r="D73" s="62"/>
      <c r="E73" s="62"/>
    </row>
    <row r="74" ht="15.75" customHeight="1">
      <c r="A74" s="62"/>
      <c r="B74" s="62"/>
      <c r="C74" s="62"/>
      <c r="D74" s="62"/>
      <c r="E74" s="62"/>
    </row>
    <row r="75" ht="15.75" customHeight="1">
      <c r="A75" s="62"/>
      <c r="B75" s="62"/>
      <c r="C75" s="62"/>
      <c r="D75" s="62"/>
      <c r="E75" s="62"/>
    </row>
    <row r="76" ht="15.75" customHeight="1">
      <c r="A76" s="62"/>
      <c r="B76" s="62"/>
      <c r="C76" s="62"/>
      <c r="D76" s="62"/>
      <c r="E76" s="62"/>
    </row>
    <row r="77" ht="15.75" customHeight="1">
      <c r="A77" s="62"/>
      <c r="B77" s="62"/>
      <c r="C77" s="62"/>
      <c r="D77" s="62"/>
      <c r="E77" s="62"/>
    </row>
    <row r="78" ht="15.75" customHeight="1">
      <c r="A78" s="62"/>
      <c r="B78" s="62"/>
      <c r="C78" s="62"/>
      <c r="D78" s="62"/>
      <c r="E78" s="62"/>
    </row>
    <row r="79" ht="15.75" customHeight="1">
      <c r="A79" s="62"/>
      <c r="B79" s="62"/>
      <c r="C79" s="62"/>
      <c r="D79" s="62"/>
      <c r="E79" s="62"/>
    </row>
    <row r="80" ht="15.75" customHeight="1">
      <c r="A80" s="62"/>
      <c r="B80" s="62"/>
      <c r="C80" s="62"/>
      <c r="D80" s="62"/>
      <c r="E80" s="62"/>
    </row>
    <row r="81" ht="15.75" customHeight="1">
      <c r="A81" s="62"/>
      <c r="B81" s="62"/>
      <c r="C81" s="62"/>
      <c r="D81" s="62"/>
      <c r="E81" s="62"/>
    </row>
    <row r="82" ht="15.75" customHeight="1">
      <c r="A82" s="62"/>
      <c r="B82" s="62"/>
      <c r="C82" s="62"/>
      <c r="D82" s="62"/>
      <c r="E82" s="62"/>
    </row>
    <row r="83" ht="15.75" customHeight="1">
      <c r="A83" s="62"/>
      <c r="B83" s="62"/>
      <c r="C83" s="62"/>
      <c r="D83" s="62"/>
      <c r="E83" s="62"/>
    </row>
    <row r="84" ht="15.75" customHeight="1">
      <c r="A84" s="62"/>
      <c r="B84" s="62"/>
      <c r="C84" s="62"/>
      <c r="D84" s="62"/>
      <c r="E84" s="62"/>
    </row>
    <row r="85" ht="15.75" customHeight="1">
      <c r="A85" s="62"/>
      <c r="B85" s="62"/>
      <c r="C85" s="62"/>
      <c r="D85" s="62"/>
      <c r="E85" s="62"/>
    </row>
    <row r="86" ht="15.75" customHeight="1">
      <c r="A86" s="62"/>
      <c r="B86" s="62"/>
      <c r="C86" s="62"/>
      <c r="D86" s="62"/>
      <c r="E86" s="62"/>
    </row>
    <row r="87" ht="15.75" customHeight="1">
      <c r="A87" s="62"/>
      <c r="B87" s="62"/>
      <c r="C87" s="62"/>
      <c r="D87" s="62"/>
      <c r="E87" s="62"/>
    </row>
    <row r="88" ht="15.75" customHeight="1">
      <c r="A88" s="62"/>
      <c r="B88" s="62"/>
      <c r="C88" s="62"/>
      <c r="D88" s="62"/>
      <c r="E88" s="62"/>
    </row>
    <row r="89" ht="15.75" customHeight="1">
      <c r="A89" s="62"/>
      <c r="B89" s="62"/>
      <c r="C89" s="62"/>
      <c r="D89" s="62"/>
      <c r="E89" s="62"/>
    </row>
    <row r="90" ht="15.75" customHeight="1">
      <c r="A90" s="62"/>
      <c r="B90" s="62"/>
      <c r="C90" s="62"/>
      <c r="D90" s="62"/>
      <c r="E90" s="62"/>
    </row>
    <row r="91" ht="15.75" customHeight="1">
      <c r="A91" s="62"/>
      <c r="B91" s="62"/>
      <c r="C91" s="62"/>
      <c r="D91" s="62"/>
      <c r="E91" s="62"/>
    </row>
    <row r="92" ht="15.75" customHeight="1">
      <c r="A92" s="62"/>
      <c r="B92" s="62"/>
      <c r="C92" s="62"/>
      <c r="D92" s="62"/>
      <c r="E92" s="62"/>
    </row>
    <row r="93" ht="15.75" customHeight="1">
      <c r="A93" s="62"/>
      <c r="B93" s="62"/>
      <c r="C93" s="62"/>
      <c r="D93" s="62"/>
      <c r="E93" s="62"/>
    </row>
    <row r="94" ht="15.75" customHeight="1">
      <c r="A94" s="62"/>
      <c r="B94" s="62"/>
      <c r="C94" s="62"/>
      <c r="D94" s="62"/>
      <c r="E94" s="62"/>
    </row>
    <row r="95" ht="15.75" customHeight="1">
      <c r="A95" s="62"/>
      <c r="B95" s="62"/>
      <c r="C95" s="62"/>
      <c r="D95" s="62"/>
      <c r="E95" s="62"/>
    </row>
    <row r="96" ht="15.75" customHeight="1">
      <c r="A96" s="62"/>
      <c r="B96" s="62"/>
      <c r="C96" s="62"/>
      <c r="D96" s="62"/>
      <c r="E96" s="62"/>
    </row>
    <row r="97" ht="15.75" customHeight="1">
      <c r="A97" s="62"/>
      <c r="B97" s="62"/>
      <c r="C97" s="62"/>
      <c r="D97" s="62"/>
      <c r="E97" s="62"/>
    </row>
    <row r="98" ht="15.75" customHeight="1">
      <c r="A98" s="62"/>
      <c r="B98" s="62"/>
      <c r="C98" s="62"/>
      <c r="D98" s="62"/>
      <c r="E98" s="62"/>
    </row>
    <row r="99" ht="15.75" customHeight="1">
      <c r="A99" s="62"/>
      <c r="B99" s="62"/>
      <c r="C99" s="62"/>
      <c r="D99" s="62"/>
      <c r="E99" s="62"/>
    </row>
    <row r="100" ht="15.75" customHeight="1">
      <c r="A100" s="62"/>
      <c r="B100" s="62"/>
      <c r="C100" s="62"/>
      <c r="D100" s="62"/>
      <c r="E100" s="62"/>
    </row>
    <row r="101" ht="15.75" customHeight="1">
      <c r="A101" s="62"/>
      <c r="B101" s="62"/>
      <c r="C101" s="62"/>
      <c r="D101" s="62"/>
      <c r="E101" s="62"/>
    </row>
    <row r="102" ht="15.75" customHeight="1">
      <c r="A102" s="62"/>
      <c r="B102" s="62"/>
      <c r="C102" s="62"/>
      <c r="D102" s="62"/>
      <c r="E102" s="62"/>
    </row>
    <row r="103" ht="15.75" customHeight="1">
      <c r="A103" s="62"/>
      <c r="B103" s="62"/>
      <c r="C103" s="62"/>
      <c r="D103" s="62"/>
      <c r="E103" s="62"/>
    </row>
    <row r="104" ht="15.75" customHeight="1">
      <c r="A104" s="62"/>
      <c r="B104" s="62"/>
      <c r="C104" s="62"/>
      <c r="D104" s="62"/>
      <c r="E104" s="62"/>
    </row>
    <row r="105" ht="15.75" customHeight="1">
      <c r="A105" s="62"/>
      <c r="B105" s="62"/>
      <c r="C105" s="62"/>
      <c r="D105" s="62"/>
      <c r="E105" s="62"/>
    </row>
    <row r="106" ht="15.75" customHeight="1">
      <c r="A106" s="62"/>
      <c r="B106" s="62"/>
      <c r="C106" s="62"/>
      <c r="D106" s="62"/>
      <c r="E106" s="62"/>
    </row>
    <row r="107" ht="15.75" customHeight="1">
      <c r="A107" s="62"/>
      <c r="B107" s="62"/>
      <c r="C107" s="62"/>
      <c r="D107" s="62"/>
      <c r="E107" s="62"/>
    </row>
    <row r="108" ht="15.75" customHeight="1">
      <c r="A108" s="62"/>
      <c r="B108" s="62"/>
      <c r="C108" s="62"/>
      <c r="D108" s="62"/>
      <c r="E108" s="62"/>
    </row>
    <row r="109" ht="15.75" customHeight="1">
      <c r="A109" s="62"/>
      <c r="B109" s="62"/>
      <c r="C109" s="62"/>
      <c r="D109" s="62"/>
      <c r="E109" s="62"/>
    </row>
    <row r="110" ht="15.75" customHeight="1">
      <c r="A110" s="62"/>
      <c r="B110" s="62"/>
      <c r="C110" s="62"/>
      <c r="D110" s="62"/>
      <c r="E110" s="62"/>
    </row>
    <row r="111" ht="15.75" customHeight="1">
      <c r="A111" s="62"/>
      <c r="B111" s="62"/>
      <c r="C111" s="62"/>
      <c r="D111" s="62"/>
      <c r="E111" s="62"/>
    </row>
    <row r="112" ht="15.75" customHeight="1">
      <c r="A112" s="62"/>
      <c r="B112" s="62"/>
      <c r="C112" s="62"/>
      <c r="D112" s="62"/>
      <c r="E112" s="62"/>
    </row>
    <row r="113" ht="15.75" customHeight="1">
      <c r="A113" s="62"/>
      <c r="B113" s="62"/>
      <c r="C113" s="62"/>
      <c r="D113" s="62"/>
      <c r="E113" s="62"/>
    </row>
    <row r="114" ht="15.75" customHeight="1">
      <c r="A114" s="62"/>
      <c r="B114" s="62"/>
      <c r="C114" s="62"/>
      <c r="D114" s="62"/>
      <c r="E114" s="62"/>
    </row>
    <row r="115" ht="15.75" customHeight="1">
      <c r="A115" s="62"/>
      <c r="B115" s="62"/>
      <c r="C115" s="62"/>
      <c r="D115" s="62"/>
      <c r="E115" s="62"/>
    </row>
    <row r="116" ht="15.75" customHeight="1">
      <c r="A116" s="62"/>
      <c r="B116" s="62"/>
      <c r="C116" s="62"/>
      <c r="D116" s="62"/>
      <c r="E116" s="62"/>
    </row>
    <row r="117" ht="15.75" customHeight="1">
      <c r="A117" s="62"/>
      <c r="B117" s="62"/>
      <c r="C117" s="62"/>
      <c r="D117" s="62"/>
      <c r="E117" s="62"/>
    </row>
    <row r="118" ht="15.75" customHeight="1">
      <c r="A118" s="62"/>
      <c r="B118" s="62"/>
      <c r="C118" s="62"/>
      <c r="D118" s="62"/>
      <c r="E118" s="62"/>
    </row>
    <row r="119" ht="15.75" customHeight="1">
      <c r="A119" s="62"/>
      <c r="B119" s="62"/>
      <c r="C119" s="62"/>
      <c r="D119" s="62"/>
      <c r="E119" s="62"/>
    </row>
    <row r="120" ht="15.75" customHeight="1">
      <c r="A120" s="62"/>
      <c r="B120" s="62"/>
      <c r="C120" s="62"/>
      <c r="D120" s="62"/>
      <c r="E120" s="62"/>
    </row>
    <row r="121" ht="15.75" customHeight="1">
      <c r="A121" s="62"/>
      <c r="B121" s="62"/>
      <c r="C121" s="62"/>
      <c r="D121" s="62"/>
      <c r="E121" s="62"/>
    </row>
    <row r="122" ht="15.75" customHeight="1">
      <c r="A122" s="62"/>
      <c r="B122" s="62"/>
      <c r="C122" s="62"/>
      <c r="D122" s="62"/>
      <c r="E122" s="62"/>
    </row>
    <row r="123" ht="15.75" customHeight="1">
      <c r="A123" s="62"/>
      <c r="B123" s="62"/>
      <c r="C123" s="62"/>
      <c r="D123" s="62"/>
      <c r="E123" s="62"/>
    </row>
    <row r="124" ht="15.75" customHeight="1">
      <c r="A124" s="62"/>
      <c r="B124" s="62"/>
      <c r="C124" s="62"/>
      <c r="D124" s="62"/>
      <c r="E124" s="62"/>
    </row>
    <row r="125" ht="15.75" customHeight="1">
      <c r="A125" s="62"/>
      <c r="B125" s="62"/>
      <c r="C125" s="62"/>
      <c r="D125" s="62"/>
      <c r="E125" s="62"/>
    </row>
    <row r="126" ht="15.75" customHeight="1">
      <c r="A126" s="62"/>
      <c r="B126" s="62"/>
      <c r="C126" s="62"/>
      <c r="D126" s="62"/>
      <c r="E126" s="62"/>
    </row>
    <row r="127" ht="15.75" customHeight="1">
      <c r="A127" s="62"/>
      <c r="B127" s="62"/>
      <c r="C127" s="62"/>
      <c r="D127" s="62"/>
      <c r="E127" s="62"/>
    </row>
    <row r="128" ht="15.75" customHeight="1">
      <c r="A128" s="62"/>
      <c r="B128" s="62"/>
      <c r="C128" s="62"/>
      <c r="D128" s="62"/>
      <c r="E128" s="62"/>
    </row>
    <row r="129" ht="15.75" customHeight="1">
      <c r="A129" s="62"/>
      <c r="B129" s="62"/>
      <c r="C129" s="62"/>
      <c r="D129" s="62"/>
      <c r="E129" s="62"/>
    </row>
    <row r="130" ht="15.75" customHeight="1">
      <c r="A130" s="62"/>
      <c r="B130" s="62"/>
      <c r="C130" s="62"/>
      <c r="D130" s="62"/>
      <c r="E130" s="62"/>
    </row>
    <row r="131" ht="15.75" customHeight="1">
      <c r="A131" s="62"/>
      <c r="B131" s="62"/>
      <c r="C131" s="62"/>
      <c r="D131" s="62"/>
      <c r="E131" s="62"/>
    </row>
    <row r="132" ht="15.75" customHeight="1">
      <c r="A132" s="62"/>
      <c r="B132" s="62"/>
      <c r="C132" s="62"/>
      <c r="D132" s="62"/>
      <c r="E132" s="62"/>
    </row>
    <row r="133" ht="15.75" customHeight="1">
      <c r="A133" s="62"/>
      <c r="B133" s="62"/>
      <c r="C133" s="62"/>
      <c r="D133" s="62"/>
      <c r="E133" s="62"/>
    </row>
    <row r="134" ht="15.75" customHeight="1">
      <c r="A134" s="62"/>
      <c r="B134" s="62"/>
      <c r="C134" s="62"/>
      <c r="D134" s="62"/>
      <c r="E134" s="62"/>
    </row>
    <row r="135" ht="15.75" customHeight="1">
      <c r="A135" s="62"/>
      <c r="B135" s="62"/>
      <c r="C135" s="62"/>
      <c r="D135" s="62"/>
      <c r="E135" s="62"/>
    </row>
    <row r="136" ht="15.75" customHeight="1">
      <c r="A136" s="62"/>
      <c r="B136" s="62"/>
      <c r="C136" s="62"/>
      <c r="D136" s="62"/>
      <c r="E136" s="62"/>
    </row>
    <row r="137" ht="15.75" customHeight="1">
      <c r="A137" s="62"/>
      <c r="B137" s="62"/>
      <c r="C137" s="62"/>
      <c r="D137" s="62"/>
      <c r="E137" s="62"/>
    </row>
    <row r="138" ht="15.75" customHeight="1">
      <c r="A138" s="62"/>
      <c r="B138" s="62"/>
      <c r="C138" s="62"/>
      <c r="D138" s="62"/>
      <c r="E138" s="62"/>
    </row>
    <row r="139" ht="15.75" customHeight="1">
      <c r="A139" s="62"/>
      <c r="B139" s="62"/>
      <c r="C139" s="62"/>
      <c r="D139" s="62"/>
      <c r="E139" s="62"/>
    </row>
    <row r="140" ht="15.75" customHeight="1">
      <c r="A140" s="62"/>
      <c r="B140" s="62"/>
      <c r="C140" s="62"/>
      <c r="D140" s="62"/>
      <c r="E140" s="62"/>
    </row>
    <row r="141" ht="15.75" customHeight="1">
      <c r="A141" s="62"/>
      <c r="B141" s="62"/>
      <c r="C141" s="62"/>
      <c r="D141" s="62"/>
      <c r="E141" s="62"/>
    </row>
    <row r="142" ht="15.75" customHeight="1">
      <c r="A142" s="62"/>
      <c r="B142" s="62"/>
      <c r="C142" s="62"/>
      <c r="D142" s="62"/>
      <c r="E142" s="62"/>
    </row>
    <row r="143" ht="15.75" customHeight="1">
      <c r="A143" s="62"/>
      <c r="B143" s="62"/>
      <c r="C143" s="62"/>
      <c r="D143" s="62"/>
      <c r="E143" s="62"/>
    </row>
    <row r="144" ht="15.75" customHeight="1">
      <c r="A144" s="62"/>
      <c r="B144" s="62"/>
      <c r="C144" s="62"/>
      <c r="D144" s="62"/>
      <c r="E144" s="62"/>
    </row>
    <row r="145" ht="15.75" customHeight="1">
      <c r="A145" s="62"/>
      <c r="B145" s="62"/>
      <c r="C145" s="62"/>
      <c r="D145" s="62"/>
      <c r="E145" s="62"/>
    </row>
    <row r="146" ht="15.75" customHeight="1">
      <c r="A146" s="62"/>
      <c r="B146" s="62"/>
      <c r="C146" s="62"/>
      <c r="D146" s="62"/>
      <c r="E146" s="62"/>
    </row>
    <row r="147" ht="15.75" customHeight="1">
      <c r="A147" s="62"/>
      <c r="B147" s="62"/>
      <c r="C147" s="62"/>
      <c r="D147" s="62"/>
      <c r="E147" s="62"/>
    </row>
    <row r="148" ht="15.75" customHeight="1">
      <c r="A148" s="62"/>
      <c r="B148" s="62"/>
      <c r="C148" s="62"/>
      <c r="D148" s="62"/>
      <c r="E148" s="62"/>
    </row>
    <row r="149" ht="15.75" customHeight="1">
      <c r="A149" s="62"/>
      <c r="B149" s="62"/>
      <c r="C149" s="62"/>
      <c r="D149" s="62"/>
      <c r="E149" s="62"/>
    </row>
    <row r="150" ht="15.75" customHeight="1">
      <c r="A150" s="62"/>
      <c r="B150" s="62"/>
      <c r="C150" s="62"/>
      <c r="D150" s="62"/>
      <c r="E150" s="62"/>
    </row>
    <row r="151" ht="15.75" customHeight="1">
      <c r="A151" s="62"/>
      <c r="B151" s="62"/>
      <c r="C151" s="62"/>
      <c r="D151" s="62"/>
      <c r="E151" s="62"/>
    </row>
    <row r="152" ht="15.75" customHeight="1">
      <c r="A152" s="62"/>
      <c r="B152" s="62"/>
      <c r="C152" s="62"/>
      <c r="D152" s="62"/>
      <c r="E152" s="62"/>
    </row>
    <row r="153" ht="15.75" customHeight="1">
      <c r="A153" s="62"/>
      <c r="B153" s="62"/>
      <c r="C153" s="62"/>
      <c r="D153" s="62"/>
      <c r="E153" s="62"/>
    </row>
    <row r="154" ht="15.75" customHeight="1">
      <c r="A154" s="62"/>
      <c r="B154" s="62"/>
      <c r="C154" s="62"/>
      <c r="D154" s="62"/>
      <c r="E154" s="62"/>
    </row>
    <row r="155" ht="15.75" customHeight="1">
      <c r="A155" s="62"/>
      <c r="B155" s="62"/>
      <c r="C155" s="62"/>
      <c r="D155" s="62"/>
      <c r="E155" s="62"/>
    </row>
    <row r="156" ht="15.75" customHeight="1">
      <c r="A156" s="62"/>
      <c r="B156" s="62"/>
      <c r="C156" s="62"/>
      <c r="D156" s="62"/>
      <c r="E156" s="62"/>
    </row>
    <row r="157" ht="15.75" customHeight="1">
      <c r="A157" s="62"/>
      <c r="B157" s="62"/>
      <c r="C157" s="62"/>
      <c r="D157" s="62"/>
      <c r="E157" s="62"/>
    </row>
    <row r="158" ht="15.75" customHeight="1">
      <c r="A158" s="62"/>
      <c r="B158" s="62"/>
      <c r="C158" s="62"/>
      <c r="D158" s="62"/>
      <c r="E158" s="62"/>
    </row>
    <row r="159" ht="15.75" customHeight="1">
      <c r="A159" s="62"/>
      <c r="B159" s="62"/>
      <c r="C159" s="62"/>
      <c r="D159" s="62"/>
      <c r="E159" s="62"/>
    </row>
    <row r="160" ht="15.75" customHeight="1">
      <c r="A160" s="62"/>
      <c r="B160" s="62"/>
      <c r="C160" s="62"/>
      <c r="D160" s="62"/>
      <c r="E160" s="62"/>
    </row>
    <row r="161" ht="15.75" customHeight="1">
      <c r="A161" s="62"/>
      <c r="B161" s="62"/>
      <c r="C161" s="62"/>
      <c r="D161" s="62"/>
      <c r="E161" s="62"/>
    </row>
    <row r="162" ht="15.75" customHeight="1">
      <c r="A162" s="62"/>
      <c r="B162" s="62"/>
      <c r="C162" s="62"/>
      <c r="D162" s="62"/>
      <c r="E162" s="62"/>
    </row>
    <row r="163" ht="15.75" customHeight="1">
      <c r="A163" s="62"/>
      <c r="B163" s="62"/>
      <c r="C163" s="62"/>
      <c r="D163" s="62"/>
      <c r="E163" s="62"/>
    </row>
    <row r="164" ht="15.75" customHeight="1">
      <c r="A164" s="62"/>
      <c r="B164" s="62"/>
      <c r="C164" s="62"/>
      <c r="D164" s="62"/>
      <c r="E164" s="62"/>
    </row>
    <row r="165" ht="15.75" customHeight="1">
      <c r="A165" s="62"/>
      <c r="B165" s="62"/>
      <c r="C165" s="62"/>
      <c r="D165" s="62"/>
      <c r="E165" s="62"/>
    </row>
    <row r="166" ht="15.75" customHeight="1">
      <c r="A166" s="62"/>
      <c r="B166" s="62"/>
      <c r="C166" s="62"/>
      <c r="D166" s="62"/>
      <c r="E166" s="62"/>
    </row>
    <row r="167" ht="15.75" customHeight="1">
      <c r="A167" s="62"/>
      <c r="B167" s="62"/>
      <c r="C167" s="62"/>
      <c r="D167" s="62"/>
      <c r="E167" s="62"/>
    </row>
    <row r="168" ht="15.75" customHeight="1">
      <c r="A168" s="62"/>
      <c r="B168" s="62"/>
      <c r="C168" s="62"/>
      <c r="D168" s="62"/>
      <c r="E168" s="62"/>
    </row>
    <row r="169" ht="15.75" customHeight="1">
      <c r="A169" s="62"/>
      <c r="B169" s="62"/>
      <c r="C169" s="62"/>
      <c r="D169" s="62"/>
      <c r="E169" s="62"/>
    </row>
    <row r="170" ht="15.75" customHeight="1">
      <c r="A170" s="62"/>
      <c r="B170" s="62"/>
      <c r="C170" s="62"/>
      <c r="D170" s="62"/>
      <c r="E170" s="62"/>
    </row>
    <row r="171" ht="15.75" customHeight="1">
      <c r="A171" s="62"/>
      <c r="B171" s="62"/>
      <c r="C171" s="62"/>
      <c r="D171" s="62"/>
      <c r="E171" s="62"/>
    </row>
    <row r="172" ht="15.75" customHeight="1">
      <c r="A172" s="62"/>
      <c r="B172" s="62"/>
      <c r="C172" s="62"/>
      <c r="D172" s="62"/>
      <c r="E172" s="62"/>
    </row>
    <row r="173" ht="15.75" customHeight="1">
      <c r="A173" s="62"/>
      <c r="B173" s="62"/>
      <c r="C173" s="62"/>
      <c r="D173" s="62"/>
      <c r="E173" s="62"/>
    </row>
    <row r="174" ht="15.75" customHeight="1">
      <c r="A174" s="62"/>
      <c r="B174" s="62"/>
      <c r="C174" s="62"/>
      <c r="D174" s="62"/>
      <c r="E174" s="62"/>
    </row>
    <row r="175" ht="15.75" customHeight="1">
      <c r="A175" s="62"/>
      <c r="B175" s="62"/>
      <c r="C175" s="62"/>
      <c r="D175" s="62"/>
      <c r="E175" s="62"/>
    </row>
    <row r="176" ht="15.75" customHeight="1">
      <c r="A176" s="62"/>
      <c r="B176" s="62"/>
      <c r="C176" s="62"/>
      <c r="D176" s="62"/>
      <c r="E176" s="62"/>
    </row>
    <row r="177" ht="15.75" customHeight="1">
      <c r="A177" s="62"/>
      <c r="B177" s="62"/>
      <c r="C177" s="62"/>
      <c r="D177" s="62"/>
      <c r="E177" s="62"/>
    </row>
    <row r="178" ht="15.75" customHeight="1">
      <c r="A178" s="62"/>
      <c r="B178" s="62"/>
      <c r="C178" s="62"/>
      <c r="D178" s="62"/>
      <c r="E178" s="62"/>
    </row>
    <row r="179" ht="15.75" customHeight="1">
      <c r="A179" s="62"/>
      <c r="B179" s="62"/>
      <c r="C179" s="62"/>
      <c r="D179" s="62"/>
      <c r="E179" s="62"/>
    </row>
    <row r="180" ht="15.75" customHeight="1">
      <c r="A180" s="62"/>
      <c r="B180" s="62"/>
      <c r="C180" s="62"/>
      <c r="D180" s="62"/>
      <c r="E180" s="62"/>
    </row>
    <row r="181" ht="15.75" customHeight="1">
      <c r="A181" s="62"/>
      <c r="B181" s="62"/>
      <c r="C181" s="62"/>
      <c r="D181" s="62"/>
      <c r="E181" s="62"/>
    </row>
    <row r="182" ht="15.75" customHeight="1">
      <c r="A182" s="62"/>
      <c r="B182" s="62"/>
      <c r="C182" s="62"/>
      <c r="D182" s="62"/>
      <c r="E182" s="62"/>
    </row>
    <row r="183" ht="15.75" customHeight="1">
      <c r="A183" s="62"/>
      <c r="B183" s="62"/>
      <c r="C183" s="62"/>
      <c r="D183" s="62"/>
      <c r="E183" s="62"/>
    </row>
    <row r="184" ht="15.75" customHeight="1">
      <c r="A184" s="62"/>
      <c r="B184" s="62"/>
      <c r="C184" s="62"/>
      <c r="D184" s="62"/>
      <c r="E184" s="62"/>
    </row>
    <row r="185" ht="15.75" customHeight="1">
      <c r="A185" s="62"/>
      <c r="B185" s="62"/>
      <c r="C185" s="62"/>
      <c r="D185" s="62"/>
      <c r="E185" s="62"/>
    </row>
    <row r="186" ht="15.75" customHeight="1">
      <c r="A186" s="62"/>
      <c r="B186" s="62"/>
      <c r="C186" s="62"/>
      <c r="D186" s="62"/>
      <c r="E186" s="62"/>
    </row>
    <row r="187" ht="15.75" customHeight="1">
      <c r="A187" s="62"/>
      <c r="B187" s="62"/>
      <c r="C187" s="62"/>
      <c r="D187" s="62"/>
      <c r="E187" s="62"/>
    </row>
    <row r="188" ht="15.75" customHeight="1">
      <c r="A188" s="62"/>
      <c r="B188" s="62"/>
      <c r="C188" s="62"/>
      <c r="D188" s="62"/>
      <c r="E188" s="62"/>
    </row>
    <row r="189" ht="15.75" customHeight="1">
      <c r="A189" s="62"/>
      <c r="B189" s="62"/>
      <c r="C189" s="62"/>
      <c r="D189" s="62"/>
      <c r="E189" s="62"/>
    </row>
    <row r="190" ht="15.75" customHeight="1">
      <c r="A190" s="62"/>
      <c r="B190" s="62"/>
      <c r="C190" s="62"/>
      <c r="D190" s="62"/>
      <c r="E190" s="62"/>
    </row>
    <row r="191" ht="15.75" customHeight="1">
      <c r="A191" s="62"/>
      <c r="B191" s="62"/>
      <c r="C191" s="62"/>
      <c r="D191" s="62"/>
      <c r="E191" s="62"/>
    </row>
    <row r="192" ht="15.75" customHeight="1">
      <c r="A192" s="62"/>
      <c r="B192" s="62"/>
      <c r="C192" s="62"/>
      <c r="D192" s="62"/>
      <c r="E192" s="62"/>
    </row>
    <row r="193" ht="15.75" customHeight="1">
      <c r="A193" s="62"/>
      <c r="B193" s="62"/>
      <c r="C193" s="62"/>
      <c r="D193" s="62"/>
      <c r="E193" s="62"/>
    </row>
    <row r="194" ht="15.75" customHeight="1">
      <c r="A194" s="62"/>
      <c r="B194" s="62"/>
      <c r="C194" s="62"/>
      <c r="D194" s="62"/>
      <c r="E194" s="62"/>
    </row>
    <row r="195" ht="15.75" customHeight="1">
      <c r="A195" s="62"/>
      <c r="B195" s="62"/>
      <c r="C195" s="62"/>
      <c r="D195" s="62"/>
      <c r="E195" s="62"/>
    </row>
    <row r="196" ht="15.75" customHeight="1">
      <c r="A196" s="62"/>
      <c r="B196" s="62"/>
      <c r="C196" s="62"/>
      <c r="D196" s="62"/>
      <c r="E196" s="62"/>
    </row>
    <row r="197" ht="15.75" customHeight="1">
      <c r="A197" s="62"/>
      <c r="B197" s="62"/>
      <c r="C197" s="62"/>
      <c r="D197" s="62"/>
      <c r="E197" s="62"/>
    </row>
    <row r="198" ht="15.75" customHeight="1">
      <c r="A198" s="62"/>
      <c r="B198" s="62"/>
      <c r="C198" s="62"/>
      <c r="D198" s="62"/>
      <c r="E198" s="62"/>
    </row>
    <row r="199" ht="15.75" customHeight="1">
      <c r="A199" s="62"/>
      <c r="B199" s="62"/>
      <c r="C199" s="62"/>
      <c r="D199" s="62"/>
      <c r="E199" s="62"/>
    </row>
    <row r="200" ht="15.75" customHeight="1">
      <c r="A200" s="62"/>
      <c r="B200" s="62"/>
      <c r="C200" s="62"/>
      <c r="D200" s="62"/>
      <c r="E200" s="62"/>
    </row>
    <row r="201" ht="15.75" customHeight="1">
      <c r="A201" s="62"/>
      <c r="B201" s="62"/>
      <c r="C201" s="62"/>
      <c r="D201" s="62"/>
      <c r="E201" s="62"/>
    </row>
    <row r="202" ht="15.75" customHeight="1">
      <c r="A202" s="62"/>
      <c r="B202" s="62"/>
      <c r="C202" s="62"/>
      <c r="D202" s="62"/>
      <c r="E202" s="62"/>
    </row>
    <row r="203" ht="15.75" customHeight="1">
      <c r="A203" s="62"/>
      <c r="B203" s="62"/>
      <c r="C203" s="62"/>
      <c r="D203" s="62"/>
      <c r="E203" s="62"/>
    </row>
    <row r="204" ht="15.75" customHeight="1">
      <c r="A204" s="62"/>
      <c r="B204" s="62"/>
      <c r="C204" s="62"/>
      <c r="D204" s="62"/>
      <c r="E204" s="62"/>
    </row>
    <row r="205" ht="15.75" customHeight="1">
      <c r="A205" s="62"/>
      <c r="B205" s="62"/>
      <c r="C205" s="62"/>
      <c r="D205" s="62"/>
      <c r="E205" s="62"/>
    </row>
    <row r="206" ht="15.75" customHeight="1">
      <c r="A206" s="62"/>
      <c r="B206" s="62"/>
      <c r="C206" s="62"/>
      <c r="D206" s="62"/>
      <c r="E206" s="62"/>
    </row>
    <row r="207" ht="15.75" customHeight="1">
      <c r="A207" s="62"/>
      <c r="B207" s="62"/>
      <c r="C207" s="62"/>
      <c r="D207" s="62"/>
      <c r="E207" s="62"/>
    </row>
    <row r="208" ht="15.75" customHeight="1">
      <c r="A208" s="62"/>
      <c r="B208" s="62"/>
      <c r="C208" s="62"/>
      <c r="D208" s="62"/>
      <c r="E208" s="62"/>
    </row>
    <row r="209" ht="15.75" customHeight="1">
      <c r="A209" s="62"/>
      <c r="B209" s="62"/>
      <c r="C209" s="62"/>
      <c r="D209" s="62"/>
      <c r="E209" s="62"/>
    </row>
    <row r="210" ht="15.75" customHeight="1">
      <c r="A210" s="62"/>
      <c r="B210" s="62"/>
      <c r="C210" s="62"/>
      <c r="D210" s="62"/>
      <c r="E210" s="62"/>
    </row>
    <row r="211" ht="15.75" customHeight="1">
      <c r="A211" s="62"/>
      <c r="B211" s="62"/>
      <c r="C211" s="62"/>
      <c r="D211" s="62"/>
      <c r="E211" s="62"/>
    </row>
    <row r="212" ht="15.75" customHeight="1">
      <c r="A212" s="62"/>
      <c r="B212" s="62"/>
      <c r="C212" s="62"/>
      <c r="D212" s="62"/>
      <c r="E212" s="62"/>
    </row>
    <row r="213" ht="15.75" customHeight="1">
      <c r="A213" s="62"/>
      <c r="B213" s="62"/>
      <c r="C213" s="62"/>
      <c r="D213" s="62"/>
      <c r="E213" s="62"/>
    </row>
    <row r="214" ht="15.75" customHeight="1">
      <c r="A214" s="62"/>
      <c r="B214" s="62"/>
      <c r="C214" s="62"/>
      <c r="D214" s="62"/>
      <c r="E214" s="62"/>
    </row>
    <row r="215" ht="15.75" customHeight="1">
      <c r="A215" s="62"/>
      <c r="B215" s="62"/>
      <c r="C215" s="62"/>
      <c r="D215" s="62"/>
      <c r="E215" s="62"/>
    </row>
    <row r="216" ht="15.75" customHeight="1">
      <c r="A216" s="62"/>
      <c r="B216" s="62"/>
      <c r="C216" s="62"/>
      <c r="D216" s="62"/>
      <c r="E216" s="62"/>
    </row>
    <row r="217" ht="15.75" customHeight="1">
      <c r="A217" s="62"/>
      <c r="B217" s="62"/>
      <c r="C217" s="62"/>
      <c r="D217" s="62"/>
      <c r="E217" s="62"/>
    </row>
    <row r="218" ht="15.75" customHeight="1">
      <c r="A218" s="62"/>
      <c r="B218" s="62"/>
      <c r="C218" s="62"/>
      <c r="D218" s="62"/>
      <c r="E218" s="62"/>
    </row>
    <row r="219" ht="15.75" customHeight="1">
      <c r="A219" s="62"/>
      <c r="B219" s="62"/>
      <c r="C219" s="62"/>
      <c r="D219" s="62"/>
      <c r="E219" s="62"/>
    </row>
    <row r="220" ht="15.75" customHeight="1">
      <c r="A220" s="62"/>
      <c r="B220" s="62"/>
      <c r="C220" s="62"/>
      <c r="D220" s="62"/>
      <c r="E220" s="6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6.71"/>
    <col customWidth="1" min="3" max="3" width="24.29"/>
    <col customWidth="1" min="4" max="4" width="15.71"/>
    <col customWidth="1" min="5" max="5" width="16.57"/>
    <col customWidth="1" hidden="1" min="6" max="6" width="17.71"/>
    <col customWidth="1" hidden="1" min="7" max="7" width="24.43"/>
    <col customWidth="1" hidden="1" min="8" max="8" width="13.57"/>
    <col customWidth="1" hidden="1" min="9" max="9" width="11.71"/>
    <col customWidth="1" hidden="1" min="10" max="10" width="16.29"/>
    <col customWidth="1" hidden="1" min="11" max="11" width="22.71"/>
    <col customWidth="1" hidden="1" min="12" max="12" width="51.71"/>
    <col customWidth="1" hidden="1" min="13" max="13" width="15.57"/>
    <col customWidth="1" hidden="1" min="14" max="14" width="15.29"/>
    <col customWidth="1" hidden="1" min="15" max="15" width="15.57"/>
    <col customWidth="1" hidden="1" min="16" max="16" width="43.43"/>
    <col customWidth="1" hidden="1" min="17" max="17" width="26.86"/>
    <col customWidth="1" hidden="1" min="18" max="18" width="12.14"/>
    <col customWidth="1" hidden="1" min="19" max="19" width="17.57"/>
    <col customWidth="1" hidden="1" min="20" max="20" width="39.71"/>
    <col customWidth="1" hidden="1" min="21" max="21" width="40.86"/>
    <col customWidth="1" hidden="1" min="22" max="22" width="19.29"/>
    <col customWidth="1" hidden="1" min="23" max="23" width="21.57"/>
    <col customWidth="1" hidden="1" min="24" max="24" width="13.0"/>
    <col customWidth="1" hidden="1" min="25" max="25" width="10.71"/>
    <col customWidth="1" hidden="1" min="26" max="26" width="16.0"/>
    <col customWidth="1" hidden="1" min="27" max="27" width="9.57"/>
    <col customWidth="1" hidden="1" min="28" max="28" width="15.0"/>
    <col customWidth="1" hidden="1" min="29" max="29" width="11.86"/>
    <col customWidth="1" hidden="1" min="30" max="30" width="17.71"/>
    <col customWidth="1" hidden="1" min="31" max="31" width="15.43"/>
    <col customWidth="1" hidden="1" min="32" max="32" width="16.0"/>
    <col customWidth="1" hidden="1" min="33" max="33" width="12.29"/>
    <col customWidth="1" hidden="1" min="34" max="34" width="12.86"/>
    <col customWidth="1" hidden="1" min="35" max="35" width="8.43"/>
    <col customWidth="1" hidden="1" min="36" max="36" width="11.71"/>
    <col customWidth="1" hidden="1" min="37" max="37" width="13.71"/>
    <col customWidth="1" hidden="1" min="38" max="38" width="10.14"/>
    <col customWidth="1" hidden="1" min="39" max="39" width="14.29"/>
    <col customWidth="1" hidden="1" min="40" max="40" width="11.29"/>
    <col customWidth="1" hidden="1" min="41" max="41" width="11.71"/>
    <col customWidth="1" hidden="1" min="42" max="42" width="13.43"/>
    <col customWidth="1" hidden="1" min="43" max="43" width="12.29"/>
    <col customWidth="1" hidden="1" min="44" max="44" width="13.29"/>
    <col customWidth="1" hidden="1" min="45" max="45" width="14.29"/>
    <col customWidth="1" hidden="1" min="46" max="46" width="22.14"/>
    <col customWidth="1" hidden="1" min="47" max="47" width="41.0"/>
    <col customWidth="1" hidden="1" min="48" max="48" width="52.29"/>
    <col customWidth="1" hidden="1" min="49" max="49" width="16.57"/>
    <col customWidth="1" hidden="1" min="50" max="50" width="28.43"/>
    <col customWidth="1" hidden="1" min="51" max="51" width="41.57"/>
    <col customWidth="1" hidden="1" min="52" max="52" width="14.29"/>
    <col customWidth="1" hidden="1" min="53" max="53" width="18.14"/>
    <col customWidth="1" hidden="1" min="54" max="54" width="13.0"/>
    <col customWidth="1" hidden="1" min="55" max="55" width="14.57"/>
    <col customWidth="1" hidden="1" min="56" max="56" width="19.43"/>
    <col customWidth="1" hidden="1" min="57" max="57" width="14.29"/>
    <col customWidth="1" hidden="1" min="58" max="58" width="15.86"/>
    <col customWidth="1" hidden="1" min="59" max="59" width="11.57"/>
    <col customWidth="1" hidden="1" min="60" max="60" width="16.86"/>
    <col customWidth="1" hidden="1" min="61" max="61" width="11.71"/>
    <col customWidth="1" hidden="1" min="62" max="62" width="13.29"/>
    <col customWidth="1" hidden="1" min="63" max="64" width="5.86"/>
    <col customWidth="1" hidden="1" min="65" max="65" width="12.14"/>
    <col customWidth="1" hidden="1" min="66" max="66" width="6.57"/>
    <col customWidth="1" hidden="1" min="67" max="67" width="154.0"/>
    <col customWidth="1" hidden="1" min="68" max="68" width="70.57"/>
    <col customWidth="1" min="69" max="69" width="9.43"/>
    <col customWidth="1" hidden="1" min="70" max="70" width="16.57"/>
    <col customWidth="1" hidden="1" min="71" max="71" width="15.71"/>
    <col customWidth="1" hidden="1" min="72" max="72" width="17.86"/>
    <col customWidth="1" hidden="1" min="73" max="73" width="19.57"/>
    <col customWidth="1" min="74" max="74" width="16.57"/>
    <col customWidth="1" min="75" max="75" width="18.29"/>
  </cols>
  <sheetData>
    <row r="1" ht="14.25" customHeight="1">
      <c r="A1" s="85" t="s">
        <v>1682</v>
      </c>
      <c r="B1" s="85" t="s">
        <v>1683</v>
      </c>
      <c r="C1" s="85" t="s">
        <v>1684</v>
      </c>
      <c r="D1" s="85" t="s">
        <v>1685</v>
      </c>
      <c r="E1" s="85" t="s">
        <v>1686</v>
      </c>
      <c r="F1" s="85" t="s">
        <v>1687</v>
      </c>
      <c r="G1" s="85" t="s">
        <v>1688</v>
      </c>
      <c r="H1" s="85" t="s">
        <v>1689</v>
      </c>
      <c r="I1" s="85" t="s">
        <v>1690</v>
      </c>
      <c r="J1" s="86" t="s">
        <v>1691</v>
      </c>
      <c r="K1" s="5" t="s">
        <v>1692</v>
      </c>
      <c r="L1" s="5" t="s">
        <v>1693</v>
      </c>
      <c r="M1" s="5" t="s">
        <v>1694</v>
      </c>
      <c r="N1" s="5" t="s">
        <v>1695</v>
      </c>
      <c r="O1" s="5" t="s">
        <v>1696</v>
      </c>
      <c r="P1" s="5" t="s">
        <v>1697</v>
      </c>
      <c r="Q1" s="5" t="s">
        <v>1698</v>
      </c>
      <c r="R1" s="5" t="s">
        <v>1699</v>
      </c>
      <c r="S1" s="5" t="s">
        <v>1700</v>
      </c>
      <c r="T1" s="5" t="s">
        <v>1701</v>
      </c>
      <c r="U1" s="5" t="s">
        <v>1702</v>
      </c>
      <c r="V1" s="5" t="s">
        <v>1703</v>
      </c>
      <c r="W1" s="5" t="s">
        <v>1704</v>
      </c>
      <c r="X1" s="5" t="s">
        <v>1705</v>
      </c>
      <c r="Y1" s="5" t="s">
        <v>1706</v>
      </c>
      <c r="Z1" s="5" t="s">
        <v>1707</v>
      </c>
      <c r="AA1" s="5" t="s">
        <v>1708</v>
      </c>
      <c r="AB1" s="5" t="s">
        <v>1709</v>
      </c>
      <c r="AC1" s="5" t="s">
        <v>1710</v>
      </c>
      <c r="AD1" s="5" t="s">
        <v>1711</v>
      </c>
      <c r="AE1" s="5" t="s">
        <v>1712</v>
      </c>
      <c r="AF1" s="5" t="s">
        <v>1713</v>
      </c>
      <c r="AG1" s="5" t="s">
        <v>1714</v>
      </c>
      <c r="AH1" s="5" t="s">
        <v>1715</v>
      </c>
      <c r="AI1" s="5" t="s">
        <v>1716</v>
      </c>
      <c r="AJ1" s="5" t="s">
        <v>1717</v>
      </c>
      <c r="AK1" s="5" t="s">
        <v>1718</v>
      </c>
      <c r="AL1" s="5" t="s">
        <v>1719</v>
      </c>
      <c r="AM1" s="5" t="s">
        <v>1720</v>
      </c>
      <c r="AN1" s="5" t="s">
        <v>1721</v>
      </c>
      <c r="AO1" s="5" t="s">
        <v>1722</v>
      </c>
      <c r="AP1" s="5" t="s">
        <v>1723</v>
      </c>
      <c r="AQ1" s="5" t="s">
        <v>1724</v>
      </c>
      <c r="AR1" s="5" t="s">
        <v>1725</v>
      </c>
      <c r="AS1" s="5" t="s">
        <v>1726</v>
      </c>
      <c r="AT1" s="5" t="s">
        <v>1727</v>
      </c>
      <c r="AU1" s="5" t="s">
        <v>1728</v>
      </c>
      <c r="AV1" s="5" t="s">
        <v>1729</v>
      </c>
      <c r="AW1" s="5" t="s">
        <v>1730</v>
      </c>
      <c r="AX1" s="5" t="s">
        <v>1731</v>
      </c>
      <c r="AY1" s="5" t="s">
        <v>1732</v>
      </c>
      <c r="AZ1" s="5" t="s">
        <v>1733</v>
      </c>
      <c r="BA1" s="5" t="s">
        <v>1734</v>
      </c>
      <c r="BB1" s="5" t="s">
        <v>1735</v>
      </c>
      <c r="BC1" s="5" t="s">
        <v>1736</v>
      </c>
      <c r="BD1" s="5" t="s">
        <v>1737</v>
      </c>
      <c r="BE1" s="5" t="s">
        <v>1738</v>
      </c>
      <c r="BF1" s="5" t="s">
        <v>1739</v>
      </c>
      <c r="BG1" s="5" t="s">
        <v>1740</v>
      </c>
      <c r="BH1" s="5" t="s">
        <v>1741</v>
      </c>
      <c r="BI1" s="5" t="s">
        <v>1742</v>
      </c>
      <c r="BJ1" s="5" t="s">
        <v>1743</v>
      </c>
      <c r="BK1" s="5" t="s">
        <v>1744</v>
      </c>
      <c r="BL1" s="5" t="s">
        <v>1745</v>
      </c>
      <c r="BM1" s="5" t="s">
        <v>1746</v>
      </c>
      <c r="BN1" s="5" t="s">
        <v>1747</v>
      </c>
      <c r="BO1" s="5" t="s">
        <v>1748</v>
      </c>
      <c r="BP1" s="5" t="s">
        <v>1749</v>
      </c>
      <c r="BQ1" s="5" t="s">
        <v>1750</v>
      </c>
      <c r="BR1" s="5" t="s">
        <v>1751</v>
      </c>
      <c r="BS1" s="5" t="s">
        <v>1752</v>
      </c>
      <c r="BT1" s="5" t="s">
        <v>1753</v>
      </c>
      <c r="BU1" s="5" t="s">
        <v>1754</v>
      </c>
      <c r="BV1" s="5" t="s">
        <v>1755</v>
      </c>
      <c r="BW1" s="5" t="s">
        <v>1756</v>
      </c>
    </row>
    <row r="2" ht="14.25" customHeight="1">
      <c r="A2" s="87">
        <v>1.0</v>
      </c>
      <c r="B2" s="87">
        <v>278.0</v>
      </c>
      <c r="C2" s="87" t="s">
        <v>1757</v>
      </c>
      <c r="D2" s="87" t="s">
        <v>1758</v>
      </c>
      <c r="E2" s="88" t="s">
        <v>1759</v>
      </c>
      <c r="F2" s="89" t="s">
        <v>1760</v>
      </c>
      <c r="G2" s="87" t="s">
        <v>1761</v>
      </c>
      <c r="H2" s="87" t="s">
        <v>1762</v>
      </c>
      <c r="I2" s="87" t="s">
        <v>1763</v>
      </c>
      <c r="J2" s="90">
        <v>31418.0</v>
      </c>
      <c r="K2" s="5">
        <v>594.0</v>
      </c>
      <c r="L2" s="5" t="s">
        <v>1764</v>
      </c>
      <c r="M2" s="5">
        <v>30.0</v>
      </c>
      <c r="N2" s="5"/>
      <c r="O2" s="5">
        <v>43884.0</v>
      </c>
      <c r="P2" s="5" t="s">
        <v>1765</v>
      </c>
      <c r="Q2" s="5" t="s">
        <v>1766</v>
      </c>
      <c r="R2" s="5">
        <v>549.0</v>
      </c>
      <c r="S2" s="5">
        <v>3.931205535E9</v>
      </c>
      <c r="T2" s="5" t="s">
        <v>1767</v>
      </c>
      <c r="U2" s="5" t="s">
        <v>1768</v>
      </c>
      <c r="V2" s="5">
        <v>3.931318464E9</v>
      </c>
      <c r="W2" s="5" t="s">
        <v>1769</v>
      </c>
      <c r="X2" s="91">
        <v>42464.0</v>
      </c>
      <c r="Y2" s="5" t="s">
        <v>1770</v>
      </c>
      <c r="Z2" s="5">
        <v>2.0</v>
      </c>
      <c r="AA2" s="5">
        <v>76.0</v>
      </c>
      <c r="AB2" s="5" t="s">
        <v>1771</v>
      </c>
      <c r="AC2" s="5" t="s">
        <v>1772</v>
      </c>
      <c r="AD2" s="91">
        <v>45445.0</v>
      </c>
      <c r="AE2" s="91">
        <v>47636.0</v>
      </c>
      <c r="AF2" s="5"/>
      <c r="AG2" s="5"/>
      <c r="AH2" s="5">
        <v>7.5058664865E10</v>
      </c>
      <c r="AI2" s="5"/>
      <c r="AJ2" s="5"/>
      <c r="AK2" s="5" t="s">
        <v>1773</v>
      </c>
      <c r="AL2" s="92">
        <v>0.0</v>
      </c>
      <c r="AM2" s="5" t="s">
        <v>1770</v>
      </c>
      <c r="AN2" s="5" t="s">
        <v>1774</v>
      </c>
      <c r="AO2" s="5"/>
      <c r="AP2" s="5"/>
      <c r="AQ2" s="5"/>
      <c r="AR2" s="5"/>
      <c r="AS2" s="5"/>
      <c r="AT2" s="5"/>
      <c r="AU2" s="5"/>
      <c r="AV2" s="5"/>
      <c r="AW2" s="5" t="s">
        <v>1770</v>
      </c>
      <c r="AX2" s="5"/>
      <c r="AY2" s="5"/>
      <c r="AZ2" s="5" t="s">
        <v>1770</v>
      </c>
      <c r="BA2" s="93">
        <v>0.0</v>
      </c>
      <c r="BB2" s="93">
        <v>0.0</v>
      </c>
      <c r="BC2" s="93">
        <v>0.0</v>
      </c>
      <c r="BD2" s="93">
        <v>0.0</v>
      </c>
      <c r="BE2" s="93">
        <v>0.0</v>
      </c>
      <c r="BF2" s="93">
        <v>0.0</v>
      </c>
      <c r="BG2" s="5"/>
      <c r="BH2" s="93">
        <v>0.0</v>
      </c>
      <c r="BI2" s="93">
        <v>0.0</v>
      </c>
      <c r="BJ2" s="93">
        <v>0.0</v>
      </c>
      <c r="BK2" s="93">
        <v>0.0</v>
      </c>
      <c r="BL2" s="93">
        <v>0.0</v>
      </c>
      <c r="BM2" s="93">
        <v>0.0</v>
      </c>
      <c r="BN2" s="93">
        <v>0.0</v>
      </c>
      <c r="BO2" s="5"/>
      <c r="BP2" s="5"/>
      <c r="BQ2" s="5" t="s">
        <v>1775</v>
      </c>
      <c r="BR2" s="94">
        <v>43477.45681712963</v>
      </c>
      <c r="BS2" s="5">
        <v>1.0</v>
      </c>
      <c r="BT2" s="94">
        <v>46133.48688657407</v>
      </c>
      <c r="BU2" s="5">
        <v>40.0</v>
      </c>
      <c r="BV2" s="5" t="s">
        <v>1770</v>
      </c>
      <c r="BW2" s="5" t="s">
        <v>1770</v>
      </c>
    </row>
    <row r="3" ht="14.25" customHeight="1">
      <c r="A3" s="95">
        <v>2.0</v>
      </c>
      <c r="B3" s="95">
        <v>1.0</v>
      </c>
      <c r="C3" s="95" t="s">
        <v>1776</v>
      </c>
      <c r="D3" s="95" t="s">
        <v>1777</v>
      </c>
      <c r="E3" s="96" t="s">
        <v>1778</v>
      </c>
      <c r="F3" s="97" t="s">
        <v>1779</v>
      </c>
      <c r="G3" s="95" t="s">
        <v>1780</v>
      </c>
      <c r="H3" s="95" t="s">
        <v>1781</v>
      </c>
      <c r="I3" s="95" t="s">
        <v>1782</v>
      </c>
      <c r="J3" s="98">
        <v>20414.0</v>
      </c>
      <c r="K3" s="5">
        <v>544.0</v>
      </c>
      <c r="L3" s="5" t="s">
        <v>1783</v>
      </c>
      <c r="M3" s="5">
        <v>170.0</v>
      </c>
      <c r="N3" s="5"/>
      <c r="O3" s="5">
        <v>43722.0</v>
      </c>
      <c r="P3" s="5" t="s">
        <v>1784</v>
      </c>
      <c r="Q3" s="5" t="s">
        <v>1785</v>
      </c>
      <c r="R3" s="5">
        <v>544.0</v>
      </c>
      <c r="S3" s="5">
        <v>5.445221148E9</v>
      </c>
      <c r="T3" s="5"/>
      <c r="U3" s="5" t="s">
        <v>1786</v>
      </c>
      <c r="V3" s="5">
        <v>3.919172268E9</v>
      </c>
      <c r="W3" s="5" t="s">
        <v>1787</v>
      </c>
      <c r="X3" s="91">
        <v>39006.0</v>
      </c>
      <c r="Y3" s="5">
        <v>1.0</v>
      </c>
      <c r="Z3" s="5">
        <v>19.0</v>
      </c>
      <c r="AA3" s="5">
        <v>1.0</v>
      </c>
      <c r="AB3" s="5"/>
      <c r="AC3" s="5"/>
      <c r="AD3" s="5" t="s">
        <v>1770</v>
      </c>
      <c r="AE3" s="5" t="s">
        <v>1770</v>
      </c>
      <c r="AF3" s="5"/>
      <c r="AG3" s="5"/>
      <c r="AH3" s="5">
        <v>5.4755513816E10</v>
      </c>
      <c r="AI3" s="5">
        <v>22.0</v>
      </c>
      <c r="AJ3" s="5"/>
      <c r="AK3" s="5" t="s">
        <v>1773</v>
      </c>
      <c r="AL3" s="92">
        <v>0.0</v>
      </c>
      <c r="AM3" s="5" t="s">
        <v>1770</v>
      </c>
      <c r="AN3" s="5" t="s">
        <v>1788</v>
      </c>
      <c r="AO3" s="5"/>
      <c r="AP3" s="5"/>
      <c r="AQ3" s="5"/>
      <c r="AR3" s="5"/>
      <c r="AS3" s="5"/>
      <c r="AT3" s="5"/>
      <c r="AU3" s="5"/>
      <c r="AV3" s="5"/>
      <c r="AW3" s="5" t="s">
        <v>1770</v>
      </c>
      <c r="AX3" s="5"/>
      <c r="AY3" s="5"/>
      <c r="AZ3" s="5" t="s">
        <v>1770</v>
      </c>
      <c r="BA3" s="93">
        <v>0.0</v>
      </c>
      <c r="BB3" s="93">
        <v>0.0</v>
      </c>
      <c r="BC3" s="93">
        <v>0.0</v>
      </c>
      <c r="BD3" s="93">
        <v>0.0</v>
      </c>
      <c r="BE3" s="93">
        <v>0.0</v>
      </c>
      <c r="BF3" s="93">
        <v>0.0</v>
      </c>
      <c r="BG3" s="5"/>
      <c r="BH3" s="93">
        <v>0.0</v>
      </c>
      <c r="BI3" s="93">
        <v>0.0</v>
      </c>
      <c r="BJ3" s="93">
        <v>0.0</v>
      </c>
      <c r="BK3" s="93">
        <v>0.0</v>
      </c>
      <c r="BL3" s="93">
        <v>0.0</v>
      </c>
      <c r="BM3" s="93">
        <v>0.0</v>
      </c>
      <c r="BN3" s="93">
        <v>0.0</v>
      </c>
      <c r="BO3" s="5"/>
      <c r="BP3" s="5" t="s">
        <v>1770</v>
      </c>
      <c r="BQ3" s="5" t="s">
        <v>1789</v>
      </c>
      <c r="BR3" s="94">
        <v>43477.45681712963</v>
      </c>
      <c r="BS3" s="5">
        <v>1.0</v>
      </c>
      <c r="BT3" s="94">
        <v>43503.54019675926</v>
      </c>
      <c r="BU3" s="5">
        <v>40.0</v>
      </c>
      <c r="BV3" s="94">
        <v>44645.51347222222</v>
      </c>
      <c r="BW3" s="5">
        <v>167.0</v>
      </c>
    </row>
    <row r="4" ht="14.25" customHeight="1">
      <c r="A4" s="95">
        <v>3.0</v>
      </c>
      <c r="B4" s="95">
        <v>2.0</v>
      </c>
      <c r="C4" s="95" t="s">
        <v>1790</v>
      </c>
      <c r="D4" s="95" t="s">
        <v>1792</v>
      </c>
      <c r="E4" s="96" t="s">
        <v>1792</v>
      </c>
      <c r="F4" s="97" t="s">
        <v>1794</v>
      </c>
      <c r="G4" s="95" t="s">
        <v>1795</v>
      </c>
      <c r="H4" s="95" t="s">
        <v>1781</v>
      </c>
      <c r="I4" s="95" t="s">
        <v>1782</v>
      </c>
      <c r="J4" s="98">
        <v>26992.0</v>
      </c>
      <c r="K4" s="5">
        <v>549.0</v>
      </c>
      <c r="L4" s="5" t="s">
        <v>1796</v>
      </c>
      <c r="M4" s="5">
        <v>42.0</v>
      </c>
      <c r="N4" s="5"/>
      <c r="O4" s="5">
        <v>43882.0</v>
      </c>
      <c r="P4" s="5" t="s">
        <v>1797</v>
      </c>
      <c r="Q4" s="5" t="s">
        <v>1798</v>
      </c>
      <c r="R4" s="5">
        <v>549.0</v>
      </c>
      <c r="S4" s="5">
        <v>6.452025851E9</v>
      </c>
      <c r="T4" s="5"/>
      <c r="U4" s="5" t="s">
        <v>1787</v>
      </c>
      <c r="V4" s="5">
        <v>5.04005151E8</v>
      </c>
      <c r="W4" s="5" t="s">
        <v>1787</v>
      </c>
      <c r="X4" s="91">
        <v>39048.0</v>
      </c>
      <c r="Y4" s="5">
        <v>1.0</v>
      </c>
      <c r="Z4" s="5">
        <v>4.0</v>
      </c>
      <c r="AA4" s="5">
        <v>104.0</v>
      </c>
      <c r="AB4" s="5" t="s">
        <v>1799</v>
      </c>
      <c r="AC4" s="5" t="s">
        <v>1800</v>
      </c>
      <c r="AD4" s="91">
        <v>45996.0</v>
      </c>
      <c r="AE4" s="91">
        <v>47467.0</v>
      </c>
      <c r="AF4" s="5"/>
      <c r="AG4" s="5"/>
      <c r="AH4" s="5">
        <v>5.3917340407E10</v>
      </c>
      <c r="AI4" s="5">
        <v>23.0</v>
      </c>
      <c r="AJ4" s="5"/>
      <c r="AK4" s="5" t="s">
        <v>1773</v>
      </c>
      <c r="AL4" s="92">
        <v>0.0</v>
      </c>
      <c r="AM4" s="5" t="s">
        <v>1770</v>
      </c>
      <c r="AN4" s="5" t="s">
        <v>1774</v>
      </c>
      <c r="AO4" s="5"/>
      <c r="AP4" s="5"/>
      <c r="AQ4" s="5"/>
      <c r="AR4" s="5"/>
      <c r="AS4" s="5"/>
      <c r="AT4" s="5"/>
      <c r="AU4" s="5"/>
      <c r="AV4" s="5"/>
      <c r="AW4" s="5" t="s">
        <v>1770</v>
      </c>
      <c r="AX4" s="5"/>
      <c r="AY4" s="5"/>
      <c r="AZ4" s="5" t="s">
        <v>1770</v>
      </c>
      <c r="BA4" s="93">
        <v>0.0</v>
      </c>
      <c r="BB4" s="93">
        <v>0.0</v>
      </c>
      <c r="BC4" s="93">
        <v>0.0</v>
      </c>
      <c r="BD4" s="93">
        <v>0.0</v>
      </c>
      <c r="BE4" s="93">
        <v>0.0</v>
      </c>
      <c r="BF4" s="93">
        <v>0.0</v>
      </c>
      <c r="BG4" s="5"/>
      <c r="BH4" s="93">
        <v>0.0</v>
      </c>
      <c r="BI4" s="93">
        <v>0.0</v>
      </c>
      <c r="BJ4" s="93">
        <v>0.0</v>
      </c>
      <c r="BK4" s="93">
        <v>0.0</v>
      </c>
      <c r="BL4" s="93">
        <v>0.0</v>
      </c>
      <c r="BM4" s="93">
        <v>0.0</v>
      </c>
      <c r="BN4" s="93">
        <v>0.0</v>
      </c>
      <c r="BO4" s="5"/>
      <c r="BP4" s="5"/>
      <c r="BQ4" s="5" t="s">
        <v>1775</v>
      </c>
      <c r="BR4" s="94">
        <v>43477.45681712963</v>
      </c>
      <c r="BS4" s="5">
        <v>1.0</v>
      </c>
      <c r="BT4" s="94">
        <v>46085.51106481482</v>
      </c>
      <c r="BU4" s="5">
        <v>40.0</v>
      </c>
      <c r="BV4" s="5" t="s">
        <v>1770</v>
      </c>
      <c r="BW4" s="5" t="s">
        <v>1770</v>
      </c>
    </row>
    <row r="5" ht="14.25" customHeight="1">
      <c r="A5" s="95">
        <v>4.0</v>
      </c>
      <c r="B5" s="95">
        <v>6.0</v>
      </c>
      <c r="C5" s="95" t="s">
        <v>1801</v>
      </c>
      <c r="D5" s="95" t="s">
        <v>1759</v>
      </c>
      <c r="E5" s="96" t="s">
        <v>1777</v>
      </c>
      <c r="F5" s="97" t="s">
        <v>1802</v>
      </c>
      <c r="G5" s="95" t="s">
        <v>1803</v>
      </c>
      <c r="H5" s="95" t="s">
        <v>1762</v>
      </c>
      <c r="I5" s="95" t="s">
        <v>1763</v>
      </c>
      <c r="J5" s="98">
        <v>29867.0</v>
      </c>
      <c r="K5" s="5">
        <v>549.0</v>
      </c>
      <c r="L5" s="5" t="s">
        <v>1804</v>
      </c>
      <c r="M5" s="5">
        <v>24.0</v>
      </c>
      <c r="N5" s="5"/>
      <c r="O5" s="5">
        <v>43882.0</v>
      </c>
      <c r="P5" s="5" t="s">
        <v>1805</v>
      </c>
      <c r="Q5" s="5" t="s">
        <v>1766</v>
      </c>
      <c r="R5" s="5">
        <v>549.0</v>
      </c>
      <c r="S5" s="5">
        <v>3.939365986E9</v>
      </c>
      <c r="T5" s="5" t="s">
        <v>1806</v>
      </c>
      <c r="U5" s="5" t="s">
        <v>1807</v>
      </c>
      <c r="V5" s="5">
        <v>3.931207893E9</v>
      </c>
      <c r="W5" s="5" t="s">
        <v>1808</v>
      </c>
      <c r="X5" s="91">
        <v>41624.0</v>
      </c>
      <c r="Y5" s="5" t="s">
        <v>1770</v>
      </c>
      <c r="Z5" s="5">
        <v>9.0</v>
      </c>
      <c r="AA5" s="5">
        <v>65.0</v>
      </c>
      <c r="AB5" s="5"/>
      <c r="AC5" s="5"/>
      <c r="AD5" s="5" t="s">
        <v>1770</v>
      </c>
      <c r="AE5" s="5" t="s">
        <v>1770</v>
      </c>
      <c r="AF5" s="5"/>
      <c r="AG5" s="5"/>
      <c r="AH5" s="5">
        <v>4.048148243E9</v>
      </c>
      <c r="AI5" s="5">
        <v>23.0</v>
      </c>
      <c r="AJ5" s="5"/>
      <c r="AK5" s="5" t="s">
        <v>1773</v>
      </c>
      <c r="AL5" s="92">
        <v>0.0</v>
      </c>
      <c r="AM5" s="5" t="s">
        <v>1770</v>
      </c>
      <c r="AN5" s="5" t="s">
        <v>1809</v>
      </c>
      <c r="AO5" s="5"/>
      <c r="AP5" s="5"/>
      <c r="AQ5" s="5"/>
      <c r="AR5" s="5"/>
      <c r="AS5" s="5"/>
      <c r="AT5" s="5"/>
      <c r="AU5" s="5"/>
      <c r="AV5" s="5"/>
      <c r="AW5" s="5" t="s">
        <v>1770</v>
      </c>
      <c r="AX5" s="5"/>
      <c r="AY5" s="5"/>
      <c r="AZ5" s="5" t="s">
        <v>1770</v>
      </c>
      <c r="BA5" s="93">
        <v>0.0</v>
      </c>
      <c r="BB5" s="93">
        <v>0.0</v>
      </c>
      <c r="BC5" s="93">
        <v>0.0</v>
      </c>
      <c r="BD5" s="93">
        <v>0.0</v>
      </c>
      <c r="BE5" s="93">
        <v>0.0</v>
      </c>
      <c r="BF5" s="93">
        <v>0.0</v>
      </c>
      <c r="BG5" s="5"/>
      <c r="BH5" s="93">
        <v>0.0</v>
      </c>
      <c r="BI5" s="93">
        <v>0.0</v>
      </c>
      <c r="BJ5" s="93">
        <v>0.0</v>
      </c>
      <c r="BK5" s="93">
        <v>0.0</v>
      </c>
      <c r="BL5" s="93">
        <v>0.0</v>
      </c>
      <c r="BM5" s="93">
        <v>0.0</v>
      </c>
      <c r="BN5" s="93">
        <v>0.0</v>
      </c>
      <c r="BO5" s="5"/>
      <c r="BP5" s="5"/>
      <c r="BQ5" s="5" t="s">
        <v>1775</v>
      </c>
      <c r="BR5" s="94">
        <v>43477.45681712963</v>
      </c>
      <c r="BS5" s="5">
        <v>1.0</v>
      </c>
      <c r="BT5" s="94">
        <v>46133.51430555555</v>
      </c>
      <c r="BU5" s="5">
        <v>272.0</v>
      </c>
      <c r="BV5" s="5" t="s">
        <v>1770</v>
      </c>
      <c r="BW5" s="5" t="s">
        <v>1770</v>
      </c>
    </row>
    <row r="6" ht="14.25" customHeight="1">
      <c r="A6" s="95">
        <v>5.0</v>
      </c>
      <c r="B6" s="95">
        <v>8.0</v>
      </c>
      <c r="C6" s="95" t="s">
        <v>1810</v>
      </c>
      <c r="D6" s="99" t="s">
        <v>1811</v>
      </c>
      <c r="E6" s="96" t="s">
        <v>1812</v>
      </c>
      <c r="F6" s="97" t="s">
        <v>1813</v>
      </c>
      <c r="G6" s="95" t="s">
        <v>1814</v>
      </c>
      <c r="H6" s="95" t="s">
        <v>1815</v>
      </c>
      <c r="I6" s="95" t="s">
        <v>1763</v>
      </c>
      <c r="J6" s="98">
        <v>24143.0</v>
      </c>
      <c r="K6" s="5">
        <v>549.0</v>
      </c>
      <c r="L6" s="5" t="s">
        <v>1816</v>
      </c>
      <c r="M6" s="5">
        <v>8.0</v>
      </c>
      <c r="N6" s="5"/>
      <c r="O6" s="5">
        <v>43877.0</v>
      </c>
      <c r="P6" s="5" t="s">
        <v>1797</v>
      </c>
      <c r="Q6" s="5" t="s">
        <v>1817</v>
      </c>
      <c r="R6" s="5">
        <v>578.0</v>
      </c>
      <c r="S6" s="5">
        <v>3.329574795E9</v>
      </c>
      <c r="T6" s="5"/>
      <c r="U6" s="100" t="s">
        <v>1818</v>
      </c>
      <c r="V6" s="5">
        <v>3.929402889E9</v>
      </c>
      <c r="W6" s="5" t="s">
        <v>1819</v>
      </c>
      <c r="X6" s="91">
        <v>39083.0</v>
      </c>
      <c r="Y6" s="5">
        <v>1.0</v>
      </c>
      <c r="Z6" s="5">
        <v>19.0</v>
      </c>
      <c r="AA6" s="5">
        <v>81.0</v>
      </c>
      <c r="AB6" s="5" t="s">
        <v>1820</v>
      </c>
      <c r="AC6" s="5" t="s">
        <v>1800</v>
      </c>
      <c r="AD6" s="91">
        <v>45321.0</v>
      </c>
      <c r="AE6" s="91">
        <v>46782.0</v>
      </c>
      <c r="AF6" s="5"/>
      <c r="AG6" s="5"/>
      <c r="AH6" s="5">
        <v>4.846601666E9</v>
      </c>
      <c r="AI6" s="5">
        <v>23.0</v>
      </c>
      <c r="AJ6" s="5"/>
      <c r="AK6" s="5" t="s">
        <v>1773</v>
      </c>
      <c r="AL6" s="92">
        <v>0.0</v>
      </c>
      <c r="AM6" s="5" t="s">
        <v>1770</v>
      </c>
      <c r="AN6" s="5" t="s">
        <v>1788</v>
      </c>
      <c r="AO6" s="5"/>
      <c r="AP6" s="5"/>
      <c r="AQ6" s="5"/>
      <c r="AR6" s="5"/>
      <c r="AS6" s="5"/>
      <c r="AT6" s="5"/>
      <c r="AU6" s="5"/>
      <c r="AV6" s="5"/>
      <c r="AW6" s="5" t="s">
        <v>1770</v>
      </c>
      <c r="AX6" s="5"/>
      <c r="AY6" s="5"/>
      <c r="AZ6" s="5" t="s">
        <v>1770</v>
      </c>
      <c r="BA6" s="93">
        <v>0.0</v>
      </c>
      <c r="BB6" s="93">
        <v>0.0</v>
      </c>
      <c r="BC6" s="93">
        <v>0.0</v>
      </c>
      <c r="BD6" s="93">
        <v>0.0</v>
      </c>
      <c r="BE6" s="93">
        <v>0.0</v>
      </c>
      <c r="BF6" s="93">
        <v>0.0</v>
      </c>
      <c r="BG6" s="5"/>
      <c r="BH6" s="93">
        <v>0.0</v>
      </c>
      <c r="BI6" s="93">
        <v>0.0</v>
      </c>
      <c r="BJ6" s="93">
        <v>0.0</v>
      </c>
      <c r="BK6" s="93">
        <v>0.0</v>
      </c>
      <c r="BL6" s="93">
        <v>0.0</v>
      </c>
      <c r="BM6" s="93">
        <v>0.0</v>
      </c>
      <c r="BN6" s="93">
        <v>0.0</v>
      </c>
      <c r="BO6" s="5"/>
      <c r="BP6" s="5"/>
      <c r="BQ6" s="5" t="s">
        <v>1775</v>
      </c>
      <c r="BR6" s="94">
        <v>43477.45681712963</v>
      </c>
      <c r="BS6" s="5">
        <v>1.0</v>
      </c>
      <c r="BT6" s="94">
        <v>46133.43356481481</v>
      </c>
      <c r="BU6" s="5">
        <v>272.0</v>
      </c>
      <c r="BV6" s="5" t="s">
        <v>1770</v>
      </c>
      <c r="BW6" s="5" t="s">
        <v>1770</v>
      </c>
    </row>
    <row r="7" ht="14.25" customHeight="1">
      <c r="A7" s="95">
        <v>6.0</v>
      </c>
      <c r="B7" s="95">
        <v>11.0</v>
      </c>
      <c r="C7" s="95" t="s">
        <v>1821</v>
      </c>
      <c r="D7" s="95" t="s">
        <v>1822</v>
      </c>
      <c r="E7" s="96" t="s">
        <v>1823</v>
      </c>
      <c r="F7" s="97" t="s">
        <v>1824</v>
      </c>
      <c r="G7" s="95" t="s">
        <v>1825</v>
      </c>
      <c r="H7" s="95" t="s">
        <v>1781</v>
      </c>
      <c r="I7" s="95" t="s">
        <v>1782</v>
      </c>
      <c r="J7" s="98">
        <v>20707.0</v>
      </c>
      <c r="K7" s="5" t="s">
        <v>1770</v>
      </c>
      <c r="L7" s="5" t="s">
        <v>1826</v>
      </c>
      <c r="M7" s="5">
        <v>20.0</v>
      </c>
      <c r="N7" s="5"/>
      <c r="O7" s="5">
        <v>43882.0</v>
      </c>
      <c r="P7" s="5" t="s">
        <v>1827</v>
      </c>
      <c r="Q7" s="5" t="s">
        <v>1766</v>
      </c>
      <c r="R7" s="5">
        <v>549.0</v>
      </c>
      <c r="S7" s="5">
        <v>3.333333333E9</v>
      </c>
      <c r="T7" s="5"/>
      <c r="U7" s="5" t="s">
        <v>1828</v>
      </c>
      <c r="V7" s="5">
        <v>3.93936323E9</v>
      </c>
      <c r="W7" s="5" t="s">
        <v>1787</v>
      </c>
      <c r="X7" s="91">
        <v>39995.0</v>
      </c>
      <c r="Y7" s="5">
        <v>1.0</v>
      </c>
      <c r="Z7" s="5">
        <v>17.0</v>
      </c>
      <c r="AA7" s="5">
        <v>89.0</v>
      </c>
      <c r="AB7" s="5" t="s">
        <v>1829</v>
      </c>
      <c r="AC7" s="5" t="s">
        <v>1800</v>
      </c>
      <c r="AD7" s="91">
        <v>45723.0</v>
      </c>
      <c r="AE7" s="91">
        <v>47184.0</v>
      </c>
      <c r="AF7" s="5"/>
      <c r="AG7" s="5"/>
      <c r="AH7" s="5">
        <v>5.478563096E10</v>
      </c>
      <c r="AI7" s="5">
        <v>23.0</v>
      </c>
      <c r="AJ7" s="5"/>
      <c r="AK7" s="5" t="s">
        <v>1773</v>
      </c>
      <c r="AL7" s="92">
        <v>0.0</v>
      </c>
      <c r="AM7" s="5" t="s">
        <v>1770</v>
      </c>
      <c r="AN7" s="5" t="s">
        <v>1830</v>
      </c>
      <c r="AO7" s="5"/>
      <c r="AP7" s="5"/>
      <c r="AQ7" s="5"/>
      <c r="AR7" s="5"/>
      <c r="AS7" s="5"/>
      <c r="AT7" s="5"/>
      <c r="AU7" s="5"/>
      <c r="AV7" s="5"/>
      <c r="AW7" s="5" t="s">
        <v>1770</v>
      </c>
      <c r="AX7" s="5"/>
      <c r="AY7" s="5"/>
      <c r="AZ7" s="5" t="s">
        <v>1770</v>
      </c>
      <c r="BA7" s="93">
        <v>0.0</v>
      </c>
      <c r="BB7" s="93">
        <v>0.0</v>
      </c>
      <c r="BC7" s="93">
        <v>0.0</v>
      </c>
      <c r="BD7" s="93">
        <v>0.0</v>
      </c>
      <c r="BE7" s="93">
        <v>0.0</v>
      </c>
      <c r="BF7" s="93">
        <v>0.0</v>
      </c>
      <c r="BG7" s="5"/>
      <c r="BH7" s="93">
        <v>0.0</v>
      </c>
      <c r="BI7" s="93">
        <v>0.0</v>
      </c>
      <c r="BJ7" s="93">
        <v>0.0</v>
      </c>
      <c r="BK7" s="93">
        <v>0.0</v>
      </c>
      <c r="BL7" s="93">
        <v>0.0</v>
      </c>
      <c r="BM7" s="93">
        <v>0.0</v>
      </c>
      <c r="BN7" s="93">
        <v>0.0</v>
      </c>
      <c r="BO7" s="5"/>
      <c r="BP7" s="5" t="s">
        <v>1833</v>
      </c>
      <c r="BQ7" s="5" t="s">
        <v>1775</v>
      </c>
      <c r="BR7" s="94">
        <v>43477.45681712963</v>
      </c>
      <c r="BS7" s="5">
        <v>1.0</v>
      </c>
      <c r="BT7" s="94">
        <v>46134.6950462963</v>
      </c>
      <c r="BU7" s="5" t="s">
        <v>1770</v>
      </c>
      <c r="BV7" s="5" t="s">
        <v>1770</v>
      </c>
      <c r="BW7" s="5" t="s">
        <v>1770</v>
      </c>
    </row>
    <row r="8" ht="14.25" customHeight="1">
      <c r="A8" s="95">
        <v>7.0</v>
      </c>
      <c r="B8" s="95">
        <v>12.0</v>
      </c>
      <c r="C8" s="95" t="s">
        <v>1834</v>
      </c>
      <c r="D8" s="95" t="s">
        <v>1835</v>
      </c>
      <c r="E8" s="96" t="s">
        <v>1836</v>
      </c>
      <c r="F8" s="97" t="s">
        <v>1837</v>
      </c>
      <c r="G8" s="95" t="s">
        <v>1838</v>
      </c>
      <c r="H8" s="95" t="s">
        <v>1762</v>
      </c>
      <c r="I8" s="95" t="s">
        <v>1763</v>
      </c>
      <c r="J8" s="98">
        <v>29001.0</v>
      </c>
      <c r="K8" s="5">
        <v>549.0</v>
      </c>
      <c r="L8" s="5" t="s">
        <v>1839</v>
      </c>
      <c r="M8" s="5">
        <v>128.0</v>
      </c>
      <c r="N8" s="5"/>
      <c r="O8" s="5">
        <v>43882.0</v>
      </c>
      <c r="P8" s="5" t="s">
        <v>1840</v>
      </c>
      <c r="Q8" s="5" t="s">
        <v>1766</v>
      </c>
      <c r="R8" s="5">
        <v>549.0</v>
      </c>
      <c r="S8" s="5">
        <v>3.339664155E9</v>
      </c>
      <c r="T8" s="5" t="s">
        <v>1841</v>
      </c>
      <c r="U8" s="5" t="s">
        <v>1842</v>
      </c>
      <c r="V8" s="5">
        <v>3.320329931E9</v>
      </c>
      <c r="W8" s="5" t="s">
        <v>1819</v>
      </c>
      <c r="X8" s="91">
        <v>39083.0</v>
      </c>
      <c r="Y8" s="5" t="s">
        <v>1770</v>
      </c>
      <c r="Z8" s="5">
        <v>7.0</v>
      </c>
      <c r="AA8" s="5">
        <v>62.0</v>
      </c>
      <c r="AB8" s="5"/>
      <c r="AC8" s="5"/>
      <c r="AD8" s="5" t="s">
        <v>1770</v>
      </c>
      <c r="AE8" s="5" t="s">
        <v>1770</v>
      </c>
      <c r="AF8" s="5"/>
      <c r="AG8" s="5"/>
      <c r="AH8" s="5">
        <v>4.017939374E9</v>
      </c>
      <c r="AI8" s="5">
        <v>23.0</v>
      </c>
      <c r="AJ8" s="5">
        <v>1.407228017E9</v>
      </c>
      <c r="AK8" s="5" t="s">
        <v>1773</v>
      </c>
      <c r="AL8" s="92">
        <v>0.0</v>
      </c>
      <c r="AM8" s="5" t="s">
        <v>1770</v>
      </c>
      <c r="AN8" s="5" t="s">
        <v>1830</v>
      </c>
      <c r="AO8" s="5"/>
      <c r="AP8" s="5"/>
      <c r="AQ8" s="5"/>
      <c r="AR8" s="5"/>
      <c r="AS8" s="5"/>
      <c r="AT8" s="5"/>
      <c r="AU8" s="5"/>
      <c r="AV8" s="5"/>
      <c r="AW8" s="5" t="s">
        <v>1770</v>
      </c>
      <c r="AX8" s="5"/>
      <c r="AY8" s="5"/>
      <c r="AZ8" s="5" t="s">
        <v>1770</v>
      </c>
      <c r="BA8" s="93">
        <v>0.0</v>
      </c>
      <c r="BB8" s="93">
        <v>0.0</v>
      </c>
      <c r="BC8" s="93">
        <v>0.0</v>
      </c>
      <c r="BD8" s="93">
        <v>0.0</v>
      </c>
      <c r="BE8" s="93">
        <v>0.0</v>
      </c>
      <c r="BF8" s="93">
        <v>0.0</v>
      </c>
      <c r="BG8" s="5"/>
      <c r="BH8" s="93">
        <v>0.0</v>
      </c>
      <c r="BI8" s="93">
        <v>0.0</v>
      </c>
      <c r="BJ8" s="93">
        <v>0.0</v>
      </c>
      <c r="BK8" s="93">
        <v>0.0</v>
      </c>
      <c r="BL8" s="93">
        <v>0.0</v>
      </c>
      <c r="BM8" s="93">
        <v>0.0</v>
      </c>
      <c r="BN8" s="93">
        <v>0.0</v>
      </c>
      <c r="BO8" s="5"/>
      <c r="BP8" s="5"/>
      <c r="BQ8" s="5" t="s">
        <v>1775</v>
      </c>
      <c r="BR8" s="94">
        <v>43477.45681712963</v>
      </c>
      <c r="BS8" s="5">
        <v>1.0</v>
      </c>
      <c r="BT8" s="94">
        <v>46133.50202546296</v>
      </c>
      <c r="BU8" s="5">
        <v>272.0</v>
      </c>
      <c r="BV8" s="5" t="s">
        <v>1770</v>
      </c>
      <c r="BW8" s="5" t="s">
        <v>1770</v>
      </c>
    </row>
    <row r="9" ht="14.25" customHeight="1">
      <c r="A9" s="95">
        <v>8.0</v>
      </c>
      <c r="B9" s="95">
        <v>17.0</v>
      </c>
      <c r="C9" s="95" t="s">
        <v>1843</v>
      </c>
      <c r="D9" s="95" t="s">
        <v>1844</v>
      </c>
      <c r="E9" s="96" t="s">
        <v>1845</v>
      </c>
      <c r="F9" s="97" t="s">
        <v>1846</v>
      </c>
      <c r="G9" s="95" t="s">
        <v>1847</v>
      </c>
      <c r="H9" s="95" t="s">
        <v>1781</v>
      </c>
      <c r="I9" s="95" t="s">
        <v>1782</v>
      </c>
      <c r="J9" s="98">
        <v>30004.0</v>
      </c>
      <c r="K9" s="5">
        <v>594.0</v>
      </c>
      <c r="L9" s="5" t="s">
        <v>1848</v>
      </c>
      <c r="M9" s="5">
        <v>7.0</v>
      </c>
      <c r="N9" s="5"/>
      <c r="O9" s="5">
        <v>43882.0</v>
      </c>
      <c r="P9" s="5" t="s">
        <v>1849</v>
      </c>
      <c r="Q9" s="5" t="s">
        <v>1850</v>
      </c>
      <c r="R9" s="5">
        <v>544.0</v>
      </c>
      <c r="S9" s="5">
        <v>3.338560242E9</v>
      </c>
      <c r="T9" s="5"/>
      <c r="U9" s="5" t="s">
        <v>1851</v>
      </c>
      <c r="V9" s="5">
        <v>3.311863398E9</v>
      </c>
      <c r="W9" s="5" t="s">
        <v>1787</v>
      </c>
      <c r="X9" s="91">
        <v>39463.0</v>
      </c>
      <c r="Y9" s="5" t="s">
        <v>1770</v>
      </c>
      <c r="Z9" s="5">
        <v>3.0</v>
      </c>
      <c r="AA9" s="5">
        <v>43.0</v>
      </c>
      <c r="AB9" s="5" t="s">
        <v>1852</v>
      </c>
      <c r="AC9" s="5" t="s">
        <v>1800</v>
      </c>
      <c r="AD9" s="91">
        <v>46410.0</v>
      </c>
      <c r="AE9" s="91">
        <v>46410.0</v>
      </c>
      <c r="AF9" s="5"/>
      <c r="AG9" s="5"/>
      <c r="AH9" s="5">
        <v>4.3058213315E10</v>
      </c>
      <c r="AI9" s="5">
        <v>22.0</v>
      </c>
      <c r="AJ9" s="5"/>
      <c r="AK9" s="5" t="s">
        <v>1773</v>
      </c>
      <c r="AL9" s="92">
        <v>0.0</v>
      </c>
      <c r="AM9" s="5" t="s">
        <v>1770</v>
      </c>
      <c r="AN9" s="5" t="s">
        <v>1830</v>
      </c>
      <c r="AO9" s="5"/>
      <c r="AP9" s="5"/>
      <c r="AQ9" s="5"/>
      <c r="AR9" s="5"/>
      <c r="AS9" s="5"/>
      <c r="AT9" s="5" t="s">
        <v>1853</v>
      </c>
      <c r="AU9" s="5"/>
      <c r="AV9" s="5" t="s">
        <v>1854</v>
      </c>
      <c r="AW9" s="5" t="s">
        <v>1770</v>
      </c>
      <c r="AX9" s="5"/>
      <c r="AY9" s="5"/>
      <c r="AZ9" s="5" t="s">
        <v>1770</v>
      </c>
      <c r="BA9" s="93">
        <v>0.0</v>
      </c>
      <c r="BB9" s="93">
        <v>0.0</v>
      </c>
      <c r="BC9" s="93">
        <v>0.0</v>
      </c>
      <c r="BD9" s="93">
        <v>0.0</v>
      </c>
      <c r="BE9" s="93">
        <v>0.0</v>
      </c>
      <c r="BF9" s="93">
        <v>0.0</v>
      </c>
      <c r="BG9" s="5"/>
      <c r="BH9" s="93">
        <v>0.0</v>
      </c>
      <c r="BI9" s="93">
        <v>0.0</v>
      </c>
      <c r="BJ9" s="93">
        <v>0.0</v>
      </c>
      <c r="BK9" s="93">
        <v>0.0</v>
      </c>
      <c r="BL9" s="93">
        <v>0.0</v>
      </c>
      <c r="BM9" s="93">
        <v>0.0</v>
      </c>
      <c r="BN9" s="93">
        <v>0.0</v>
      </c>
      <c r="BO9" s="5"/>
      <c r="BP9" s="5" t="s">
        <v>1770</v>
      </c>
      <c r="BQ9" s="5" t="s">
        <v>1789</v>
      </c>
      <c r="BR9" s="94">
        <v>43477.45681712963</v>
      </c>
      <c r="BS9" s="5">
        <v>1.0</v>
      </c>
      <c r="BT9" s="94">
        <v>45407.41079861111</v>
      </c>
      <c r="BU9" s="5">
        <v>40.0</v>
      </c>
      <c r="BV9" s="94">
        <v>45671.69631944445</v>
      </c>
      <c r="BW9" s="5" t="s">
        <v>1770</v>
      </c>
    </row>
    <row r="10" ht="14.25" customHeight="1">
      <c r="A10" s="95">
        <v>9.0</v>
      </c>
      <c r="B10" s="95">
        <v>99999.0</v>
      </c>
      <c r="C10" s="95" t="s">
        <v>1855</v>
      </c>
      <c r="D10" s="95" t="s">
        <v>1856</v>
      </c>
      <c r="E10" s="96" t="s">
        <v>1857</v>
      </c>
      <c r="F10" s="97" t="s">
        <v>1858</v>
      </c>
      <c r="G10" s="95" t="s">
        <v>1859</v>
      </c>
      <c r="H10" s="95" t="s">
        <v>1781</v>
      </c>
      <c r="I10" s="95" t="s">
        <v>1782</v>
      </c>
      <c r="J10" s="98">
        <v>18383.0</v>
      </c>
      <c r="K10" s="5" t="s">
        <v>1770</v>
      </c>
      <c r="L10" s="5">
        <v>1.0</v>
      </c>
      <c r="M10" s="5">
        <v>2.0</v>
      </c>
      <c r="N10" s="5"/>
      <c r="O10" s="5">
        <v>43882.0</v>
      </c>
      <c r="P10" s="5">
        <v>3.0</v>
      </c>
      <c r="Q10" s="5"/>
      <c r="R10" s="5">
        <v>549.0</v>
      </c>
      <c r="S10" s="5">
        <v>3.313697839E9</v>
      </c>
      <c r="T10" s="5"/>
      <c r="U10" s="5" t="s">
        <v>1787</v>
      </c>
      <c r="V10" s="5">
        <v>1.478523698E9</v>
      </c>
      <c r="W10" s="5" t="s">
        <v>1787</v>
      </c>
      <c r="X10" s="91">
        <v>36494.0</v>
      </c>
      <c r="Y10" s="5">
        <v>1.0</v>
      </c>
      <c r="Z10" s="5">
        <v>19.0</v>
      </c>
      <c r="AA10" s="5">
        <v>1.0</v>
      </c>
      <c r="AB10" s="5" t="s">
        <v>1860</v>
      </c>
      <c r="AC10" s="5" t="s">
        <v>1800</v>
      </c>
      <c r="AD10" s="91">
        <v>42972.0</v>
      </c>
      <c r="AE10" s="91">
        <v>46259.0</v>
      </c>
      <c r="AF10" s="5"/>
      <c r="AG10" s="5"/>
      <c r="AH10" s="5">
        <v>5.3775006876E10</v>
      </c>
      <c r="AI10" s="5"/>
      <c r="AJ10" s="5"/>
      <c r="AK10" s="5" t="s">
        <v>1773</v>
      </c>
      <c r="AL10" s="92">
        <v>0.0</v>
      </c>
      <c r="AM10" s="5" t="s">
        <v>1770</v>
      </c>
      <c r="AN10" s="5" t="s">
        <v>1774</v>
      </c>
      <c r="AO10" s="5"/>
      <c r="AP10" s="5"/>
      <c r="AQ10" s="5"/>
      <c r="AR10" s="5"/>
      <c r="AS10" s="5"/>
      <c r="AT10" s="5"/>
      <c r="AU10" s="5"/>
      <c r="AV10" s="5"/>
      <c r="AW10" s="5" t="s">
        <v>1770</v>
      </c>
      <c r="AX10" s="5"/>
      <c r="AY10" s="5"/>
      <c r="AZ10" s="5" t="s">
        <v>1770</v>
      </c>
      <c r="BA10" s="93">
        <v>0.0</v>
      </c>
      <c r="BB10" s="93">
        <v>0.0</v>
      </c>
      <c r="BC10" s="93">
        <v>0.0</v>
      </c>
      <c r="BD10" s="93">
        <v>0.0</v>
      </c>
      <c r="BE10" s="93">
        <v>0.0</v>
      </c>
      <c r="BF10" s="93">
        <v>0.0</v>
      </c>
      <c r="BG10" s="5"/>
      <c r="BH10" s="93">
        <v>0.0</v>
      </c>
      <c r="BI10" s="93">
        <v>0.0</v>
      </c>
      <c r="BJ10" s="93">
        <v>0.0</v>
      </c>
      <c r="BK10" s="93">
        <v>0.0</v>
      </c>
      <c r="BL10" s="93">
        <v>0.0</v>
      </c>
      <c r="BM10" s="93">
        <v>0.0</v>
      </c>
      <c r="BN10" s="93">
        <v>0.0</v>
      </c>
      <c r="BO10" s="5"/>
      <c r="BP10" s="5" t="s">
        <v>1770</v>
      </c>
      <c r="BQ10" s="5" t="s">
        <v>1789</v>
      </c>
      <c r="BR10" s="94">
        <v>43477.45681712963</v>
      </c>
      <c r="BS10" s="5">
        <v>1.0</v>
      </c>
      <c r="BT10" s="94">
        <v>45815.47255787037</v>
      </c>
      <c r="BU10" s="5" t="s">
        <v>1770</v>
      </c>
      <c r="BV10" s="5" t="s">
        <v>1770</v>
      </c>
      <c r="BW10" s="5" t="s">
        <v>1770</v>
      </c>
    </row>
    <row r="11" ht="14.25" customHeight="1">
      <c r="A11" s="95">
        <v>10.0</v>
      </c>
      <c r="B11" s="95">
        <v>45.0</v>
      </c>
      <c r="C11" s="95" t="s">
        <v>1871</v>
      </c>
      <c r="D11" s="95" t="s">
        <v>1872</v>
      </c>
      <c r="E11" s="96" t="s">
        <v>1873</v>
      </c>
      <c r="F11" s="97" t="s">
        <v>1874</v>
      </c>
      <c r="G11" s="95" t="s">
        <v>1875</v>
      </c>
      <c r="H11" s="95" t="s">
        <v>1781</v>
      </c>
      <c r="I11" s="95" t="s">
        <v>1782</v>
      </c>
      <c r="J11" s="98">
        <v>25148.0</v>
      </c>
      <c r="K11" s="5">
        <v>544.0</v>
      </c>
      <c r="L11" s="5" t="s">
        <v>1876</v>
      </c>
      <c r="M11" s="5">
        <v>53.0</v>
      </c>
      <c r="N11" s="5"/>
      <c r="O11" s="5">
        <v>43882.0</v>
      </c>
      <c r="P11" s="5" t="s">
        <v>1797</v>
      </c>
      <c r="Q11" s="5"/>
      <c r="R11" s="5">
        <v>549.0</v>
      </c>
      <c r="S11" s="5">
        <v>3.261061061E9</v>
      </c>
      <c r="T11" s="5"/>
      <c r="U11" s="5" t="s">
        <v>1787</v>
      </c>
      <c r="V11" s="5">
        <v>1.021021051E9</v>
      </c>
      <c r="W11" s="5" t="s">
        <v>1787</v>
      </c>
      <c r="X11" s="91">
        <v>39722.0</v>
      </c>
      <c r="Y11" s="5" t="s">
        <v>1770</v>
      </c>
      <c r="Z11" s="5">
        <v>17.0</v>
      </c>
      <c r="AA11" s="5">
        <v>16.0</v>
      </c>
      <c r="AB11" s="5"/>
      <c r="AC11" s="5"/>
      <c r="AD11" s="5" t="s">
        <v>1770</v>
      </c>
      <c r="AE11" s="5" t="s">
        <v>1770</v>
      </c>
      <c r="AF11" s="5"/>
      <c r="AG11" s="5"/>
      <c r="AH11" s="5">
        <v>4.086809697E9</v>
      </c>
      <c r="AI11" s="5">
        <v>22.0</v>
      </c>
      <c r="AJ11" s="5"/>
      <c r="AK11" s="5" t="s">
        <v>1773</v>
      </c>
      <c r="AL11" s="92">
        <v>0.0</v>
      </c>
      <c r="AM11" s="5" t="s">
        <v>1770</v>
      </c>
      <c r="AN11" s="5" t="s">
        <v>1788</v>
      </c>
      <c r="AO11" s="5"/>
      <c r="AP11" s="5"/>
      <c r="AQ11" s="5"/>
      <c r="AR11" s="5"/>
      <c r="AS11" s="5"/>
      <c r="AT11" s="5"/>
      <c r="AU11" s="5"/>
      <c r="AV11" s="5"/>
      <c r="AW11" s="5" t="s">
        <v>1770</v>
      </c>
      <c r="AX11" s="5"/>
      <c r="AY11" s="5"/>
      <c r="AZ11" s="5" t="s">
        <v>1770</v>
      </c>
      <c r="BA11" s="93">
        <v>0.0</v>
      </c>
      <c r="BB11" s="93">
        <v>0.0</v>
      </c>
      <c r="BC11" s="93">
        <v>0.0</v>
      </c>
      <c r="BD11" s="93">
        <v>0.0</v>
      </c>
      <c r="BE11" s="93">
        <v>0.0</v>
      </c>
      <c r="BF11" s="93">
        <v>0.0</v>
      </c>
      <c r="BG11" s="5"/>
      <c r="BH11" s="93">
        <v>0.0</v>
      </c>
      <c r="BI11" s="93">
        <v>0.0</v>
      </c>
      <c r="BJ11" s="93">
        <v>0.0</v>
      </c>
      <c r="BK11" s="93">
        <v>0.0</v>
      </c>
      <c r="BL11" s="93">
        <v>0.0</v>
      </c>
      <c r="BM11" s="93">
        <v>0.0</v>
      </c>
      <c r="BN11" s="93">
        <v>0.0</v>
      </c>
      <c r="BO11" s="5"/>
      <c r="BP11" s="5" t="s">
        <v>1770</v>
      </c>
      <c r="BQ11" s="5" t="s">
        <v>1775</v>
      </c>
      <c r="BR11" s="94">
        <v>43477.45681712963</v>
      </c>
      <c r="BS11" s="5">
        <v>1.0</v>
      </c>
      <c r="BT11" s="94">
        <v>43636.51525462963</v>
      </c>
      <c r="BU11" s="5">
        <v>40.0</v>
      </c>
      <c r="BV11" s="5" t="s">
        <v>1770</v>
      </c>
      <c r="BW11" s="5" t="s">
        <v>1770</v>
      </c>
    </row>
    <row r="12" ht="14.25" customHeight="1">
      <c r="A12" s="95">
        <v>11.0</v>
      </c>
      <c r="B12" s="95">
        <v>48.0</v>
      </c>
      <c r="C12" s="95" t="s">
        <v>1877</v>
      </c>
      <c r="D12" s="95" t="s">
        <v>1878</v>
      </c>
      <c r="E12" s="96" t="s">
        <v>1879</v>
      </c>
      <c r="F12" s="97" t="s">
        <v>1880</v>
      </c>
      <c r="G12" s="95" t="s">
        <v>1881</v>
      </c>
      <c r="H12" s="95" t="s">
        <v>1781</v>
      </c>
      <c r="I12" s="95" t="s">
        <v>1782</v>
      </c>
      <c r="J12" s="98">
        <v>31020.0</v>
      </c>
      <c r="K12" s="5">
        <v>549.0</v>
      </c>
      <c r="L12" s="5" t="s">
        <v>1882</v>
      </c>
      <c r="M12" s="5">
        <v>69.0</v>
      </c>
      <c r="N12" s="5"/>
      <c r="O12" s="5">
        <v>43886.0</v>
      </c>
      <c r="P12" s="5" t="s">
        <v>1797</v>
      </c>
      <c r="Q12" s="5" t="s">
        <v>1883</v>
      </c>
      <c r="R12" s="5">
        <v>549.0</v>
      </c>
      <c r="S12" s="5">
        <v>3.931061792E9</v>
      </c>
      <c r="T12" s="5"/>
      <c r="U12" s="5" t="s">
        <v>1884</v>
      </c>
      <c r="V12" s="5">
        <v>3.931047254E9</v>
      </c>
      <c r="W12" s="5" t="s">
        <v>1787</v>
      </c>
      <c r="X12" s="91">
        <v>39783.0</v>
      </c>
      <c r="Y12" s="5">
        <v>3.0</v>
      </c>
      <c r="Z12" s="5">
        <v>17.0</v>
      </c>
      <c r="AA12" s="5">
        <v>6.0</v>
      </c>
      <c r="AB12" s="5" t="s">
        <v>1885</v>
      </c>
      <c r="AC12" s="5" t="s">
        <v>1800</v>
      </c>
      <c r="AD12" s="91">
        <v>45841.0</v>
      </c>
      <c r="AE12" s="91">
        <v>47302.0</v>
      </c>
      <c r="AF12" s="5"/>
      <c r="AG12" s="5"/>
      <c r="AH12" s="5">
        <v>4.078403591E9</v>
      </c>
      <c r="AI12" s="5">
        <v>23.0</v>
      </c>
      <c r="AJ12" s="5"/>
      <c r="AK12" s="5" t="s">
        <v>1773</v>
      </c>
      <c r="AL12" s="92">
        <v>0.0</v>
      </c>
      <c r="AM12" s="5" t="s">
        <v>1770</v>
      </c>
      <c r="AN12" s="5" t="s">
        <v>1788</v>
      </c>
      <c r="AO12" s="5"/>
      <c r="AP12" s="5"/>
      <c r="AQ12" s="5"/>
      <c r="AR12" s="5"/>
      <c r="AS12" s="5"/>
      <c r="AT12" s="5"/>
      <c r="AU12" s="5"/>
      <c r="AV12" s="5"/>
      <c r="AW12" s="5" t="s">
        <v>1770</v>
      </c>
      <c r="AX12" s="5"/>
      <c r="AY12" s="5"/>
      <c r="AZ12" s="5" t="s">
        <v>1770</v>
      </c>
      <c r="BA12" s="93">
        <v>0.0</v>
      </c>
      <c r="BB12" s="93">
        <v>0.0</v>
      </c>
      <c r="BC12" s="93">
        <v>0.0</v>
      </c>
      <c r="BD12" s="93">
        <v>0.0</v>
      </c>
      <c r="BE12" s="93">
        <v>0.0</v>
      </c>
      <c r="BF12" s="93">
        <v>0.0</v>
      </c>
      <c r="BG12" s="5"/>
      <c r="BH12" s="93">
        <v>0.0</v>
      </c>
      <c r="BI12" s="93">
        <v>0.0</v>
      </c>
      <c r="BJ12" s="93">
        <v>0.0</v>
      </c>
      <c r="BK12" s="93">
        <v>0.0</v>
      </c>
      <c r="BL12" s="93">
        <v>0.0</v>
      </c>
      <c r="BM12" s="93">
        <v>0.0</v>
      </c>
      <c r="BN12" s="93">
        <v>0.0</v>
      </c>
      <c r="BO12" s="5"/>
      <c r="BP12" s="5"/>
      <c r="BQ12" s="5" t="s">
        <v>1775</v>
      </c>
      <c r="BR12" s="94">
        <v>43477.45681712963</v>
      </c>
      <c r="BS12" s="5">
        <v>1.0</v>
      </c>
      <c r="BT12" s="94">
        <v>46133.44059027778</v>
      </c>
      <c r="BU12" s="5">
        <v>272.0</v>
      </c>
      <c r="BV12" s="5" t="s">
        <v>1770</v>
      </c>
      <c r="BW12" s="5" t="s">
        <v>1770</v>
      </c>
    </row>
    <row r="13" ht="14.25" customHeight="1">
      <c r="A13" s="95">
        <v>12.0</v>
      </c>
      <c r="B13" s="95">
        <v>54.0</v>
      </c>
      <c r="C13" s="95" t="s">
        <v>1821</v>
      </c>
      <c r="D13" s="95" t="s">
        <v>1888</v>
      </c>
      <c r="E13" s="96" t="s">
        <v>1889</v>
      </c>
      <c r="F13" s="97" t="s">
        <v>1890</v>
      </c>
      <c r="G13" s="95" t="s">
        <v>1891</v>
      </c>
      <c r="H13" s="95" t="s">
        <v>1781</v>
      </c>
      <c r="I13" s="95" t="s">
        <v>1782</v>
      </c>
      <c r="J13" s="98">
        <v>26757.0</v>
      </c>
      <c r="K13" s="5">
        <v>561.0</v>
      </c>
      <c r="L13" s="5" t="s">
        <v>1892</v>
      </c>
      <c r="M13" s="5">
        <v>467.0</v>
      </c>
      <c r="N13" s="5"/>
      <c r="O13" s="5">
        <v>43885.0</v>
      </c>
      <c r="P13" s="5" t="s">
        <v>1893</v>
      </c>
      <c r="Q13" s="5" t="s">
        <v>1766</v>
      </c>
      <c r="R13" s="5">
        <v>549.0</v>
      </c>
      <c r="S13" s="5">
        <v>3.931328533E9</v>
      </c>
      <c r="T13" s="5" t="s">
        <v>1894</v>
      </c>
      <c r="U13" s="5" t="s">
        <v>1895</v>
      </c>
      <c r="V13" s="5">
        <v>3.32116451E9</v>
      </c>
      <c r="W13" s="5" t="s">
        <v>1819</v>
      </c>
      <c r="X13" s="91">
        <v>39881.0</v>
      </c>
      <c r="Y13" s="5" t="s">
        <v>1770</v>
      </c>
      <c r="Z13" s="5">
        <v>5.0</v>
      </c>
      <c r="AA13" s="5">
        <v>51.0</v>
      </c>
      <c r="AB13" s="5" t="s">
        <v>1896</v>
      </c>
      <c r="AC13" s="5" t="s">
        <v>1800</v>
      </c>
      <c r="AD13" s="91">
        <v>45239.0</v>
      </c>
      <c r="AE13" s="91">
        <v>46700.0</v>
      </c>
      <c r="AF13" s="5"/>
      <c r="AG13" s="5"/>
      <c r="AH13" s="5">
        <v>7.4907354554E10</v>
      </c>
      <c r="AI13" s="5">
        <v>23.0</v>
      </c>
      <c r="AJ13" s="5"/>
      <c r="AK13" s="5" t="s">
        <v>1773</v>
      </c>
      <c r="AL13" s="92">
        <v>0.0</v>
      </c>
      <c r="AM13" s="5" t="s">
        <v>1770</v>
      </c>
      <c r="AN13" s="5" t="s">
        <v>1830</v>
      </c>
      <c r="AO13" s="5"/>
      <c r="AP13" s="5"/>
      <c r="AQ13" s="5"/>
      <c r="AR13" s="5"/>
      <c r="AS13" s="5"/>
      <c r="AT13" s="5"/>
      <c r="AU13" s="5"/>
      <c r="AV13" s="5"/>
      <c r="AW13" s="5" t="s">
        <v>1770</v>
      </c>
      <c r="AX13" s="5"/>
      <c r="AY13" s="5"/>
      <c r="AZ13" s="5" t="s">
        <v>1770</v>
      </c>
      <c r="BA13" s="93">
        <v>0.0</v>
      </c>
      <c r="BB13" s="93">
        <v>0.0</v>
      </c>
      <c r="BC13" s="93">
        <v>0.0</v>
      </c>
      <c r="BD13" s="93">
        <v>0.0</v>
      </c>
      <c r="BE13" s="93">
        <v>0.0</v>
      </c>
      <c r="BF13" s="93">
        <v>0.0</v>
      </c>
      <c r="BG13" s="5"/>
      <c r="BH13" s="93">
        <v>0.0</v>
      </c>
      <c r="BI13" s="93">
        <v>0.0</v>
      </c>
      <c r="BJ13" s="93">
        <v>0.0</v>
      </c>
      <c r="BK13" s="93">
        <v>0.0</v>
      </c>
      <c r="BL13" s="93">
        <v>0.0</v>
      </c>
      <c r="BM13" s="93">
        <v>0.0</v>
      </c>
      <c r="BN13" s="93">
        <v>0.0</v>
      </c>
      <c r="BO13" s="5"/>
      <c r="BP13" s="5"/>
      <c r="BQ13" s="5" t="s">
        <v>1775</v>
      </c>
      <c r="BR13" s="94">
        <v>43477.45681712963</v>
      </c>
      <c r="BS13" s="5">
        <v>1.0</v>
      </c>
      <c r="BT13" s="94">
        <v>46134.40331018518</v>
      </c>
      <c r="BU13" s="5" t="s">
        <v>1770</v>
      </c>
      <c r="BV13" s="5" t="s">
        <v>1770</v>
      </c>
      <c r="BW13" s="5" t="s">
        <v>1770</v>
      </c>
    </row>
    <row r="14" ht="14.25" customHeight="1">
      <c r="A14" s="95">
        <v>13.0</v>
      </c>
      <c r="B14" s="95">
        <v>68.0</v>
      </c>
      <c r="C14" s="95" t="s">
        <v>1897</v>
      </c>
      <c r="D14" s="99" t="s">
        <v>1898</v>
      </c>
      <c r="E14" s="101" t="s">
        <v>1898</v>
      </c>
      <c r="F14" s="97" t="s">
        <v>1899</v>
      </c>
      <c r="G14" s="95" t="s">
        <v>1900</v>
      </c>
      <c r="H14" s="95" t="s">
        <v>1781</v>
      </c>
      <c r="I14" s="95" t="s">
        <v>1782</v>
      </c>
      <c r="J14" s="98">
        <v>33205.0</v>
      </c>
      <c r="K14" s="5">
        <v>549.0</v>
      </c>
      <c r="L14" s="5" t="s">
        <v>1901</v>
      </c>
      <c r="M14" s="5">
        <v>2082.0</v>
      </c>
      <c r="N14" s="5"/>
      <c r="O14" s="5">
        <v>43884.0</v>
      </c>
      <c r="P14" s="5" t="s">
        <v>1902</v>
      </c>
      <c r="Q14" s="5" t="s">
        <v>1766</v>
      </c>
      <c r="R14" s="5">
        <v>549.0</v>
      </c>
      <c r="S14" s="5">
        <v>3.931582785E9</v>
      </c>
      <c r="T14" s="5"/>
      <c r="U14" s="5" t="s">
        <v>1903</v>
      </c>
      <c r="V14" s="5">
        <v>3.931582785E9</v>
      </c>
      <c r="W14" s="5" t="s">
        <v>1787</v>
      </c>
      <c r="X14" s="91">
        <v>40318.0</v>
      </c>
      <c r="Y14" s="5">
        <v>1.0</v>
      </c>
      <c r="Z14" s="5">
        <v>4.0</v>
      </c>
      <c r="AA14" s="5">
        <v>112.0</v>
      </c>
      <c r="AB14" s="5" t="s">
        <v>1904</v>
      </c>
      <c r="AC14" s="5" t="s">
        <v>1800</v>
      </c>
      <c r="AD14" s="91">
        <v>44495.0</v>
      </c>
      <c r="AE14" s="91">
        <v>45956.0</v>
      </c>
      <c r="AF14" s="5"/>
      <c r="AG14" s="5"/>
      <c r="AH14" s="5">
        <v>4.109057457E9</v>
      </c>
      <c r="AI14" s="5">
        <v>23.0</v>
      </c>
      <c r="AJ14" s="5"/>
      <c r="AK14" s="5" t="s">
        <v>1773</v>
      </c>
      <c r="AL14" s="92">
        <v>0.0</v>
      </c>
      <c r="AM14" s="5" t="s">
        <v>1770</v>
      </c>
      <c r="AN14" s="5" t="s">
        <v>1905</v>
      </c>
      <c r="AO14" s="5"/>
      <c r="AP14" s="5"/>
      <c r="AQ14" s="5"/>
      <c r="AR14" s="5"/>
      <c r="AS14" s="5"/>
      <c r="AT14" s="5"/>
      <c r="AU14" s="5"/>
      <c r="AV14" s="5"/>
      <c r="AW14" s="5" t="s">
        <v>1770</v>
      </c>
      <c r="AX14" s="5"/>
      <c r="AY14" s="5"/>
      <c r="AZ14" s="5" t="s">
        <v>1770</v>
      </c>
      <c r="BA14" s="93">
        <v>0.0</v>
      </c>
      <c r="BB14" s="93">
        <v>0.0</v>
      </c>
      <c r="BC14" s="93">
        <v>0.0</v>
      </c>
      <c r="BD14" s="93">
        <v>0.0</v>
      </c>
      <c r="BE14" s="93">
        <v>0.0</v>
      </c>
      <c r="BF14" s="93">
        <v>0.0</v>
      </c>
      <c r="BG14" s="5"/>
      <c r="BH14" s="93">
        <v>0.0</v>
      </c>
      <c r="BI14" s="93">
        <v>0.0</v>
      </c>
      <c r="BJ14" s="93">
        <v>0.0</v>
      </c>
      <c r="BK14" s="93">
        <v>0.0</v>
      </c>
      <c r="BL14" s="93">
        <v>0.0</v>
      </c>
      <c r="BM14" s="93">
        <v>0.0</v>
      </c>
      <c r="BN14" s="93">
        <v>0.0</v>
      </c>
      <c r="BO14" s="5"/>
      <c r="BP14" s="5"/>
      <c r="BQ14" s="5" t="s">
        <v>1775</v>
      </c>
      <c r="BR14" s="94">
        <v>43477.45681712963</v>
      </c>
      <c r="BS14" s="5">
        <v>1.0</v>
      </c>
      <c r="BT14" s="94">
        <v>46134.395949074074</v>
      </c>
      <c r="BU14" s="5">
        <v>40.0</v>
      </c>
      <c r="BV14" s="5" t="s">
        <v>1770</v>
      </c>
      <c r="BW14" s="5" t="s">
        <v>1770</v>
      </c>
    </row>
    <row r="15" ht="14.25" customHeight="1">
      <c r="A15" s="95">
        <v>14.0</v>
      </c>
      <c r="B15" s="95">
        <v>96.0</v>
      </c>
      <c r="C15" s="95" t="s">
        <v>1906</v>
      </c>
      <c r="D15" s="95" t="s">
        <v>1777</v>
      </c>
      <c r="E15" s="96" t="s">
        <v>1907</v>
      </c>
      <c r="F15" s="97" t="s">
        <v>1908</v>
      </c>
      <c r="G15" s="95" t="s">
        <v>1909</v>
      </c>
      <c r="H15" s="95" t="s">
        <v>1910</v>
      </c>
      <c r="I15" s="95" t="s">
        <v>1782</v>
      </c>
      <c r="J15" s="98">
        <v>26769.0</v>
      </c>
      <c r="K15" s="5">
        <v>544.0</v>
      </c>
      <c r="L15" s="5" t="s">
        <v>1911</v>
      </c>
      <c r="M15" s="5" t="s">
        <v>1911</v>
      </c>
      <c r="N15" s="5"/>
      <c r="O15" s="5">
        <v>43722.0</v>
      </c>
      <c r="P15" s="5" t="s">
        <v>1912</v>
      </c>
      <c r="Q15" s="5" t="s">
        <v>1850</v>
      </c>
      <c r="R15" s="5">
        <v>544.0</v>
      </c>
      <c r="S15" s="5">
        <v>3.312846765E9</v>
      </c>
      <c r="T15" s="5" t="s">
        <v>1913</v>
      </c>
      <c r="U15" s="5" t="s">
        <v>1914</v>
      </c>
      <c r="V15" s="5">
        <v>3.313556165E9</v>
      </c>
      <c r="W15" s="5" t="s">
        <v>1819</v>
      </c>
      <c r="X15" s="91">
        <v>40725.0</v>
      </c>
      <c r="Y15" s="5">
        <v>1.0</v>
      </c>
      <c r="Z15" s="5">
        <v>19.0</v>
      </c>
      <c r="AA15" s="5">
        <v>64.0</v>
      </c>
      <c r="AB15" s="5" t="s">
        <v>1915</v>
      </c>
      <c r="AC15" s="5" t="s">
        <v>1800</v>
      </c>
      <c r="AD15" s="91">
        <v>46179.0</v>
      </c>
      <c r="AE15" s="91">
        <v>47275.0</v>
      </c>
      <c r="AF15" s="5"/>
      <c r="AG15" s="5"/>
      <c r="AH15" s="5">
        <v>7.4947310368E10</v>
      </c>
      <c r="AI15" s="5">
        <v>22.0</v>
      </c>
      <c r="AJ15" s="5"/>
      <c r="AK15" s="5" t="s">
        <v>1773</v>
      </c>
      <c r="AL15" s="92">
        <v>0.0</v>
      </c>
      <c r="AM15" s="5" t="s">
        <v>1770</v>
      </c>
      <c r="AN15" s="5" t="s">
        <v>1830</v>
      </c>
      <c r="AO15" s="5"/>
      <c r="AP15" s="5"/>
      <c r="AQ15" s="5"/>
      <c r="AR15" s="5"/>
      <c r="AS15" s="5"/>
      <c r="AT15" s="5" t="s">
        <v>1916</v>
      </c>
      <c r="AU15" s="5"/>
      <c r="AV15" s="5" t="s">
        <v>1917</v>
      </c>
      <c r="AW15" s="91">
        <v>34365.0</v>
      </c>
      <c r="AX15" s="5"/>
      <c r="AY15" s="5"/>
      <c r="AZ15" s="5" t="s">
        <v>1770</v>
      </c>
      <c r="BA15" s="93">
        <v>0.0</v>
      </c>
      <c r="BB15" s="93">
        <v>0.0</v>
      </c>
      <c r="BC15" s="93">
        <v>0.0</v>
      </c>
      <c r="BD15" s="93">
        <v>0.0</v>
      </c>
      <c r="BE15" s="93">
        <v>0.0</v>
      </c>
      <c r="BF15" s="93">
        <v>0.0</v>
      </c>
      <c r="BG15" s="5"/>
      <c r="BH15" s="93">
        <v>0.0</v>
      </c>
      <c r="BI15" s="93">
        <v>0.0</v>
      </c>
      <c r="BJ15" s="93">
        <v>0.0</v>
      </c>
      <c r="BK15" s="93">
        <v>0.0</v>
      </c>
      <c r="BL15" s="93">
        <v>0.0</v>
      </c>
      <c r="BM15" s="93">
        <v>0.0</v>
      </c>
      <c r="BN15" s="93">
        <v>0.0</v>
      </c>
      <c r="BO15" s="5"/>
      <c r="BP15" s="5"/>
      <c r="BQ15" s="5" t="s">
        <v>1775</v>
      </c>
      <c r="BR15" s="94">
        <v>43477.45681712963</v>
      </c>
      <c r="BS15" s="5">
        <v>1.0</v>
      </c>
      <c r="BT15" s="94">
        <v>46176.51366898148</v>
      </c>
      <c r="BU15" s="5">
        <v>40.0</v>
      </c>
      <c r="BV15" s="5" t="s">
        <v>1770</v>
      </c>
      <c r="BW15" s="5" t="s">
        <v>1770</v>
      </c>
    </row>
    <row r="16" ht="14.25" customHeight="1">
      <c r="A16" s="95">
        <v>15.0</v>
      </c>
      <c r="B16" s="95">
        <v>138.0</v>
      </c>
      <c r="C16" s="95" t="s">
        <v>1918</v>
      </c>
      <c r="D16" s="95" t="s">
        <v>1919</v>
      </c>
      <c r="E16" s="96" t="s">
        <v>1792</v>
      </c>
      <c r="F16" s="97" t="s">
        <v>1920</v>
      </c>
      <c r="G16" s="95" t="s">
        <v>1921</v>
      </c>
      <c r="H16" s="95" t="s">
        <v>1815</v>
      </c>
      <c r="I16" s="95" t="s">
        <v>1763</v>
      </c>
      <c r="J16" s="98">
        <v>32657.0</v>
      </c>
      <c r="K16" s="5">
        <v>549.0</v>
      </c>
      <c r="L16" s="5" t="s">
        <v>1922</v>
      </c>
      <c r="M16" s="5">
        <v>55454.0</v>
      </c>
      <c r="N16" s="5"/>
      <c r="O16" s="5">
        <v>43882.0</v>
      </c>
      <c r="P16" s="5" t="s">
        <v>1797</v>
      </c>
      <c r="Q16" s="5" t="s">
        <v>1923</v>
      </c>
      <c r="R16" s="5">
        <v>549.0</v>
      </c>
      <c r="S16" s="5">
        <v>1.005102102E9</v>
      </c>
      <c r="T16" s="5"/>
      <c r="U16" s="5" t="s">
        <v>1924</v>
      </c>
      <c r="V16" s="5">
        <v>6.05084051E9</v>
      </c>
      <c r="W16" s="5" t="s">
        <v>1924</v>
      </c>
      <c r="X16" s="91">
        <v>41275.0</v>
      </c>
      <c r="Y16" s="5">
        <v>1.0</v>
      </c>
      <c r="Z16" s="5">
        <v>19.0</v>
      </c>
      <c r="AA16" s="5">
        <v>9.0</v>
      </c>
      <c r="AB16" s="5"/>
      <c r="AC16" s="5"/>
      <c r="AD16" s="5" t="s">
        <v>1770</v>
      </c>
      <c r="AE16" s="5" t="s">
        <v>1770</v>
      </c>
      <c r="AF16" s="5"/>
      <c r="AG16" s="5"/>
      <c r="AH16" s="5">
        <v>4.138901493E9</v>
      </c>
      <c r="AI16" s="5">
        <v>23.0</v>
      </c>
      <c r="AJ16" s="5"/>
      <c r="AK16" s="5" t="s">
        <v>1773</v>
      </c>
      <c r="AL16" s="92">
        <v>0.0</v>
      </c>
      <c r="AM16" s="5" t="s">
        <v>1770</v>
      </c>
      <c r="AN16" s="5" t="s">
        <v>1788</v>
      </c>
      <c r="AO16" s="5"/>
      <c r="AP16" s="5"/>
      <c r="AQ16" s="5"/>
      <c r="AR16" s="5"/>
      <c r="AS16" s="5"/>
      <c r="AT16" s="5"/>
      <c r="AU16" s="5"/>
      <c r="AV16" s="5"/>
      <c r="AW16" s="5" t="s">
        <v>1770</v>
      </c>
      <c r="AX16" s="5"/>
      <c r="AY16" s="5"/>
      <c r="AZ16" s="5" t="s">
        <v>1770</v>
      </c>
      <c r="BA16" s="93">
        <v>0.0</v>
      </c>
      <c r="BB16" s="93">
        <v>0.0</v>
      </c>
      <c r="BC16" s="93">
        <v>0.0</v>
      </c>
      <c r="BD16" s="93">
        <v>0.0</v>
      </c>
      <c r="BE16" s="93">
        <v>0.0</v>
      </c>
      <c r="BF16" s="93">
        <v>0.0</v>
      </c>
      <c r="BG16" s="5"/>
      <c r="BH16" s="93">
        <v>0.0</v>
      </c>
      <c r="BI16" s="93">
        <v>0.0</v>
      </c>
      <c r="BJ16" s="93">
        <v>0.0</v>
      </c>
      <c r="BK16" s="93">
        <v>0.0</v>
      </c>
      <c r="BL16" s="93">
        <v>0.0</v>
      </c>
      <c r="BM16" s="93">
        <v>0.0</v>
      </c>
      <c r="BN16" s="93">
        <v>0.0</v>
      </c>
      <c r="BO16" s="5"/>
      <c r="BP16" s="5" t="s">
        <v>1770</v>
      </c>
      <c r="BQ16" s="5" t="s">
        <v>1789</v>
      </c>
      <c r="BR16" s="94">
        <v>43477.45681712963</v>
      </c>
      <c r="BS16" s="5">
        <v>1.0</v>
      </c>
      <c r="BT16" s="94">
        <v>43503.74335648148</v>
      </c>
      <c r="BU16" s="5">
        <v>40.0</v>
      </c>
      <c r="BV16" s="94">
        <v>45811.4137962963</v>
      </c>
      <c r="BW16" s="5">
        <v>275.0</v>
      </c>
    </row>
    <row r="17" ht="14.25" customHeight="1">
      <c r="A17" s="95">
        <v>16.0</v>
      </c>
      <c r="B17" s="95">
        <v>216.0</v>
      </c>
      <c r="C17" s="95" t="s">
        <v>1925</v>
      </c>
      <c r="D17" s="95" t="s">
        <v>1926</v>
      </c>
      <c r="E17" s="96" t="s">
        <v>1927</v>
      </c>
      <c r="F17" s="97" t="s">
        <v>1928</v>
      </c>
      <c r="G17" s="95" t="s">
        <v>1929</v>
      </c>
      <c r="H17" s="95" t="s">
        <v>1781</v>
      </c>
      <c r="I17" s="95" t="s">
        <v>1782</v>
      </c>
      <c r="J17" s="98">
        <v>30414.0</v>
      </c>
      <c r="K17" s="5">
        <v>549.0</v>
      </c>
      <c r="L17" s="5" t="s">
        <v>1930</v>
      </c>
      <c r="M17" s="5">
        <v>1.0</v>
      </c>
      <c r="N17" s="5"/>
      <c r="O17" s="5">
        <v>43885.0</v>
      </c>
      <c r="P17" s="5" t="s">
        <v>1931</v>
      </c>
      <c r="Q17" s="5" t="s">
        <v>1766</v>
      </c>
      <c r="R17" s="5">
        <v>549.0</v>
      </c>
      <c r="S17" s="5">
        <v>3.931096187E9</v>
      </c>
      <c r="T17" s="5" t="s">
        <v>1932</v>
      </c>
      <c r="U17" s="100" t="s">
        <v>1933</v>
      </c>
      <c r="V17" s="5">
        <v>3.931005471E9</v>
      </c>
      <c r="W17" s="5" t="s">
        <v>1787</v>
      </c>
      <c r="X17" s="91">
        <v>44585.0</v>
      </c>
      <c r="Y17" s="5">
        <v>5.0</v>
      </c>
      <c r="Z17" s="5">
        <v>17.0</v>
      </c>
      <c r="AA17" s="5">
        <v>6.0</v>
      </c>
      <c r="AB17" s="5" t="s">
        <v>1934</v>
      </c>
      <c r="AC17" s="5" t="s">
        <v>1800</v>
      </c>
      <c r="AD17" s="91">
        <v>46034.0</v>
      </c>
      <c r="AE17" s="91">
        <v>47495.0</v>
      </c>
      <c r="AF17" s="5"/>
      <c r="AG17" s="5"/>
      <c r="AH17" s="5">
        <v>4.068345299E9</v>
      </c>
      <c r="AI17" s="5">
        <v>23.0</v>
      </c>
      <c r="AJ17" s="5"/>
      <c r="AK17" s="5" t="s">
        <v>1773</v>
      </c>
      <c r="AL17" s="92">
        <v>0.0</v>
      </c>
      <c r="AM17" s="5" t="s">
        <v>1770</v>
      </c>
      <c r="AN17" s="5" t="s">
        <v>1935</v>
      </c>
      <c r="AO17" s="5"/>
      <c r="AP17" s="5"/>
      <c r="AQ17" s="5"/>
      <c r="AR17" s="5"/>
      <c r="AS17" s="5" t="s">
        <v>1936</v>
      </c>
      <c r="AT17" s="5"/>
      <c r="AU17" s="5"/>
      <c r="AV17" s="5"/>
      <c r="AW17" s="5" t="s">
        <v>1770</v>
      </c>
      <c r="AX17" s="5"/>
      <c r="AY17" s="5"/>
      <c r="AZ17" s="5" t="s">
        <v>1770</v>
      </c>
      <c r="BA17" s="93">
        <v>0.0</v>
      </c>
      <c r="BB17" s="93">
        <v>0.0</v>
      </c>
      <c r="BC17" s="93">
        <v>0.0</v>
      </c>
      <c r="BD17" s="93">
        <v>0.0</v>
      </c>
      <c r="BE17" s="93">
        <v>0.0</v>
      </c>
      <c r="BF17" s="93">
        <v>0.0</v>
      </c>
      <c r="BG17" s="5"/>
      <c r="BH17" s="93">
        <v>0.0</v>
      </c>
      <c r="BI17" s="93">
        <v>0.0</v>
      </c>
      <c r="BJ17" s="93">
        <v>0.0</v>
      </c>
      <c r="BK17" s="93">
        <v>0.0</v>
      </c>
      <c r="BL17" s="93">
        <v>0.0</v>
      </c>
      <c r="BM17" s="93">
        <v>0.0</v>
      </c>
      <c r="BN17" s="93">
        <v>0.0</v>
      </c>
      <c r="BO17" s="5"/>
      <c r="BP17" s="5"/>
      <c r="BQ17" s="5" t="s">
        <v>1775</v>
      </c>
      <c r="BR17" s="94">
        <v>43477.45681712963</v>
      </c>
      <c r="BS17" s="5">
        <v>1.0</v>
      </c>
      <c r="BT17" s="94">
        <v>46177.41736111111</v>
      </c>
      <c r="BU17" s="5">
        <v>272.0</v>
      </c>
      <c r="BV17" s="5" t="s">
        <v>1770</v>
      </c>
      <c r="BW17" s="5" t="s">
        <v>1770</v>
      </c>
    </row>
    <row r="18" ht="14.25" customHeight="1">
      <c r="A18" s="95">
        <v>17.0</v>
      </c>
      <c r="B18" s="95">
        <v>220.0</v>
      </c>
      <c r="C18" s="95" t="s">
        <v>1937</v>
      </c>
      <c r="D18" s="95" t="s">
        <v>1792</v>
      </c>
      <c r="E18" s="96" t="s">
        <v>1938</v>
      </c>
      <c r="F18" s="97" t="s">
        <v>1939</v>
      </c>
      <c r="G18" s="95" t="s">
        <v>1940</v>
      </c>
      <c r="H18" s="95" t="s">
        <v>1781</v>
      </c>
      <c r="I18" s="95" t="s">
        <v>1782</v>
      </c>
      <c r="J18" s="98">
        <v>26915.0</v>
      </c>
      <c r="K18" s="5">
        <v>549.0</v>
      </c>
      <c r="L18" s="5" t="s">
        <v>1941</v>
      </c>
      <c r="M18" s="5">
        <v>90.0</v>
      </c>
      <c r="N18" s="5"/>
      <c r="O18" s="5">
        <v>43912.0</v>
      </c>
      <c r="P18" s="5" t="s">
        <v>1942</v>
      </c>
      <c r="Q18" s="5" t="s">
        <v>1942</v>
      </c>
      <c r="R18" s="5">
        <v>549.0</v>
      </c>
      <c r="S18" s="5">
        <v>3.521079565E9</v>
      </c>
      <c r="T18" s="5"/>
      <c r="U18" s="5" t="s">
        <v>1943</v>
      </c>
      <c r="V18" s="5">
        <v>3.521131732E9</v>
      </c>
      <c r="W18" s="5" t="s">
        <v>1787</v>
      </c>
      <c r="X18" s="91">
        <v>41989.0</v>
      </c>
      <c r="Y18" s="5">
        <v>1.0</v>
      </c>
      <c r="Z18" s="5">
        <v>3.0</v>
      </c>
      <c r="AA18" s="5">
        <v>58.0</v>
      </c>
      <c r="AB18" s="5" t="s">
        <v>1944</v>
      </c>
      <c r="AC18" s="5" t="s">
        <v>1800</v>
      </c>
      <c r="AD18" s="91">
        <v>45061.0</v>
      </c>
      <c r="AE18" s="91">
        <v>46522.0</v>
      </c>
      <c r="AF18" s="5"/>
      <c r="AG18" s="5"/>
      <c r="AH18" s="5">
        <v>5.3037304762E10</v>
      </c>
      <c r="AI18" s="5">
        <v>66.0</v>
      </c>
      <c r="AJ18" s="5"/>
      <c r="AK18" s="5" t="s">
        <v>1773</v>
      </c>
      <c r="AL18" s="92">
        <v>0.0</v>
      </c>
      <c r="AM18" s="5" t="s">
        <v>1770</v>
      </c>
      <c r="AN18" s="5" t="s">
        <v>1774</v>
      </c>
      <c r="AO18" s="5"/>
      <c r="AP18" s="5"/>
      <c r="AQ18" s="5"/>
      <c r="AR18" s="5"/>
      <c r="AS18" s="5"/>
      <c r="AT18" s="5"/>
      <c r="AU18" s="5"/>
      <c r="AV18" s="5"/>
      <c r="AW18" s="5" t="s">
        <v>1770</v>
      </c>
      <c r="AX18" s="5"/>
      <c r="AY18" s="5"/>
      <c r="AZ18" s="5" t="s">
        <v>1770</v>
      </c>
      <c r="BA18" s="93">
        <v>0.0</v>
      </c>
      <c r="BB18" s="93">
        <v>0.0</v>
      </c>
      <c r="BC18" s="93">
        <v>0.0</v>
      </c>
      <c r="BD18" s="93">
        <v>0.0</v>
      </c>
      <c r="BE18" s="93">
        <v>0.0</v>
      </c>
      <c r="BF18" s="93">
        <v>0.0</v>
      </c>
      <c r="BG18" s="5"/>
      <c r="BH18" s="93">
        <v>0.0</v>
      </c>
      <c r="BI18" s="93">
        <v>0.0</v>
      </c>
      <c r="BJ18" s="93">
        <v>0.0</v>
      </c>
      <c r="BK18" s="93">
        <v>0.0</v>
      </c>
      <c r="BL18" s="93">
        <v>0.0</v>
      </c>
      <c r="BM18" s="93">
        <v>0.0</v>
      </c>
      <c r="BN18" s="93">
        <v>0.0</v>
      </c>
      <c r="BO18" s="5"/>
      <c r="BP18" s="5"/>
      <c r="BQ18" s="5" t="s">
        <v>1775</v>
      </c>
      <c r="BR18" s="94">
        <v>43477.45681712963</v>
      </c>
      <c r="BS18" s="5">
        <v>1.0</v>
      </c>
      <c r="BT18" s="94">
        <v>46133.573796296296</v>
      </c>
      <c r="BU18" s="5">
        <v>272.0</v>
      </c>
      <c r="BV18" s="5" t="s">
        <v>1770</v>
      </c>
      <c r="BW18" s="5" t="s">
        <v>1770</v>
      </c>
    </row>
    <row r="19" ht="14.25" customHeight="1">
      <c r="A19" s="95">
        <v>18.0</v>
      </c>
      <c r="B19" s="95">
        <v>203.0</v>
      </c>
      <c r="C19" s="95" t="s">
        <v>1945</v>
      </c>
      <c r="D19" s="95" t="s">
        <v>1792</v>
      </c>
      <c r="E19" s="96" t="s">
        <v>1946</v>
      </c>
      <c r="F19" s="97" t="s">
        <v>1947</v>
      </c>
      <c r="G19" s="95"/>
      <c r="H19" s="95"/>
      <c r="I19" s="95" t="s">
        <v>1763</v>
      </c>
      <c r="J19" s="102" t="s">
        <v>1770</v>
      </c>
      <c r="K19" s="5" t="s">
        <v>1770</v>
      </c>
      <c r="L19" s="5" t="s">
        <v>1948</v>
      </c>
      <c r="M19" s="5">
        <v>96521.0</v>
      </c>
      <c r="N19" s="5"/>
      <c r="O19" s="5">
        <v>43882.0</v>
      </c>
      <c r="P19" s="5" t="s">
        <v>1797</v>
      </c>
      <c r="Q19" s="5"/>
      <c r="R19" s="5">
        <v>549.0</v>
      </c>
      <c r="S19" s="5">
        <v>1.021201212E9</v>
      </c>
      <c r="T19" s="5"/>
      <c r="U19" s="5" t="s">
        <v>1769</v>
      </c>
      <c r="V19" s="5">
        <v>5.18405151E9</v>
      </c>
      <c r="W19" s="5" t="s">
        <v>1769</v>
      </c>
      <c r="X19" s="91">
        <v>43117.0</v>
      </c>
      <c r="Y19" s="5">
        <v>1.0</v>
      </c>
      <c r="Z19" s="5">
        <v>1.0</v>
      </c>
      <c r="AA19" s="5">
        <v>8.0</v>
      </c>
      <c r="AB19" s="5"/>
      <c r="AC19" s="5"/>
      <c r="AD19" s="5" t="s">
        <v>1770</v>
      </c>
      <c r="AE19" s="5" t="s">
        <v>1770</v>
      </c>
      <c r="AF19" s="5"/>
      <c r="AG19" s="5"/>
      <c r="AH19" s="5">
        <v>5.1051012012E10</v>
      </c>
      <c r="AI19" s="5"/>
      <c r="AJ19" s="5"/>
      <c r="AK19" s="5" t="s">
        <v>1773</v>
      </c>
      <c r="AL19" s="92">
        <v>0.0</v>
      </c>
      <c r="AM19" s="5" t="s">
        <v>1770</v>
      </c>
      <c r="AN19" s="5" t="s">
        <v>1788</v>
      </c>
      <c r="AO19" s="5"/>
      <c r="AP19" s="5"/>
      <c r="AQ19" s="5"/>
      <c r="AR19" s="5"/>
      <c r="AS19" s="5"/>
      <c r="AT19" s="5"/>
      <c r="AU19" s="5"/>
      <c r="AV19" s="5"/>
      <c r="AW19" s="5" t="s">
        <v>1770</v>
      </c>
      <c r="AX19" s="5"/>
      <c r="AY19" s="5"/>
      <c r="AZ19" s="5" t="s">
        <v>1770</v>
      </c>
      <c r="BA19" s="93">
        <v>0.0</v>
      </c>
      <c r="BB19" s="93">
        <v>0.0</v>
      </c>
      <c r="BC19" s="93">
        <v>0.0</v>
      </c>
      <c r="BD19" s="93">
        <v>0.0</v>
      </c>
      <c r="BE19" s="93">
        <v>0.0</v>
      </c>
      <c r="BF19" s="93">
        <v>0.0</v>
      </c>
      <c r="BG19" s="5"/>
      <c r="BH19" s="93">
        <v>0.0</v>
      </c>
      <c r="BI19" s="93">
        <v>0.0</v>
      </c>
      <c r="BJ19" s="93">
        <v>0.0</v>
      </c>
      <c r="BK19" s="93">
        <v>0.0</v>
      </c>
      <c r="BL19" s="93">
        <v>0.0</v>
      </c>
      <c r="BM19" s="93">
        <v>0.0</v>
      </c>
      <c r="BN19" s="93">
        <v>0.0</v>
      </c>
      <c r="BO19" s="5"/>
      <c r="BP19" s="5" t="s">
        <v>1770</v>
      </c>
      <c r="BQ19" s="5" t="s">
        <v>1789</v>
      </c>
      <c r="BR19" s="94">
        <v>43477.45681712963</v>
      </c>
      <c r="BS19" s="5">
        <v>1.0</v>
      </c>
      <c r="BT19" s="94">
        <v>43768.54491898148</v>
      </c>
      <c r="BU19" s="5">
        <v>40.0</v>
      </c>
      <c r="BV19" s="94">
        <v>44392.7003125</v>
      </c>
      <c r="BW19" s="5">
        <v>40.0</v>
      </c>
    </row>
    <row r="20" ht="14.25" customHeight="1">
      <c r="A20" s="95">
        <v>19.0</v>
      </c>
      <c r="B20" s="95">
        <v>221.0</v>
      </c>
      <c r="C20" s="95" t="s">
        <v>1949</v>
      </c>
      <c r="D20" s="95" t="s">
        <v>1950</v>
      </c>
      <c r="E20" s="96" t="s">
        <v>1758</v>
      </c>
      <c r="F20" s="97" t="s">
        <v>1951</v>
      </c>
      <c r="G20" s="95" t="s">
        <v>1952</v>
      </c>
      <c r="H20" s="95" t="s">
        <v>1781</v>
      </c>
      <c r="I20" s="95" t="s">
        <v>1782</v>
      </c>
      <c r="J20" s="98">
        <v>33536.0</v>
      </c>
      <c r="K20" s="5">
        <v>549.0</v>
      </c>
      <c r="L20" s="100" t="s">
        <v>1953</v>
      </c>
      <c r="M20" s="5">
        <v>38.0</v>
      </c>
      <c r="N20" s="5"/>
      <c r="O20" s="5">
        <v>43890.0</v>
      </c>
      <c r="P20" s="5" t="s">
        <v>1954</v>
      </c>
      <c r="Q20" s="5" t="s">
        <v>1954</v>
      </c>
      <c r="R20" s="5">
        <v>549.0</v>
      </c>
      <c r="S20" s="5">
        <v>3.931671851E9</v>
      </c>
      <c r="T20" s="5"/>
      <c r="U20" s="5" t="s">
        <v>1955</v>
      </c>
      <c r="V20" s="5">
        <v>3.931070866E9</v>
      </c>
      <c r="W20" s="5" t="s">
        <v>1787</v>
      </c>
      <c r="X20" s="91">
        <v>42010.0</v>
      </c>
      <c r="Y20" s="5">
        <v>1.0</v>
      </c>
      <c r="Z20" s="5">
        <v>19.0</v>
      </c>
      <c r="AA20" s="5">
        <v>15.0</v>
      </c>
      <c r="AB20" s="5" t="s">
        <v>1956</v>
      </c>
      <c r="AC20" s="5" t="s">
        <v>1800</v>
      </c>
      <c r="AD20" s="91">
        <v>45688.0</v>
      </c>
      <c r="AE20" s="91">
        <v>47149.0</v>
      </c>
      <c r="AF20" s="5"/>
      <c r="AG20" s="5"/>
      <c r="AH20" s="5">
        <v>4.139131991E9</v>
      </c>
      <c r="AI20" s="5">
        <v>23.0</v>
      </c>
      <c r="AJ20" s="5"/>
      <c r="AK20" s="5" t="s">
        <v>1773</v>
      </c>
      <c r="AL20" s="92">
        <v>0.0</v>
      </c>
      <c r="AM20" s="5" t="s">
        <v>1770</v>
      </c>
      <c r="AN20" s="5" t="s">
        <v>1830</v>
      </c>
      <c r="AO20" s="5"/>
      <c r="AP20" s="5"/>
      <c r="AQ20" s="5"/>
      <c r="AR20" s="5"/>
      <c r="AS20" s="5"/>
      <c r="AT20" s="5"/>
      <c r="AU20" s="5"/>
      <c r="AV20" s="5"/>
      <c r="AW20" s="5" t="s">
        <v>1770</v>
      </c>
      <c r="AX20" s="5"/>
      <c r="AY20" s="5"/>
      <c r="AZ20" s="5" t="s">
        <v>1770</v>
      </c>
      <c r="BA20" s="93">
        <v>0.0</v>
      </c>
      <c r="BB20" s="93">
        <v>0.0</v>
      </c>
      <c r="BC20" s="93">
        <v>0.0</v>
      </c>
      <c r="BD20" s="93">
        <v>0.0</v>
      </c>
      <c r="BE20" s="93">
        <v>0.0</v>
      </c>
      <c r="BF20" s="93">
        <v>0.0</v>
      </c>
      <c r="BG20" s="5"/>
      <c r="BH20" s="93">
        <v>0.0</v>
      </c>
      <c r="BI20" s="93">
        <v>0.0</v>
      </c>
      <c r="BJ20" s="93">
        <v>0.0</v>
      </c>
      <c r="BK20" s="93">
        <v>0.0</v>
      </c>
      <c r="BL20" s="93">
        <v>0.0</v>
      </c>
      <c r="BM20" s="93">
        <v>0.0</v>
      </c>
      <c r="BN20" s="93">
        <v>0.0</v>
      </c>
      <c r="BO20" s="5"/>
      <c r="BP20" s="5"/>
      <c r="BQ20" s="5" t="s">
        <v>1775</v>
      </c>
      <c r="BR20" s="94">
        <v>43477.45681712963</v>
      </c>
      <c r="BS20" s="5">
        <v>1.0</v>
      </c>
      <c r="BT20" s="94">
        <v>46134.53395833333</v>
      </c>
      <c r="BU20" s="5" t="s">
        <v>1770</v>
      </c>
      <c r="BV20" s="5" t="s">
        <v>1770</v>
      </c>
      <c r="BW20" s="5" t="s">
        <v>1770</v>
      </c>
    </row>
    <row r="21" ht="14.25" customHeight="1">
      <c r="A21" s="95">
        <v>20.0</v>
      </c>
      <c r="B21" s="95">
        <v>120.0</v>
      </c>
      <c r="C21" s="95" t="s">
        <v>1957</v>
      </c>
      <c r="D21" s="95" t="s">
        <v>1958</v>
      </c>
      <c r="E21" s="96" t="s">
        <v>1959</v>
      </c>
      <c r="F21" s="97" t="s">
        <v>1960</v>
      </c>
      <c r="G21" s="95" t="s">
        <v>1961</v>
      </c>
      <c r="H21" s="95" t="s">
        <v>1781</v>
      </c>
      <c r="I21" s="95" t="s">
        <v>1782</v>
      </c>
      <c r="J21" s="98">
        <v>31334.0</v>
      </c>
      <c r="K21" s="5">
        <v>544.0</v>
      </c>
      <c r="L21" s="5" t="s">
        <v>1962</v>
      </c>
      <c r="M21" s="5">
        <v>400.0</v>
      </c>
      <c r="N21" s="5"/>
      <c r="O21" s="5">
        <v>43832.0</v>
      </c>
      <c r="P21" s="5" t="s">
        <v>1797</v>
      </c>
      <c r="Q21" s="5" t="s">
        <v>1850</v>
      </c>
      <c r="R21" s="5">
        <v>544.0</v>
      </c>
      <c r="S21" s="5">
        <v>3.314539634E9</v>
      </c>
      <c r="T21" s="5" t="s">
        <v>1963</v>
      </c>
      <c r="U21" s="5" t="s">
        <v>1964</v>
      </c>
      <c r="V21" s="5">
        <v>3.314539634E9</v>
      </c>
      <c r="W21" s="5" t="s">
        <v>1965</v>
      </c>
      <c r="X21" s="91">
        <v>41030.0</v>
      </c>
      <c r="Y21" s="5">
        <v>6.0</v>
      </c>
      <c r="Z21" s="5">
        <v>19.0</v>
      </c>
      <c r="AA21" s="5">
        <v>6.0</v>
      </c>
      <c r="AB21" s="5" t="s">
        <v>1966</v>
      </c>
      <c r="AC21" s="5" t="s">
        <v>1800</v>
      </c>
      <c r="AD21" s="91">
        <v>45935.0</v>
      </c>
      <c r="AE21" s="91">
        <v>47397.0</v>
      </c>
      <c r="AF21" s="5"/>
      <c r="AG21" s="5"/>
      <c r="AH21" s="5">
        <v>7.7804202542E10</v>
      </c>
      <c r="AI21" s="5"/>
      <c r="AJ21" s="5"/>
      <c r="AK21" s="5" t="s">
        <v>1773</v>
      </c>
      <c r="AL21" s="92">
        <v>0.0</v>
      </c>
      <c r="AM21" s="5" t="s">
        <v>1770</v>
      </c>
      <c r="AN21" s="5" t="s">
        <v>1774</v>
      </c>
      <c r="AO21" s="5"/>
      <c r="AP21" s="5"/>
      <c r="AQ21" s="5"/>
      <c r="AR21" s="5"/>
      <c r="AS21" s="5"/>
      <c r="AT21" s="5"/>
      <c r="AU21" s="5"/>
      <c r="AV21" s="5"/>
      <c r="AW21" s="5" t="s">
        <v>1770</v>
      </c>
      <c r="AX21" s="5"/>
      <c r="AY21" s="5"/>
      <c r="AZ21" s="5" t="s">
        <v>1770</v>
      </c>
      <c r="BA21" s="93">
        <v>0.0</v>
      </c>
      <c r="BB21" s="93">
        <v>0.0</v>
      </c>
      <c r="BC21" s="93">
        <v>0.0</v>
      </c>
      <c r="BD21" s="93">
        <v>0.0</v>
      </c>
      <c r="BE21" s="93">
        <v>0.0</v>
      </c>
      <c r="BF21" s="93">
        <v>0.0</v>
      </c>
      <c r="BG21" s="5"/>
      <c r="BH21" s="93">
        <v>0.0</v>
      </c>
      <c r="BI21" s="93">
        <v>0.0</v>
      </c>
      <c r="BJ21" s="93">
        <v>0.0</v>
      </c>
      <c r="BK21" s="93">
        <v>0.0</v>
      </c>
      <c r="BL21" s="93">
        <v>0.0</v>
      </c>
      <c r="BM21" s="93">
        <v>0.0</v>
      </c>
      <c r="BN21" s="93">
        <v>0.0</v>
      </c>
      <c r="BO21" s="5"/>
      <c r="BP21" s="5"/>
      <c r="BQ21" s="5" t="s">
        <v>1775</v>
      </c>
      <c r="BR21" s="94">
        <v>43477.45681712963</v>
      </c>
      <c r="BS21" s="5">
        <v>1.0</v>
      </c>
      <c r="BT21" s="94">
        <v>46137.48412037037</v>
      </c>
      <c r="BU21" s="5">
        <v>40.0</v>
      </c>
      <c r="BV21" s="5" t="s">
        <v>1770</v>
      </c>
      <c r="BW21" s="5" t="s">
        <v>1770</v>
      </c>
    </row>
    <row r="22" ht="14.25" customHeight="1">
      <c r="A22" s="95">
        <v>21.0</v>
      </c>
      <c r="B22" s="95">
        <v>277.0</v>
      </c>
      <c r="C22" s="95" t="s">
        <v>1967</v>
      </c>
      <c r="D22" s="95" t="s">
        <v>1968</v>
      </c>
      <c r="E22" s="96" t="s">
        <v>1969</v>
      </c>
      <c r="F22" s="97" t="s">
        <v>1970</v>
      </c>
      <c r="G22" s="95" t="s">
        <v>1971</v>
      </c>
      <c r="H22" s="95" t="s">
        <v>1972</v>
      </c>
      <c r="I22" s="95" t="s">
        <v>1782</v>
      </c>
      <c r="J22" s="98">
        <v>34184.0</v>
      </c>
      <c r="K22" s="5">
        <v>549.0</v>
      </c>
      <c r="L22" s="5" t="s">
        <v>1973</v>
      </c>
      <c r="M22" s="5">
        <v>143.0</v>
      </c>
      <c r="N22" s="5"/>
      <c r="O22" s="5">
        <v>55002.0</v>
      </c>
      <c r="P22" s="5" t="s">
        <v>1797</v>
      </c>
      <c r="Q22" s="5" t="s">
        <v>1974</v>
      </c>
      <c r="R22" s="5">
        <v>886.0</v>
      </c>
      <c r="S22" s="5">
        <v>3.931006427E9</v>
      </c>
      <c r="T22" s="5" t="s">
        <v>1975</v>
      </c>
      <c r="U22" s="5" t="s">
        <v>1976</v>
      </c>
      <c r="V22" s="5">
        <v>3.931190992E9</v>
      </c>
      <c r="W22" s="5" t="s">
        <v>1808</v>
      </c>
      <c r="X22" s="91">
        <v>42461.0</v>
      </c>
      <c r="Y22" s="5">
        <v>1.0</v>
      </c>
      <c r="Z22" s="5">
        <v>3.0</v>
      </c>
      <c r="AA22" s="5">
        <v>3.0</v>
      </c>
      <c r="AB22" s="5" t="s">
        <v>1977</v>
      </c>
      <c r="AC22" s="5" t="s">
        <v>1772</v>
      </c>
      <c r="AD22" s="91">
        <v>45322.0</v>
      </c>
      <c r="AE22" s="91">
        <v>46783.0</v>
      </c>
      <c r="AF22" s="5"/>
      <c r="AG22" s="5"/>
      <c r="AH22" s="5">
        <v>8.169383687E9</v>
      </c>
      <c r="AI22" s="5">
        <v>23.0</v>
      </c>
      <c r="AJ22" s="5"/>
      <c r="AK22" s="5" t="s">
        <v>1773</v>
      </c>
      <c r="AL22" s="92">
        <v>0.0</v>
      </c>
      <c r="AM22" s="5" t="s">
        <v>1770</v>
      </c>
      <c r="AN22" s="5" t="s">
        <v>1978</v>
      </c>
      <c r="AO22" s="5"/>
      <c r="AP22" s="5"/>
      <c r="AQ22" s="5"/>
      <c r="AR22" s="5"/>
      <c r="AS22" s="5"/>
      <c r="AT22" s="5"/>
      <c r="AU22" s="5"/>
      <c r="AV22" s="5"/>
      <c r="AW22" s="5" t="s">
        <v>1770</v>
      </c>
      <c r="AX22" s="5"/>
      <c r="AY22" s="5"/>
      <c r="AZ22" s="5" t="s">
        <v>1770</v>
      </c>
      <c r="BA22" s="93">
        <v>0.0</v>
      </c>
      <c r="BB22" s="93">
        <v>0.0</v>
      </c>
      <c r="BC22" s="93">
        <v>0.0</v>
      </c>
      <c r="BD22" s="93">
        <v>0.0</v>
      </c>
      <c r="BE22" s="93">
        <v>0.0</v>
      </c>
      <c r="BF22" s="93">
        <v>0.0</v>
      </c>
      <c r="BG22" s="5"/>
      <c r="BH22" s="93">
        <v>0.0</v>
      </c>
      <c r="BI22" s="93">
        <v>0.0</v>
      </c>
      <c r="BJ22" s="93">
        <v>0.0</v>
      </c>
      <c r="BK22" s="93">
        <v>0.0</v>
      </c>
      <c r="BL22" s="93">
        <v>0.0</v>
      </c>
      <c r="BM22" s="93">
        <v>0.0</v>
      </c>
      <c r="BN22" s="93">
        <v>0.0</v>
      </c>
      <c r="BO22" s="5"/>
      <c r="BP22" s="5"/>
      <c r="BQ22" s="5" t="s">
        <v>1775</v>
      </c>
      <c r="BR22" s="94">
        <v>43477.45681712963</v>
      </c>
      <c r="BS22" s="5">
        <v>1.0</v>
      </c>
      <c r="BT22" s="94">
        <v>46136.39378472222</v>
      </c>
      <c r="BU22" s="5" t="s">
        <v>1770</v>
      </c>
      <c r="BV22" s="5" t="s">
        <v>1770</v>
      </c>
      <c r="BW22" s="5" t="s">
        <v>1770</v>
      </c>
    </row>
    <row r="23" ht="14.25" customHeight="1">
      <c r="A23" s="95">
        <v>22.0</v>
      </c>
      <c r="B23" s="95">
        <v>281.0</v>
      </c>
      <c r="C23" s="95" t="s">
        <v>1979</v>
      </c>
      <c r="D23" s="95" t="s">
        <v>1980</v>
      </c>
      <c r="E23" s="96" t="s">
        <v>1981</v>
      </c>
      <c r="F23" s="97" t="s">
        <v>1982</v>
      </c>
      <c r="G23" s="95" t="s">
        <v>1983</v>
      </c>
      <c r="H23" s="95" t="s">
        <v>1781</v>
      </c>
      <c r="I23" s="95" t="s">
        <v>1782</v>
      </c>
      <c r="J23" s="98">
        <v>21205.0</v>
      </c>
      <c r="K23" s="5">
        <v>549.0</v>
      </c>
      <c r="L23" s="5" t="s">
        <v>1984</v>
      </c>
      <c r="M23" s="5">
        <v>2.0</v>
      </c>
      <c r="N23" s="5"/>
      <c r="O23" s="5">
        <v>43872.0</v>
      </c>
      <c r="P23" s="5" t="s">
        <v>1798</v>
      </c>
      <c r="Q23" s="5" t="s">
        <v>1766</v>
      </c>
      <c r="R23" s="5">
        <v>549.0</v>
      </c>
      <c r="S23" s="5">
        <v>3.93936322E9</v>
      </c>
      <c r="T23" s="5" t="s">
        <v>1985</v>
      </c>
      <c r="U23" s="5" t="s">
        <v>1986</v>
      </c>
      <c r="V23" s="5">
        <v>3.939353728E9</v>
      </c>
      <c r="W23" s="5" t="s">
        <v>1787</v>
      </c>
      <c r="X23" s="91">
        <v>42513.0</v>
      </c>
      <c r="Y23" s="5">
        <v>1.0</v>
      </c>
      <c r="Z23" s="5">
        <v>18.0</v>
      </c>
      <c r="AA23" s="5">
        <v>1.0</v>
      </c>
      <c r="AB23" s="5" t="s">
        <v>1987</v>
      </c>
      <c r="AC23" s="5" t="s">
        <v>1772</v>
      </c>
      <c r="AD23" s="91">
        <v>38904.0</v>
      </c>
      <c r="AE23" s="5" t="s">
        <v>1770</v>
      </c>
      <c r="AF23" s="5">
        <v>1.17638005E9</v>
      </c>
      <c r="AG23" s="5">
        <v>1.2361011763800506E16</v>
      </c>
      <c r="AH23" s="5">
        <v>4.095800597E9</v>
      </c>
      <c r="AI23" s="5">
        <v>23.0</v>
      </c>
      <c r="AJ23" s="5"/>
      <c r="AK23" s="5" t="s">
        <v>1773</v>
      </c>
      <c r="AL23" s="92">
        <v>0.0</v>
      </c>
      <c r="AM23" s="5" t="s">
        <v>1770</v>
      </c>
      <c r="AN23" s="5" t="s">
        <v>1774</v>
      </c>
      <c r="AO23" s="5"/>
      <c r="AP23" s="5"/>
      <c r="AQ23" s="5"/>
      <c r="AR23" s="5"/>
      <c r="AS23" s="5"/>
      <c r="AT23" s="5"/>
      <c r="AU23" s="5" t="s">
        <v>1988</v>
      </c>
      <c r="AV23" s="5" t="s">
        <v>1989</v>
      </c>
      <c r="AW23" s="91">
        <v>32891.0</v>
      </c>
      <c r="AX23" s="5"/>
      <c r="AY23" s="5"/>
      <c r="AZ23" s="5" t="s">
        <v>1770</v>
      </c>
      <c r="BA23" s="93">
        <v>0.0</v>
      </c>
      <c r="BB23" s="93">
        <v>0.0</v>
      </c>
      <c r="BC23" s="93">
        <v>0.0</v>
      </c>
      <c r="BD23" s="93">
        <v>0.0</v>
      </c>
      <c r="BE23" s="93">
        <v>0.0</v>
      </c>
      <c r="BF23" s="93">
        <v>0.0</v>
      </c>
      <c r="BG23" s="5"/>
      <c r="BH23" s="93">
        <v>0.0</v>
      </c>
      <c r="BI23" s="93">
        <v>0.0</v>
      </c>
      <c r="BJ23" s="93">
        <v>0.0</v>
      </c>
      <c r="BK23" s="93">
        <v>0.0</v>
      </c>
      <c r="BL23" s="93">
        <v>0.0</v>
      </c>
      <c r="BM23" s="93">
        <v>0.0</v>
      </c>
      <c r="BN23" s="93">
        <v>0.0</v>
      </c>
      <c r="BO23" s="5"/>
      <c r="BP23" s="5" t="s">
        <v>1770</v>
      </c>
      <c r="BQ23" s="5" t="s">
        <v>1789</v>
      </c>
      <c r="BR23" s="94">
        <v>43477.45681712963</v>
      </c>
      <c r="BS23" s="5">
        <v>1.0</v>
      </c>
      <c r="BT23" s="94">
        <v>43630.572743055556</v>
      </c>
      <c r="BU23" s="5">
        <v>40.0</v>
      </c>
      <c r="BV23" s="94">
        <v>44060.54709490741</v>
      </c>
      <c r="BW23" s="5">
        <v>83.0</v>
      </c>
    </row>
    <row r="24" ht="14.25" customHeight="1">
      <c r="A24" s="95">
        <v>23.0</v>
      </c>
      <c r="B24" s="95">
        <v>282.0</v>
      </c>
      <c r="C24" s="95" t="s">
        <v>1990</v>
      </c>
      <c r="D24" s="95" t="s">
        <v>1778</v>
      </c>
      <c r="E24" s="96" t="s">
        <v>1991</v>
      </c>
      <c r="F24" s="97" t="s">
        <v>1992</v>
      </c>
      <c r="G24" s="95" t="s">
        <v>1993</v>
      </c>
      <c r="H24" s="95" t="s">
        <v>1781</v>
      </c>
      <c r="I24" s="95" t="s">
        <v>1782</v>
      </c>
      <c r="J24" s="98">
        <v>30291.0</v>
      </c>
      <c r="K24" s="5">
        <v>549.0</v>
      </c>
      <c r="L24" s="5" t="s">
        <v>1994</v>
      </c>
      <c r="M24" s="5">
        <v>165.0</v>
      </c>
      <c r="N24" s="5"/>
      <c r="O24" s="5">
        <v>43722.0</v>
      </c>
      <c r="P24" s="5" t="s">
        <v>1995</v>
      </c>
      <c r="Q24" s="5" t="s">
        <v>1850</v>
      </c>
      <c r="R24" s="5">
        <v>544.0</v>
      </c>
      <c r="S24" s="5">
        <v>3.321067414E9</v>
      </c>
      <c r="T24" s="5" t="s">
        <v>1996</v>
      </c>
      <c r="U24" s="5" t="s">
        <v>1997</v>
      </c>
      <c r="V24" s="5">
        <v>3.313976074E9</v>
      </c>
      <c r="W24" s="5" t="s">
        <v>1787</v>
      </c>
      <c r="X24" s="91">
        <v>42513.0</v>
      </c>
      <c r="Y24" s="5">
        <v>1.0</v>
      </c>
      <c r="Z24" s="5">
        <v>19.0</v>
      </c>
      <c r="AA24" s="5">
        <v>81.0</v>
      </c>
      <c r="AB24" s="5" t="s">
        <v>1998</v>
      </c>
      <c r="AC24" s="5" t="s">
        <v>1800</v>
      </c>
      <c r="AD24" s="91">
        <v>45692.0</v>
      </c>
      <c r="AE24" s="91">
        <v>47153.0</v>
      </c>
      <c r="AF24" s="5"/>
      <c r="AG24" s="5"/>
      <c r="AH24" s="5">
        <v>5.5998226739E10</v>
      </c>
      <c r="AI24" s="5">
        <v>22.0</v>
      </c>
      <c r="AJ24" s="5"/>
      <c r="AK24" s="5" t="s">
        <v>1773</v>
      </c>
      <c r="AL24" s="92">
        <v>0.0</v>
      </c>
      <c r="AM24" s="5" t="s">
        <v>1770</v>
      </c>
      <c r="AN24" s="5" t="s">
        <v>1830</v>
      </c>
      <c r="AO24" s="5"/>
      <c r="AP24" s="5"/>
      <c r="AQ24" s="5"/>
      <c r="AR24" s="5"/>
      <c r="AS24" s="5"/>
      <c r="AT24" s="5"/>
      <c r="AU24" s="5"/>
      <c r="AV24" s="5"/>
      <c r="AW24" s="5" t="s">
        <v>1770</v>
      </c>
      <c r="AX24" s="5"/>
      <c r="AY24" s="5"/>
      <c r="AZ24" s="5" t="s">
        <v>1770</v>
      </c>
      <c r="BA24" s="93">
        <v>0.0</v>
      </c>
      <c r="BB24" s="93">
        <v>0.0</v>
      </c>
      <c r="BC24" s="93">
        <v>0.0</v>
      </c>
      <c r="BD24" s="93">
        <v>0.0</v>
      </c>
      <c r="BE24" s="93">
        <v>0.0</v>
      </c>
      <c r="BF24" s="93">
        <v>0.0</v>
      </c>
      <c r="BG24" s="5"/>
      <c r="BH24" s="93">
        <v>0.0</v>
      </c>
      <c r="BI24" s="93">
        <v>0.0</v>
      </c>
      <c r="BJ24" s="93">
        <v>0.0</v>
      </c>
      <c r="BK24" s="93">
        <v>0.0</v>
      </c>
      <c r="BL24" s="93">
        <v>0.0</v>
      </c>
      <c r="BM24" s="93">
        <v>0.0</v>
      </c>
      <c r="BN24" s="93">
        <v>0.0</v>
      </c>
      <c r="BO24" s="5"/>
      <c r="BP24" s="5"/>
      <c r="BQ24" s="5" t="s">
        <v>1775</v>
      </c>
      <c r="BR24" s="94">
        <v>43477.45681712963</v>
      </c>
      <c r="BS24" s="5">
        <v>1.0</v>
      </c>
      <c r="BT24" s="94">
        <v>46134.73056712963</v>
      </c>
      <c r="BU24" s="5">
        <v>40.0</v>
      </c>
      <c r="BV24" s="5" t="s">
        <v>1770</v>
      </c>
      <c r="BW24" s="5" t="s">
        <v>1770</v>
      </c>
    </row>
    <row r="25" ht="14.25" customHeight="1">
      <c r="A25" s="95">
        <v>24.0</v>
      </c>
      <c r="B25" s="95">
        <v>289.0</v>
      </c>
      <c r="C25" s="95" t="s">
        <v>2000</v>
      </c>
      <c r="D25" s="95" t="s">
        <v>2001</v>
      </c>
      <c r="E25" s="96" t="s">
        <v>1759</v>
      </c>
      <c r="F25" s="97" t="s">
        <v>2002</v>
      </c>
      <c r="G25" s="95"/>
      <c r="H25" s="95"/>
      <c r="I25" s="95" t="s">
        <v>1782</v>
      </c>
      <c r="J25" s="102" t="s">
        <v>1770</v>
      </c>
      <c r="K25" s="5" t="s">
        <v>1770</v>
      </c>
      <c r="L25" s="5" t="s">
        <v>2003</v>
      </c>
      <c r="M25" s="5">
        <v>84.0</v>
      </c>
      <c r="N25" s="5"/>
      <c r="O25" s="5">
        <v>43882.0</v>
      </c>
      <c r="P25" s="5" t="s">
        <v>1797</v>
      </c>
      <c r="Q25" s="5"/>
      <c r="R25" s="5">
        <v>549.0</v>
      </c>
      <c r="S25" s="5">
        <v>3.214598333E9</v>
      </c>
      <c r="T25" s="5"/>
      <c r="U25" s="5" t="s">
        <v>1787</v>
      </c>
      <c r="V25" s="5">
        <v>3.021452025E9</v>
      </c>
      <c r="W25" s="5" t="s">
        <v>1787</v>
      </c>
      <c r="X25" s="91">
        <v>43153.0</v>
      </c>
      <c r="Y25" s="5">
        <v>1.0</v>
      </c>
      <c r="Z25" s="5">
        <v>4.0</v>
      </c>
      <c r="AA25" s="5">
        <v>12.0</v>
      </c>
      <c r="AB25" s="5"/>
      <c r="AC25" s="5" t="s">
        <v>1770</v>
      </c>
      <c r="AD25" s="5" t="s">
        <v>1770</v>
      </c>
      <c r="AE25" s="5" t="s">
        <v>1770</v>
      </c>
      <c r="AF25" s="5"/>
      <c r="AG25" s="5"/>
      <c r="AH25" s="5">
        <v>8.5207411963E10</v>
      </c>
      <c r="AI25" s="5"/>
      <c r="AJ25" s="5"/>
      <c r="AK25" s="5" t="s">
        <v>1773</v>
      </c>
      <c r="AL25" s="92">
        <v>0.0</v>
      </c>
      <c r="AM25" s="5" t="s">
        <v>1770</v>
      </c>
      <c r="AN25" s="5" t="s">
        <v>1788</v>
      </c>
      <c r="AO25" s="5"/>
      <c r="AP25" s="5"/>
      <c r="AQ25" s="5"/>
      <c r="AR25" s="5"/>
      <c r="AS25" s="5"/>
      <c r="AT25" s="5"/>
      <c r="AU25" s="5"/>
      <c r="AV25" s="5"/>
      <c r="AW25" s="5" t="s">
        <v>1770</v>
      </c>
      <c r="AX25" s="5"/>
      <c r="AY25" s="5"/>
      <c r="AZ25" s="5" t="s">
        <v>1770</v>
      </c>
      <c r="BA25" s="93">
        <v>0.0</v>
      </c>
      <c r="BB25" s="93">
        <v>0.0</v>
      </c>
      <c r="BC25" s="93">
        <v>0.0</v>
      </c>
      <c r="BD25" s="93">
        <v>0.0</v>
      </c>
      <c r="BE25" s="93">
        <v>0.0</v>
      </c>
      <c r="BF25" s="93">
        <v>0.0</v>
      </c>
      <c r="BG25" s="5"/>
      <c r="BH25" s="93">
        <v>0.0</v>
      </c>
      <c r="BI25" s="93">
        <v>0.0</v>
      </c>
      <c r="BJ25" s="93">
        <v>0.0</v>
      </c>
      <c r="BK25" s="93">
        <v>0.0</v>
      </c>
      <c r="BL25" s="93">
        <v>0.0</v>
      </c>
      <c r="BM25" s="93">
        <v>0.0</v>
      </c>
      <c r="BN25" s="93">
        <v>0.0</v>
      </c>
      <c r="BO25" s="5"/>
      <c r="BP25" s="5" t="s">
        <v>1770</v>
      </c>
      <c r="BQ25" s="5" t="s">
        <v>1789</v>
      </c>
      <c r="BR25" s="94">
        <v>43477.45681712963</v>
      </c>
      <c r="BS25" s="5">
        <v>1.0</v>
      </c>
      <c r="BT25" s="94">
        <v>43670.56795138889</v>
      </c>
      <c r="BU25" s="5">
        <v>40.0</v>
      </c>
      <c r="BV25" s="94">
        <v>44060.55211805556</v>
      </c>
      <c r="BW25" s="5">
        <v>83.0</v>
      </c>
    </row>
    <row r="26" ht="14.25" customHeight="1">
      <c r="A26" s="95">
        <v>25.0</v>
      </c>
      <c r="B26" s="95">
        <v>290.0</v>
      </c>
      <c r="C26" s="95" t="s">
        <v>2004</v>
      </c>
      <c r="D26" s="95" t="s">
        <v>1792</v>
      </c>
      <c r="E26" s="96" t="s">
        <v>2005</v>
      </c>
      <c r="F26" s="97" t="s">
        <v>2006</v>
      </c>
      <c r="G26" s="95" t="s">
        <v>2007</v>
      </c>
      <c r="H26" s="95" t="s">
        <v>1972</v>
      </c>
      <c r="I26" s="95" t="s">
        <v>1782</v>
      </c>
      <c r="J26" s="98">
        <v>35724.0</v>
      </c>
      <c r="K26" s="5">
        <v>549.0</v>
      </c>
      <c r="L26" s="5" t="s">
        <v>2008</v>
      </c>
      <c r="M26" s="5">
        <v>42.0</v>
      </c>
      <c r="N26" s="5"/>
      <c r="O26" s="5">
        <v>43886.0</v>
      </c>
      <c r="P26" s="5" t="s">
        <v>1797</v>
      </c>
      <c r="Q26" s="5" t="s">
        <v>1798</v>
      </c>
      <c r="R26" s="5">
        <v>549.0</v>
      </c>
      <c r="S26" s="5">
        <v>3.939368509E9</v>
      </c>
      <c r="T26" s="5"/>
      <c r="U26" s="5" t="s">
        <v>1924</v>
      </c>
      <c r="V26" s="5">
        <v>5.742025477E9</v>
      </c>
      <c r="W26" s="5" t="s">
        <v>1924</v>
      </c>
      <c r="X26" s="91">
        <v>42567.0</v>
      </c>
      <c r="Y26" s="5">
        <v>1.0</v>
      </c>
      <c r="Z26" s="5">
        <v>4.0</v>
      </c>
      <c r="AA26" s="5">
        <v>39.0</v>
      </c>
      <c r="AB26" s="5" t="s">
        <v>2009</v>
      </c>
      <c r="AC26" s="5" t="s">
        <v>1800</v>
      </c>
      <c r="AD26" s="91">
        <v>44496.0</v>
      </c>
      <c r="AE26" s="91">
        <v>45957.0</v>
      </c>
      <c r="AF26" s="5"/>
      <c r="AG26" s="5"/>
      <c r="AH26" s="5">
        <v>5.8169725924E10</v>
      </c>
      <c r="AI26" s="5">
        <v>23.0</v>
      </c>
      <c r="AJ26" s="5"/>
      <c r="AK26" s="5" t="s">
        <v>1773</v>
      </c>
      <c r="AL26" s="92">
        <v>0.0</v>
      </c>
      <c r="AM26" s="5" t="s">
        <v>1770</v>
      </c>
      <c r="AN26" s="5" t="s">
        <v>1788</v>
      </c>
      <c r="AO26" s="5"/>
      <c r="AP26" s="5"/>
      <c r="AQ26" s="5"/>
      <c r="AR26" s="5"/>
      <c r="AS26" s="5"/>
      <c r="AT26" s="5"/>
      <c r="AU26" s="5"/>
      <c r="AV26" s="5"/>
      <c r="AW26" s="5" t="s">
        <v>1770</v>
      </c>
      <c r="AX26" s="5"/>
      <c r="AY26" s="5"/>
      <c r="AZ26" s="5" t="s">
        <v>1770</v>
      </c>
      <c r="BA26" s="93">
        <v>0.0</v>
      </c>
      <c r="BB26" s="93">
        <v>0.0</v>
      </c>
      <c r="BC26" s="93">
        <v>0.0</v>
      </c>
      <c r="BD26" s="93">
        <v>0.0</v>
      </c>
      <c r="BE26" s="93">
        <v>0.0</v>
      </c>
      <c r="BF26" s="93">
        <v>0.0</v>
      </c>
      <c r="BG26" s="5"/>
      <c r="BH26" s="93">
        <v>0.0</v>
      </c>
      <c r="BI26" s="93">
        <v>0.0</v>
      </c>
      <c r="BJ26" s="93">
        <v>0.0</v>
      </c>
      <c r="BK26" s="93">
        <v>0.0</v>
      </c>
      <c r="BL26" s="93">
        <v>0.0</v>
      </c>
      <c r="BM26" s="93">
        <v>0.0</v>
      </c>
      <c r="BN26" s="93">
        <v>0.0</v>
      </c>
      <c r="BO26" s="5"/>
      <c r="BP26" s="5" t="s">
        <v>1770</v>
      </c>
      <c r="BQ26" s="5" t="s">
        <v>1789</v>
      </c>
      <c r="BR26" s="94">
        <v>43477.45681712963</v>
      </c>
      <c r="BS26" s="5">
        <v>1.0</v>
      </c>
      <c r="BT26" s="94">
        <v>45324.61939814815</v>
      </c>
      <c r="BU26" s="5">
        <v>40.0</v>
      </c>
      <c r="BV26" s="94">
        <v>45532.66981481481</v>
      </c>
      <c r="BW26" s="5">
        <v>275.0</v>
      </c>
    </row>
    <row r="27" ht="14.25" customHeight="1">
      <c r="A27" s="95">
        <v>26.0</v>
      </c>
      <c r="B27" s="95">
        <v>294.0</v>
      </c>
      <c r="C27" s="95" t="s">
        <v>2010</v>
      </c>
      <c r="D27" s="95" t="s">
        <v>2011</v>
      </c>
      <c r="E27" s="96" t="s">
        <v>1926</v>
      </c>
      <c r="F27" s="97" t="s">
        <v>2012</v>
      </c>
      <c r="G27" s="95" t="s">
        <v>2013</v>
      </c>
      <c r="H27" s="95" t="s">
        <v>1781</v>
      </c>
      <c r="I27" s="95" t="s">
        <v>1782</v>
      </c>
      <c r="J27" s="98">
        <v>32041.0</v>
      </c>
      <c r="K27" s="5">
        <v>594.0</v>
      </c>
      <c r="L27" s="5" t="s">
        <v>2014</v>
      </c>
      <c r="M27" s="5">
        <v>13.0</v>
      </c>
      <c r="N27" s="5"/>
      <c r="O27" s="5">
        <v>43882.0</v>
      </c>
      <c r="P27" s="5" t="s">
        <v>1827</v>
      </c>
      <c r="Q27" s="5" t="s">
        <v>1766</v>
      </c>
      <c r="R27" s="5">
        <v>549.0</v>
      </c>
      <c r="S27" s="5">
        <v>3.931012688E9</v>
      </c>
      <c r="T27" s="5"/>
      <c r="U27" s="5" t="s">
        <v>1924</v>
      </c>
      <c r="V27" s="5">
        <v>1.23456987E8</v>
      </c>
      <c r="W27" s="5" t="s">
        <v>1924</v>
      </c>
      <c r="X27" s="91">
        <v>42598.0</v>
      </c>
      <c r="Y27" s="5">
        <v>1.0</v>
      </c>
      <c r="Z27" s="5">
        <v>3.0</v>
      </c>
      <c r="AA27" s="5">
        <v>58.0</v>
      </c>
      <c r="AB27" s="5" t="s">
        <v>2017</v>
      </c>
      <c r="AC27" s="5" t="s">
        <v>1800</v>
      </c>
      <c r="AD27" s="91">
        <v>45142.0</v>
      </c>
      <c r="AE27" s="91">
        <v>46603.0</v>
      </c>
      <c r="AF27" s="5"/>
      <c r="AG27" s="5"/>
      <c r="AH27" s="5">
        <v>7.5058793201E10</v>
      </c>
      <c r="AI27" s="5">
        <v>23.0</v>
      </c>
      <c r="AJ27" s="5"/>
      <c r="AK27" s="5" t="s">
        <v>1773</v>
      </c>
      <c r="AL27" s="92">
        <v>0.0</v>
      </c>
      <c r="AM27" s="5" t="s">
        <v>1770</v>
      </c>
      <c r="AN27" s="5" t="s">
        <v>1788</v>
      </c>
      <c r="AO27" s="5"/>
      <c r="AP27" s="5"/>
      <c r="AQ27" s="5"/>
      <c r="AR27" s="5"/>
      <c r="AS27" s="5"/>
      <c r="AT27" s="5"/>
      <c r="AU27" s="5"/>
      <c r="AV27" s="5"/>
      <c r="AW27" s="5" t="s">
        <v>1770</v>
      </c>
      <c r="AX27" s="5"/>
      <c r="AY27" s="5"/>
      <c r="AZ27" s="5" t="s">
        <v>1770</v>
      </c>
      <c r="BA27" s="93">
        <v>0.0</v>
      </c>
      <c r="BB27" s="93">
        <v>0.0</v>
      </c>
      <c r="BC27" s="93">
        <v>0.0</v>
      </c>
      <c r="BD27" s="93">
        <v>0.0</v>
      </c>
      <c r="BE27" s="93">
        <v>0.0</v>
      </c>
      <c r="BF27" s="93">
        <v>0.0</v>
      </c>
      <c r="BG27" s="5"/>
      <c r="BH27" s="93">
        <v>0.0</v>
      </c>
      <c r="BI27" s="93">
        <v>0.0</v>
      </c>
      <c r="BJ27" s="93">
        <v>0.0</v>
      </c>
      <c r="BK27" s="93">
        <v>0.0</v>
      </c>
      <c r="BL27" s="93">
        <v>0.0</v>
      </c>
      <c r="BM27" s="93">
        <v>0.0</v>
      </c>
      <c r="BN27" s="93">
        <v>0.0</v>
      </c>
      <c r="BO27" s="5"/>
      <c r="BP27" s="5" t="s">
        <v>1770</v>
      </c>
      <c r="BQ27" s="5" t="s">
        <v>1789</v>
      </c>
      <c r="BR27" s="94">
        <v>43477.45681712963</v>
      </c>
      <c r="BS27" s="5">
        <v>1.0</v>
      </c>
      <c r="BT27" s="94">
        <v>45352.489803240744</v>
      </c>
      <c r="BU27" s="5">
        <v>40.0</v>
      </c>
      <c r="BV27" s="94">
        <v>45910.53192129629</v>
      </c>
      <c r="BW27" s="5">
        <v>40.0</v>
      </c>
    </row>
    <row r="28" ht="14.25" customHeight="1">
      <c r="A28" s="95">
        <v>27.0</v>
      </c>
      <c r="B28" s="95">
        <v>307.0</v>
      </c>
      <c r="C28" s="95" t="s">
        <v>2018</v>
      </c>
      <c r="D28" s="95" t="s">
        <v>2019</v>
      </c>
      <c r="E28" s="96" t="s">
        <v>2020</v>
      </c>
      <c r="F28" s="97" t="s">
        <v>2021</v>
      </c>
      <c r="G28" s="95" t="s">
        <v>2022</v>
      </c>
      <c r="H28" s="95" t="s">
        <v>1781</v>
      </c>
      <c r="I28" s="95" t="s">
        <v>1782</v>
      </c>
      <c r="J28" s="98">
        <v>30852.0</v>
      </c>
      <c r="K28" s="5">
        <v>570.0</v>
      </c>
      <c r="L28" s="5" t="s">
        <v>2025</v>
      </c>
      <c r="M28" s="5">
        <v>12.0</v>
      </c>
      <c r="N28" s="5"/>
      <c r="O28" s="5">
        <v>43832.0</v>
      </c>
      <c r="P28" s="5" t="s">
        <v>2025</v>
      </c>
      <c r="Q28" s="5" t="s">
        <v>2025</v>
      </c>
      <c r="R28" s="5">
        <v>540.0</v>
      </c>
      <c r="S28" s="5">
        <v>3.312124768E9</v>
      </c>
      <c r="T28" s="5"/>
      <c r="U28" s="5" t="s">
        <v>1787</v>
      </c>
      <c r="V28" s="5">
        <v>3.332212422E9</v>
      </c>
      <c r="W28" s="5" t="s">
        <v>1787</v>
      </c>
      <c r="X28" s="91">
        <v>42751.0</v>
      </c>
      <c r="Y28" s="5">
        <v>5.0</v>
      </c>
      <c r="Z28" s="5">
        <v>19.0</v>
      </c>
      <c r="AA28" s="5">
        <v>1.0</v>
      </c>
      <c r="AB28" s="5" t="s">
        <v>2026</v>
      </c>
      <c r="AC28" s="5" t="s">
        <v>1800</v>
      </c>
      <c r="AD28" s="91">
        <v>45112.0</v>
      </c>
      <c r="AE28" s="91">
        <v>46573.0</v>
      </c>
      <c r="AF28" s="5"/>
      <c r="AG28" s="5"/>
      <c r="AH28" s="5">
        <v>2.1028493548E10</v>
      </c>
      <c r="AI28" s="5">
        <v>12.0</v>
      </c>
      <c r="AJ28" s="5"/>
      <c r="AK28" s="5" t="s">
        <v>1773</v>
      </c>
      <c r="AL28" s="92">
        <v>0.0</v>
      </c>
      <c r="AM28" s="5" t="s">
        <v>1770</v>
      </c>
      <c r="AN28" s="5" t="s">
        <v>1830</v>
      </c>
      <c r="AO28" s="5"/>
      <c r="AP28" s="5"/>
      <c r="AQ28" s="5"/>
      <c r="AR28" s="5"/>
      <c r="AS28" s="5"/>
      <c r="AT28" s="5"/>
      <c r="AU28" s="5"/>
      <c r="AV28" s="5"/>
      <c r="AW28" s="5" t="s">
        <v>1770</v>
      </c>
      <c r="AX28" s="5"/>
      <c r="AY28" s="5"/>
      <c r="AZ28" s="5" t="s">
        <v>1770</v>
      </c>
      <c r="BA28" s="93">
        <v>0.0</v>
      </c>
      <c r="BB28" s="93">
        <v>0.0</v>
      </c>
      <c r="BC28" s="93">
        <v>0.0</v>
      </c>
      <c r="BD28" s="93">
        <v>0.0</v>
      </c>
      <c r="BE28" s="93">
        <v>0.0</v>
      </c>
      <c r="BF28" s="93">
        <v>0.0</v>
      </c>
      <c r="BG28" s="5"/>
      <c r="BH28" s="93">
        <v>0.0</v>
      </c>
      <c r="BI28" s="93">
        <v>0.0</v>
      </c>
      <c r="BJ28" s="93">
        <v>0.0</v>
      </c>
      <c r="BK28" s="93">
        <v>0.0</v>
      </c>
      <c r="BL28" s="93">
        <v>0.0</v>
      </c>
      <c r="BM28" s="93">
        <v>0.0</v>
      </c>
      <c r="BN28" s="93">
        <v>0.0</v>
      </c>
      <c r="BO28" s="5"/>
      <c r="BP28" s="5" t="s">
        <v>1770</v>
      </c>
      <c r="BQ28" s="5" t="s">
        <v>1789</v>
      </c>
      <c r="BR28" s="94">
        <v>43477.45681712963</v>
      </c>
      <c r="BS28" s="5">
        <v>1.0</v>
      </c>
      <c r="BT28" s="94">
        <v>45324.56322916667</v>
      </c>
      <c r="BU28" s="5">
        <v>40.0</v>
      </c>
      <c r="BV28" s="94">
        <v>45693.72193287037</v>
      </c>
      <c r="BW28" s="5" t="s">
        <v>1770</v>
      </c>
    </row>
    <row r="29" ht="14.25" customHeight="1">
      <c r="A29" s="95">
        <v>28.0</v>
      </c>
      <c r="B29" s="95">
        <v>335.0</v>
      </c>
      <c r="C29" s="95" t="s">
        <v>2027</v>
      </c>
      <c r="D29" s="95" t="s">
        <v>2028</v>
      </c>
      <c r="E29" s="96" t="s">
        <v>2028</v>
      </c>
      <c r="F29" s="97" t="s">
        <v>2029</v>
      </c>
      <c r="G29" s="95" t="s">
        <v>2030</v>
      </c>
      <c r="H29" s="95" t="s">
        <v>1972</v>
      </c>
      <c r="I29" s="95" t="s">
        <v>1782</v>
      </c>
      <c r="J29" s="98">
        <v>36181.0</v>
      </c>
      <c r="K29" s="5">
        <v>549.0</v>
      </c>
      <c r="L29" s="5" t="s">
        <v>2031</v>
      </c>
      <c r="M29" s="5">
        <v>2082.0</v>
      </c>
      <c r="N29" s="5"/>
      <c r="O29" s="5">
        <v>43886.0</v>
      </c>
      <c r="P29" s="5" t="s">
        <v>2032</v>
      </c>
      <c r="Q29" s="5" t="s">
        <v>1766</v>
      </c>
      <c r="R29" s="5">
        <v>549.0</v>
      </c>
      <c r="S29" s="5">
        <v>3.931173352E9</v>
      </c>
      <c r="T29" s="5"/>
      <c r="U29" s="5" t="s">
        <v>2033</v>
      </c>
      <c r="V29" s="5">
        <v>3.921050356E9</v>
      </c>
      <c r="W29" s="5" t="s">
        <v>1787</v>
      </c>
      <c r="X29" s="91">
        <v>42905.0</v>
      </c>
      <c r="Y29" s="5">
        <v>1.0</v>
      </c>
      <c r="Z29" s="5">
        <v>4.0</v>
      </c>
      <c r="AA29" s="5">
        <v>41.0</v>
      </c>
      <c r="AB29" s="5" t="s">
        <v>2034</v>
      </c>
      <c r="AC29" s="5" t="s">
        <v>1800</v>
      </c>
      <c r="AD29" s="91">
        <v>45117.0</v>
      </c>
      <c r="AE29" s="91">
        <v>46578.0</v>
      </c>
      <c r="AF29" s="5"/>
      <c r="AG29" s="5"/>
      <c r="AH29" s="5">
        <v>8.139934882E9</v>
      </c>
      <c r="AI29" s="5">
        <v>23.0</v>
      </c>
      <c r="AJ29" s="5"/>
      <c r="AK29" s="5" t="s">
        <v>1773</v>
      </c>
      <c r="AL29" s="92">
        <v>0.0</v>
      </c>
      <c r="AM29" s="5" t="s">
        <v>1770</v>
      </c>
      <c r="AN29" s="5" t="s">
        <v>1788</v>
      </c>
      <c r="AO29" s="5"/>
      <c r="AP29" s="5"/>
      <c r="AQ29" s="5"/>
      <c r="AR29" s="5"/>
      <c r="AS29" s="5"/>
      <c r="AT29" s="5"/>
      <c r="AU29" s="5"/>
      <c r="AV29" s="5"/>
      <c r="AW29" s="5" t="s">
        <v>1770</v>
      </c>
      <c r="AX29" s="5"/>
      <c r="AY29" s="5"/>
      <c r="AZ29" s="5" t="s">
        <v>1770</v>
      </c>
      <c r="BA29" s="93">
        <v>0.0</v>
      </c>
      <c r="BB29" s="93">
        <v>0.0</v>
      </c>
      <c r="BC29" s="93">
        <v>0.0</v>
      </c>
      <c r="BD29" s="93">
        <v>0.0</v>
      </c>
      <c r="BE29" s="93">
        <v>0.0</v>
      </c>
      <c r="BF29" s="93">
        <v>0.0</v>
      </c>
      <c r="BG29" s="5"/>
      <c r="BH29" s="93">
        <v>0.0</v>
      </c>
      <c r="BI29" s="93">
        <v>0.0</v>
      </c>
      <c r="BJ29" s="93">
        <v>0.0</v>
      </c>
      <c r="BK29" s="93">
        <v>0.0</v>
      </c>
      <c r="BL29" s="93">
        <v>0.0</v>
      </c>
      <c r="BM29" s="93">
        <v>0.0</v>
      </c>
      <c r="BN29" s="93">
        <v>0.0</v>
      </c>
      <c r="BO29" s="5"/>
      <c r="BP29" s="5"/>
      <c r="BQ29" s="5" t="s">
        <v>1775</v>
      </c>
      <c r="BR29" s="94">
        <v>43477.45681712963</v>
      </c>
      <c r="BS29" s="5">
        <v>1.0</v>
      </c>
      <c r="BT29" s="94">
        <v>46133.42575231481</v>
      </c>
      <c r="BU29" s="5">
        <v>272.0</v>
      </c>
      <c r="BV29" s="5" t="s">
        <v>1770</v>
      </c>
      <c r="BW29" s="5" t="s">
        <v>1770</v>
      </c>
    </row>
    <row r="30" ht="14.25" customHeight="1">
      <c r="A30" s="95">
        <v>29.0</v>
      </c>
      <c r="B30" s="95">
        <v>338.0</v>
      </c>
      <c r="C30" s="95" t="s">
        <v>2035</v>
      </c>
      <c r="D30" s="95" t="s">
        <v>2036</v>
      </c>
      <c r="E30" s="96" t="s">
        <v>2005</v>
      </c>
      <c r="F30" s="97" t="s">
        <v>2037</v>
      </c>
      <c r="G30" s="95" t="s">
        <v>2038</v>
      </c>
      <c r="H30" s="95" t="s">
        <v>1781</v>
      </c>
      <c r="I30" s="95" t="s">
        <v>1782</v>
      </c>
      <c r="J30" s="98">
        <v>29786.0</v>
      </c>
      <c r="K30" s="5">
        <v>834.0</v>
      </c>
      <c r="L30" s="5" t="s">
        <v>2039</v>
      </c>
      <c r="M30" s="5">
        <v>20.0</v>
      </c>
      <c r="N30" s="5"/>
      <c r="O30" s="5">
        <v>54139.0</v>
      </c>
      <c r="P30" s="5" t="s">
        <v>2040</v>
      </c>
      <c r="Q30" s="5" t="s">
        <v>2041</v>
      </c>
      <c r="R30" s="5">
        <v>834.0</v>
      </c>
      <c r="S30" s="5">
        <v>4.431903801E9</v>
      </c>
      <c r="T30" s="5"/>
      <c r="U30" s="5" t="s">
        <v>1787</v>
      </c>
      <c r="V30" s="5">
        <v>1.23456789E9</v>
      </c>
      <c r="W30" s="5" t="s">
        <v>1787</v>
      </c>
      <c r="X30" s="91">
        <v>45460.0</v>
      </c>
      <c r="Y30" s="5">
        <v>4.0</v>
      </c>
      <c r="Z30" s="5">
        <v>4.0</v>
      </c>
      <c r="AA30" s="5">
        <v>40.0</v>
      </c>
      <c r="AB30" s="5" t="s">
        <v>2042</v>
      </c>
      <c r="AC30" s="5" t="s">
        <v>1800</v>
      </c>
      <c r="AD30" s="91">
        <v>45637.0</v>
      </c>
      <c r="AE30" s="91">
        <v>47462.0</v>
      </c>
      <c r="AF30" s="5"/>
      <c r="AG30" s="5"/>
      <c r="AH30" s="5">
        <v>5.3008111923E10</v>
      </c>
      <c r="AI30" s="5">
        <v>80.0</v>
      </c>
      <c r="AJ30" s="5"/>
      <c r="AK30" s="5" t="s">
        <v>1773</v>
      </c>
      <c r="AL30" s="92">
        <v>0.0</v>
      </c>
      <c r="AM30" s="5" t="s">
        <v>1770</v>
      </c>
      <c r="AN30" s="5" t="s">
        <v>1788</v>
      </c>
      <c r="AO30" s="5"/>
      <c r="AP30" s="5"/>
      <c r="AQ30" s="5"/>
      <c r="AR30" s="5"/>
      <c r="AS30" s="5"/>
      <c r="AT30" s="5"/>
      <c r="AU30" s="5"/>
      <c r="AV30" s="5"/>
      <c r="AW30" s="5" t="s">
        <v>1770</v>
      </c>
      <c r="AX30" s="5"/>
      <c r="AY30" s="5"/>
      <c r="AZ30" s="5" t="s">
        <v>1770</v>
      </c>
      <c r="BA30" s="93">
        <v>0.0</v>
      </c>
      <c r="BB30" s="93">
        <v>0.0</v>
      </c>
      <c r="BC30" s="93">
        <v>0.0</v>
      </c>
      <c r="BD30" s="93">
        <v>0.0</v>
      </c>
      <c r="BE30" s="93">
        <v>0.0</v>
      </c>
      <c r="BF30" s="93">
        <v>0.0</v>
      </c>
      <c r="BG30" s="5"/>
      <c r="BH30" s="93">
        <v>0.0</v>
      </c>
      <c r="BI30" s="93">
        <v>0.0</v>
      </c>
      <c r="BJ30" s="93">
        <v>0.0</v>
      </c>
      <c r="BK30" s="93">
        <v>0.0</v>
      </c>
      <c r="BL30" s="93">
        <v>0.0</v>
      </c>
      <c r="BM30" s="93">
        <v>0.0</v>
      </c>
      <c r="BN30" s="93">
        <v>0.0</v>
      </c>
      <c r="BO30" s="5"/>
      <c r="BP30" s="5" t="s">
        <v>1770</v>
      </c>
      <c r="BQ30" s="5" t="s">
        <v>1789</v>
      </c>
      <c r="BR30" s="94">
        <v>43477.45681712963</v>
      </c>
      <c r="BS30" s="5">
        <v>1.0</v>
      </c>
      <c r="BT30" s="94">
        <v>45707.685578703706</v>
      </c>
      <c r="BU30" s="5" t="s">
        <v>1770</v>
      </c>
      <c r="BV30" s="94">
        <v>45855.43268518519</v>
      </c>
      <c r="BW30" s="5" t="s">
        <v>1770</v>
      </c>
    </row>
    <row r="31" ht="14.25" customHeight="1">
      <c r="A31" s="95">
        <v>30.0</v>
      </c>
      <c r="B31" s="95">
        <v>202.0</v>
      </c>
      <c r="C31" s="95" t="s">
        <v>2043</v>
      </c>
      <c r="D31" s="95" t="s">
        <v>1792</v>
      </c>
      <c r="E31" s="96" t="s">
        <v>2044</v>
      </c>
      <c r="F31" s="97" t="s">
        <v>2045</v>
      </c>
      <c r="G31" s="95" t="s">
        <v>2046</v>
      </c>
      <c r="H31" s="95" t="s">
        <v>1781</v>
      </c>
      <c r="I31" s="95" t="s">
        <v>1782</v>
      </c>
      <c r="J31" s="98">
        <v>32814.0</v>
      </c>
      <c r="K31" s="5">
        <v>549.0</v>
      </c>
      <c r="L31" s="5" t="s">
        <v>2047</v>
      </c>
      <c r="M31" s="5">
        <v>99.0</v>
      </c>
      <c r="N31" s="5"/>
      <c r="O31" s="5">
        <v>43884.0</v>
      </c>
      <c r="P31" s="5" t="s">
        <v>2048</v>
      </c>
      <c r="Q31" s="5"/>
      <c r="R31" s="5">
        <v>549.0</v>
      </c>
      <c r="S31" s="5">
        <v>3.93938778E9</v>
      </c>
      <c r="T31" s="5" t="s">
        <v>2049</v>
      </c>
      <c r="U31" s="5" t="s">
        <v>2050</v>
      </c>
      <c r="V31" s="5">
        <v>3.93936405E9</v>
      </c>
      <c r="W31" s="5" t="s">
        <v>1787</v>
      </c>
      <c r="X31" s="91">
        <v>42738.0</v>
      </c>
      <c r="Y31" s="5">
        <v>1.0</v>
      </c>
      <c r="Z31" s="5">
        <v>3.0</v>
      </c>
      <c r="AA31" s="5">
        <v>42.0</v>
      </c>
      <c r="AB31" s="5" t="s">
        <v>2051</v>
      </c>
      <c r="AC31" s="5" t="s">
        <v>1800</v>
      </c>
      <c r="AD31" s="91">
        <v>45084.0</v>
      </c>
      <c r="AE31" s="91">
        <v>46545.0</v>
      </c>
      <c r="AF31" s="5"/>
      <c r="AG31" s="5"/>
      <c r="AH31" s="5">
        <v>4.138917531E9</v>
      </c>
      <c r="AI31" s="5">
        <v>23.0</v>
      </c>
      <c r="AJ31" s="5"/>
      <c r="AK31" s="5" t="s">
        <v>1773</v>
      </c>
      <c r="AL31" s="92">
        <v>0.0</v>
      </c>
      <c r="AM31" s="5" t="s">
        <v>1770</v>
      </c>
      <c r="AN31" s="5" t="s">
        <v>2052</v>
      </c>
      <c r="AO31" s="5"/>
      <c r="AP31" s="5"/>
      <c r="AQ31" s="5"/>
      <c r="AR31" s="5"/>
      <c r="AS31" s="5"/>
      <c r="AT31" s="5"/>
      <c r="AU31" s="5"/>
      <c r="AV31" s="5"/>
      <c r="AW31" s="5" t="s">
        <v>1770</v>
      </c>
      <c r="AX31" s="5"/>
      <c r="AY31" s="5"/>
      <c r="AZ31" s="5" t="s">
        <v>1770</v>
      </c>
      <c r="BA31" s="93">
        <v>0.0</v>
      </c>
      <c r="BB31" s="93">
        <v>0.0</v>
      </c>
      <c r="BC31" s="93">
        <v>0.0</v>
      </c>
      <c r="BD31" s="93">
        <v>0.0</v>
      </c>
      <c r="BE31" s="93">
        <v>0.0</v>
      </c>
      <c r="BF31" s="93">
        <v>0.0</v>
      </c>
      <c r="BG31" s="5"/>
      <c r="BH31" s="93">
        <v>0.0</v>
      </c>
      <c r="BI31" s="93">
        <v>0.0</v>
      </c>
      <c r="BJ31" s="93">
        <v>0.0</v>
      </c>
      <c r="BK31" s="93">
        <v>0.0</v>
      </c>
      <c r="BL31" s="93">
        <v>0.0</v>
      </c>
      <c r="BM31" s="93">
        <v>0.0</v>
      </c>
      <c r="BN31" s="93">
        <v>0.0</v>
      </c>
      <c r="BO31" s="5"/>
      <c r="BP31" s="5"/>
      <c r="BQ31" s="5" t="s">
        <v>1775</v>
      </c>
      <c r="BR31" s="94">
        <v>43477.45681712963</v>
      </c>
      <c r="BS31" s="5">
        <v>1.0</v>
      </c>
      <c r="BT31" s="94">
        <v>46133.57126157408</v>
      </c>
      <c r="BU31" s="5">
        <v>272.0</v>
      </c>
      <c r="BV31" s="5" t="s">
        <v>1770</v>
      </c>
      <c r="BW31" s="5" t="s">
        <v>1770</v>
      </c>
    </row>
    <row r="32" ht="14.25" customHeight="1">
      <c r="A32" s="95">
        <v>31.0</v>
      </c>
      <c r="B32" s="95">
        <v>209.0</v>
      </c>
      <c r="C32" s="95" t="s">
        <v>2057</v>
      </c>
      <c r="D32" s="95" t="s">
        <v>1926</v>
      </c>
      <c r="E32" s="96" t="s">
        <v>2058</v>
      </c>
      <c r="F32" s="97" t="s">
        <v>2059</v>
      </c>
      <c r="G32" s="95" t="s">
        <v>2060</v>
      </c>
      <c r="H32" s="95" t="s">
        <v>1781</v>
      </c>
      <c r="I32" s="95" t="s">
        <v>1782</v>
      </c>
      <c r="J32" s="98">
        <v>32558.0</v>
      </c>
      <c r="K32" s="5">
        <v>544.0</v>
      </c>
      <c r="L32" s="5" t="s">
        <v>2061</v>
      </c>
      <c r="M32" s="5">
        <v>57.0</v>
      </c>
      <c r="N32" s="5"/>
      <c r="O32" s="5">
        <v>43721.0</v>
      </c>
      <c r="P32" s="5" t="s">
        <v>2062</v>
      </c>
      <c r="Q32" s="5" t="s">
        <v>2062</v>
      </c>
      <c r="R32" s="5">
        <v>544.0</v>
      </c>
      <c r="S32" s="5">
        <v>3.931804094E9</v>
      </c>
      <c r="T32" s="5" t="s">
        <v>2063</v>
      </c>
      <c r="U32" s="100" t="s">
        <v>2064</v>
      </c>
      <c r="V32" s="5">
        <v>3.31017297E9</v>
      </c>
      <c r="W32" s="5" t="s">
        <v>1965</v>
      </c>
      <c r="X32" s="91">
        <v>41867.0</v>
      </c>
      <c r="Y32" s="5">
        <v>1.0</v>
      </c>
      <c r="Z32" s="5">
        <v>3.0</v>
      </c>
      <c r="AA32" s="5">
        <v>111.0</v>
      </c>
      <c r="AB32" s="5" t="s">
        <v>2065</v>
      </c>
      <c r="AC32" s="5" t="s">
        <v>1772</v>
      </c>
      <c r="AD32" s="91">
        <v>44825.0</v>
      </c>
      <c r="AE32" s="91">
        <v>46286.0</v>
      </c>
      <c r="AF32" s="5"/>
      <c r="AG32" s="5"/>
      <c r="AH32" s="5">
        <v>4.108979032E9</v>
      </c>
      <c r="AI32" s="5">
        <v>22.0</v>
      </c>
      <c r="AJ32" s="5"/>
      <c r="AK32" s="5" t="s">
        <v>1773</v>
      </c>
      <c r="AL32" s="92">
        <v>0.0</v>
      </c>
      <c r="AM32" s="5" t="s">
        <v>1770</v>
      </c>
      <c r="AN32" s="5" t="s">
        <v>1830</v>
      </c>
      <c r="AO32" s="5"/>
      <c r="AP32" s="5"/>
      <c r="AQ32" s="5"/>
      <c r="AR32" s="5"/>
      <c r="AS32" s="5"/>
      <c r="AT32" s="5"/>
      <c r="AU32" s="5"/>
      <c r="AV32" s="5"/>
      <c r="AW32" s="5" t="s">
        <v>1770</v>
      </c>
      <c r="AX32" s="5"/>
      <c r="AY32" s="5"/>
      <c r="AZ32" s="5" t="s">
        <v>1770</v>
      </c>
      <c r="BA32" s="93">
        <v>0.0</v>
      </c>
      <c r="BB32" s="93">
        <v>0.0</v>
      </c>
      <c r="BC32" s="93">
        <v>0.0</v>
      </c>
      <c r="BD32" s="93">
        <v>0.0</v>
      </c>
      <c r="BE32" s="93">
        <v>0.0</v>
      </c>
      <c r="BF32" s="93">
        <v>0.0</v>
      </c>
      <c r="BG32" s="5"/>
      <c r="BH32" s="93">
        <v>0.0</v>
      </c>
      <c r="BI32" s="93">
        <v>0.0</v>
      </c>
      <c r="BJ32" s="93">
        <v>0.0</v>
      </c>
      <c r="BK32" s="93">
        <v>0.0</v>
      </c>
      <c r="BL32" s="93">
        <v>0.0</v>
      </c>
      <c r="BM32" s="93">
        <v>0.0</v>
      </c>
      <c r="BN32" s="93">
        <v>0.0</v>
      </c>
      <c r="BO32" s="5"/>
      <c r="BP32" s="5"/>
      <c r="BQ32" s="5" t="s">
        <v>1775</v>
      </c>
      <c r="BR32" s="94">
        <v>43477.45681712963</v>
      </c>
      <c r="BS32" s="5">
        <v>1.0</v>
      </c>
      <c r="BT32" s="94">
        <v>46133.547685185185</v>
      </c>
      <c r="BU32" s="5">
        <v>272.0</v>
      </c>
      <c r="BV32" s="5" t="s">
        <v>1770</v>
      </c>
      <c r="BW32" s="5" t="s">
        <v>1770</v>
      </c>
    </row>
    <row r="33" ht="14.25" customHeight="1">
      <c r="A33" s="95">
        <v>32.0</v>
      </c>
      <c r="B33" s="95">
        <v>123.0</v>
      </c>
      <c r="C33" s="95" t="s">
        <v>2066</v>
      </c>
      <c r="D33" s="99" t="s">
        <v>1811</v>
      </c>
      <c r="E33" s="96" t="s">
        <v>2067</v>
      </c>
      <c r="F33" s="97" t="s">
        <v>2068</v>
      </c>
      <c r="G33" s="95" t="s">
        <v>2069</v>
      </c>
      <c r="H33" s="95" t="s">
        <v>1781</v>
      </c>
      <c r="I33" s="95" t="s">
        <v>1782</v>
      </c>
      <c r="J33" s="98">
        <v>28186.0</v>
      </c>
      <c r="K33" s="5">
        <v>549.0</v>
      </c>
      <c r="L33" s="5" t="s">
        <v>2070</v>
      </c>
      <c r="M33" s="5">
        <v>852.0</v>
      </c>
      <c r="N33" s="5"/>
      <c r="O33" s="5">
        <v>43832.0</v>
      </c>
      <c r="P33" s="5" t="s">
        <v>1797</v>
      </c>
      <c r="Q33" s="5"/>
      <c r="R33" s="5">
        <v>549.0</v>
      </c>
      <c r="S33" s="5">
        <v>3.939380944E9</v>
      </c>
      <c r="T33" s="5"/>
      <c r="U33" s="5" t="s">
        <v>2071</v>
      </c>
      <c r="V33" s="5">
        <v>3.939330843E9</v>
      </c>
      <c r="W33" s="5" t="s">
        <v>1787</v>
      </c>
      <c r="X33" s="91">
        <v>41092.0</v>
      </c>
      <c r="Y33" s="5">
        <v>1.0</v>
      </c>
      <c r="Z33" s="5">
        <v>19.0</v>
      </c>
      <c r="AA33" s="5">
        <v>81.0</v>
      </c>
      <c r="AB33" s="5" t="s">
        <v>2072</v>
      </c>
      <c r="AC33" s="5" t="s">
        <v>1800</v>
      </c>
      <c r="AD33" s="91">
        <v>45314.0</v>
      </c>
      <c r="AE33" s="91">
        <v>46775.0</v>
      </c>
      <c r="AF33" s="5"/>
      <c r="AG33" s="5"/>
      <c r="AH33" s="5">
        <v>4.02770531E9</v>
      </c>
      <c r="AI33" s="5">
        <v>23.0</v>
      </c>
      <c r="AJ33" s="5"/>
      <c r="AK33" s="5" t="s">
        <v>1773</v>
      </c>
      <c r="AL33" s="92">
        <v>0.0</v>
      </c>
      <c r="AM33" s="5" t="s">
        <v>1770</v>
      </c>
      <c r="AN33" s="5" t="s">
        <v>1830</v>
      </c>
      <c r="AO33" s="5"/>
      <c r="AP33" s="5"/>
      <c r="AQ33" s="5"/>
      <c r="AR33" s="5"/>
      <c r="AS33" s="5"/>
      <c r="AT33" s="5"/>
      <c r="AU33" s="5"/>
      <c r="AV33" s="5"/>
      <c r="AW33" s="5" t="s">
        <v>1770</v>
      </c>
      <c r="AX33" s="5"/>
      <c r="AY33" s="5"/>
      <c r="AZ33" s="5" t="s">
        <v>1770</v>
      </c>
      <c r="BA33" s="93">
        <v>0.0</v>
      </c>
      <c r="BB33" s="93">
        <v>0.0</v>
      </c>
      <c r="BC33" s="93">
        <v>0.0</v>
      </c>
      <c r="BD33" s="93">
        <v>0.0</v>
      </c>
      <c r="BE33" s="93">
        <v>0.0</v>
      </c>
      <c r="BF33" s="93">
        <v>0.0</v>
      </c>
      <c r="BG33" s="5"/>
      <c r="BH33" s="93">
        <v>0.0</v>
      </c>
      <c r="BI33" s="93">
        <v>0.0</v>
      </c>
      <c r="BJ33" s="93">
        <v>0.0</v>
      </c>
      <c r="BK33" s="93">
        <v>0.0</v>
      </c>
      <c r="BL33" s="93">
        <v>0.0</v>
      </c>
      <c r="BM33" s="93">
        <v>0.0</v>
      </c>
      <c r="BN33" s="93">
        <v>0.0</v>
      </c>
      <c r="BO33" s="5"/>
      <c r="BP33" s="5"/>
      <c r="BQ33" s="5" t="s">
        <v>1775</v>
      </c>
      <c r="BR33" s="94">
        <v>43477.45681712963</v>
      </c>
      <c r="BS33" s="5">
        <v>1.0</v>
      </c>
      <c r="BT33" s="94">
        <v>46133.42869212963</v>
      </c>
      <c r="BU33" s="5">
        <v>272.0</v>
      </c>
      <c r="BV33" s="5" t="s">
        <v>1770</v>
      </c>
      <c r="BW33" s="5" t="s">
        <v>1770</v>
      </c>
    </row>
    <row r="34" ht="14.25" customHeight="1">
      <c r="A34" s="95">
        <v>33.0</v>
      </c>
      <c r="B34" s="95">
        <v>164.0</v>
      </c>
      <c r="C34" s="95" t="s">
        <v>2073</v>
      </c>
      <c r="D34" s="95" t="s">
        <v>2074</v>
      </c>
      <c r="E34" s="96" t="s">
        <v>1926</v>
      </c>
      <c r="F34" s="97" t="s">
        <v>2075</v>
      </c>
      <c r="G34" s="95" t="s">
        <v>2076</v>
      </c>
      <c r="H34" s="95" t="s">
        <v>1781</v>
      </c>
      <c r="I34" s="95" t="s">
        <v>1782</v>
      </c>
      <c r="J34" s="98">
        <v>30691.0</v>
      </c>
      <c r="K34" s="5">
        <v>549.0</v>
      </c>
      <c r="L34" s="5" t="s">
        <v>2077</v>
      </c>
      <c r="M34" s="5">
        <v>48.0</v>
      </c>
      <c r="N34" s="5"/>
      <c r="O34" s="5">
        <v>43882.0</v>
      </c>
      <c r="P34" s="5" t="s">
        <v>1797</v>
      </c>
      <c r="Q34" s="5" t="s">
        <v>1883</v>
      </c>
      <c r="R34" s="5">
        <v>549.0</v>
      </c>
      <c r="S34" s="5">
        <v>3.931068622E9</v>
      </c>
      <c r="T34" s="5"/>
      <c r="U34" s="5" t="s">
        <v>2078</v>
      </c>
      <c r="V34" s="5">
        <v>3.931068622E9</v>
      </c>
      <c r="W34" s="5" t="s">
        <v>1787</v>
      </c>
      <c r="X34" s="91">
        <v>41505.0</v>
      </c>
      <c r="Y34" s="5">
        <v>1.0</v>
      </c>
      <c r="Z34" s="5">
        <v>19.0</v>
      </c>
      <c r="AA34" s="5">
        <v>81.0</v>
      </c>
      <c r="AB34" s="5" t="s">
        <v>2079</v>
      </c>
      <c r="AC34" s="5" t="s">
        <v>1800</v>
      </c>
      <c r="AD34" s="91">
        <v>46079.0</v>
      </c>
      <c r="AE34" s="91">
        <v>47540.0</v>
      </c>
      <c r="AF34" s="5"/>
      <c r="AG34" s="5"/>
      <c r="AH34" s="5">
        <v>4.028404277E9</v>
      </c>
      <c r="AI34" s="5">
        <v>23.0</v>
      </c>
      <c r="AJ34" s="5"/>
      <c r="AK34" s="5" t="s">
        <v>1773</v>
      </c>
      <c r="AL34" s="92">
        <v>0.0</v>
      </c>
      <c r="AM34" s="5" t="s">
        <v>1770</v>
      </c>
      <c r="AN34" s="5" t="s">
        <v>1830</v>
      </c>
      <c r="AO34" s="5"/>
      <c r="AP34" s="5"/>
      <c r="AQ34" s="5"/>
      <c r="AR34" s="5"/>
      <c r="AS34" s="5"/>
      <c r="AT34" s="5"/>
      <c r="AU34" s="5"/>
      <c r="AV34" s="5"/>
      <c r="AW34" s="5" t="s">
        <v>1770</v>
      </c>
      <c r="AX34" s="5"/>
      <c r="AY34" s="5"/>
      <c r="AZ34" s="5" t="s">
        <v>1770</v>
      </c>
      <c r="BA34" s="93">
        <v>0.0</v>
      </c>
      <c r="BB34" s="93">
        <v>0.0</v>
      </c>
      <c r="BC34" s="93">
        <v>0.0</v>
      </c>
      <c r="BD34" s="93">
        <v>0.0</v>
      </c>
      <c r="BE34" s="93">
        <v>0.0</v>
      </c>
      <c r="BF34" s="93">
        <v>0.0</v>
      </c>
      <c r="BG34" s="5"/>
      <c r="BH34" s="93">
        <v>0.0</v>
      </c>
      <c r="BI34" s="93">
        <v>0.0</v>
      </c>
      <c r="BJ34" s="93">
        <v>0.0</v>
      </c>
      <c r="BK34" s="93">
        <v>0.0</v>
      </c>
      <c r="BL34" s="93">
        <v>0.0</v>
      </c>
      <c r="BM34" s="93">
        <v>0.0</v>
      </c>
      <c r="BN34" s="93">
        <v>0.0</v>
      </c>
      <c r="BO34" s="5"/>
      <c r="BP34" s="5"/>
      <c r="BQ34" s="5" t="s">
        <v>1775</v>
      </c>
      <c r="BR34" s="94">
        <v>43477.45681712963</v>
      </c>
      <c r="BS34" s="5">
        <v>1.0</v>
      </c>
      <c r="BT34" s="94">
        <v>46176.57179398148</v>
      </c>
      <c r="BU34" s="5">
        <v>40.0</v>
      </c>
      <c r="BV34" s="5" t="s">
        <v>1770</v>
      </c>
      <c r="BW34" s="5" t="s">
        <v>1770</v>
      </c>
    </row>
    <row r="35" ht="14.25" customHeight="1">
      <c r="A35" s="95">
        <v>34.0</v>
      </c>
      <c r="B35" s="95">
        <v>147.0</v>
      </c>
      <c r="C35" s="95" t="s">
        <v>2080</v>
      </c>
      <c r="D35" s="95" t="s">
        <v>2081</v>
      </c>
      <c r="E35" s="96" t="s">
        <v>1857</v>
      </c>
      <c r="F35" s="97" t="s">
        <v>2082</v>
      </c>
      <c r="G35" s="95" t="s">
        <v>2083</v>
      </c>
      <c r="H35" s="95" t="s">
        <v>1781</v>
      </c>
      <c r="I35" s="95" t="s">
        <v>1782</v>
      </c>
      <c r="J35" s="98">
        <v>19047.0</v>
      </c>
      <c r="K35" s="5" t="s">
        <v>1770</v>
      </c>
      <c r="L35" s="5" t="s">
        <v>2084</v>
      </c>
      <c r="M35" s="5">
        <v>741.0</v>
      </c>
      <c r="N35" s="5"/>
      <c r="O35" s="5">
        <v>70703.0</v>
      </c>
      <c r="P35" s="5" t="s">
        <v>1797</v>
      </c>
      <c r="Q35" s="5"/>
      <c r="R35" s="5">
        <v>889.0</v>
      </c>
      <c r="S35" s="5">
        <v>8.5214541E9</v>
      </c>
      <c r="T35" s="5"/>
      <c r="U35" s="5" t="s">
        <v>1787</v>
      </c>
      <c r="V35" s="5">
        <v>4.451024854E9</v>
      </c>
      <c r="W35" s="5" t="s">
        <v>1787</v>
      </c>
      <c r="X35" s="91">
        <v>41365.0</v>
      </c>
      <c r="Y35" s="5">
        <v>1.0</v>
      </c>
      <c r="Z35" s="5">
        <v>19.0</v>
      </c>
      <c r="AA35" s="5">
        <v>1.0</v>
      </c>
      <c r="AB35" s="5" t="s">
        <v>2085</v>
      </c>
      <c r="AC35" s="5" t="s">
        <v>1772</v>
      </c>
      <c r="AD35" s="91">
        <v>45251.0</v>
      </c>
      <c r="AE35" s="91">
        <v>45982.0</v>
      </c>
      <c r="AF35" s="5"/>
      <c r="AG35" s="5"/>
      <c r="AH35" s="5">
        <v>5.3795208825E10</v>
      </c>
      <c r="AI35" s="5">
        <v>4.0</v>
      </c>
      <c r="AJ35" s="5"/>
      <c r="AK35" s="5" t="s">
        <v>1773</v>
      </c>
      <c r="AL35" s="92">
        <v>0.0</v>
      </c>
      <c r="AM35" s="5" t="s">
        <v>1770</v>
      </c>
      <c r="AN35" s="5" t="s">
        <v>1788</v>
      </c>
      <c r="AO35" s="5"/>
      <c r="AP35" s="5"/>
      <c r="AQ35" s="5"/>
      <c r="AR35" s="5"/>
      <c r="AS35" s="5"/>
      <c r="AT35" s="5"/>
      <c r="AU35" s="5"/>
      <c r="AV35" s="5"/>
      <c r="AW35" s="5" t="s">
        <v>1770</v>
      </c>
      <c r="AX35" s="5"/>
      <c r="AY35" s="5"/>
      <c r="AZ35" s="5" t="s">
        <v>1770</v>
      </c>
      <c r="BA35" s="93">
        <v>0.0</v>
      </c>
      <c r="BB35" s="93">
        <v>0.0</v>
      </c>
      <c r="BC35" s="93">
        <v>0.0</v>
      </c>
      <c r="BD35" s="93">
        <v>0.0</v>
      </c>
      <c r="BE35" s="93">
        <v>0.0</v>
      </c>
      <c r="BF35" s="93">
        <v>0.0</v>
      </c>
      <c r="BG35" s="5"/>
      <c r="BH35" s="93">
        <v>0.0</v>
      </c>
      <c r="BI35" s="93">
        <v>0.0</v>
      </c>
      <c r="BJ35" s="93">
        <v>0.0</v>
      </c>
      <c r="BK35" s="93">
        <v>0.0</v>
      </c>
      <c r="BL35" s="93">
        <v>0.0</v>
      </c>
      <c r="BM35" s="93">
        <v>0.0</v>
      </c>
      <c r="BN35" s="93">
        <v>0.0</v>
      </c>
      <c r="BO35" s="5"/>
      <c r="BP35" s="5" t="s">
        <v>1770</v>
      </c>
      <c r="BQ35" s="5" t="s">
        <v>1789</v>
      </c>
      <c r="BR35" s="94">
        <v>43477.45681712963</v>
      </c>
      <c r="BS35" s="5">
        <v>1.0</v>
      </c>
      <c r="BT35" s="94">
        <v>45324.53969907408</v>
      </c>
      <c r="BU35" s="5">
        <v>40.0</v>
      </c>
      <c r="BV35" s="94">
        <v>45532.670127314814</v>
      </c>
      <c r="BW35" s="5">
        <v>275.0</v>
      </c>
    </row>
    <row r="36" ht="14.25" customHeight="1">
      <c r="A36" s="95">
        <v>35.0</v>
      </c>
      <c r="B36" s="95">
        <v>355.0</v>
      </c>
      <c r="C36" s="95" t="s">
        <v>2087</v>
      </c>
      <c r="D36" s="95" t="s">
        <v>2088</v>
      </c>
      <c r="E36" s="96" t="s">
        <v>1759</v>
      </c>
      <c r="F36" s="97" t="s">
        <v>2089</v>
      </c>
      <c r="G36" s="95" t="s">
        <v>2090</v>
      </c>
      <c r="H36" s="95" t="s">
        <v>1781</v>
      </c>
      <c r="I36" s="95" t="s">
        <v>1782</v>
      </c>
      <c r="J36" s="98">
        <v>27390.0</v>
      </c>
      <c r="K36" s="5">
        <v>544.0</v>
      </c>
      <c r="L36" s="5" t="s">
        <v>2091</v>
      </c>
      <c r="M36" s="5">
        <v>43.0</v>
      </c>
      <c r="N36" s="5"/>
      <c r="O36" s="5">
        <v>43722.0</v>
      </c>
      <c r="P36" s="5" t="s">
        <v>2092</v>
      </c>
      <c r="Q36" s="5" t="s">
        <v>1850</v>
      </c>
      <c r="R36" s="5">
        <v>544.0</v>
      </c>
      <c r="S36" s="5">
        <v>3.313877415E9</v>
      </c>
      <c r="T36" s="5"/>
      <c r="U36" s="5" t="s">
        <v>1787</v>
      </c>
      <c r="V36" s="5">
        <v>1.54845451E8</v>
      </c>
      <c r="W36" s="5" t="s">
        <v>1787</v>
      </c>
      <c r="X36" s="91">
        <v>43070.0</v>
      </c>
      <c r="Y36" s="5" t="s">
        <v>1770</v>
      </c>
      <c r="Z36" s="5">
        <v>17.0</v>
      </c>
      <c r="AA36" s="5">
        <v>69.0</v>
      </c>
      <c r="AB36" s="5" t="s">
        <v>2094</v>
      </c>
      <c r="AC36" s="5" t="s">
        <v>1800</v>
      </c>
      <c r="AD36" s="91">
        <v>44349.0</v>
      </c>
      <c r="AE36" s="91">
        <v>45810.0</v>
      </c>
      <c r="AF36" s="5"/>
      <c r="AG36" s="5"/>
      <c r="AH36" s="5">
        <v>7.4977408561E10</v>
      </c>
      <c r="AI36" s="5">
        <v>22.0</v>
      </c>
      <c r="AJ36" s="5"/>
      <c r="AK36" s="5" t="s">
        <v>1773</v>
      </c>
      <c r="AL36" s="92">
        <v>0.0</v>
      </c>
      <c r="AM36" s="5" t="s">
        <v>1770</v>
      </c>
      <c r="AN36" s="5" t="s">
        <v>1788</v>
      </c>
      <c r="AO36" s="5"/>
      <c r="AP36" s="5"/>
      <c r="AQ36" s="5"/>
      <c r="AR36" s="5"/>
      <c r="AS36" s="5"/>
      <c r="AT36" s="5"/>
      <c r="AU36" s="5"/>
      <c r="AV36" s="5"/>
      <c r="AW36" s="5" t="s">
        <v>1770</v>
      </c>
      <c r="AX36" s="5"/>
      <c r="AY36" s="5"/>
      <c r="AZ36" s="5" t="s">
        <v>1770</v>
      </c>
      <c r="BA36" s="93">
        <v>0.0</v>
      </c>
      <c r="BB36" s="93">
        <v>0.0</v>
      </c>
      <c r="BC36" s="93">
        <v>0.0</v>
      </c>
      <c r="BD36" s="93">
        <v>0.0</v>
      </c>
      <c r="BE36" s="93">
        <v>0.0</v>
      </c>
      <c r="BF36" s="93">
        <v>0.0</v>
      </c>
      <c r="BG36" s="5"/>
      <c r="BH36" s="93">
        <v>0.0</v>
      </c>
      <c r="BI36" s="93">
        <v>0.0</v>
      </c>
      <c r="BJ36" s="93">
        <v>0.0</v>
      </c>
      <c r="BK36" s="93">
        <v>0.0</v>
      </c>
      <c r="BL36" s="93">
        <v>0.0</v>
      </c>
      <c r="BM36" s="93">
        <v>0.0</v>
      </c>
      <c r="BN36" s="93">
        <v>0.0</v>
      </c>
      <c r="BO36" s="5"/>
      <c r="BP36" s="5" t="s">
        <v>1770</v>
      </c>
      <c r="BQ36" s="5" t="s">
        <v>1789</v>
      </c>
      <c r="BR36" s="94">
        <v>43477.45681712963</v>
      </c>
      <c r="BS36" s="5">
        <v>1.0</v>
      </c>
      <c r="BT36" s="94">
        <v>45729.449479166666</v>
      </c>
      <c r="BU36" s="5">
        <v>275.0</v>
      </c>
      <c r="BV36" s="94">
        <v>45770.727997685186</v>
      </c>
      <c r="BW36" s="5">
        <v>40.0</v>
      </c>
    </row>
    <row r="37" ht="14.25" customHeight="1">
      <c r="A37" s="95">
        <v>36.0</v>
      </c>
      <c r="B37" s="95">
        <v>366.0</v>
      </c>
      <c r="C37" s="95" t="s">
        <v>2096</v>
      </c>
      <c r="D37" s="95" t="s">
        <v>2097</v>
      </c>
      <c r="E37" s="96" t="s">
        <v>2098</v>
      </c>
      <c r="F37" s="97" t="s">
        <v>2099</v>
      </c>
      <c r="G37" s="95" t="s">
        <v>2100</v>
      </c>
      <c r="H37" s="95" t="s">
        <v>1781</v>
      </c>
      <c r="I37" s="95" t="s">
        <v>1782</v>
      </c>
      <c r="J37" s="98">
        <v>32422.0</v>
      </c>
      <c r="K37" s="5">
        <v>594.0</v>
      </c>
      <c r="L37" s="5" t="s">
        <v>2101</v>
      </c>
      <c r="M37" s="5">
        <v>320.0</v>
      </c>
      <c r="N37" s="5"/>
      <c r="O37" s="5">
        <v>43722.0</v>
      </c>
      <c r="P37" s="5" t="s">
        <v>1797</v>
      </c>
      <c r="Q37" s="5" t="s">
        <v>1785</v>
      </c>
      <c r="R37" s="5">
        <v>544.0</v>
      </c>
      <c r="S37" s="5">
        <v>3.322277149E9</v>
      </c>
      <c r="T37" s="5"/>
      <c r="U37" s="5" t="s">
        <v>1924</v>
      </c>
      <c r="V37" s="5">
        <v>1.055105105E9</v>
      </c>
      <c r="W37" s="5" t="s">
        <v>1924</v>
      </c>
      <c r="X37" s="91">
        <v>43140.0</v>
      </c>
      <c r="Y37" s="5">
        <v>1.0</v>
      </c>
      <c r="Z37" s="5">
        <v>18.0</v>
      </c>
      <c r="AA37" s="5">
        <v>30.0</v>
      </c>
      <c r="AB37" s="5" t="s">
        <v>2102</v>
      </c>
      <c r="AC37" s="5" t="s">
        <v>1800</v>
      </c>
      <c r="AD37" s="91">
        <v>45580.0</v>
      </c>
      <c r="AE37" s="91">
        <v>47041.0</v>
      </c>
      <c r="AF37" s="5"/>
      <c r="AG37" s="5"/>
      <c r="AH37" s="5">
        <v>4.128809771E9</v>
      </c>
      <c r="AI37" s="5">
        <v>22.0</v>
      </c>
      <c r="AJ37" s="5"/>
      <c r="AK37" s="5" t="s">
        <v>1773</v>
      </c>
      <c r="AL37" s="92">
        <v>0.0</v>
      </c>
      <c r="AM37" s="5" t="s">
        <v>1770</v>
      </c>
      <c r="AN37" s="5" t="s">
        <v>1830</v>
      </c>
      <c r="AO37" s="5"/>
      <c r="AP37" s="5"/>
      <c r="AQ37" s="5"/>
      <c r="AR37" s="5"/>
      <c r="AS37" s="5"/>
      <c r="AT37" s="5"/>
      <c r="AU37" s="5"/>
      <c r="AV37" s="5"/>
      <c r="AW37" s="5" t="s">
        <v>1770</v>
      </c>
      <c r="AX37" s="5"/>
      <c r="AY37" s="5"/>
      <c r="AZ37" s="5" t="s">
        <v>1770</v>
      </c>
      <c r="BA37" s="93">
        <v>0.0</v>
      </c>
      <c r="BB37" s="93">
        <v>0.0</v>
      </c>
      <c r="BC37" s="93">
        <v>0.0</v>
      </c>
      <c r="BD37" s="93">
        <v>0.0</v>
      </c>
      <c r="BE37" s="93">
        <v>0.0</v>
      </c>
      <c r="BF37" s="93">
        <v>0.0</v>
      </c>
      <c r="BG37" s="5"/>
      <c r="BH37" s="93">
        <v>0.0</v>
      </c>
      <c r="BI37" s="93">
        <v>0.0</v>
      </c>
      <c r="BJ37" s="93">
        <v>0.0</v>
      </c>
      <c r="BK37" s="93">
        <v>0.0</v>
      </c>
      <c r="BL37" s="93">
        <v>0.0</v>
      </c>
      <c r="BM37" s="93">
        <v>0.0</v>
      </c>
      <c r="BN37" s="93">
        <v>0.0</v>
      </c>
      <c r="BO37" s="5"/>
      <c r="BP37" s="5" t="s">
        <v>1770</v>
      </c>
      <c r="BQ37" s="5" t="s">
        <v>1789</v>
      </c>
      <c r="BR37" s="94">
        <v>43477.45681712963</v>
      </c>
      <c r="BS37" s="5">
        <v>1.0</v>
      </c>
      <c r="BT37" s="94">
        <v>45580.66064814815</v>
      </c>
      <c r="BU37" s="5" t="s">
        <v>1770</v>
      </c>
      <c r="BV37" s="94">
        <v>45737.715474537035</v>
      </c>
      <c r="BW37" s="5">
        <v>40.0</v>
      </c>
    </row>
    <row r="38" ht="14.25" customHeight="1">
      <c r="A38" s="95">
        <v>37.0</v>
      </c>
      <c r="B38" s="95">
        <v>346.0</v>
      </c>
      <c r="C38" s="95" t="s">
        <v>2103</v>
      </c>
      <c r="D38" s="95" t="s">
        <v>2104</v>
      </c>
      <c r="E38" s="96" t="s">
        <v>2105</v>
      </c>
      <c r="F38" s="97" t="s">
        <v>2106</v>
      </c>
      <c r="G38" s="95" t="s">
        <v>2107</v>
      </c>
      <c r="H38" s="95" t="s">
        <v>1762</v>
      </c>
      <c r="I38" s="95" t="s">
        <v>1763</v>
      </c>
      <c r="J38" s="98">
        <v>33970.0</v>
      </c>
      <c r="K38" s="5">
        <v>549.0</v>
      </c>
      <c r="L38" s="5" t="s">
        <v>2108</v>
      </c>
      <c r="M38" s="5">
        <v>60.0</v>
      </c>
      <c r="N38" s="5"/>
      <c r="O38" s="5">
        <v>43882.0</v>
      </c>
      <c r="P38" s="5" t="s">
        <v>2109</v>
      </c>
      <c r="Q38" s="5" t="s">
        <v>1766</v>
      </c>
      <c r="R38" s="5">
        <v>549.0</v>
      </c>
      <c r="S38" s="5">
        <v>3.931095628E9</v>
      </c>
      <c r="T38" s="5"/>
      <c r="U38" s="5" t="s">
        <v>1769</v>
      </c>
      <c r="V38" s="5">
        <v>2.10254563E9</v>
      </c>
      <c r="W38" s="5" t="s">
        <v>1769</v>
      </c>
      <c r="X38" s="91">
        <v>42996.0</v>
      </c>
      <c r="Y38" s="5">
        <v>1.0</v>
      </c>
      <c r="Z38" s="5">
        <v>4.0</v>
      </c>
      <c r="AA38" s="5">
        <v>38.0</v>
      </c>
      <c r="AB38" s="5"/>
      <c r="AC38" s="5"/>
      <c r="AD38" s="5" t="s">
        <v>1770</v>
      </c>
      <c r="AE38" s="5" t="s">
        <v>1770</v>
      </c>
      <c r="AF38" s="5"/>
      <c r="AG38" s="5"/>
      <c r="AH38" s="5">
        <v>4.129379329E9</v>
      </c>
      <c r="AI38" s="5">
        <v>23.0</v>
      </c>
      <c r="AJ38" s="5"/>
      <c r="AK38" s="5" t="s">
        <v>1773</v>
      </c>
      <c r="AL38" s="92">
        <v>0.0</v>
      </c>
      <c r="AM38" s="5" t="s">
        <v>1770</v>
      </c>
      <c r="AN38" s="5" t="s">
        <v>1788</v>
      </c>
      <c r="AO38" s="5"/>
      <c r="AP38" s="5"/>
      <c r="AQ38" s="5"/>
      <c r="AR38" s="5"/>
      <c r="AS38" s="5"/>
      <c r="AT38" s="5"/>
      <c r="AU38" s="5"/>
      <c r="AV38" s="5"/>
      <c r="AW38" s="5" t="s">
        <v>1770</v>
      </c>
      <c r="AX38" s="5"/>
      <c r="AY38" s="5"/>
      <c r="AZ38" s="5" t="s">
        <v>1770</v>
      </c>
      <c r="BA38" s="93">
        <v>0.0</v>
      </c>
      <c r="BB38" s="93">
        <v>0.0</v>
      </c>
      <c r="BC38" s="93">
        <v>0.0</v>
      </c>
      <c r="BD38" s="93">
        <v>0.0</v>
      </c>
      <c r="BE38" s="93">
        <v>0.0</v>
      </c>
      <c r="BF38" s="93">
        <v>0.0</v>
      </c>
      <c r="BG38" s="5"/>
      <c r="BH38" s="93">
        <v>0.0</v>
      </c>
      <c r="BI38" s="93">
        <v>0.0</v>
      </c>
      <c r="BJ38" s="93">
        <v>0.0</v>
      </c>
      <c r="BK38" s="93">
        <v>0.0</v>
      </c>
      <c r="BL38" s="93">
        <v>0.0</v>
      </c>
      <c r="BM38" s="93">
        <v>0.0</v>
      </c>
      <c r="BN38" s="93">
        <v>0.0</v>
      </c>
      <c r="BO38" s="5"/>
      <c r="BP38" s="5" t="s">
        <v>1770</v>
      </c>
      <c r="BQ38" s="5" t="s">
        <v>1789</v>
      </c>
      <c r="BR38" s="94">
        <v>43477.45681712963</v>
      </c>
      <c r="BS38" s="5">
        <v>1.0</v>
      </c>
      <c r="BT38" s="94">
        <v>43635.51825231482</v>
      </c>
      <c r="BU38" s="5">
        <v>40.0</v>
      </c>
      <c r="BV38" s="94">
        <v>44657.654178240744</v>
      </c>
      <c r="BW38" s="5">
        <v>184.0</v>
      </c>
    </row>
    <row r="39" ht="14.25" customHeight="1">
      <c r="A39" s="95">
        <v>38.0</v>
      </c>
      <c r="B39" s="95">
        <v>210.0</v>
      </c>
      <c r="C39" s="95" t="s">
        <v>2110</v>
      </c>
      <c r="D39" s="95" t="s">
        <v>2111</v>
      </c>
      <c r="E39" s="101" t="s">
        <v>1898</v>
      </c>
      <c r="F39" s="97" t="s">
        <v>2112</v>
      </c>
      <c r="G39" s="95" t="s">
        <v>2113</v>
      </c>
      <c r="H39" s="95" t="s">
        <v>1815</v>
      </c>
      <c r="I39" s="95" t="s">
        <v>1763</v>
      </c>
      <c r="J39" s="98">
        <v>35284.0</v>
      </c>
      <c r="K39" s="5">
        <v>549.0</v>
      </c>
      <c r="L39" s="5" t="s">
        <v>2114</v>
      </c>
      <c r="M39" s="5">
        <v>32156.0</v>
      </c>
      <c r="N39" s="5"/>
      <c r="O39" s="5">
        <v>43882.0</v>
      </c>
      <c r="P39" s="5" t="s">
        <v>1797</v>
      </c>
      <c r="Q39" s="5"/>
      <c r="R39" s="5">
        <v>549.0</v>
      </c>
      <c r="S39" s="5">
        <v>3.215789621E9</v>
      </c>
      <c r="T39" s="5"/>
      <c r="U39" s="5" t="s">
        <v>1924</v>
      </c>
      <c r="V39" s="5">
        <v>1.287895301E9</v>
      </c>
      <c r="W39" s="5" t="s">
        <v>1924</v>
      </c>
      <c r="X39" s="91">
        <v>41898.0</v>
      </c>
      <c r="Y39" s="5">
        <v>1.0</v>
      </c>
      <c r="Z39" s="5">
        <v>4.0</v>
      </c>
      <c r="AA39" s="5">
        <v>37.0</v>
      </c>
      <c r="AB39" s="5"/>
      <c r="AC39" s="5"/>
      <c r="AD39" s="5" t="s">
        <v>1770</v>
      </c>
      <c r="AE39" s="5" t="s">
        <v>1770</v>
      </c>
      <c r="AF39" s="5"/>
      <c r="AG39" s="5"/>
      <c r="AH39" s="5">
        <v>6.3149620252E10</v>
      </c>
      <c r="AI39" s="5">
        <v>23.0</v>
      </c>
      <c r="AJ39" s="5"/>
      <c r="AK39" s="5" t="s">
        <v>1773</v>
      </c>
      <c r="AL39" s="92">
        <v>0.0</v>
      </c>
      <c r="AM39" s="5" t="s">
        <v>1770</v>
      </c>
      <c r="AN39" s="5" t="s">
        <v>1788</v>
      </c>
      <c r="AO39" s="5"/>
      <c r="AP39" s="5"/>
      <c r="AQ39" s="5"/>
      <c r="AR39" s="5"/>
      <c r="AS39" s="5"/>
      <c r="AT39" s="5"/>
      <c r="AU39" s="5"/>
      <c r="AV39" s="5"/>
      <c r="AW39" s="5" t="s">
        <v>1770</v>
      </c>
      <c r="AX39" s="5"/>
      <c r="AY39" s="5"/>
      <c r="AZ39" s="5" t="s">
        <v>1770</v>
      </c>
      <c r="BA39" s="93">
        <v>0.0</v>
      </c>
      <c r="BB39" s="93">
        <v>0.0</v>
      </c>
      <c r="BC39" s="93">
        <v>0.0</v>
      </c>
      <c r="BD39" s="93">
        <v>0.0</v>
      </c>
      <c r="BE39" s="93">
        <v>0.0</v>
      </c>
      <c r="BF39" s="93">
        <v>0.0</v>
      </c>
      <c r="BG39" s="5"/>
      <c r="BH39" s="93">
        <v>0.0</v>
      </c>
      <c r="BI39" s="93">
        <v>0.0</v>
      </c>
      <c r="BJ39" s="93">
        <v>0.0</v>
      </c>
      <c r="BK39" s="93">
        <v>0.0</v>
      </c>
      <c r="BL39" s="93">
        <v>0.0</v>
      </c>
      <c r="BM39" s="93">
        <v>0.0</v>
      </c>
      <c r="BN39" s="93">
        <v>0.0</v>
      </c>
      <c r="BO39" s="5"/>
      <c r="BP39" s="5" t="s">
        <v>1770</v>
      </c>
      <c r="BQ39" s="5" t="s">
        <v>1789</v>
      </c>
      <c r="BR39" s="94">
        <v>43477.45681712963</v>
      </c>
      <c r="BS39" s="5">
        <v>1.0</v>
      </c>
      <c r="BT39" s="94">
        <v>43630.69425925926</v>
      </c>
      <c r="BU39" s="5">
        <v>40.0</v>
      </c>
      <c r="BV39" s="94">
        <v>44060.548414351855</v>
      </c>
      <c r="BW39" s="5">
        <v>83.0</v>
      </c>
    </row>
    <row r="40" ht="14.25" customHeight="1">
      <c r="A40" s="95">
        <v>39.0</v>
      </c>
      <c r="B40" s="95">
        <v>18.0</v>
      </c>
      <c r="C40" s="95" t="s">
        <v>2117</v>
      </c>
      <c r="D40" s="95" t="s">
        <v>2118</v>
      </c>
      <c r="E40" s="96" t="s">
        <v>2097</v>
      </c>
      <c r="F40" s="97" t="s">
        <v>2119</v>
      </c>
      <c r="G40" s="95" t="s">
        <v>2120</v>
      </c>
      <c r="H40" s="95" t="s">
        <v>1781</v>
      </c>
      <c r="I40" s="95" t="s">
        <v>1782</v>
      </c>
      <c r="J40" s="98">
        <v>26993.0</v>
      </c>
      <c r="K40" s="5">
        <v>274.0</v>
      </c>
      <c r="L40" s="5" t="s">
        <v>2121</v>
      </c>
      <c r="M40" s="5">
        <v>9845.0</v>
      </c>
      <c r="N40" s="5"/>
      <c r="O40" s="5">
        <v>43832.0</v>
      </c>
      <c r="P40" s="5" t="s">
        <v>1797</v>
      </c>
      <c r="Q40" s="5"/>
      <c r="R40" s="5">
        <v>850.0</v>
      </c>
      <c r="S40" s="5">
        <v>3.518450549E9</v>
      </c>
      <c r="T40" s="5"/>
      <c r="U40" s="5" t="s">
        <v>1787</v>
      </c>
      <c r="V40" s="5">
        <v>3.510051404E9</v>
      </c>
      <c r="W40" s="5" t="s">
        <v>1787</v>
      </c>
      <c r="X40" s="91">
        <v>41396.0</v>
      </c>
      <c r="Y40" s="5">
        <v>3.0</v>
      </c>
      <c r="Z40" s="5">
        <v>19.0</v>
      </c>
      <c r="AA40" s="5">
        <v>1.0</v>
      </c>
      <c r="AB40" s="5" t="s">
        <v>2122</v>
      </c>
      <c r="AC40" s="5" t="s">
        <v>1800</v>
      </c>
      <c r="AD40" s="91">
        <v>44035.0</v>
      </c>
      <c r="AE40" s="91">
        <v>46229.0</v>
      </c>
      <c r="AF40" s="5"/>
      <c r="AG40" s="5"/>
      <c r="AH40" s="5">
        <v>7.1897302189E10</v>
      </c>
      <c r="AI40" s="5">
        <v>77.0</v>
      </c>
      <c r="AJ40" s="5"/>
      <c r="AK40" s="5" t="s">
        <v>1773</v>
      </c>
      <c r="AL40" s="92">
        <v>0.0</v>
      </c>
      <c r="AM40" s="5" t="s">
        <v>1770</v>
      </c>
      <c r="AN40" s="5" t="s">
        <v>1788</v>
      </c>
      <c r="AO40" s="5"/>
      <c r="AP40" s="5"/>
      <c r="AQ40" s="5"/>
      <c r="AR40" s="5"/>
      <c r="AS40" s="5"/>
      <c r="AT40" s="5"/>
      <c r="AU40" s="5"/>
      <c r="AV40" s="5"/>
      <c r="AW40" s="5" t="s">
        <v>1770</v>
      </c>
      <c r="AX40" s="5"/>
      <c r="AY40" s="5"/>
      <c r="AZ40" s="5" t="s">
        <v>1770</v>
      </c>
      <c r="BA40" s="93">
        <v>0.0</v>
      </c>
      <c r="BB40" s="93">
        <v>0.0</v>
      </c>
      <c r="BC40" s="93">
        <v>0.0</v>
      </c>
      <c r="BD40" s="93">
        <v>0.0</v>
      </c>
      <c r="BE40" s="93">
        <v>0.0</v>
      </c>
      <c r="BF40" s="93">
        <v>0.0</v>
      </c>
      <c r="BG40" s="5"/>
      <c r="BH40" s="93">
        <v>0.0</v>
      </c>
      <c r="BI40" s="93">
        <v>0.0</v>
      </c>
      <c r="BJ40" s="93">
        <v>0.0</v>
      </c>
      <c r="BK40" s="93">
        <v>0.0</v>
      </c>
      <c r="BL40" s="93">
        <v>0.0</v>
      </c>
      <c r="BM40" s="93">
        <v>0.0</v>
      </c>
      <c r="BN40" s="93">
        <v>0.0</v>
      </c>
      <c r="BO40" s="5"/>
      <c r="BP40" s="5" t="s">
        <v>1770</v>
      </c>
      <c r="BQ40" s="5" t="s">
        <v>1789</v>
      </c>
      <c r="BR40" s="94">
        <v>43477.45681712963</v>
      </c>
      <c r="BS40" s="5">
        <v>1.0</v>
      </c>
      <c r="BT40" s="94">
        <v>45352.49774305556</v>
      </c>
      <c r="BU40" s="5">
        <v>40.0</v>
      </c>
      <c r="BV40" s="94">
        <v>45838.68315972222</v>
      </c>
      <c r="BW40" s="5">
        <v>40.0</v>
      </c>
    </row>
    <row r="41" ht="14.25" customHeight="1">
      <c r="A41" s="95">
        <v>40.0</v>
      </c>
      <c r="B41" s="95">
        <v>183.0</v>
      </c>
      <c r="C41" s="95" t="s">
        <v>2125</v>
      </c>
      <c r="D41" s="95" t="s">
        <v>2104</v>
      </c>
      <c r="E41" s="96" t="s">
        <v>2126</v>
      </c>
      <c r="F41" s="97" t="s">
        <v>2127</v>
      </c>
      <c r="G41" s="95" t="s">
        <v>2128</v>
      </c>
      <c r="H41" s="95" t="s">
        <v>1781</v>
      </c>
      <c r="I41" s="95" t="s">
        <v>1782</v>
      </c>
      <c r="J41" s="98">
        <v>25548.0</v>
      </c>
      <c r="K41" s="5">
        <v>850.0</v>
      </c>
      <c r="L41" s="5" t="s">
        <v>2129</v>
      </c>
      <c r="M41" s="5">
        <v>852.0</v>
      </c>
      <c r="N41" s="5"/>
      <c r="O41" s="5">
        <v>43832.0</v>
      </c>
      <c r="P41" s="5" t="s">
        <v>1797</v>
      </c>
      <c r="Q41" s="5"/>
      <c r="R41" s="5">
        <v>850.0</v>
      </c>
      <c r="S41" s="5">
        <v>3.517410258E9</v>
      </c>
      <c r="T41" s="5"/>
      <c r="U41" s="5" t="s">
        <v>1787</v>
      </c>
      <c r="V41" s="5">
        <v>3.520012457E9</v>
      </c>
      <c r="W41" s="5" t="s">
        <v>1787</v>
      </c>
      <c r="X41" s="91">
        <v>41661.0</v>
      </c>
      <c r="Y41" s="5">
        <v>3.0</v>
      </c>
      <c r="Z41" s="5">
        <v>4.0</v>
      </c>
      <c r="AA41" s="5">
        <v>54.0</v>
      </c>
      <c r="AB41" s="5" t="s">
        <v>2130</v>
      </c>
      <c r="AC41" s="5" t="s">
        <v>1800</v>
      </c>
      <c r="AD41" s="91">
        <v>44615.0</v>
      </c>
      <c r="AE41" s="91">
        <v>46076.0</v>
      </c>
      <c r="AF41" s="5"/>
      <c r="AG41" s="5"/>
      <c r="AH41" s="5">
        <v>5.3926917328E10</v>
      </c>
      <c r="AI41" s="5">
        <v>77.0</v>
      </c>
      <c r="AJ41" s="5"/>
      <c r="AK41" s="5" t="s">
        <v>1773</v>
      </c>
      <c r="AL41" s="92">
        <v>0.0</v>
      </c>
      <c r="AM41" s="5" t="s">
        <v>1770</v>
      </c>
      <c r="AN41" s="5" t="s">
        <v>1788</v>
      </c>
      <c r="AO41" s="5"/>
      <c r="AP41" s="5"/>
      <c r="AQ41" s="5"/>
      <c r="AR41" s="5"/>
      <c r="AS41" s="5"/>
      <c r="AT41" s="5"/>
      <c r="AU41" s="5"/>
      <c r="AV41" s="5"/>
      <c r="AW41" s="5" t="s">
        <v>1770</v>
      </c>
      <c r="AX41" s="5"/>
      <c r="AY41" s="5"/>
      <c r="AZ41" s="5" t="s">
        <v>1770</v>
      </c>
      <c r="BA41" s="93">
        <v>0.0</v>
      </c>
      <c r="BB41" s="93">
        <v>0.0</v>
      </c>
      <c r="BC41" s="93">
        <v>0.0</v>
      </c>
      <c r="BD41" s="93">
        <v>0.0</v>
      </c>
      <c r="BE41" s="93">
        <v>0.0</v>
      </c>
      <c r="BF41" s="93">
        <v>0.0</v>
      </c>
      <c r="BG41" s="5"/>
      <c r="BH41" s="93">
        <v>0.0</v>
      </c>
      <c r="BI41" s="93">
        <v>0.0</v>
      </c>
      <c r="BJ41" s="93">
        <v>0.0</v>
      </c>
      <c r="BK41" s="93">
        <v>0.0</v>
      </c>
      <c r="BL41" s="93">
        <v>0.0</v>
      </c>
      <c r="BM41" s="93">
        <v>0.0</v>
      </c>
      <c r="BN41" s="93">
        <v>0.0</v>
      </c>
      <c r="BO41" s="5"/>
      <c r="BP41" s="5" t="s">
        <v>1770</v>
      </c>
      <c r="BQ41" s="5" t="s">
        <v>1789</v>
      </c>
      <c r="BR41" s="94">
        <v>43477.45681712963</v>
      </c>
      <c r="BS41" s="5">
        <v>1.0</v>
      </c>
      <c r="BT41" s="94">
        <v>45707.687523148146</v>
      </c>
      <c r="BU41" s="5">
        <v>275.0</v>
      </c>
      <c r="BV41" s="94">
        <v>45715.69553240741</v>
      </c>
      <c r="BW41" s="5">
        <v>40.0</v>
      </c>
    </row>
    <row r="42" ht="14.25" customHeight="1">
      <c r="A42" s="95">
        <v>41.0</v>
      </c>
      <c r="B42" s="95">
        <v>188.0</v>
      </c>
      <c r="C42" s="95" t="s">
        <v>2131</v>
      </c>
      <c r="D42" s="95" t="s">
        <v>2132</v>
      </c>
      <c r="E42" s="96" t="s">
        <v>2133</v>
      </c>
      <c r="F42" s="97" t="s">
        <v>2134</v>
      </c>
      <c r="G42" s="95" t="s">
        <v>2135</v>
      </c>
      <c r="H42" s="95" t="s">
        <v>1781</v>
      </c>
      <c r="I42" s="95" t="s">
        <v>1782</v>
      </c>
      <c r="J42" s="98">
        <v>32137.0</v>
      </c>
      <c r="K42" s="5">
        <v>850.0</v>
      </c>
      <c r="L42" s="5" t="s">
        <v>2137</v>
      </c>
      <c r="M42" s="5">
        <v>22.0</v>
      </c>
      <c r="N42" s="5"/>
      <c r="O42" s="5">
        <v>55232.0</v>
      </c>
      <c r="P42" s="5" t="s">
        <v>2139</v>
      </c>
      <c r="Q42" s="5"/>
      <c r="R42" s="5">
        <v>841.0</v>
      </c>
      <c r="S42" s="5">
        <v>4.431016565E9</v>
      </c>
      <c r="T42" s="5" t="s">
        <v>2140</v>
      </c>
      <c r="U42" s="5" t="s">
        <v>2141</v>
      </c>
      <c r="V42" s="5">
        <v>3.521389533E9</v>
      </c>
      <c r="W42" s="5" t="s">
        <v>1787</v>
      </c>
      <c r="X42" s="91">
        <v>41677.0</v>
      </c>
      <c r="Y42" s="5">
        <v>3.0</v>
      </c>
      <c r="Z42" s="5">
        <v>19.0</v>
      </c>
      <c r="AA42" s="5">
        <v>81.0</v>
      </c>
      <c r="AB42" s="5" t="s">
        <v>2142</v>
      </c>
      <c r="AC42" s="5" t="s">
        <v>1800</v>
      </c>
      <c r="AD42" s="91">
        <v>45076.0</v>
      </c>
      <c r="AE42" s="91">
        <v>48364.0</v>
      </c>
      <c r="AF42" s="5"/>
      <c r="AG42" s="5"/>
      <c r="AH42" s="5">
        <v>3.148739091E9</v>
      </c>
      <c r="AI42" s="5">
        <v>77.0</v>
      </c>
      <c r="AJ42" s="5"/>
      <c r="AK42" s="5" t="s">
        <v>1773</v>
      </c>
      <c r="AL42" s="92">
        <v>0.0</v>
      </c>
      <c r="AM42" s="5" t="s">
        <v>1770</v>
      </c>
      <c r="AN42" s="5" t="s">
        <v>1830</v>
      </c>
      <c r="AO42" s="5"/>
      <c r="AP42" s="5"/>
      <c r="AQ42" s="5"/>
      <c r="AR42" s="5"/>
      <c r="AS42" s="5"/>
      <c r="AT42" s="5"/>
      <c r="AU42" s="5"/>
      <c r="AV42" s="5"/>
      <c r="AW42" s="5" t="s">
        <v>1770</v>
      </c>
      <c r="AX42" s="5"/>
      <c r="AY42" s="5"/>
      <c r="AZ42" s="5" t="s">
        <v>1770</v>
      </c>
      <c r="BA42" s="93">
        <v>0.0</v>
      </c>
      <c r="BB42" s="93">
        <v>0.0</v>
      </c>
      <c r="BC42" s="93">
        <v>0.0</v>
      </c>
      <c r="BD42" s="93">
        <v>0.0</v>
      </c>
      <c r="BE42" s="93">
        <v>0.0</v>
      </c>
      <c r="BF42" s="93">
        <v>0.0</v>
      </c>
      <c r="BG42" s="5"/>
      <c r="BH42" s="93">
        <v>0.0</v>
      </c>
      <c r="BI42" s="93">
        <v>0.0</v>
      </c>
      <c r="BJ42" s="93">
        <v>0.0</v>
      </c>
      <c r="BK42" s="93">
        <v>0.0</v>
      </c>
      <c r="BL42" s="93">
        <v>0.0</v>
      </c>
      <c r="BM42" s="93">
        <v>0.0</v>
      </c>
      <c r="BN42" s="93">
        <v>0.0</v>
      </c>
      <c r="BO42" s="5"/>
      <c r="BP42" s="5"/>
      <c r="BQ42" s="5" t="s">
        <v>1775</v>
      </c>
      <c r="BR42" s="94">
        <v>43477.45681712963</v>
      </c>
      <c r="BS42" s="5">
        <v>1.0</v>
      </c>
      <c r="BT42" s="94">
        <v>46134.65568287037</v>
      </c>
      <c r="BU42" s="5" t="s">
        <v>1770</v>
      </c>
      <c r="BV42" s="5" t="s">
        <v>1770</v>
      </c>
      <c r="BW42" s="5" t="s">
        <v>1770</v>
      </c>
    </row>
    <row r="43" ht="14.25" customHeight="1">
      <c r="A43" s="95">
        <v>42.0</v>
      </c>
      <c r="B43" s="95">
        <v>309.0</v>
      </c>
      <c r="C43" s="95" t="s">
        <v>2143</v>
      </c>
      <c r="D43" s="95" t="s">
        <v>2132</v>
      </c>
      <c r="E43" s="96" t="s">
        <v>2144</v>
      </c>
      <c r="F43" s="97" t="s">
        <v>2145</v>
      </c>
      <c r="G43" s="95" t="s">
        <v>2146</v>
      </c>
      <c r="H43" s="95" t="s">
        <v>1781</v>
      </c>
      <c r="I43" s="95" t="s">
        <v>1782</v>
      </c>
      <c r="J43" s="98">
        <v>30760.0</v>
      </c>
      <c r="K43" s="5">
        <v>890.0</v>
      </c>
      <c r="L43" s="5" t="s">
        <v>2148</v>
      </c>
      <c r="M43" s="5">
        <v>9875.0</v>
      </c>
      <c r="N43" s="5"/>
      <c r="O43" s="5">
        <v>43832.0</v>
      </c>
      <c r="P43" s="5" t="s">
        <v>1797</v>
      </c>
      <c r="Q43" s="5" t="s">
        <v>2149</v>
      </c>
      <c r="R43" s="5">
        <v>850.0</v>
      </c>
      <c r="S43" s="5">
        <v>3.521117456E9</v>
      </c>
      <c r="T43" s="5"/>
      <c r="U43" s="5" t="s">
        <v>1787</v>
      </c>
      <c r="V43" s="5">
        <v>3.51875652E9</v>
      </c>
      <c r="W43" s="5" t="s">
        <v>1787</v>
      </c>
      <c r="X43" s="91">
        <v>42752.0</v>
      </c>
      <c r="Y43" s="5">
        <v>3.0</v>
      </c>
      <c r="Z43" s="5">
        <v>3.0</v>
      </c>
      <c r="AA43" s="5">
        <v>58.0</v>
      </c>
      <c r="AB43" s="5"/>
      <c r="AC43" s="5"/>
      <c r="AD43" s="5" t="s">
        <v>1770</v>
      </c>
      <c r="AE43" s="5" t="s">
        <v>1770</v>
      </c>
      <c r="AF43" s="5"/>
      <c r="AG43" s="5"/>
      <c r="AH43" s="5">
        <v>2.178412298E9</v>
      </c>
      <c r="AI43" s="5">
        <v>77.0</v>
      </c>
      <c r="AJ43" s="5"/>
      <c r="AK43" s="5" t="s">
        <v>1773</v>
      </c>
      <c r="AL43" s="92">
        <v>0.0</v>
      </c>
      <c r="AM43" s="5" t="s">
        <v>1770</v>
      </c>
      <c r="AN43" s="5" t="s">
        <v>1788</v>
      </c>
      <c r="AO43" s="5"/>
      <c r="AP43" s="5"/>
      <c r="AQ43" s="5"/>
      <c r="AR43" s="5"/>
      <c r="AS43" s="5"/>
      <c r="AT43" s="5"/>
      <c r="AU43" s="5"/>
      <c r="AV43" s="5"/>
      <c r="AW43" s="5" t="s">
        <v>1770</v>
      </c>
      <c r="AX43" s="5"/>
      <c r="AY43" s="5"/>
      <c r="AZ43" s="5" t="s">
        <v>1770</v>
      </c>
      <c r="BA43" s="93">
        <v>0.0</v>
      </c>
      <c r="BB43" s="93">
        <v>0.0</v>
      </c>
      <c r="BC43" s="93">
        <v>0.0</v>
      </c>
      <c r="BD43" s="93">
        <v>0.0</v>
      </c>
      <c r="BE43" s="93">
        <v>0.0</v>
      </c>
      <c r="BF43" s="93">
        <v>0.0</v>
      </c>
      <c r="BG43" s="5"/>
      <c r="BH43" s="93">
        <v>0.0</v>
      </c>
      <c r="BI43" s="93">
        <v>0.0</v>
      </c>
      <c r="BJ43" s="93">
        <v>0.0</v>
      </c>
      <c r="BK43" s="93">
        <v>0.0</v>
      </c>
      <c r="BL43" s="93">
        <v>0.0</v>
      </c>
      <c r="BM43" s="93">
        <v>0.0</v>
      </c>
      <c r="BN43" s="93">
        <v>0.0</v>
      </c>
      <c r="BO43" s="5"/>
      <c r="BP43" s="5" t="s">
        <v>1770</v>
      </c>
      <c r="BQ43" s="5" t="s">
        <v>1789</v>
      </c>
      <c r="BR43" s="94">
        <v>43477.45681712963</v>
      </c>
      <c r="BS43" s="5">
        <v>1.0</v>
      </c>
      <c r="BT43" s="94">
        <v>45863.39083333333</v>
      </c>
      <c r="BU43" s="5">
        <v>272.0</v>
      </c>
      <c r="BV43" s="94">
        <v>46104.44971064815</v>
      </c>
      <c r="BW43" s="5">
        <v>40.0</v>
      </c>
    </row>
    <row r="44" ht="14.25" customHeight="1">
      <c r="A44" s="95">
        <v>43.0</v>
      </c>
      <c r="B44" s="95">
        <v>314.0</v>
      </c>
      <c r="C44" s="95" t="s">
        <v>2150</v>
      </c>
      <c r="D44" s="95" t="s">
        <v>2151</v>
      </c>
      <c r="E44" s="96" t="s">
        <v>2152</v>
      </c>
      <c r="F44" s="97" t="s">
        <v>2153</v>
      </c>
      <c r="G44" s="95"/>
      <c r="H44" s="95"/>
      <c r="I44" s="95" t="s">
        <v>1782</v>
      </c>
      <c r="J44" s="102" t="s">
        <v>1770</v>
      </c>
      <c r="K44" s="5" t="s">
        <v>1770</v>
      </c>
      <c r="L44" s="5" t="s">
        <v>2154</v>
      </c>
      <c r="M44" s="5">
        <v>14.0</v>
      </c>
      <c r="N44" s="5"/>
      <c r="O44" s="5">
        <v>43832.0</v>
      </c>
      <c r="P44" s="5" t="s">
        <v>1797</v>
      </c>
      <c r="Q44" s="5"/>
      <c r="R44" s="5">
        <v>850.0</v>
      </c>
      <c r="S44" s="5">
        <v>3.512036985E9</v>
      </c>
      <c r="T44" s="5"/>
      <c r="U44" s="5" t="s">
        <v>1787</v>
      </c>
      <c r="V44" s="5">
        <v>3.201556899E9</v>
      </c>
      <c r="W44" s="5" t="s">
        <v>1787</v>
      </c>
      <c r="X44" s="91">
        <v>43102.0</v>
      </c>
      <c r="Y44" s="5">
        <v>3.0</v>
      </c>
      <c r="Z44" s="5">
        <v>3.0</v>
      </c>
      <c r="AA44" s="5">
        <v>2.0</v>
      </c>
      <c r="AB44" s="5"/>
      <c r="AC44" s="5" t="s">
        <v>1770</v>
      </c>
      <c r="AD44" s="5" t="s">
        <v>1770</v>
      </c>
      <c r="AE44" s="5" t="s">
        <v>1770</v>
      </c>
      <c r="AF44" s="5"/>
      <c r="AG44" s="5"/>
      <c r="AH44" s="5">
        <v>3.2100254889E10</v>
      </c>
      <c r="AI44" s="5"/>
      <c r="AJ44" s="5"/>
      <c r="AK44" s="5" t="s">
        <v>1773</v>
      </c>
      <c r="AL44" s="92">
        <v>0.0</v>
      </c>
      <c r="AM44" s="5" t="s">
        <v>1770</v>
      </c>
      <c r="AN44" s="5" t="s">
        <v>1788</v>
      </c>
      <c r="AO44" s="5"/>
      <c r="AP44" s="5"/>
      <c r="AQ44" s="5"/>
      <c r="AR44" s="5"/>
      <c r="AS44" s="5"/>
      <c r="AT44" s="5"/>
      <c r="AU44" s="5"/>
      <c r="AV44" s="5"/>
      <c r="AW44" s="5" t="s">
        <v>1770</v>
      </c>
      <c r="AX44" s="5"/>
      <c r="AY44" s="5"/>
      <c r="AZ44" s="5" t="s">
        <v>1770</v>
      </c>
      <c r="BA44" s="93">
        <v>0.0</v>
      </c>
      <c r="BB44" s="93">
        <v>0.0</v>
      </c>
      <c r="BC44" s="93">
        <v>0.0</v>
      </c>
      <c r="BD44" s="93">
        <v>0.0</v>
      </c>
      <c r="BE44" s="93">
        <v>0.0</v>
      </c>
      <c r="BF44" s="93">
        <v>0.0</v>
      </c>
      <c r="BG44" s="5"/>
      <c r="BH44" s="93">
        <v>0.0</v>
      </c>
      <c r="BI44" s="93">
        <v>0.0</v>
      </c>
      <c r="BJ44" s="93">
        <v>0.0</v>
      </c>
      <c r="BK44" s="93">
        <v>0.0</v>
      </c>
      <c r="BL44" s="93">
        <v>0.0</v>
      </c>
      <c r="BM44" s="93">
        <v>0.0</v>
      </c>
      <c r="BN44" s="93">
        <v>0.0</v>
      </c>
      <c r="BO44" s="5"/>
      <c r="BP44" s="5" t="s">
        <v>1770</v>
      </c>
      <c r="BQ44" s="5" t="s">
        <v>1789</v>
      </c>
      <c r="BR44" s="94">
        <v>43477.45681712963</v>
      </c>
      <c r="BS44" s="5">
        <v>1.0</v>
      </c>
      <c r="BT44" s="94">
        <v>43768.54554398148</v>
      </c>
      <c r="BU44" s="5">
        <v>40.0</v>
      </c>
      <c r="BV44" s="94">
        <v>44060.55082175926</v>
      </c>
      <c r="BW44" s="5">
        <v>83.0</v>
      </c>
    </row>
    <row r="45" ht="14.25" customHeight="1">
      <c r="A45" s="95">
        <v>44.0</v>
      </c>
      <c r="B45" s="95">
        <v>350.0</v>
      </c>
      <c r="C45" s="95" t="s">
        <v>2156</v>
      </c>
      <c r="D45" s="95" t="s">
        <v>2157</v>
      </c>
      <c r="E45" s="96" t="s">
        <v>2158</v>
      </c>
      <c r="F45" s="97" t="s">
        <v>2159</v>
      </c>
      <c r="G45" s="95" t="s">
        <v>2160</v>
      </c>
      <c r="H45" s="95" t="s">
        <v>1762</v>
      </c>
      <c r="I45" s="95" t="s">
        <v>1763</v>
      </c>
      <c r="J45" s="98">
        <v>33813.0</v>
      </c>
      <c r="K45" s="5">
        <v>418.0</v>
      </c>
      <c r="L45" s="5" t="s">
        <v>2161</v>
      </c>
      <c r="M45" s="5">
        <v>282.0</v>
      </c>
      <c r="N45" s="5"/>
      <c r="O45" s="5">
        <v>35882.0</v>
      </c>
      <c r="P45" s="5" t="s">
        <v>1797</v>
      </c>
      <c r="Q45" s="5" t="s">
        <v>2162</v>
      </c>
      <c r="R45" s="5">
        <v>424.0</v>
      </c>
      <c r="S45" s="5">
        <v>3.52108564E9</v>
      </c>
      <c r="T45" s="5"/>
      <c r="U45" s="5" t="s">
        <v>1924</v>
      </c>
      <c r="V45" s="5">
        <v>3.510102484E9</v>
      </c>
      <c r="W45" s="5" t="s">
        <v>1924</v>
      </c>
      <c r="X45" s="91">
        <v>43040.0</v>
      </c>
      <c r="Y45" s="5">
        <v>3.0</v>
      </c>
      <c r="Z45" s="5">
        <v>19.0</v>
      </c>
      <c r="AA45" s="5">
        <v>9.0</v>
      </c>
      <c r="AB45" s="5"/>
      <c r="AC45" s="5"/>
      <c r="AD45" s="5" t="s">
        <v>1770</v>
      </c>
      <c r="AE45" s="5" t="s">
        <v>1770</v>
      </c>
      <c r="AF45" s="5"/>
      <c r="AG45" s="5"/>
      <c r="AH45" s="5">
        <v>5.3109289263E10</v>
      </c>
      <c r="AI45" s="5">
        <v>9.0</v>
      </c>
      <c r="AJ45" s="5"/>
      <c r="AK45" s="5" t="s">
        <v>1773</v>
      </c>
      <c r="AL45" s="92">
        <v>0.0</v>
      </c>
      <c r="AM45" s="5" t="s">
        <v>1770</v>
      </c>
      <c r="AN45" s="5" t="s">
        <v>1788</v>
      </c>
      <c r="AO45" s="5"/>
      <c r="AP45" s="5"/>
      <c r="AQ45" s="5"/>
      <c r="AR45" s="5"/>
      <c r="AS45" s="5"/>
      <c r="AT45" s="5"/>
      <c r="AU45" s="5"/>
      <c r="AV45" s="5"/>
      <c r="AW45" s="5" t="s">
        <v>1770</v>
      </c>
      <c r="AX45" s="5"/>
      <c r="AY45" s="5"/>
      <c r="AZ45" s="5" t="s">
        <v>1770</v>
      </c>
      <c r="BA45" s="93">
        <v>0.0</v>
      </c>
      <c r="BB45" s="93">
        <v>0.0</v>
      </c>
      <c r="BC45" s="93">
        <v>0.0</v>
      </c>
      <c r="BD45" s="93">
        <v>0.0</v>
      </c>
      <c r="BE45" s="93">
        <v>0.0</v>
      </c>
      <c r="BF45" s="93">
        <v>0.0</v>
      </c>
      <c r="BG45" s="5"/>
      <c r="BH45" s="93">
        <v>0.0</v>
      </c>
      <c r="BI45" s="93">
        <v>0.0</v>
      </c>
      <c r="BJ45" s="93">
        <v>0.0</v>
      </c>
      <c r="BK45" s="93">
        <v>0.0</v>
      </c>
      <c r="BL45" s="93">
        <v>0.0</v>
      </c>
      <c r="BM45" s="93">
        <v>0.0</v>
      </c>
      <c r="BN45" s="93">
        <v>0.0</v>
      </c>
      <c r="BO45" s="5"/>
      <c r="BP45" s="5" t="s">
        <v>1770</v>
      </c>
      <c r="BQ45" s="5" t="s">
        <v>1789</v>
      </c>
      <c r="BR45" s="94">
        <v>43477.45681712963</v>
      </c>
      <c r="BS45" s="5">
        <v>1.0</v>
      </c>
      <c r="BT45" s="94">
        <v>43635.62295138889</v>
      </c>
      <c r="BU45" s="5">
        <v>40.0</v>
      </c>
      <c r="BV45" s="94">
        <v>44060.55510416667</v>
      </c>
      <c r="BW45" s="5">
        <v>83.0</v>
      </c>
    </row>
    <row r="46" ht="14.25" customHeight="1">
      <c r="A46" s="95">
        <v>45.0</v>
      </c>
      <c r="B46" s="95">
        <v>161.0</v>
      </c>
      <c r="C46" s="95" t="s">
        <v>2163</v>
      </c>
      <c r="D46" s="95" t="s">
        <v>2164</v>
      </c>
      <c r="E46" s="96" t="s">
        <v>2165</v>
      </c>
      <c r="F46" s="97" t="s">
        <v>2166</v>
      </c>
      <c r="G46" s="95" t="s">
        <v>2167</v>
      </c>
      <c r="H46" s="95" t="s">
        <v>1762</v>
      </c>
      <c r="I46" s="95" t="s">
        <v>1763</v>
      </c>
      <c r="J46" s="98">
        <v>33348.0</v>
      </c>
      <c r="K46" s="5">
        <v>549.0</v>
      </c>
      <c r="L46" s="5" t="s">
        <v>2168</v>
      </c>
      <c r="M46" s="5">
        <v>5.0</v>
      </c>
      <c r="N46" s="5"/>
      <c r="O46" s="5">
        <v>43897.0</v>
      </c>
      <c r="P46" s="5" t="s">
        <v>2169</v>
      </c>
      <c r="Q46" s="5" t="s">
        <v>2169</v>
      </c>
      <c r="R46" s="5">
        <v>549.0</v>
      </c>
      <c r="S46" s="5">
        <v>3.931079959E9</v>
      </c>
      <c r="T46" s="5" t="s">
        <v>2170</v>
      </c>
      <c r="U46" s="5" t="s">
        <v>2171</v>
      </c>
      <c r="V46" s="5">
        <v>1.234567891E9</v>
      </c>
      <c r="W46" s="5" t="s">
        <v>1769</v>
      </c>
      <c r="X46" s="91">
        <v>41471.0</v>
      </c>
      <c r="Y46" s="5" t="s">
        <v>1770</v>
      </c>
      <c r="Z46" s="5">
        <v>17.0</v>
      </c>
      <c r="AA46" s="5">
        <v>108.0</v>
      </c>
      <c r="AB46" s="5"/>
      <c r="AC46" s="5"/>
      <c r="AD46" s="5" t="s">
        <v>1770</v>
      </c>
      <c r="AE46" s="5" t="s">
        <v>1770</v>
      </c>
      <c r="AF46" s="5"/>
      <c r="AG46" s="5"/>
      <c r="AH46" s="5">
        <v>4.139146536E9</v>
      </c>
      <c r="AI46" s="5">
        <v>23.0</v>
      </c>
      <c r="AJ46" s="5"/>
      <c r="AK46" s="5" t="s">
        <v>1773</v>
      </c>
      <c r="AL46" s="92">
        <v>0.0</v>
      </c>
      <c r="AM46" s="5" t="s">
        <v>1770</v>
      </c>
      <c r="AN46" s="5" t="s">
        <v>1830</v>
      </c>
      <c r="AO46" s="5"/>
      <c r="AP46" s="5"/>
      <c r="AQ46" s="5"/>
      <c r="AR46" s="5"/>
      <c r="AS46" s="5"/>
      <c r="AT46" s="5"/>
      <c r="AU46" s="5"/>
      <c r="AV46" s="5"/>
      <c r="AW46" s="5" t="s">
        <v>1770</v>
      </c>
      <c r="AX46" s="5"/>
      <c r="AY46" s="5"/>
      <c r="AZ46" s="5" t="s">
        <v>1770</v>
      </c>
      <c r="BA46" s="93">
        <v>0.0</v>
      </c>
      <c r="BB46" s="93">
        <v>0.0</v>
      </c>
      <c r="BC46" s="93">
        <v>0.0</v>
      </c>
      <c r="BD46" s="93">
        <v>0.0</v>
      </c>
      <c r="BE46" s="93">
        <v>0.0</v>
      </c>
      <c r="BF46" s="93">
        <v>0.0</v>
      </c>
      <c r="BG46" s="5"/>
      <c r="BH46" s="93">
        <v>0.0</v>
      </c>
      <c r="BI46" s="93">
        <v>0.0</v>
      </c>
      <c r="BJ46" s="93">
        <v>0.0</v>
      </c>
      <c r="BK46" s="93">
        <v>0.0</v>
      </c>
      <c r="BL46" s="93">
        <v>0.0</v>
      </c>
      <c r="BM46" s="93">
        <v>0.0</v>
      </c>
      <c r="BN46" s="93">
        <v>0.0</v>
      </c>
      <c r="BO46" s="5"/>
      <c r="BP46" s="5"/>
      <c r="BQ46" s="5" t="s">
        <v>1775</v>
      </c>
      <c r="BR46" s="94">
        <v>43477.45681712963</v>
      </c>
      <c r="BS46" s="5">
        <v>1.0</v>
      </c>
      <c r="BT46" s="94">
        <v>46134.57233796296</v>
      </c>
      <c r="BU46" s="5" t="s">
        <v>1770</v>
      </c>
      <c r="BV46" s="5" t="s">
        <v>1770</v>
      </c>
      <c r="BW46" s="5" t="s">
        <v>1770</v>
      </c>
    </row>
    <row r="47" ht="14.25" customHeight="1">
      <c r="A47" s="95">
        <v>46.0</v>
      </c>
      <c r="B47" s="95">
        <v>265.0</v>
      </c>
      <c r="C47" s="95" t="s">
        <v>2173</v>
      </c>
      <c r="D47" s="95" t="s">
        <v>2174</v>
      </c>
      <c r="E47" s="96" t="s">
        <v>1758</v>
      </c>
      <c r="F47" s="97" t="s">
        <v>2175</v>
      </c>
      <c r="G47" s="95" t="s">
        <v>2176</v>
      </c>
      <c r="H47" s="95" t="s">
        <v>1781</v>
      </c>
      <c r="I47" s="95" t="s">
        <v>1782</v>
      </c>
      <c r="J47" s="98">
        <v>31364.0</v>
      </c>
      <c r="K47" s="5">
        <v>594.0</v>
      </c>
      <c r="L47" s="5" t="s">
        <v>2177</v>
      </c>
      <c r="M47" s="5">
        <v>815.0</v>
      </c>
      <c r="N47" s="5"/>
      <c r="O47" s="5">
        <v>43832.0</v>
      </c>
      <c r="P47" s="5" t="s">
        <v>2178</v>
      </c>
      <c r="Q47" s="5" t="s">
        <v>2179</v>
      </c>
      <c r="R47" s="5">
        <v>594.0</v>
      </c>
      <c r="S47" s="5">
        <v>3.317123246E9</v>
      </c>
      <c r="T47" s="5" t="s">
        <v>2180</v>
      </c>
      <c r="U47" s="5" t="s">
        <v>2181</v>
      </c>
      <c r="V47" s="5">
        <v>3.317867574E9</v>
      </c>
      <c r="W47" s="5" t="s">
        <v>1787</v>
      </c>
      <c r="X47" s="91">
        <v>42405.0</v>
      </c>
      <c r="Y47" s="5" t="s">
        <v>1770</v>
      </c>
      <c r="Z47" s="5">
        <v>17.0</v>
      </c>
      <c r="AA47" s="5">
        <v>50.0</v>
      </c>
      <c r="AB47" s="5" t="s">
        <v>2182</v>
      </c>
      <c r="AC47" s="5" t="s">
        <v>1800</v>
      </c>
      <c r="AD47" s="91">
        <v>42507.0</v>
      </c>
      <c r="AE47" s="91">
        <v>43968.0</v>
      </c>
      <c r="AF47" s="5"/>
      <c r="AG47" s="5"/>
      <c r="AH47" s="5">
        <v>4.058517717E9</v>
      </c>
      <c r="AI47" s="5">
        <v>169.0</v>
      </c>
      <c r="AJ47" s="5"/>
      <c r="AK47" s="5" t="s">
        <v>1773</v>
      </c>
      <c r="AL47" s="92">
        <v>0.0</v>
      </c>
      <c r="AM47" s="5" t="s">
        <v>1770</v>
      </c>
      <c r="AN47" s="5" t="s">
        <v>2183</v>
      </c>
      <c r="AO47" s="5"/>
      <c r="AP47" s="5"/>
      <c r="AQ47" s="5"/>
      <c r="AR47" s="5"/>
      <c r="AS47" s="5"/>
      <c r="AT47" s="5" t="s">
        <v>2184</v>
      </c>
      <c r="AU47" s="5" t="s">
        <v>2185</v>
      </c>
      <c r="AV47" s="5" t="s">
        <v>2186</v>
      </c>
      <c r="AW47" s="91">
        <v>40165.0</v>
      </c>
      <c r="AX47" s="5"/>
      <c r="AY47" s="5"/>
      <c r="AZ47" s="5" t="s">
        <v>1770</v>
      </c>
      <c r="BA47" s="103">
        <v>50.0</v>
      </c>
      <c r="BB47" s="103">
        <v>70.0</v>
      </c>
      <c r="BC47" s="103">
        <v>70.0</v>
      </c>
      <c r="BD47" s="93">
        <v>0.0</v>
      </c>
      <c r="BE47" s="93">
        <v>0.0</v>
      </c>
      <c r="BF47" s="93">
        <v>0.0</v>
      </c>
      <c r="BG47" s="5"/>
      <c r="BH47" s="93">
        <v>0.0</v>
      </c>
      <c r="BI47" s="93">
        <v>0.0</v>
      </c>
      <c r="BJ47" s="93">
        <v>0.0</v>
      </c>
      <c r="BK47" s="93">
        <v>0.0</v>
      </c>
      <c r="BL47" s="93">
        <v>0.0</v>
      </c>
      <c r="BM47" s="93">
        <v>0.0</v>
      </c>
      <c r="BN47" s="93">
        <v>0.0</v>
      </c>
      <c r="BO47" s="5"/>
      <c r="BP47" s="5" t="s">
        <v>1770</v>
      </c>
      <c r="BQ47" s="5" t="s">
        <v>1789</v>
      </c>
      <c r="BR47" s="94">
        <v>43477.45681712963</v>
      </c>
      <c r="BS47" s="5">
        <v>1.0</v>
      </c>
      <c r="BT47" s="94">
        <v>44278.746516203704</v>
      </c>
      <c r="BU47" s="5" t="s">
        <v>1770</v>
      </c>
      <c r="BV47" s="94">
        <v>44645.50412037037</v>
      </c>
      <c r="BW47" s="5">
        <v>167.0</v>
      </c>
    </row>
    <row r="48" ht="14.25" customHeight="1">
      <c r="A48" s="95">
        <v>47.0</v>
      </c>
      <c r="B48" s="95">
        <v>192.0</v>
      </c>
      <c r="C48" s="95" t="s">
        <v>2187</v>
      </c>
      <c r="D48" s="95" t="s">
        <v>1878</v>
      </c>
      <c r="E48" s="96" t="s">
        <v>2074</v>
      </c>
      <c r="F48" s="97" t="s">
        <v>2188</v>
      </c>
      <c r="G48" s="95" t="s">
        <v>2189</v>
      </c>
      <c r="H48" s="95" t="s">
        <v>1762</v>
      </c>
      <c r="I48" s="95" t="s">
        <v>1763</v>
      </c>
      <c r="J48" s="98">
        <v>31307.0</v>
      </c>
      <c r="K48" s="5">
        <v>549.0</v>
      </c>
      <c r="L48" s="5" t="s">
        <v>2190</v>
      </c>
      <c r="M48" s="5">
        <v>32.0</v>
      </c>
      <c r="N48" s="5"/>
      <c r="O48" s="5">
        <v>43882.0</v>
      </c>
      <c r="P48" s="5" t="s">
        <v>2191</v>
      </c>
      <c r="Q48" s="5"/>
      <c r="R48" s="5">
        <v>549.0</v>
      </c>
      <c r="S48" s="5">
        <v>3.931017294E9</v>
      </c>
      <c r="T48" s="5" t="s">
        <v>2192</v>
      </c>
      <c r="U48" s="5" t="s">
        <v>2193</v>
      </c>
      <c r="V48" s="5">
        <v>3.931107305E9</v>
      </c>
      <c r="W48" s="5" t="s">
        <v>1769</v>
      </c>
      <c r="X48" s="91">
        <v>41724.0</v>
      </c>
      <c r="Y48" s="5">
        <v>1.0</v>
      </c>
      <c r="Z48" s="5">
        <v>17.0</v>
      </c>
      <c r="AA48" s="5">
        <v>18.0</v>
      </c>
      <c r="AB48" s="5"/>
      <c r="AC48" s="5"/>
      <c r="AD48" s="5" t="s">
        <v>1770</v>
      </c>
      <c r="AE48" s="5" t="s">
        <v>1770</v>
      </c>
      <c r="AF48" s="5"/>
      <c r="AG48" s="5"/>
      <c r="AH48" s="5">
        <v>7.5048556338E10</v>
      </c>
      <c r="AI48" s="5">
        <v>23.0</v>
      </c>
      <c r="AJ48" s="5"/>
      <c r="AK48" s="5" t="s">
        <v>1773</v>
      </c>
      <c r="AL48" s="92">
        <v>0.0</v>
      </c>
      <c r="AM48" s="5" t="s">
        <v>1770</v>
      </c>
      <c r="AN48" s="5" t="s">
        <v>1774</v>
      </c>
      <c r="AO48" s="5"/>
      <c r="AP48" s="5"/>
      <c r="AQ48" s="5"/>
      <c r="AR48" s="5"/>
      <c r="AS48" s="5"/>
      <c r="AT48" s="5"/>
      <c r="AU48" s="5"/>
      <c r="AV48" s="5"/>
      <c r="AW48" s="5" t="s">
        <v>1770</v>
      </c>
      <c r="AX48" s="5"/>
      <c r="AY48" s="5"/>
      <c r="AZ48" s="5" t="s">
        <v>1770</v>
      </c>
      <c r="BA48" s="93">
        <v>0.0</v>
      </c>
      <c r="BB48" s="93">
        <v>0.0</v>
      </c>
      <c r="BC48" s="93">
        <v>0.0</v>
      </c>
      <c r="BD48" s="93">
        <v>0.0</v>
      </c>
      <c r="BE48" s="93">
        <v>0.0</v>
      </c>
      <c r="BF48" s="93">
        <v>0.0</v>
      </c>
      <c r="BG48" s="5"/>
      <c r="BH48" s="93">
        <v>0.0</v>
      </c>
      <c r="BI48" s="93">
        <v>0.0</v>
      </c>
      <c r="BJ48" s="93">
        <v>0.0</v>
      </c>
      <c r="BK48" s="93">
        <v>0.0</v>
      </c>
      <c r="BL48" s="93">
        <v>0.0</v>
      </c>
      <c r="BM48" s="93">
        <v>0.0</v>
      </c>
      <c r="BN48" s="93">
        <v>0.0</v>
      </c>
      <c r="BO48" s="5"/>
      <c r="BP48" s="5"/>
      <c r="BQ48" s="5" t="s">
        <v>1775</v>
      </c>
      <c r="BR48" s="94">
        <v>43477.45681712963</v>
      </c>
      <c r="BS48" s="5">
        <v>1.0</v>
      </c>
      <c r="BT48" s="94">
        <v>46133.55903935185</v>
      </c>
      <c r="BU48" s="5">
        <v>272.0</v>
      </c>
      <c r="BV48" s="5" t="s">
        <v>1770</v>
      </c>
      <c r="BW48" s="5" t="s">
        <v>1770</v>
      </c>
    </row>
    <row r="49" ht="14.25" customHeight="1">
      <c r="A49" s="95">
        <v>48.0</v>
      </c>
      <c r="B49" s="95">
        <v>234.0</v>
      </c>
      <c r="C49" s="95" t="s">
        <v>2194</v>
      </c>
      <c r="D49" s="95" t="s">
        <v>2195</v>
      </c>
      <c r="E49" s="96" t="s">
        <v>1759</v>
      </c>
      <c r="F49" s="97" t="s">
        <v>2196</v>
      </c>
      <c r="G49" s="95" t="s">
        <v>2197</v>
      </c>
      <c r="H49" s="95" t="s">
        <v>1815</v>
      </c>
      <c r="I49" s="95" t="s">
        <v>1763</v>
      </c>
      <c r="J49" s="98">
        <v>26679.0</v>
      </c>
      <c r="K49" s="5">
        <v>271.0</v>
      </c>
      <c r="L49" s="5" t="s">
        <v>2198</v>
      </c>
      <c r="M49" s="5">
        <v>83.0</v>
      </c>
      <c r="N49" s="5"/>
      <c r="O49" s="5">
        <v>43882.0</v>
      </c>
      <c r="P49" s="5" t="s">
        <v>2199</v>
      </c>
      <c r="Q49" s="5" t="s">
        <v>2200</v>
      </c>
      <c r="R49" s="5">
        <v>549.0</v>
      </c>
      <c r="S49" s="5">
        <v>3.931090513E9</v>
      </c>
      <c r="T49" s="5"/>
      <c r="U49" s="5" t="s">
        <v>1924</v>
      </c>
      <c r="V49" s="5">
        <v>5.55051051E9</v>
      </c>
      <c r="W49" s="5" t="s">
        <v>1924</v>
      </c>
      <c r="X49" s="91">
        <v>42080.0</v>
      </c>
      <c r="Y49" s="5" t="s">
        <v>1770</v>
      </c>
      <c r="Z49" s="5">
        <v>5.0</v>
      </c>
      <c r="AA49" s="5">
        <v>19.0</v>
      </c>
      <c r="AB49" s="5"/>
      <c r="AC49" s="5"/>
      <c r="AD49" s="5" t="s">
        <v>1770</v>
      </c>
      <c r="AE49" s="5" t="s">
        <v>1770</v>
      </c>
      <c r="AF49" s="5"/>
      <c r="AG49" s="5"/>
      <c r="AH49" s="5">
        <v>5.4937329909E10</v>
      </c>
      <c r="AI49" s="5">
        <v>23.0</v>
      </c>
      <c r="AJ49" s="5"/>
      <c r="AK49" s="5" t="s">
        <v>1773</v>
      </c>
      <c r="AL49" s="92">
        <v>0.0</v>
      </c>
      <c r="AM49" s="5" t="s">
        <v>1770</v>
      </c>
      <c r="AN49" s="5" t="s">
        <v>1788</v>
      </c>
      <c r="AO49" s="5"/>
      <c r="AP49" s="5"/>
      <c r="AQ49" s="5"/>
      <c r="AR49" s="5"/>
      <c r="AS49" s="5"/>
      <c r="AT49" s="5"/>
      <c r="AU49" s="5"/>
      <c r="AV49" s="5"/>
      <c r="AW49" s="5" t="s">
        <v>1770</v>
      </c>
      <c r="AX49" s="5"/>
      <c r="AY49" s="5"/>
      <c r="AZ49" s="5" t="s">
        <v>1770</v>
      </c>
      <c r="BA49" s="93">
        <v>0.0</v>
      </c>
      <c r="BB49" s="93">
        <v>0.0</v>
      </c>
      <c r="BC49" s="93">
        <v>0.0</v>
      </c>
      <c r="BD49" s="93">
        <v>0.0</v>
      </c>
      <c r="BE49" s="93">
        <v>0.0</v>
      </c>
      <c r="BF49" s="93">
        <v>0.0</v>
      </c>
      <c r="BG49" s="5"/>
      <c r="BH49" s="93">
        <v>0.0</v>
      </c>
      <c r="BI49" s="93">
        <v>0.0</v>
      </c>
      <c r="BJ49" s="93">
        <v>0.0</v>
      </c>
      <c r="BK49" s="93">
        <v>0.0</v>
      </c>
      <c r="BL49" s="93">
        <v>0.0</v>
      </c>
      <c r="BM49" s="93">
        <v>0.0</v>
      </c>
      <c r="BN49" s="93">
        <v>0.0</v>
      </c>
      <c r="BO49" s="5"/>
      <c r="BP49" s="5" t="s">
        <v>1770</v>
      </c>
      <c r="BQ49" s="5" t="s">
        <v>1789</v>
      </c>
      <c r="BR49" s="94">
        <v>43477.45681712963</v>
      </c>
      <c r="BS49" s="5">
        <v>1.0</v>
      </c>
      <c r="BT49" s="94">
        <v>43636.518159722225</v>
      </c>
      <c r="BU49" s="5">
        <v>40.0</v>
      </c>
      <c r="BV49" s="94">
        <v>45244.65739583333</v>
      </c>
      <c r="BW49" s="5">
        <v>40.0</v>
      </c>
    </row>
    <row r="50" ht="14.25" customHeight="1">
      <c r="A50" s="95">
        <v>49.0</v>
      </c>
      <c r="B50" s="95">
        <v>212.0</v>
      </c>
      <c r="C50" s="95" t="s">
        <v>2202</v>
      </c>
      <c r="D50" s="99" t="s">
        <v>1811</v>
      </c>
      <c r="E50" s="96" t="s">
        <v>2203</v>
      </c>
      <c r="F50" s="97" t="s">
        <v>2204</v>
      </c>
      <c r="G50" s="95" t="s">
        <v>2205</v>
      </c>
      <c r="H50" s="95" t="s">
        <v>1762</v>
      </c>
      <c r="I50" s="95" t="s">
        <v>1763</v>
      </c>
      <c r="J50" s="98">
        <v>29776.0</v>
      </c>
      <c r="K50" s="5">
        <v>549.0</v>
      </c>
      <c r="L50" s="5" t="s">
        <v>2206</v>
      </c>
      <c r="M50" s="5">
        <v>5412.0</v>
      </c>
      <c r="N50" s="5"/>
      <c r="O50" s="5">
        <v>43832.0</v>
      </c>
      <c r="P50" s="5" t="s">
        <v>1797</v>
      </c>
      <c r="Q50" s="5"/>
      <c r="R50" s="5">
        <v>549.0</v>
      </c>
      <c r="S50" s="5">
        <v>3.221012478E9</v>
      </c>
      <c r="T50" s="5"/>
      <c r="U50" s="5" t="s">
        <v>1769</v>
      </c>
      <c r="V50" s="5">
        <v>2.154515151E9</v>
      </c>
      <c r="W50" s="5" t="s">
        <v>1769</v>
      </c>
      <c r="X50" s="91">
        <v>41898.0</v>
      </c>
      <c r="Y50" s="5" t="s">
        <v>1770</v>
      </c>
      <c r="Z50" s="5">
        <v>5.0</v>
      </c>
      <c r="AA50" s="5">
        <v>19.0</v>
      </c>
      <c r="AB50" s="5"/>
      <c r="AC50" s="5"/>
      <c r="AD50" s="5" t="s">
        <v>1770</v>
      </c>
      <c r="AE50" s="5" t="s">
        <v>1770</v>
      </c>
      <c r="AF50" s="5"/>
      <c r="AG50" s="5"/>
      <c r="AH50" s="5">
        <v>4.058133382E9</v>
      </c>
      <c r="AI50" s="5">
        <v>23.0</v>
      </c>
      <c r="AJ50" s="5"/>
      <c r="AK50" s="5" t="s">
        <v>1773</v>
      </c>
      <c r="AL50" s="92">
        <v>0.0</v>
      </c>
      <c r="AM50" s="5" t="s">
        <v>1770</v>
      </c>
      <c r="AN50" s="5" t="s">
        <v>1788</v>
      </c>
      <c r="AO50" s="5"/>
      <c r="AP50" s="5"/>
      <c r="AQ50" s="5"/>
      <c r="AR50" s="5"/>
      <c r="AS50" s="5"/>
      <c r="AT50" s="5"/>
      <c r="AU50" s="5"/>
      <c r="AV50" s="5"/>
      <c r="AW50" s="5" t="s">
        <v>1770</v>
      </c>
      <c r="AX50" s="5"/>
      <c r="AY50" s="5"/>
      <c r="AZ50" s="5" t="s">
        <v>1770</v>
      </c>
      <c r="BA50" s="93">
        <v>0.0</v>
      </c>
      <c r="BB50" s="93">
        <v>0.0</v>
      </c>
      <c r="BC50" s="93">
        <v>0.0</v>
      </c>
      <c r="BD50" s="93">
        <v>0.0</v>
      </c>
      <c r="BE50" s="93">
        <v>0.0</v>
      </c>
      <c r="BF50" s="93">
        <v>0.0</v>
      </c>
      <c r="BG50" s="5"/>
      <c r="BH50" s="93">
        <v>0.0</v>
      </c>
      <c r="BI50" s="93">
        <v>0.0</v>
      </c>
      <c r="BJ50" s="93">
        <v>0.0</v>
      </c>
      <c r="BK50" s="93">
        <v>0.0</v>
      </c>
      <c r="BL50" s="93">
        <v>0.0</v>
      </c>
      <c r="BM50" s="93">
        <v>0.0</v>
      </c>
      <c r="BN50" s="93">
        <v>0.0</v>
      </c>
      <c r="BO50" s="5"/>
      <c r="BP50" s="5" t="s">
        <v>1770</v>
      </c>
      <c r="BQ50" s="5" t="s">
        <v>1789</v>
      </c>
      <c r="BR50" s="94">
        <v>43477.45681712963</v>
      </c>
      <c r="BS50" s="5">
        <v>1.0</v>
      </c>
      <c r="BT50" s="94">
        <v>43768.54424768518</v>
      </c>
      <c r="BU50" s="5">
        <v>40.0</v>
      </c>
      <c r="BV50" s="94">
        <v>44060.5466087963</v>
      </c>
      <c r="BW50" s="5">
        <v>83.0</v>
      </c>
    </row>
    <row r="51" ht="14.25" customHeight="1">
      <c r="A51" s="95">
        <v>50.0</v>
      </c>
      <c r="B51" s="95">
        <v>75.0</v>
      </c>
      <c r="C51" s="95" t="s">
        <v>2207</v>
      </c>
      <c r="D51" s="95" t="s">
        <v>2208</v>
      </c>
      <c r="E51" s="96" t="s">
        <v>1926</v>
      </c>
      <c r="F51" s="97" t="s">
        <v>2209</v>
      </c>
      <c r="G51" s="95" t="s">
        <v>2210</v>
      </c>
      <c r="H51" s="95" t="s">
        <v>1762</v>
      </c>
      <c r="I51" s="95" t="s">
        <v>1763</v>
      </c>
      <c r="J51" s="98">
        <v>26758.0</v>
      </c>
      <c r="K51" s="5">
        <v>549.0</v>
      </c>
      <c r="L51" s="5" t="s">
        <v>2137</v>
      </c>
      <c r="M51" s="5">
        <v>80.0</v>
      </c>
      <c r="N51" s="5"/>
      <c r="O51" s="5">
        <v>43882.0</v>
      </c>
      <c r="P51" s="5" t="s">
        <v>1797</v>
      </c>
      <c r="Q51" s="5" t="s">
        <v>2211</v>
      </c>
      <c r="R51" s="5">
        <v>549.0</v>
      </c>
      <c r="S51" s="5">
        <v>3.931048568E9</v>
      </c>
      <c r="T51" s="5" t="s">
        <v>2212</v>
      </c>
      <c r="U51" s="5" t="s">
        <v>2213</v>
      </c>
      <c r="V51" s="5">
        <v>3.325937019E9</v>
      </c>
      <c r="W51" s="5" t="s">
        <v>1769</v>
      </c>
      <c r="X51" s="91">
        <v>40528.0</v>
      </c>
      <c r="Y51" s="5">
        <v>2.0</v>
      </c>
      <c r="Z51" s="5">
        <v>17.0</v>
      </c>
      <c r="AA51" s="5">
        <v>31.0</v>
      </c>
      <c r="AB51" s="5"/>
      <c r="AC51" s="5"/>
      <c r="AD51" s="5" t="s">
        <v>1770</v>
      </c>
      <c r="AE51" s="5" t="s">
        <v>1770</v>
      </c>
      <c r="AF51" s="5"/>
      <c r="AG51" s="5"/>
      <c r="AH51" s="5">
        <v>4.987324979E9</v>
      </c>
      <c r="AI51" s="5">
        <v>23.0</v>
      </c>
      <c r="AJ51" s="5"/>
      <c r="AK51" s="5" t="s">
        <v>1773</v>
      </c>
      <c r="AL51" s="92">
        <v>0.0</v>
      </c>
      <c r="AM51" s="5" t="s">
        <v>1770</v>
      </c>
      <c r="AN51" s="5" t="s">
        <v>1830</v>
      </c>
      <c r="AO51" s="5"/>
      <c r="AP51" s="5"/>
      <c r="AQ51" s="5"/>
      <c r="AR51" s="5"/>
      <c r="AS51" s="5"/>
      <c r="AT51" s="5"/>
      <c r="AU51" s="5"/>
      <c r="AV51" s="5"/>
      <c r="AW51" s="5" t="s">
        <v>1770</v>
      </c>
      <c r="AX51" s="5"/>
      <c r="AY51" s="5"/>
      <c r="AZ51" s="5" t="s">
        <v>1770</v>
      </c>
      <c r="BA51" s="93">
        <v>0.0</v>
      </c>
      <c r="BB51" s="93">
        <v>0.0</v>
      </c>
      <c r="BC51" s="93">
        <v>0.0</v>
      </c>
      <c r="BD51" s="93">
        <v>0.0</v>
      </c>
      <c r="BE51" s="93">
        <v>0.0</v>
      </c>
      <c r="BF51" s="93">
        <v>0.0</v>
      </c>
      <c r="BG51" s="5"/>
      <c r="BH51" s="93">
        <v>0.0</v>
      </c>
      <c r="BI51" s="93">
        <v>0.0</v>
      </c>
      <c r="BJ51" s="93">
        <v>0.0</v>
      </c>
      <c r="BK51" s="93">
        <v>0.0</v>
      </c>
      <c r="BL51" s="93">
        <v>0.0</v>
      </c>
      <c r="BM51" s="93">
        <v>0.0</v>
      </c>
      <c r="BN51" s="93">
        <v>0.0</v>
      </c>
      <c r="BO51" s="5"/>
      <c r="BP51" s="5"/>
      <c r="BQ51" s="5" t="s">
        <v>1775</v>
      </c>
      <c r="BR51" s="94">
        <v>43477.45681712963</v>
      </c>
      <c r="BS51" s="5">
        <v>1.0</v>
      </c>
      <c r="BT51" s="94">
        <v>46133.47943287037</v>
      </c>
      <c r="BU51" s="5">
        <v>272.0</v>
      </c>
      <c r="BV51" s="5" t="s">
        <v>1770</v>
      </c>
      <c r="BW51" s="5" t="s">
        <v>1770</v>
      </c>
    </row>
    <row r="52" ht="14.25" customHeight="1">
      <c r="A52" s="95">
        <v>51.0</v>
      </c>
      <c r="B52" s="95">
        <v>329.0</v>
      </c>
      <c r="C52" s="95" t="s">
        <v>2214</v>
      </c>
      <c r="D52" s="95" t="s">
        <v>2215</v>
      </c>
      <c r="E52" s="96" t="s">
        <v>1872</v>
      </c>
      <c r="F52" s="97" t="s">
        <v>2216</v>
      </c>
      <c r="G52" s="95" t="s">
        <v>2217</v>
      </c>
      <c r="H52" s="95" t="s">
        <v>1781</v>
      </c>
      <c r="I52" s="95" t="s">
        <v>1782</v>
      </c>
      <c r="J52" s="98">
        <v>26772.0</v>
      </c>
      <c r="K52" s="5">
        <v>594.0</v>
      </c>
      <c r="L52" s="5" t="s">
        <v>2218</v>
      </c>
      <c r="M52" s="5">
        <v>58.0</v>
      </c>
      <c r="N52" s="5"/>
      <c r="O52" s="5">
        <v>40521.0</v>
      </c>
      <c r="P52" s="5" t="s">
        <v>2219</v>
      </c>
      <c r="Q52" s="5" t="s">
        <v>2179</v>
      </c>
      <c r="R52" s="5">
        <v>594.0</v>
      </c>
      <c r="S52" s="5">
        <v>3.929412492E9</v>
      </c>
      <c r="T52" s="5" t="s">
        <v>2220</v>
      </c>
      <c r="U52" s="5" t="s">
        <v>2221</v>
      </c>
      <c r="V52" s="5">
        <v>3.929412492E9</v>
      </c>
      <c r="W52" s="5" t="s">
        <v>1787</v>
      </c>
      <c r="X52" s="91">
        <v>42877.0</v>
      </c>
      <c r="Y52" s="5">
        <v>5.0</v>
      </c>
      <c r="Z52" s="5">
        <v>19.0</v>
      </c>
      <c r="AA52" s="5">
        <v>81.0</v>
      </c>
      <c r="AB52" s="5" t="s">
        <v>2222</v>
      </c>
      <c r="AC52" s="5" t="s">
        <v>1800</v>
      </c>
      <c r="AD52" s="91">
        <v>45078.0</v>
      </c>
      <c r="AE52" s="91">
        <v>46539.0</v>
      </c>
      <c r="AF52" s="5"/>
      <c r="AG52" s="5"/>
      <c r="AH52" s="5">
        <v>4.927306342E9</v>
      </c>
      <c r="AI52" s="5">
        <v>169.0</v>
      </c>
      <c r="AJ52" s="5"/>
      <c r="AK52" s="5" t="s">
        <v>1773</v>
      </c>
      <c r="AL52" s="92">
        <v>0.0</v>
      </c>
      <c r="AM52" s="5" t="s">
        <v>1770</v>
      </c>
      <c r="AN52" s="5" t="s">
        <v>1774</v>
      </c>
      <c r="AO52" s="5"/>
      <c r="AP52" s="5"/>
      <c r="AQ52" s="5"/>
      <c r="AR52" s="5"/>
      <c r="AS52" s="5"/>
      <c r="AT52" s="5"/>
      <c r="AU52" s="5"/>
      <c r="AV52" s="5"/>
      <c r="AW52" s="5" t="s">
        <v>1770</v>
      </c>
      <c r="AX52" s="5"/>
      <c r="AY52" s="5"/>
      <c r="AZ52" s="5" t="s">
        <v>1770</v>
      </c>
      <c r="BA52" s="93">
        <v>0.0</v>
      </c>
      <c r="BB52" s="93">
        <v>0.0</v>
      </c>
      <c r="BC52" s="93">
        <v>0.0</v>
      </c>
      <c r="BD52" s="93">
        <v>0.0</v>
      </c>
      <c r="BE52" s="93">
        <v>0.0</v>
      </c>
      <c r="BF52" s="93">
        <v>0.0</v>
      </c>
      <c r="BG52" s="5"/>
      <c r="BH52" s="93">
        <v>0.0</v>
      </c>
      <c r="BI52" s="93">
        <v>0.0</v>
      </c>
      <c r="BJ52" s="93">
        <v>0.0</v>
      </c>
      <c r="BK52" s="93">
        <v>0.0</v>
      </c>
      <c r="BL52" s="93">
        <v>0.0</v>
      </c>
      <c r="BM52" s="93">
        <v>0.0</v>
      </c>
      <c r="BN52" s="93">
        <v>0.0</v>
      </c>
      <c r="BO52" s="5"/>
      <c r="BP52" s="5" t="s">
        <v>2223</v>
      </c>
      <c r="BQ52" s="5" t="s">
        <v>1775</v>
      </c>
      <c r="BR52" s="94">
        <v>43477.45681712963</v>
      </c>
      <c r="BS52" s="5">
        <v>1.0</v>
      </c>
      <c r="BT52" s="94">
        <v>46134.64659722222</v>
      </c>
      <c r="BU52" s="5" t="s">
        <v>1770</v>
      </c>
      <c r="BV52" s="5" t="s">
        <v>1770</v>
      </c>
      <c r="BW52" s="5" t="s">
        <v>1770</v>
      </c>
    </row>
    <row r="53" ht="14.25" customHeight="1">
      <c r="A53" s="95">
        <v>52.0</v>
      </c>
      <c r="B53" s="95">
        <v>187.0</v>
      </c>
      <c r="C53" s="95" t="s">
        <v>2117</v>
      </c>
      <c r="D53" s="95" t="s">
        <v>1790</v>
      </c>
      <c r="E53" s="96" t="s">
        <v>2144</v>
      </c>
      <c r="F53" s="97" t="s">
        <v>2225</v>
      </c>
      <c r="G53" s="95" t="s">
        <v>2226</v>
      </c>
      <c r="H53" s="95" t="s">
        <v>1781</v>
      </c>
      <c r="I53" s="95" t="s">
        <v>1782</v>
      </c>
      <c r="J53" s="98">
        <v>24746.0</v>
      </c>
      <c r="K53" s="5">
        <v>850.0</v>
      </c>
      <c r="L53" s="5" t="s">
        <v>2227</v>
      </c>
      <c r="M53" s="5">
        <v>584.0</v>
      </c>
      <c r="N53" s="5"/>
      <c r="O53" s="5">
        <v>55191.0</v>
      </c>
      <c r="P53" s="100" t="s">
        <v>2228</v>
      </c>
      <c r="Q53" s="5" t="s">
        <v>234</v>
      </c>
      <c r="R53" s="5">
        <v>850.0</v>
      </c>
      <c r="S53" s="5">
        <v>3.525229945E9</v>
      </c>
      <c r="T53" s="5" t="s">
        <v>2229</v>
      </c>
      <c r="U53" s="5" t="s">
        <v>1787</v>
      </c>
      <c r="V53" s="5">
        <v>3.525230979E9</v>
      </c>
      <c r="W53" s="5" t="s">
        <v>1787</v>
      </c>
      <c r="X53" s="91">
        <v>41671.0</v>
      </c>
      <c r="Y53" s="5" t="s">
        <v>1770</v>
      </c>
      <c r="Z53" s="5">
        <v>3.0</v>
      </c>
      <c r="AA53" s="5">
        <v>48.0</v>
      </c>
      <c r="AB53" s="5" t="s">
        <v>2230</v>
      </c>
      <c r="AC53" s="5" t="s">
        <v>1772</v>
      </c>
      <c r="AD53" s="91">
        <v>41485.0</v>
      </c>
      <c r="AE53" s="91">
        <v>43311.0</v>
      </c>
      <c r="AF53" s="5"/>
      <c r="AG53" s="5"/>
      <c r="AH53" s="5">
        <v>5.3926717207E10</v>
      </c>
      <c r="AI53" s="5">
        <v>77.0</v>
      </c>
      <c r="AJ53" s="5"/>
      <c r="AK53" s="5" t="s">
        <v>1773</v>
      </c>
      <c r="AL53" s="92">
        <v>0.0</v>
      </c>
      <c r="AM53" s="5" t="s">
        <v>1770</v>
      </c>
      <c r="AN53" s="5" t="s">
        <v>1935</v>
      </c>
      <c r="AO53" s="5"/>
      <c r="AP53" s="5"/>
      <c r="AQ53" s="5"/>
      <c r="AR53" s="5"/>
      <c r="AS53" s="5"/>
      <c r="AT53" s="5" t="s">
        <v>2184</v>
      </c>
      <c r="AU53" s="5" t="s">
        <v>2231</v>
      </c>
      <c r="AV53" s="5" t="s">
        <v>2232</v>
      </c>
      <c r="AW53" s="91">
        <v>33239.0</v>
      </c>
      <c r="AX53" s="5"/>
      <c r="AY53" s="5"/>
      <c r="AZ53" s="5" t="s">
        <v>1770</v>
      </c>
      <c r="BA53" s="93">
        <v>0.0</v>
      </c>
      <c r="BB53" s="93">
        <v>0.0</v>
      </c>
      <c r="BC53" s="93">
        <v>0.0</v>
      </c>
      <c r="BD53" s="93">
        <v>0.0</v>
      </c>
      <c r="BE53" s="93">
        <v>0.0</v>
      </c>
      <c r="BF53" s="93">
        <v>0.0</v>
      </c>
      <c r="BG53" s="5"/>
      <c r="BH53" s="93">
        <v>0.0</v>
      </c>
      <c r="BI53" s="93">
        <v>0.0</v>
      </c>
      <c r="BJ53" s="93">
        <v>0.0</v>
      </c>
      <c r="BK53" s="93">
        <v>0.0</v>
      </c>
      <c r="BL53" s="93">
        <v>0.0</v>
      </c>
      <c r="BM53" s="93">
        <v>0.0</v>
      </c>
      <c r="BN53" s="93">
        <v>0.0</v>
      </c>
      <c r="BO53" s="5"/>
      <c r="BP53" s="5" t="s">
        <v>1770</v>
      </c>
      <c r="BQ53" s="5" t="s">
        <v>1789</v>
      </c>
      <c r="BR53" s="94">
        <v>43477.45681712963</v>
      </c>
      <c r="BS53" s="5">
        <v>1.0</v>
      </c>
      <c r="BT53" s="94">
        <v>43635.59793981481</v>
      </c>
      <c r="BU53" s="5">
        <v>40.0</v>
      </c>
      <c r="BV53" s="94">
        <v>44060.551620370374</v>
      </c>
      <c r="BW53" s="5">
        <v>83.0</v>
      </c>
    </row>
    <row r="54" ht="14.25" customHeight="1">
      <c r="A54" s="95">
        <v>53.0</v>
      </c>
      <c r="B54" s="95">
        <v>80.0</v>
      </c>
      <c r="C54" s="95" t="s">
        <v>2233</v>
      </c>
      <c r="D54" s="95" t="s">
        <v>2234</v>
      </c>
      <c r="E54" s="96" t="s">
        <v>2235</v>
      </c>
      <c r="F54" s="97" t="s">
        <v>2236</v>
      </c>
      <c r="G54" s="95" t="s">
        <v>2237</v>
      </c>
      <c r="H54" s="95" t="s">
        <v>1762</v>
      </c>
      <c r="I54" s="95" t="s">
        <v>1763</v>
      </c>
      <c r="J54" s="98">
        <v>32700.0</v>
      </c>
      <c r="K54" s="5">
        <v>594.0</v>
      </c>
      <c r="L54" s="5" t="s">
        <v>2238</v>
      </c>
      <c r="M54" s="5">
        <v>652.0</v>
      </c>
      <c r="N54" s="5"/>
      <c r="O54" s="5">
        <v>43882.0</v>
      </c>
      <c r="P54" s="5" t="s">
        <v>1797</v>
      </c>
      <c r="Q54" s="5"/>
      <c r="R54" s="5">
        <v>549.0</v>
      </c>
      <c r="S54" s="5">
        <v>6.26062062E9</v>
      </c>
      <c r="T54" s="5"/>
      <c r="U54" s="5" t="s">
        <v>1769</v>
      </c>
      <c r="V54" s="5">
        <v>5.105105015E9</v>
      </c>
      <c r="W54" s="5" t="s">
        <v>2239</v>
      </c>
      <c r="X54" s="91">
        <v>40604.0</v>
      </c>
      <c r="Y54" s="5" t="s">
        <v>1770</v>
      </c>
      <c r="Z54" s="5">
        <v>17.0</v>
      </c>
      <c r="AA54" s="5">
        <v>59.0</v>
      </c>
      <c r="AB54" s="5"/>
      <c r="AC54" s="5"/>
      <c r="AD54" s="5" t="s">
        <v>1770</v>
      </c>
      <c r="AE54" s="5" t="s">
        <v>1770</v>
      </c>
      <c r="AF54" s="5"/>
      <c r="AG54" s="5"/>
      <c r="AH54" s="5">
        <v>7.5078927334E10</v>
      </c>
      <c r="AI54" s="5">
        <v>100.0</v>
      </c>
      <c r="AJ54" s="5"/>
      <c r="AK54" s="5" t="s">
        <v>1773</v>
      </c>
      <c r="AL54" s="92">
        <v>0.0</v>
      </c>
      <c r="AM54" s="5" t="s">
        <v>1770</v>
      </c>
      <c r="AN54" s="5" t="s">
        <v>1788</v>
      </c>
      <c r="AO54" s="5"/>
      <c r="AP54" s="5"/>
      <c r="AQ54" s="5"/>
      <c r="AR54" s="5"/>
      <c r="AS54" s="5"/>
      <c r="AT54" s="5"/>
      <c r="AU54" s="5"/>
      <c r="AV54" s="5"/>
      <c r="AW54" s="5" t="s">
        <v>1770</v>
      </c>
      <c r="AX54" s="5"/>
      <c r="AY54" s="5"/>
      <c r="AZ54" s="5" t="s">
        <v>1770</v>
      </c>
      <c r="BA54" s="93">
        <v>0.0</v>
      </c>
      <c r="BB54" s="93">
        <v>0.0</v>
      </c>
      <c r="BC54" s="93">
        <v>0.0</v>
      </c>
      <c r="BD54" s="93">
        <v>0.0</v>
      </c>
      <c r="BE54" s="93">
        <v>0.0</v>
      </c>
      <c r="BF54" s="93">
        <v>0.0</v>
      </c>
      <c r="BG54" s="5"/>
      <c r="BH54" s="93">
        <v>0.0</v>
      </c>
      <c r="BI54" s="93">
        <v>0.0</v>
      </c>
      <c r="BJ54" s="93">
        <v>0.0</v>
      </c>
      <c r="BK54" s="93">
        <v>0.0</v>
      </c>
      <c r="BL54" s="93">
        <v>0.0</v>
      </c>
      <c r="BM54" s="93">
        <v>0.0</v>
      </c>
      <c r="BN54" s="93">
        <v>0.0</v>
      </c>
      <c r="BO54" s="5"/>
      <c r="BP54" s="5" t="s">
        <v>1770</v>
      </c>
      <c r="BQ54" s="5" t="s">
        <v>1789</v>
      </c>
      <c r="BR54" s="94">
        <v>43477.45681712963</v>
      </c>
      <c r="BS54" s="5">
        <v>1.0</v>
      </c>
      <c r="BT54" s="94">
        <v>43636.51599537037</v>
      </c>
      <c r="BU54" s="5">
        <v>40.0</v>
      </c>
      <c r="BV54" s="94">
        <v>44060.556446759256</v>
      </c>
      <c r="BW54" s="5">
        <v>83.0</v>
      </c>
    </row>
    <row r="55" ht="14.25" customHeight="1">
      <c r="A55" s="95">
        <v>54.0</v>
      </c>
      <c r="B55" s="95">
        <v>214.0</v>
      </c>
      <c r="C55" s="95" t="s">
        <v>2240</v>
      </c>
      <c r="D55" s="95" t="s">
        <v>2074</v>
      </c>
      <c r="E55" s="96" t="s">
        <v>2241</v>
      </c>
      <c r="F55" s="97" t="s">
        <v>2242</v>
      </c>
      <c r="G55" s="95" t="s">
        <v>2243</v>
      </c>
      <c r="H55" s="95" t="s">
        <v>1762</v>
      </c>
      <c r="I55" s="95" t="s">
        <v>1763</v>
      </c>
      <c r="J55" s="98">
        <v>31524.0</v>
      </c>
      <c r="K55" s="5">
        <v>549.0</v>
      </c>
      <c r="L55" s="5" t="s">
        <v>2244</v>
      </c>
      <c r="M55" s="5">
        <v>5120.0</v>
      </c>
      <c r="N55" s="5"/>
      <c r="O55" s="5">
        <v>43882.0</v>
      </c>
      <c r="P55" s="5" t="s">
        <v>2109</v>
      </c>
      <c r="Q55" s="5" t="s">
        <v>1766</v>
      </c>
      <c r="R55" s="5">
        <v>549.0</v>
      </c>
      <c r="S55" s="5">
        <v>3.23223032E9</v>
      </c>
      <c r="T55" s="5"/>
      <c r="U55" s="5" t="s">
        <v>1769</v>
      </c>
      <c r="V55" s="5">
        <v>1.501054804E9</v>
      </c>
      <c r="W55" s="5" t="s">
        <v>1769</v>
      </c>
      <c r="X55" s="91">
        <v>41934.0</v>
      </c>
      <c r="Y55" s="5" t="s">
        <v>1770</v>
      </c>
      <c r="Z55" s="5">
        <v>17.0</v>
      </c>
      <c r="AA55" s="5">
        <v>11.0</v>
      </c>
      <c r="AB55" s="5"/>
      <c r="AC55" s="5"/>
      <c r="AD55" s="5" t="s">
        <v>1770</v>
      </c>
      <c r="AE55" s="5" t="s">
        <v>1770</v>
      </c>
      <c r="AF55" s="5"/>
      <c r="AG55" s="5"/>
      <c r="AH55" s="5">
        <v>4.118631789E9</v>
      </c>
      <c r="AI55" s="5">
        <v>23.0</v>
      </c>
      <c r="AJ55" s="5"/>
      <c r="AK55" s="5" t="s">
        <v>1773</v>
      </c>
      <c r="AL55" s="92">
        <v>0.0</v>
      </c>
      <c r="AM55" s="5" t="s">
        <v>1770</v>
      </c>
      <c r="AN55" s="5" t="s">
        <v>1788</v>
      </c>
      <c r="AO55" s="5"/>
      <c r="AP55" s="5"/>
      <c r="AQ55" s="5"/>
      <c r="AR55" s="5"/>
      <c r="AS55" s="5"/>
      <c r="AT55" s="5"/>
      <c r="AU55" s="5"/>
      <c r="AV55" s="5"/>
      <c r="AW55" s="5" t="s">
        <v>1770</v>
      </c>
      <c r="AX55" s="5"/>
      <c r="AY55" s="5"/>
      <c r="AZ55" s="5" t="s">
        <v>1770</v>
      </c>
      <c r="BA55" s="93">
        <v>0.0</v>
      </c>
      <c r="BB55" s="93">
        <v>0.0</v>
      </c>
      <c r="BC55" s="93">
        <v>0.0</v>
      </c>
      <c r="BD55" s="93">
        <v>0.0</v>
      </c>
      <c r="BE55" s="93">
        <v>0.0</v>
      </c>
      <c r="BF55" s="93">
        <v>0.0</v>
      </c>
      <c r="BG55" s="5"/>
      <c r="BH55" s="93">
        <v>0.0</v>
      </c>
      <c r="BI55" s="93">
        <v>0.0</v>
      </c>
      <c r="BJ55" s="93">
        <v>0.0</v>
      </c>
      <c r="BK55" s="93">
        <v>0.0</v>
      </c>
      <c r="BL55" s="93">
        <v>0.0</v>
      </c>
      <c r="BM55" s="93">
        <v>0.0</v>
      </c>
      <c r="BN55" s="93">
        <v>0.0</v>
      </c>
      <c r="BO55" s="5"/>
      <c r="BP55" s="5" t="s">
        <v>1770</v>
      </c>
      <c r="BQ55" s="5" t="s">
        <v>1789</v>
      </c>
      <c r="BR55" s="94">
        <v>43477.45681712963</v>
      </c>
      <c r="BS55" s="5">
        <v>1.0</v>
      </c>
      <c r="BT55" s="94">
        <v>43636.517905092594</v>
      </c>
      <c r="BU55" s="5">
        <v>40.0</v>
      </c>
      <c r="BV55" s="94">
        <v>44645.663252314815</v>
      </c>
      <c r="BW55" s="5" t="s">
        <v>1770</v>
      </c>
    </row>
    <row r="56" ht="14.25" customHeight="1">
      <c r="A56" s="95">
        <v>55.0</v>
      </c>
      <c r="B56" s="95">
        <v>125.0</v>
      </c>
      <c r="C56" s="95" t="s">
        <v>2245</v>
      </c>
      <c r="D56" s="95" t="s">
        <v>1792</v>
      </c>
      <c r="E56" s="96" t="s">
        <v>1981</v>
      </c>
      <c r="F56" s="97" t="s">
        <v>2246</v>
      </c>
      <c r="G56" s="95" t="s">
        <v>2247</v>
      </c>
      <c r="H56" s="95" t="s">
        <v>1762</v>
      </c>
      <c r="I56" s="95" t="s">
        <v>1763</v>
      </c>
      <c r="J56" s="98">
        <v>31412.0</v>
      </c>
      <c r="K56" s="5">
        <v>570.0</v>
      </c>
      <c r="L56" s="5" t="s">
        <v>2248</v>
      </c>
      <c r="M56" s="5">
        <v>951.0</v>
      </c>
      <c r="N56" s="5"/>
      <c r="O56" s="5">
        <v>43882.0</v>
      </c>
      <c r="P56" s="5" t="s">
        <v>1797</v>
      </c>
      <c r="Q56" s="5"/>
      <c r="R56" s="5">
        <v>549.0</v>
      </c>
      <c r="S56" s="5">
        <v>3.232303203E9</v>
      </c>
      <c r="T56" s="5"/>
      <c r="U56" s="5" t="s">
        <v>1769</v>
      </c>
      <c r="V56" s="5">
        <v>3.232315184E9</v>
      </c>
      <c r="W56" s="5" t="s">
        <v>1769</v>
      </c>
      <c r="X56" s="91">
        <v>41113.0</v>
      </c>
      <c r="Y56" s="5" t="s">
        <v>1770</v>
      </c>
      <c r="Z56" s="5">
        <v>13.0</v>
      </c>
      <c r="AA56" s="5">
        <v>52.0</v>
      </c>
      <c r="AB56" s="5"/>
      <c r="AC56" s="5"/>
      <c r="AD56" s="5" t="s">
        <v>1770</v>
      </c>
      <c r="AE56" s="5" t="s">
        <v>1770</v>
      </c>
      <c r="AF56" s="5"/>
      <c r="AG56" s="5"/>
      <c r="AH56" s="5">
        <v>4.058586852E9</v>
      </c>
      <c r="AI56" s="5">
        <v>23.0</v>
      </c>
      <c r="AJ56" s="5"/>
      <c r="AK56" s="5" t="s">
        <v>1773</v>
      </c>
      <c r="AL56" s="92">
        <v>0.0</v>
      </c>
      <c r="AM56" s="5" t="s">
        <v>1770</v>
      </c>
      <c r="AN56" s="5" t="s">
        <v>1788</v>
      </c>
      <c r="AO56" s="5"/>
      <c r="AP56" s="5"/>
      <c r="AQ56" s="5"/>
      <c r="AR56" s="5"/>
      <c r="AS56" s="5"/>
      <c r="AT56" s="5"/>
      <c r="AU56" s="5"/>
      <c r="AV56" s="5"/>
      <c r="AW56" s="5" t="s">
        <v>1770</v>
      </c>
      <c r="AX56" s="5"/>
      <c r="AY56" s="5"/>
      <c r="AZ56" s="5" t="s">
        <v>1770</v>
      </c>
      <c r="BA56" s="93">
        <v>0.0</v>
      </c>
      <c r="BB56" s="93">
        <v>0.0</v>
      </c>
      <c r="BC56" s="93">
        <v>0.0</v>
      </c>
      <c r="BD56" s="93">
        <v>0.0</v>
      </c>
      <c r="BE56" s="93">
        <v>0.0</v>
      </c>
      <c r="BF56" s="93">
        <v>0.0</v>
      </c>
      <c r="BG56" s="5"/>
      <c r="BH56" s="93">
        <v>0.0</v>
      </c>
      <c r="BI56" s="93">
        <v>0.0</v>
      </c>
      <c r="BJ56" s="93">
        <v>0.0</v>
      </c>
      <c r="BK56" s="93">
        <v>0.0</v>
      </c>
      <c r="BL56" s="93">
        <v>0.0</v>
      </c>
      <c r="BM56" s="93">
        <v>0.0</v>
      </c>
      <c r="BN56" s="93">
        <v>0.0</v>
      </c>
      <c r="BO56" s="5"/>
      <c r="BP56" s="5" t="s">
        <v>1770</v>
      </c>
      <c r="BQ56" s="5" t="s">
        <v>1775</v>
      </c>
      <c r="BR56" s="94">
        <v>43477.45681712963</v>
      </c>
      <c r="BS56" s="5">
        <v>1.0</v>
      </c>
      <c r="BT56" s="94">
        <v>43636.51666666667</v>
      </c>
      <c r="BU56" s="5">
        <v>40.0</v>
      </c>
      <c r="BV56" s="5" t="s">
        <v>1770</v>
      </c>
      <c r="BW56" s="5" t="s">
        <v>1770</v>
      </c>
    </row>
    <row r="57" ht="14.25" customHeight="1">
      <c r="A57" s="95">
        <v>56.0</v>
      </c>
      <c r="B57" s="95">
        <v>146.0</v>
      </c>
      <c r="C57" s="95" t="s">
        <v>2251</v>
      </c>
      <c r="D57" s="95" t="s">
        <v>2252</v>
      </c>
      <c r="E57" s="96" t="s">
        <v>2253</v>
      </c>
      <c r="F57" s="97" t="s">
        <v>2254</v>
      </c>
      <c r="G57" s="95" t="s">
        <v>2255</v>
      </c>
      <c r="H57" s="95" t="s">
        <v>1762</v>
      </c>
      <c r="I57" s="95" t="s">
        <v>1763</v>
      </c>
      <c r="J57" s="98">
        <v>28173.0</v>
      </c>
      <c r="K57" s="5">
        <v>549.0</v>
      </c>
      <c r="L57" s="5" t="s">
        <v>2227</v>
      </c>
      <c r="M57" s="5">
        <v>209.0</v>
      </c>
      <c r="N57" s="5"/>
      <c r="O57" s="5">
        <v>43882.0</v>
      </c>
      <c r="P57" s="5" t="s">
        <v>1797</v>
      </c>
      <c r="Q57" s="5" t="s">
        <v>1766</v>
      </c>
      <c r="R57" s="5">
        <v>549.0</v>
      </c>
      <c r="S57" s="5">
        <v>3.93106598E9</v>
      </c>
      <c r="T57" s="5"/>
      <c r="U57" s="5" t="s">
        <v>2256</v>
      </c>
      <c r="V57" s="5">
        <v>3.939333177E9</v>
      </c>
      <c r="W57" s="5" t="s">
        <v>1769</v>
      </c>
      <c r="X57" s="91">
        <v>41365.0</v>
      </c>
      <c r="Y57" s="5">
        <v>1.0</v>
      </c>
      <c r="Z57" s="5">
        <v>17.0</v>
      </c>
      <c r="AA57" s="5">
        <v>83.0</v>
      </c>
      <c r="AB57" s="5"/>
      <c r="AC57" s="5"/>
      <c r="AD57" s="5" t="s">
        <v>1770</v>
      </c>
      <c r="AE57" s="5" t="s">
        <v>1770</v>
      </c>
      <c r="AF57" s="5"/>
      <c r="AG57" s="5"/>
      <c r="AH57" s="5">
        <v>4.987756584E9</v>
      </c>
      <c r="AI57" s="5">
        <v>23.0</v>
      </c>
      <c r="AJ57" s="5"/>
      <c r="AK57" s="5" t="s">
        <v>1773</v>
      </c>
      <c r="AL57" s="92">
        <v>0.0</v>
      </c>
      <c r="AM57" s="5" t="s">
        <v>1770</v>
      </c>
      <c r="AN57" s="5" t="s">
        <v>1830</v>
      </c>
      <c r="AO57" s="5"/>
      <c r="AP57" s="5"/>
      <c r="AQ57" s="5"/>
      <c r="AR57" s="5"/>
      <c r="AS57" s="5"/>
      <c r="AT57" s="5" t="s">
        <v>2184</v>
      </c>
      <c r="AU57" s="5" t="s">
        <v>2257</v>
      </c>
      <c r="AV57" s="5" t="s">
        <v>1917</v>
      </c>
      <c r="AW57" s="91">
        <v>39640.0</v>
      </c>
      <c r="AX57" s="5"/>
      <c r="AY57" s="5"/>
      <c r="AZ57" s="5" t="s">
        <v>1770</v>
      </c>
      <c r="BA57" s="93">
        <v>0.0</v>
      </c>
      <c r="BB57" s="93">
        <v>0.0</v>
      </c>
      <c r="BC57" s="93">
        <v>0.0</v>
      </c>
      <c r="BD57" s="93">
        <v>0.0</v>
      </c>
      <c r="BE57" s="93">
        <v>0.0</v>
      </c>
      <c r="BF57" s="93">
        <v>0.0</v>
      </c>
      <c r="BG57" s="5"/>
      <c r="BH57" s="93">
        <v>0.0</v>
      </c>
      <c r="BI57" s="93">
        <v>0.0</v>
      </c>
      <c r="BJ57" s="93">
        <v>0.0</v>
      </c>
      <c r="BK57" s="93">
        <v>0.0</v>
      </c>
      <c r="BL57" s="93">
        <v>0.0</v>
      </c>
      <c r="BM57" s="93">
        <v>0.0</v>
      </c>
      <c r="BN57" s="93">
        <v>0.0</v>
      </c>
      <c r="BO57" s="5"/>
      <c r="BP57" s="5" t="s">
        <v>1770</v>
      </c>
      <c r="BQ57" s="5" t="s">
        <v>1789</v>
      </c>
      <c r="BR57" s="94">
        <v>43477.45681712963</v>
      </c>
      <c r="BS57" s="5">
        <v>1.0</v>
      </c>
      <c r="BT57" s="94">
        <v>45894.41321759259</v>
      </c>
      <c r="BU57" s="5">
        <v>40.0</v>
      </c>
      <c r="BV57" s="94">
        <v>45910.53160879629</v>
      </c>
      <c r="BW57" s="5">
        <v>40.0</v>
      </c>
    </row>
    <row r="58" ht="14.25" customHeight="1">
      <c r="A58" s="95">
        <v>57.0</v>
      </c>
      <c r="B58" s="95">
        <v>205.0</v>
      </c>
      <c r="C58" s="95" t="s">
        <v>2258</v>
      </c>
      <c r="D58" s="95" t="s">
        <v>2259</v>
      </c>
      <c r="E58" s="96" t="s">
        <v>2260</v>
      </c>
      <c r="F58" s="97" t="s">
        <v>2261</v>
      </c>
      <c r="G58" s="95" t="s">
        <v>2262</v>
      </c>
      <c r="H58" s="95" t="s">
        <v>1762</v>
      </c>
      <c r="I58" s="95" t="s">
        <v>1763</v>
      </c>
      <c r="J58" s="98">
        <v>31940.0</v>
      </c>
      <c r="K58" s="5" t="s">
        <v>1770</v>
      </c>
      <c r="L58" s="5" t="s">
        <v>2263</v>
      </c>
      <c r="M58" s="5">
        <v>9541.0</v>
      </c>
      <c r="N58" s="5"/>
      <c r="O58" s="5">
        <v>43882.0</v>
      </c>
      <c r="P58" s="5" t="s">
        <v>1797</v>
      </c>
      <c r="Q58" s="5"/>
      <c r="R58" s="5">
        <v>549.0</v>
      </c>
      <c r="S58" s="5">
        <v>9.875203456E9</v>
      </c>
      <c r="T58" s="5"/>
      <c r="U58" s="5" t="s">
        <v>1769</v>
      </c>
      <c r="V58" s="5">
        <v>3.21587452E9</v>
      </c>
      <c r="W58" s="5" t="s">
        <v>1769</v>
      </c>
      <c r="X58" s="91">
        <v>41797.0</v>
      </c>
      <c r="Y58" s="5">
        <v>1.0</v>
      </c>
      <c r="Z58" s="5">
        <v>19.0</v>
      </c>
      <c r="AA58" s="5">
        <v>21.0</v>
      </c>
      <c r="AB58" s="5"/>
      <c r="AC58" s="5"/>
      <c r="AD58" s="5" t="s">
        <v>1770</v>
      </c>
      <c r="AE58" s="5" t="s">
        <v>1770</v>
      </c>
      <c r="AF58" s="5"/>
      <c r="AG58" s="5"/>
      <c r="AH58" s="5">
        <v>4.098725478E9</v>
      </c>
      <c r="AI58" s="5">
        <v>23.0</v>
      </c>
      <c r="AJ58" s="5"/>
      <c r="AK58" s="5" t="s">
        <v>1773</v>
      </c>
      <c r="AL58" s="92">
        <v>0.0</v>
      </c>
      <c r="AM58" s="5" t="s">
        <v>1770</v>
      </c>
      <c r="AN58" s="5" t="s">
        <v>1788</v>
      </c>
      <c r="AO58" s="5"/>
      <c r="AP58" s="5"/>
      <c r="AQ58" s="5"/>
      <c r="AR58" s="5"/>
      <c r="AS58" s="5"/>
      <c r="AT58" s="5"/>
      <c r="AU58" s="5"/>
      <c r="AV58" s="5"/>
      <c r="AW58" s="5" t="s">
        <v>1770</v>
      </c>
      <c r="AX58" s="5"/>
      <c r="AY58" s="5"/>
      <c r="AZ58" s="5" t="s">
        <v>1770</v>
      </c>
      <c r="BA58" s="93">
        <v>0.0</v>
      </c>
      <c r="BB58" s="93">
        <v>0.0</v>
      </c>
      <c r="BC58" s="93">
        <v>0.0</v>
      </c>
      <c r="BD58" s="93">
        <v>0.0</v>
      </c>
      <c r="BE58" s="93">
        <v>0.0</v>
      </c>
      <c r="BF58" s="93">
        <v>0.0</v>
      </c>
      <c r="BG58" s="5"/>
      <c r="BH58" s="93">
        <v>0.0</v>
      </c>
      <c r="BI58" s="93">
        <v>0.0</v>
      </c>
      <c r="BJ58" s="93">
        <v>0.0</v>
      </c>
      <c r="BK58" s="93">
        <v>0.0</v>
      </c>
      <c r="BL58" s="93">
        <v>0.0</v>
      </c>
      <c r="BM58" s="93">
        <v>0.0</v>
      </c>
      <c r="BN58" s="93">
        <v>0.0</v>
      </c>
      <c r="BO58" s="5"/>
      <c r="BP58" s="5" t="s">
        <v>1770</v>
      </c>
      <c r="BQ58" s="5" t="s">
        <v>1789</v>
      </c>
      <c r="BR58" s="94">
        <v>43477.45681712963</v>
      </c>
      <c r="BS58" s="5">
        <v>1.0</v>
      </c>
      <c r="BT58" s="94">
        <v>43504.55975694444</v>
      </c>
      <c r="BU58" s="5">
        <v>40.0</v>
      </c>
      <c r="BV58" s="94">
        <v>44785.55914351852</v>
      </c>
      <c r="BW58" s="5">
        <v>40.0</v>
      </c>
    </row>
    <row r="59" ht="14.25" customHeight="1">
      <c r="A59" s="95">
        <v>58.0</v>
      </c>
      <c r="B59" s="95">
        <v>77.0</v>
      </c>
      <c r="C59" s="95" t="s">
        <v>2264</v>
      </c>
      <c r="D59" s="95" t="s">
        <v>2265</v>
      </c>
      <c r="E59" s="96" t="s">
        <v>2266</v>
      </c>
      <c r="F59" s="97" t="s">
        <v>2267</v>
      </c>
      <c r="G59" s="95" t="s">
        <v>2268</v>
      </c>
      <c r="H59" s="95" t="s">
        <v>1815</v>
      </c>
      <c r="I59" s="95" t="s">
        <v>1763</v>
      </c>
      <c r="J59" s="98">
        <v>30637.0</v>
      </c>
      <c r="K59" s="5">
        <v>850.0</v>
      </c>
      <c r="L59" s="5" t="s">
        <v>2269</v>
      </c>
      <c r="M59" s="5">
        <v>45.0</v>
      </c>
      <c r="N59" s="5"/>
      <c r="O59" s="5">
        <v>55177.0</v>
      </c>
      <c r="P59" s="5" t="s">
        <v>2270</v>
      </c>
      <c r="Q59" s="5"/>
      <c r="R59" s="5">
        <v>850.0</v>
      </c>
      <c r="S59" s="5">
        <v>4.691242401E9</v>
      </c>
      <c r="T59" s="5" t="s">
        <v>2271</v>
      </c>
      <c r="U59" s="5" t="s">
        <v>2272</v>
      </c>
      <c r="V59" s="5">
        <v>3.522078819E9</v>
      </c>
      <c r="W59" s="5" t="s">
        <v>1924</v>
      </c>
      <c r="X59" s="91">
        <v>45307.0</v>
      </c>
      <c r="Y59" s="5">
        <v>4.0</v>
      </c>
      <c r="Z59" s="5">
        <v>17.0</v>
      </c>
      <c r="AA59" s="5">
        <v>6.0</v>
      </c>
      <c r="AB59" s="5" t="s">
        <v>2273</v>
      </c>
      <c r="AC59" s="5" t="s">
        <v>2274</v>
      </c>
      <c r="AD59" s="91">
        <v>43266.0</v>
      </c>
      <c r="AE59" s="91">
        <v>45092.0</v>
      </c>
      <c r="AF59" s="5"/>
      <c r="AG59" s="5"/>
      <c r="AH59" s="5">
        <v>1.206832611E10</v>
      </c>
      <c r="AI59" s="5">
        <v>77.0</v>
      </c>
      <c r="AJ59" s="5"/>
      <c r="AK59" s="5" t="s">
        <v>1773</v>
      </c>
      <c r="AL59" s="92">
        <v>0.0</v>
      </c>
      <c r="AM59" s="5" t="s">
        <v>1770</v>
      </c>
      <c r="AN59" s="5" t="s">
        <v>1830</v>
      </c>
      <c r="AO59" s="5"/>
      <c r="AP59" s="5"/>
      <c r="AQ59" s="5"/>
      <c r="AR59" s="5"/>
      <c r="AS59" s="5"/>
      <c r="AT59" s="5"/>
      <c r="AU59" s="5"/>
      <c r="AV59" s="5"/>
      <c r="AW59" s="5" t="s">
        <v>1770</v>
      </c>
      <c r="AX59" s="5"/>
      <c r="AY59" s="5"/>
      <c r="AZ59" s="5" t="s">
        <v>1770</v>
      </c>
      <c r="BA59" s="93">
        <v>0.0</v>
      </c>
      <c r="BB59" s="93">
        <v>0.0</v>
      </c>
      <c r="BC59" s="93">
        <v>0.0</v>
      </c>
      <c r="BD59" s="93">
        <v>0.0</v>
      </c>
      <c r="BE59" s="93">
        <v>0.0</v>
      </c>
      <c r="BF59" s="93">
        <v>0.0</v>
      </c>
      <c r="BG59" s="5"/>
      <c r="BH59" s="93">
        <v>0.0</v>
      </c>
      <c r="BI59" s="93">
        <v>0.0</v>
      </c>
      <c r="BJ59" s="93">
        <v>0.0</v>
      </c>
      <c r="BK59" s="93">
        <v>0.0</v>
      </c>
      <c r="BL59" s="93">
        <v>0.0</v>
      </c>
      <c r="BM59" s="93">
        <v>0.0</v>
      </c>
      <c r="BN59" s="93">
        <v>0.0</v>
      </c>
      <c r="BO59" s="5"/>
      <c r="BP59" s="5"/>
      <c r="BQ59" s="5" t="s">
        <v>1775</v>
      </c>
      <c r="BR59" s="94">
        <v>43477.45681712963</v>
      </c>
      <c r="BS59" s="5">
        <v>1.0</v>
      </c>
      <c r="BT59" s="94">
        <v>46134.663564814815</v>
      </c>
      <c r="BU59" s="5" t="s">
        <v>1770</v>
      </c>
      <c r="BV59" s="5" t="s">
        <v>1770</v>
      </c>
      <c r="BW59" s="5" t="s">
        <v>1770</v>
      </c>
    </row>
    <row r="60" ht="14.25" customHeight="1">
      <c r="A60" s="95">
        <v>59.0</v>
      </c>
      <c r="B60" s="95">
        <v>99997.0</v>
      </c>
      <c r="C60" s="95" t="s">
        <v>2275</v>
      </c>
      <c r="D60" s="95" t="s">
        <v>2133</v>
      </c>
      <c r="E60" s="96" t="s">
        <v>2276</v>
      </c>
      <c r="F60" s="97" t="s">
        <v>2277</v>
      </c>
      <c r="G60" s="95" t="s">
        <v>2278</v>
      </c>
      <c r="H60" s="95" t="s">
        <v>1781</v>
      </c>
      <c r="I60" s="95" t="s">
        <v>1782</v>
      </c>
      <c r="J60" s="98">
        <v>19694.0</v>
      </c>
      <c r="K60" s="5">
        <v>274.0</v>
      </c>
      <c r="L60" s="100" t="s">
        <v>2279</v>
      </c>
      <c r="M60" s="5">
        <v>226.0</v>
      </c>
      <c r="N60" s="5"/>
      <c r="O60" s="5">
        <v>71907.0</v>
      </c>
      <c r="P60" s="5" t="s">
        <v>2280</v>
      </c>
      <c r="Q60" s="5" t="s">
        <v>2281</v>
      </c>
      <c r="R60" s="5">
        <v>1790.0</v>
      </c>
      <c r="S60" s="5">
        <v>4.424671387E9</v>
      </c>
      <c r="T60" s="5" t="s">
        <v>2282</v>
      </c>
      <c r="U60" s="5" t="s">
        <v>2283</v>
      </c>
      <c r="V60" s="5">
        <v>4.424673019E9</v>
      </c>
      <c r="W60" s="5" t="s">
        <v>2284</v>
      </c>
      <c r="X60" s="91">
        <v>36494.0</v>
      </c>
      <c r="Y60" s="5">
        <v>4.0</v>
      </c>
      <c r="Z60" s="5">
        <v>1.0</v>
      </c>
      <c r="AA60" s="5">
        <v>6.0</v>
      </c>
      <c r="AB60" s="5" t="s">
        <v>2285</v>
      </c>
      <c r="AC60" s="5" t="s">
        <v>1800</v>
      </c>
      <c r="AD60" s="91">
        <v>44032.0</v>
      </c>
      <c r="AE60" s="91">
        <v>45858.0</v>
      </c>
      <c r="AF60" s="5"/>
      <c r="AG60" s="5"/>
      <c r="AH60" s="5">
        <v>1.795311123E9</v>
      </c>
      <c r="AI60" s="5"/>
      <c r="AJ60" s="5"/>
      <c r="AK60" s="5" t="s">
        <v>1773</v>
      </c>
      <c r="AL60" s="92">
        <v>0.0</v>
      </c>
      <c r="AM60" s="5" t="s">
        <v>1770</v>
      </c>
      <c r="AN60" s="5" t="s">
        <v>1830</v>
      </c>
      <c r="AO60" s="5"/>
      <c r="AP60" s="5"/>
      <c r="AQ60" s="5"/>
      <c r="AR60" s="5"/>
      <c r="AS60" s="5"/>
      <c r="AT60" s="5"/>
      <c r="AU60" s="5"/>
      <c r="AV60" s="5"/>
      <c r="AW60" s="5" t="s">
        <v>1770</v>
      </c>
      <c r="AX60" s="5"/>
      <c r="AY60" s="5"/>
      <c r="AZ60" s="5" t="s">
        <v>1770</v>
      </c>
      <c r="BA60" s="93">
        <v>0.0</v>
      </c>
      <c r="BB60" s="93">
        <v>0.0</v>
      </c>
      <c r="BC60" s="93">
        <v>0.0</v>
      </c>
      <c r="BD60" s="93">
        <v>0.0</v>
      </c>
      <c r="BE60" s="93">
        <v>0.0</v>
      </c>
      <c r="BF60" s="93">
        <v>0.0</v>
      </c>
      <c r="BG60" s="5"/>
      <c r="BH60" s="93">
        <v>0.0</v>
      </c>
      <c r="BI60" s="93">
        <v>0.0</v>
      </c>
      <c r="BJ60" s="93">
        <v>0.0</v>
      </c>
      <c r="BK60" s="93">
        <v>0.0</v>
      </c>
      <c r="BL60" s="93">
        <v>0.0</v>
      </c>
      <c r="BM60" s="93">
        <v>0.0</v>
      </c>
      <c r="BN60" s="93">
        <v>0.0</v>
      </c>
      <c r="BO60" s="5"/>
      <c r="BP60" s="5" t="s">
        <v>1770</v>
      </c>
      <c r="BQ60" s="5" t="s">
        <v>1789</v>
      </c>
      <c r="BR60" s="94">
        <v>43477.45681712963</v>
      </c>
      <c r="BS60" s="5">
        <v>1.0</v>
      </c>
      <c r="BT60" s="94">
        <v>44278.74587962963</v>
      </c>
      <c r="BU60" s="5" t="s">
        <v>1770</v>
      </c>
      <c r="BV60" s="94">
        <v>44980.44630787037</v>
      </c>
      <c r="BW60" s="5">
        <v>40.0</v>
      </c>
    </row>
    <row r="61" ht="14.25" customHeight="1">
      <c r="A61" s="95">
        <v>60.0</v>
      </c>
      <c r="B61" s="95">
        <v>359.0</v>
      </c>
      <c r="C61" s="95" t="s">
        <v>2288</v>
      </c>
      <c r="D61" s="95" t="s">
        <v>2289</v>
      </c>
      <c r="E61" s="96" t="s">
        <v>2241</v>
      </c>
      <c r="F61" s="97" t="s">
        <v>2290</v>
      </c>
      <c r="G61" s="95" t="s">
        <v>2291</v>
      </c>
      <c r="H61" s="95" t="s">
        <v>1815</v>
      </c>
      <c r="I61" s="95" t="s">
        <v>1763</v>
      </c>
      <c r="J61" s="98">
        <v>33584.0</v>
      </c>
      <c r="K61" s="5">
        <v>549.0</v>
      </c>
      <c r="L61" s="5" t="s">
        <v>2198</v>
      </c>
      <c r="M61" s="5">
        <v>78.0</v>
      </c>
      <c r="N61" s="5"/>
      <c r="O61" s="5">
        <v>43882.0</v>
      </c>
      <c r="P61" s="5" t="s">
        <v>2109</v>
      </c>
      <c r="Q61" s="5" t="s">
        <v>1766</v>
      </c>
      <c r="R61" s="5">
        <v>549.0</v>
      </c>
      <c r="S61" s="5">
        <v>3.931096301E9</v>
      </c>
      <c r="T61" s="5"/>
      <c r="U61" s="5" t="s">
        <v>1924</v>
      </c>
      <c r="V61" s="5">
        <v>6.06060601E8</v>
      </c>
      <c r="W61" s="5" t="s">
        <v>1924</v>
      </c>
      <c r="X61" s="91">
        <v>43102.0</v>
      </c>
      <c r="Y61" s="5">
        <v>1.0</v>
      </c>
      <c r="Z61" s="5">
        <v>19.0</v>
      </c>
      <c r="AA61" s="5">
        <v>9.0</v>
      </c>
      <c r="AB61" s="5"/>
      <c r="AC61" s="5"/>
      <c r="AD61" s="5" t="s">
        <v>1770</v>
      </c>
      <c r="AE61" s="5" t="s">
        <v>1770</v>
      </c>
      <c r="AF61" s="5"/>
      <c r="AG61" s="5"/>
      <c r="AH61" s="5">
        <v>1.169130133E9</v>
      </c>
      <c r="AI61" s="5">
        <v>23.0</v>
      </c>
      <c r="AJ61" s="5"/>
      <c r="AK61" s="5" t="s">
        <v>1773</v>
      </c>
      <c r="AL61" s="92">
        <v>0.0</v>
      </c>
      <c r="AM61" s="5" t="s">
        <v>1770</v>
      </c>
      <c r="AN61" s="5" t="s">
        <v>1788</v>
      </c>
      <c r="AO61" s="5"/>
      <c r="AP61" s="5"/>
      <c r="AQ61" s="5"/>
      <c r="AR61" s="5"/>
      <c r="AS61" s="5"/>
      <c r="AT61" s="5"/>
      <c r="AU61" s="5"/>
      <c r="AV61" s="5"/>
      <c r="AW61" s="5" t="s">
        <v>1770</v>
      </c>
      <c r="AX61" s="5"/>
      <c r="AY61" s="5"/>
      <c r="AZ61" s="5" t="s">
        <v>1770</v>
      </c>
      <c r="BA61" s="93">
        <v>0.0</v>
      </c>
      <c r="BB61" s="93">
        <v>0.0</v>
      </c>
      <c r="BC61" s="93">
        <v>0.0</v>
      </c>
      <c r="BD61" s="93">
        <v>0.0</v>
      </c>
      <c r="BE61" s="93">
        <v>0.0</v>
      </c>
      <c r="BF61" s="93">
        <v>0.0</v>
      </c>
      <c r="BG61" s="5"/>
      <c r="BH61" s="93">
        <v>0.0</v>
      </c>
      <c r="BI61" s="93">
        <v>0.0</v>
      </c>
      <c r="BJ61" s="93">
        <v>0.0</v>
      </c>
      <c r="BK61" s="93">
        <v>0.0</v>
      </c>
      <c r="BL61" s="93">
        <v>0.0</v>
      </c>
      <c r="BM61" s="93">
        <v>0.0</v>
      </c>
      <c r="BN61" s="93">
        <v>0.0</v>
      </c>
      <c r="BO61" s="5"/>
      <c r="BP61" s="5" t="s">
        <v>1770</v>
      </c>
      <c r="BQ61" s="5" t="s">
        <v>1789</v>
      </c>
      <c r="BR61" s="94">
        <v>43477.45681712963</v>
      </c>
      <c r="BS61" s="5">
        <v>1.0</v>
      </c>
      <c r="BT61" s="94">
        <v>43636.57331018519</v>
      </c>
      <c r="BU61" s="5">
        <v>40.0</v>
      </c>
      <c r="BV61" s="94">
        <v>45707.5221875</v>
      </c>
      <c r="BW61" s="5">
        <v>40.0</v>
      </c>
    </row>
    <row r="62" ht="14.25" customHeight="1">
      <c r="A62" s="95">
        <v>61.0</v>
      </c>
      <c r="B62" s="95">
        <v>390.0</v>
      </c>
      <c r="C62" s="95" t="s">
        <v>2292</v>
      </c>
      <c r="D62" s="95" t="s">
        <v>2293</v>
      </c>
      <c r="E62" s="96" t="s">
        <v>1959</v>
      </c>
      <c r="F62" s="97">
        <v>123456.0</v>
      </c>
      <c r="G62" s="95"/>
      <c r="H62" s="95" t="s">
        <v>2294</v>
      </c>
      <c r="I62" s="95" t="s">
        <v>1763</v>
      </c>
      <c r="J62" s="102" t="s">
        <v>1770</v>
      </c>
      <c r="K62" s="5" t="s">
        <v>1770</v>
      </c>
      <c r="L62" s="5" t="s">
        <v>2295</v>
      </c>
      <c r="M62" s="5">
        <v>1.0</v>
      </c>
      <c r="N62" s="5"/>
      <c r="O62" s="5">
        <v>43882.0</v>
      </c>
      <c r="P62" s="5" t="s">
        <v>2296</v>
      </c>
      <c r="Q62" s="5" t="s">
        <v>1766</v>
      </c>
      <c r="R62" s="5">
        <v>549.0</v>
      </c>
      <c r="S62" s="5">
        <v>1.231254466E9</v>
      </c>
      <c r="T62" s="5"/>
      <c r="U62" s="5" t="s">
        <v>2297</v>
      </c>
      <c r="V62" s="5">
        <v>3.931002356E9</v>
      </c>
      <c r="W62" s="5" t="s">
        <v>1924</v>
      </c>
      <c r="X62" s="91">
        <v>43255.0</v>
      </c>
      <c r="Y62" s="5">
        <v>1.0</v>
      </c>
      <c r="Z62" s="5">
        <v>6.0</v>
      </c>
      <c r="AA62" s="5">
        <v>22.0</v>
      </c>
      <c r="AB62" s="5"/>
      <c r="AC62" s="5"/>
      <c r="AD62" s="5" t="s">
        <v>1770</v>
      </c>
      <c r="AE62" s="5" t="s">
        <v>1770</v>
      </c>
      <c r="AF62" s="5"/>
      <c r="AG62" s="5"/>
      <c r="AH62" s="5">
        <v>1.2365478912E10</v>
      </c>
      <c r="AI62" s="5"/>
      <c r="AJ62" s="5"/>
      <c r="AK62" s="5" t="s">
        <v>1773</v>
      </c>
      <c r="AL62" s="92">
        <v>0.0</v>
      </c>
      <c r="AM62" s="5" t="s">
        <v>1770</v>
      </c>
      <c r="AN62" s="5" t="s">
        <v>1774</v>
      </c>
      <c r="AO62" s="5"/>
      <c r="AP62" s="5"/>
      <c r="AQ62" s="5"/>
      <c r="AR62" s="5"/>
      <c r="AS62" s="5"/>
      <c r="AT62" s="5"/>
      <c r="AU62" s="5"/>
      <c r="AV62" s="5"/>
      <c r="AW62" s="5" t="s">
        <v>1770</v>
      </c>
      <c r="AX62" s="5"/>
      <c r="AY62" s="5"/>
      <c r="AZ62" s="5" t="s">
        <v>1770</v>
      </c>
      <c r="BA62" s="93">
        <v>0.0</v>
      </c>
      <c r="BB62" s="93">
        <v>0.0</v>
      </c>
      <c r="BC62" s="93">
        <v>0.0</v>
      </c>
      <c r="BD62" s="93">
        <v>0.0</v>
      </c>
      <c r="BE62" s="93">
        <v>0.0</v>
      </c>
      <c r="BF62" s="93">
        <v>0.0</v>
      </c>
      <c r="BG62" s="5"/>
      <c r="BH62" s="93">
        <v>0.0</v>
      </c>
      <c r="BI62" s="93">
        <v>0.0</v>
      </c>
      <c r="BJ62" s="93">
        <v>0.0</v>
      </c>
      <c r="BK62" s="93">
        <v>0.0</v>
      </c>
      <c r="BL62" s="93">
        <v>0.0</v>
      </c>
      <c r="BM62" s="93">
        <v>0.0</v>
      </c>
      <c r="BN62" s="93">
        <v>0.0</v>
      </c>
      <c r="BO62" s="5"/>
      <c r="BP62" s="5" t="s">
        <v>1770</v>
      </c>
      <c r="BQ62" s="5" t="s">
        <v>1789</v>
      </c>
      <c r="BR62" s="94">
        <v>43477.45681712963</v>
      </c>
      <c r="BS62" s="5">
        <v>1.0</v>
      </c>
      <c r="BT62" s="94">
        <v>43768.5444212963</v>
      </c>
      <c r="BU62" s="5">
        <v>40.0</v>
      </c>
      <c r="BV62" s="94">
        <v>44060.54719907408</v>
      </c>
      <c r="BW62" s="5">
        <v>83.0</v>
      </c>
    </row>
    <row r="63" ht="14.25" customHeight="1">
      <c r="A63" s="95">
        <v>62.0</v>
      </c>
      <c r="B63" s="95">
        <v>178.0</v>
      </c>
      <c r="C63" s="95" t="s">
        <v>2298</v>
      </c>
      <c r="D63" s="95" t="s">
        <v>2157</v>
      </c>
      <c r="E63" s="96" t="s">
        <v>2001</v>
      </c>
      <c r="F63" s="97" t="s">
        <v>2299</v>
      </c>
      <c r="G63" s="95" t="s">
        <v>2300</v>
      </c>
      <c r="H63" s="95" t="s">
        <v>2301</v>
      </c>
      <c r="I63" s="95" t="s">
        <v>1763</v>
      </c>
      <c r="J63" s="98">
        <v>31945.0</v>
      </c>
      <c r="K63" s="5">
        <v>850.0</v>
      </c>
      <c r="L63" s="5" t="s">
        <v>2302</v>
      </c>
      <c r="M63" s="5">
        <v>512.0</v>
      </c>
      <c r="N63" s="5"/>
      <c r="O63" s="5">
        <v>55102.0</v>
      </c>
      <c r="P63" s="5" t="s">
        <v>1797</v>
      </c>
      <c r="Q63" s="5"/>
      <c r="R63" s="5">
        <v>850.0</v>
      </c>
      <c r="S63" s="5">
        <v>3.525574914E9</v>
      </c>
      <c r="T63" s="5" t="s">
        <v>2303</v>
      </c>
      <c r="U63" s="5" t="s">
        <v>2304</v>
      </c>
      <c r="V63" s="5">
        <v>3.52105035E9</v>
      </c>
      <c r="W63" s="5" t="s">
        <v>1965</v>
      </c>
      <c r="X63" s="91">
        <v>41624.0</v>
      </c>
      <c r="Y63" s="5">
        <v>3.0</v>
      </c>
      <c r="Z63" s="5">
        <v>3.0</v>
      </c>
      <c r="AA63" s="5">
        <v>97.0</v>
      </c>
      <c r="AB63" s="5"/>
      <c r="AC63" s="5"/>
      <c r="AD63" s="5" t="s">
        <v>1770</v>
      </c>
      <c r="AE63" s="5" t="s">
        <v>1770</v>
      </c>
      <c r="AF63" s="5"/>
      <c r="AG63" s="5"/>
      <c r="AH63" s="5">
        <v>5.3038709225E10</v>
      </c>
      <c r="AI63" s="5">
        <v>77.0</v>
      </c>
      <c r="AJ63" s="5"/>
      <c r="AK63" s="5" t="s">
        <v>1773</v>
      </c>
      <c r="AL63" s="92">
        <v>0.0</v>
      </c>
      <c r="AM63" s="5" t="s">
        <v>1770</v>
      </c>
      <c r="AN63" s="5" t="s">
        <v>1830</v>
      </c>
      <c r="AO63" s="5"/>
      <c r="AP63" s="5"/>
      <c r="AQ63" s="5"/>
      <c r="AR63" s="5"/>
      <c r="AS63" s="5"/>
      <c r="AT63" s="5"/>
      <c r="AU63" s="5"/>
      <c r="AV63" s="5"/>
      <c r="AW63" s="5" t="s">
        <v>1770</v>
      </c>
      <c r="AX63" s="5"/>
      <c r="AY63" s="5"/>
      <c r="AZ63" s="5" t="s">
        <v>1770</v>
      </c>
      <c r="BA63" s="93">
        <v>0.0</v>
      </c>
      <c r="BB63" s="93">
        <v>0.0</v>
      </c>
      <c r="BC63" s="93">
        <v>0.0</v>
      </c>
      <c r="BD63" s="93">
        <v>0.0</v>
      </c>
      <c r="BE63" s="93">
        <v>0.0</v>
      </c>
      <c r="BF63" s="93">
        <v>0.0</v>
      </c>
      <c r="BG63" s="5"/>
      <c r="BH63" s="93">
        <v>0.0</v>
      </c>
      <c r="BI63" s="93">
        <v>0.0</v>
      </c>
      <c r="BJ63" s="93">
        <v>0.0</v>
      </c>
      <c r="BK63" s="93">
        <v>0.0</v>
      </c>
      <c r="BL63" s="93">
        <v>0.0</v>
      </c>
      <c r="BM63" s="93">
        <v>0.0</v>
      </c>
      <c r="BN63" s="93">
        <v>0.0</v>
      </c>
      <c r="BO63" s="5"/>
      <c r="BP63" s="5"/>
      <c r="BQ63" s="5" t="s">
        <v>1775</v>
      </c>
      <c r="BR63" s="94">
        <v>43477.45681712963</v>
      </c>
      <c r="BS63" s="5">
        <v>1.0</v>
      </c>
      <c r="BT63" s="94">
        <v>46134.67928240741</v>
      </c>
      <c r="BU63" s="5" t="s">
        <v>1770</v>
      </c>
      <c r="BV63" s="5" t="s">
        <v>1770</v>
      </c>
      <c r="BW63" s="5" t="s">
        <v>1770</v>
      </c>
    </row>
    <row r="64" ht="14.25" customHeight="1">
      <c r="A64" s="95">
        <v>63.0</v>
      </c>
      <c r="B64" s="95">
        <v>347.0</v>
      </c>
      <c r="C64" s="95" t="s">
        <v>2305</v>
      </c>
      <c r="D64" s="95" t="s">
        <v>2306</v>
      </c>
      <c r="E64" s="96" t="s">
        <v>2307</v>
      </c>
      <c r="F64" s="97" t="s">
        <v>2308</v>
      </c>
      <c r="G64" s="95" t="s">
        <v>2309</v>
      </c>
      <c r="H64" s="95" t="s">
        <v>1762</v>
      </c>
      <c r="I64" s="95" t="s">
        <v>1763</v>
      </c>
      <c r="J64" s="98">
        <v>33135.0</v>
      </c>
      <c r="K64" s="5">
        <v>850.0</v>
      </c>
      <c r="L64" s="5" t="s">
        <v>2311</v>
      </c>
      <c r="M64" s="5">
        <v>807.0</v>
      </c>
      <c r="N64" s="5"/>
      <c r="O64" s="5">
        <v>55232.0</v>
      </c>
      <c r="P64" s="5" t="s">
        <v>1797</v>
      </c>
      <c r="Q64" s="5" t="s">
        <v>234</v>
      </c>
      <c r="R64" s="5">
        <v>850.0</v>
      </c>
      <c r="S64" s="5">
        <v>3.521546269E9</v>
      </c>
      <c r="T64" s="5"/>
      <c r="U64" s="5" t="s">
        <v>1924</v>
      </c>
      <c r="V64" s="5">
        <v>3.525644785E9</v>
      </c>
      <c r="W64" s="5" t="s">
        <v>1924</v>
      </c>
      <c r="X64" s="91">
        <v>43006.0</v>
      </c>
      <c r="Y64" s="5">
        <v>3.0</v>
      </c>
      <c r="Z64" s="5">
        <v>17.0</v>
      </c>
      <c r="AA64" s="5">
        <v>18.0</v>
      </c>
      <c r="AB64" s="5"/>
      <c r="AC64" s="5"/>
      <c r="AD64" s="5" t="s">
        <v>1770</v>
      </c>
      <c r="AE64" s="5" t="s">
        <v>1770</v>
      </c>
      <c r="AF64" s="5"/>
      <c r="AG64" s="5"/>
      <c r="AH64" s="5">
        <v>5.3139022452E10</v>
      </c>
      <c r="AI64" s="5">
        <v>77.0</v>
      </c>
      <c r="AJ64" s="5"/>
      <c r="AK64" s="5" t="s">
        <v>1773</v>
      </c>
      <c r="AL64" s="92">
        <v>0.0</v>
      </c>
      <c r="AM64" s="5" t="s">
        <v>1770</v>
      </c>
      <c r="AN64" s="5" t="s">
        <v>1788</v>
      </c>
      <c r="AO64" s="5"/>
      <c r="AP64" s="5"/>
      <c r="AQ64" s="5"/>
      <c r="AR64" s="5"/>
      <c r="AS64" s="5"/>
      <c r="AT64" s="5"/>
      <c r="AU64" s="5"/>
      <c r="AV64" s="5"/>
      <c r="AW64" s="5" t="s">
        <v>1770</v>
      </c>
      <c r="AX64" s="5"/>
      <c r="AY64" s="5"/>
      <c r="AZ64" s="5" t="s">
        <v>1770</v>
      </c>
      <c r="BA64" s="93">
        <v>0.0</v>
      </c>
      <c r="BB64" s="93">
        <v>0.0</v>
      </c>
      <c r="BC64" s="93">
        <v>0.0</v>
      </c>
      <c r="BD64" s="93">
        <v>0.0</v>
      </c>
      <c r="BE64" s="93">
        <v>0.0</v>
      </c>
      <c r="BF64" s="93">
        <v>0.0</v>
      </c>
      <c r="BG64" s="5"/>
      <c r="BH64" s="93">
        <v>0.0</v>
      </c>
      <c r="BI64" s="93">
        <v>0.0</v>
      </c>
      <c r="BJ64" s="93">
        <v>0.0</v>
      </c>
      <c r="BK64" s="93">
        <v>0.0</v>
      </c>
      <c r="BL64" s="93">
        <v>0.0</v>
      </c>
      <c r="BM64" s="93">
        <v>0.0</v>
      </c>
      <c r="BN64" s="93">
        <v>0.0</v>
      </c>
      <c r="BO64" s="5"/>
      <c r="BP64" s="5" t="s">
        <v>1770</v>
      </c>
      <c r="BQ64" s="5" t="s">
        <v>1789</v>
      </c>
      <c r="BR64" s="94">
        <v>43477.45681712963</v>
      </c>
      <c r="BS64" s="5">
        <v>1.0</v>
      </c>
      <c r="BT64" s="94">
        <v>43630.575740740744</v>
      </c>
      <c r="BU64" s="5">
        <v>40.0</v>
      </c>
      <c r="BV64" s="94">
        <v>44705.55435185185</v>
      </c>
      <c r="BW64" s="5">
        <v>196.0</v>
      </c>
    </row>
    <row r="65" ht="14.25" customHeight="1">
      <c r="A65" s="95">
        <v>64.0</v>
      </c>
      <c r="B65" s="95">
        <v>342.0</v>
      </c>
      <c r="C65" s="95" t="s">
        <v>2327</v>
      </c>
      <c r="D65" s="95" t="s">
        <v>2328</v>
      </c>
      <c r="E65" s="96" t="s">
        <v>1778</v>
      </c>
      <c r="F65" s="97" t="s">
        <v>2329</v>
      </c>
      <c r="G65" s="95" t="s">
        <v>2330</v>
      </c>
      <c r="H65" s="95" t="s">
        <v>1781</v>
      </c>
      <c r="I65" s="95" t="s">
        <v>1782</v>
      </c>
      <c r="J65" s="98">
        <v>26332.0</v>
      </c>
      <c r="K65" s="5">
        <v>834.0</v>
      </c>
      <c r="L65" s="5" t="s">
        <v>2331</v>
      </c>
      <c r="M65" s="5">
        <v>47.0</v>
      </c>
      <c r="N65" s="5"/>
      <c r="O65" s="5">
        <v>53902.0</v>
      </c>
      <c r="P65" s="5" t="s">
        <v>2332</v>
      </c>
      <c r="Q65" s="5" t="s">
        <v>2041</v>
      </c>
      <c r="R65" s="5">
        <v>834.0</v>
      </c>
      <c r="S65" s="5">
        <v>4.433837674E9</v>
      </c>
      <c r="T65" s="5"/>
      <c r="U65" s="5" t="s">
        <v>1787</v>
      </c>
      <c r="V65" s="5">
        <v>4.356557867E9</v>
      </c>
      <c r="W65" s="5" t="s">
        <v>1787</v>
      </c>
      <c r="X65" s="91">
        <v>42982.0</v>
      </c>
      <c r="Y65" s="5">
        <v>4.0</v>
      </c>
      <c r="Z65" s="5">
        <v>3.0</v>
      </c>
      <c r="AA65" s="5">
        <v>42.0</v>
      </c>
      <c r="AB65" s="5" t="s">
        <v>2333</v>
      </c>
      <c r="AC65" s="5" t="s">
        <v>1772</v>
      </c>
      <c r="AD65" s="91">
        <v>44559.0</v>
      </c>
      <c r="AE65" s="91">
        <v>55151.0</v>
      </c>
      <c r="AF65" s="5"/>
      <c r="AG65" s="5"/>
      <c r="AH65" s="5">
        <v>5.3897202072E10</v>
      </c>
      <c r="AI65" s="5">
        <v>80.0</v>
      </c>
      <c r="AJ65" s="5"/>
      <c r="AK65" s="5" t="s">
        <v>1773</v>
      </c>
      <c r="AL65" s="92">
        <v>0.0</v>
      </c>
      <c r="AM65" s="5" t="s">
        <v>1770</v>
      </c>
      <c r="AN65" s="5" t="s">
        <v>1788</v>
      </c>
      <c r="AO65" s="5"/>
      <c r="AP65" s="5"/>
      <c r="AQ65" s="5"/>
      <c r="AR65" s="5"/>
      <c r="AS65" s="5"/>
      <c r="AT65" s="5"/>
      <c r="AU65" s="5"/>
      <c r="AV65" s="5"/>
      <c r="AW65" s="5" t="s">
        <v>1770</v>
      </c>
      <c r="AX65" s="5"/>
      <c r="AY65" s="5"/>
      <c r="AZ65" s="5" t="s">
        <v>1770</v>
      </c>
      <c r="BA65" s="93">
        <v>0.0</v>
      </c>
      <c r="BB65" s="93">
        <v>0.0</v>
      </c>
      <c r="BC65" s="93">
        <v>0.0</v>
      </c>
      <c r="BD65" s="93">
        <v>0.0</v>
      </c>
      <c r="BE65" s="93">
        <v>0.0</v>
      </c>
      <c r="BF65" s="93">
        <v>0.0</v>
      </c>
      <c r="BG65" s="5"/>
      <c r="BH65" s="93">
        <v>0.0</v>
      </c>
      <c r="BI65" s="93">
        <v>0.0</v>
      </c>
      <c r="BJ65" s="93">
        <v>0.0</v>
      </c>
      <c r="BK65" s="93">
        <v>0.0</v>
      </c>
      <c r="BL65" s="93">
        <v>0.0</v>
      </c>
      <c r="BM65" s="93">
        <v>0.0</v>
      </c>
      <c r="BN65" s="93">
        <v>0.0</v>
      </c>
      <c r="BO65" s="5"/>
      <c r="BP65" s="5" t="s">
        <v>1770</v>
      </c>
      <c r="BQ65" s="5" t="s">
        <v>1789</v>
      </c>
      <c r="BR65" s="94">
        <v>43477.45681712963</v>
      </c>
      <c r="BS65" s="5">
        <v>1.0</v>
      </c>
      <c r="BT65" s="94">
        <v>44565.60167824074</v>
      </c>
      <c r="BU65" s="5">
        <v>167.0</v>
      </c>
      <c r="BV65" s="94">
        <v>45176.50418981481</v>
      </c>
      <c r="BW65" s="5">
        <v>40.0</v>
      </c>
    </row>
    <row r="66" ht="14.25" customHeight="1">
      <c r="A66" s="95">
        <v>65.0</v>
      </c>
      <c r="B66" s="95">
        <v>341.0</v>
      </c>
      <c r="C66" s="95" t="s">
        <v>2334</v>
      </c>
      <c r="D66" s="95" t="s">
        <v>2335</v>
      </c>
      <c r="E66" s="96" t="s">
        <v>2336</v>
      </c>
      <c r="F66" s="97" t="s">
        <v>2337</v>
      </c>
      <c r="G66" s="95" t="s">
        <v>2338</v>
      </c>
      <c r="H66" s="95" t="s">
        <v>1762</v>
      </c>
      <c r="I66" s="95" t="s">
        <v>1763</v>
      </c>
      <c r="J66" s="98">
        <v>27389.0</v>
      </c>
      <c r="K66" s="5">
        <v>274.0</v>
      </c>
      <c r="L66" s="5" t="s">
        <v>2339</v>
      </c>
      <c r="M66" s="5">
        <v>6.0</v>
      </c>
      <c r="N66" s="5" t="s">
        <v>2340</v>
      </c>
      <c r="O66" s="5">
        <v>18852.0</v>
      </c>
      <c r="P66" s="5" t="s">
        <v>2341</v>
      </c>
      <c r="Q66" s="5" t="s">
        <v>2342</v>
      </c>
      <c r="R66" s="5">
        <v>834.0</v>
      </c>
      <c r="S66" s="5">
        <v>4.434441039E9</v>
      </c>
      <c r="T66" s="5"/>
      <c r="U66" s="5" t="s">
        <v>1769</v>
      </c>
      <c r="V66" s="5">
        <v>1.23456789E9</v>
      </c>
      <c r="W66" s="5" t="s">
        <v>1769</v>
      </c>
      <c r="X66" s="91">
        <v>43451.0</v>
      </c>
      <c r="Y66" s="5">
        <v>4.0</v>
      </c>
      <c r="Z66" s="5">
        <v>4.0</v>
      </c>
      <c r="AA66" s="5">
        <v>38.0</v>
      </c>
      <c r="AB66" s="5"/>
      <c r="AC66" s="5"/>
      <c r="AD66" s="5" t="s">
        <v>1770</v>
      </c>
      <c r="AE66" s="5" t="s">
        <v>1770</v>
      </c>
      <c r="AF66" s="5"/>
      <c r="AG66" s="5"/>
      <c r="AH66" s="5">
        <v>5.3967401299E10</v>
      </c>
      <c r="AI66" s="5">
        <v>80.0</v>
      </c>
      <c r="AJ66" s="5"/>
      <c r="AK66" s="5" t="s">
        <v>1773</v>
      </c>
      <c r="AL66" s="92">
        <v>0.0</v>
      </c>
      <c r="AM66" s="5" t="s">
        <v>1770</v>
      </c>
      <c r="AN66" s="5" t="s">
        <v>1788</v>
      </c>
      <c r="AO66" s="5"/>
      <c r="AP66" s="5"/>
      <c r="AQ66" s="5"/>
      <c r="AR66" s="5"/>
      <c r="AS66" s="5"/>
      <c r="AT66" s="5"/>
      <c r="AU66" s="5"/>
      <c r="AV66" s="5"/>
      <c r="AW66" s="5" t="s">
        <v>1770</v>
      </c>
      <c r="AX66" s="5"/>
      <c r="AY66" s="5"/>
      <c r="AZ66" s="5" t="s">
        <v>1770</v>
      </c>
      <c r="BA66" s="93">
        <v>0.0</v>
      </c>
      <c r="BB66" s="93">
        <v>0.0</v>
      </c>
      <c r="BC66" s="93">
        <v>0.0</v>
      </c>
      <c r="BD66" s="93">
        <v>0.0</v>
      </c>
      <c r="BE66" s="93">
        <v>0.0</v>
      </c>
      <c r="BF66" s="93">
        <v>0.0</v>
      </c>
      <c r="BG66" s="5"/>
      <c r="BH66" s="93">
        <v>0.0</v>
      </c>
      <c r="BI66" s="93">
        <v>0.0</v>
      </c>
      <c r="BJ66" s="93">
        <v>0.0</v>
      </c>
      <c r="BK66" s="93">
        <v>0.0</v>
      </c>
      <c r="BL66" s="93">
        <v>0.0</v>
      </c>
      <c r="BM66" s="93">
        <v>0.0</v>
      </c>
      <c r="BN66" s="93">
        <v>0.0</v>
      </c>
      <c r="BO66" s="5"/>
      <c r="BP66" s="5" t="s">
        <v>1770</v>
      </c>
      <c r="BQ66" s="5" t="s">
        <v>1789</v>
      </c>
      <c r="BR66" s="94">
        <v>43477.45681712963</v>
      </c>
      <c r="BS66" s="5">
        <v>1.0</v>
      </c>
      <c r="BT66" s="94">
        <v>43710.580243055556</v>
      </c>
      <c r="BU66" s="5">
        <v>40.0</v>
      </c>
      <c r="BV66" s="94">
        <v>44645.507152777776</v>
      </c>
      <c r="BW66" s="5">
        <v>167.0</v>
      </c>
    </row>
    <row r="67" ht="14.25" customHeight="1">
      <c r="A67" s="95">
        <v>66.0</v>
      </c>
      <c r="B67" s="95">
        <v>348.0</v>
      </c>
      <c r="C67" s="95" t="s">
        <v>1877</v>
      </c>
      <c r="D67" s="95" t="s">
        <v>2343</v>
      </c>
      <c r="E67" s="96" t="s">
        <v>2344</v>
      </c>
      <c r="F67" s="97" t="s">
        <v>2345</v>
      </c>
      <c r="G67" s="95" t="s">
        <v>2346</v>
      </c>
      <c r="H67" s="95" t="s">
        <v>1781</v>
      </c>
      <c r="I67" s="95" t="s">
        <v>1782</v>
      </c>
      <c r="J67" s="98">
        <v>22375.0</v>
      </c>
      <c r="K67" s="5">
        <v>267.0</v>
      </c>
      <c r="L67" s="5" t="s">
        <v>2347</v>
      </c>
      <c r="M67" s="5">
        <v>21.0</v>
      </c>
      <c r="N67" s="5"/>
      <c r="O67" s="5">
        <v>41937.0</v>
      </c>
      <c r="P67" s="5" t="s">
        <v>2348</v>
      </c>
      <c r="Q67" s="5" t="s">
        <v>2349</v>
      </c>
      <c r="R67" s="5">
        <v>597.0</v>
      </c>
      <c r="S67" s="5">
        <v>3.929419022E9</v>
      </c>
      <c r="T67" s="5"/>
      <c r="U67" s="5" t="s">
        <v>1787</v>
      </c>
      <c r="V67" s="5">
        <v>3.920154879E9</v>
      </c>
      <c r="W67" s="5" t="s">
        <v>1787</v>
      </c>
      <c r="X67" s="91">
        <v>43019.0</v>
      </c>
      <c r="Y67" s="5">
        <v>5.0</v>
      </c>
      <c r="Z67" s="5">
        <v>3.0</v>
      </c>
      <c r="AA67" s="5">
        <v>58.0</v>
      </c>
      <c r="AB67" s="5"/>
      <c r="AC67" s="5"/>
      <c r="AD67" s="5" t="s">
        <v>1770</v>
      </c>
      <c r="AE67" s="5" t="s">
        <v>1770</v>
      </c>
      <c r="AF67" s="5"/>
      <c r="AG67" s="5"/>
      <c r="AH67" s="5">
        <v>5.4836107117E10</v>
      </c>
      <c r="AI67" s="5">
        <v>95.0</v>
      </c>
      <c r="AJ67" s="5"/>
      <c r="AK67" s="5" t="s">
        <v>1773</v>
      </c>
      <c r="AL67" s="92">
        <v>0.0</v>
      </c>
      <c r="AM67" s="5" t="s">
        <v>1770</v>
      </c>
      <c r="AN67" s="5" t="s">
        <v>1788</v>
      </c>
      <c r="AO67" s="5"/>
      <c r="AP67" s="5"/>
      <c r="AQ67" s="5"/>
      <c r="AR67" s="5"/>
      <c r="AS67" s="5"/>
      <c r="AT67" s="5"/>
      <c r="AU67" s="5"/>
      <c r="AV67" s="5"/>
      <c r="AW67" s="5" t="s">
        <v>1770</v>
      </c>
      <c r="AX67" s="5"/>
      <c r="AY67" s="5"/>
      <c r="AZ67" s="5" t="s">
        <v>1770</v>
      </c>
      <c r="BA67" s="93">
        <v>0.0</v>
      </c>
      <c r="BB67" s="93">
        <v>0.0</v>
      </c>
      <c r="BC67" s="93">
        <v>0.0</v>
      </c>
      <c r="BD67" s="93">
        <v>0.0</v>
      </c>
      <c r="BE67" s="93">
        <v>0.0</v>
      </c>
      <c r="BF67" s="93">
        <v>0.0</v>
      </c>
      <c r="BG67" s="5"/>
      <c r="BH67" s="93">
        <v>0.0</v>
      </c>
      <c r="BI67" s="93">
        <v>0.0</v>
      </c>
      <c r="BJ67" s="93">
        <v>0.0</v>
      </c>
      <c r="BK67" s="93">
        <v>0.0</v>
      </c>
      <c r="BL67" s="93">
        <v>0.0</v>
      </c>
      <c r="BM67" s="93">
        <v>0.0</v>
      </c>
      <c r="BN67" s="93">
        <v>0.0</v>
      </c>
      <c r="BO67" s="5"/>
      <c r="BP67" s="5" t="s">
        <v>1770</v>
      </c>
      <c r="BQ67" s="5" t="s">
        <v>1789</v>
      </c>
      <c r="BR67" s="94">
        <v>43477.45681712963</v>
      </c>
      <c r="BS67" s="5">
        <v>1.0</v>
      </c>
      <c r="BT67" s="94">
        <v>43753.54857638889</v>
      </c>
      <c r="BU67" s="5">
        <v>40.0</v>
      </c>
      <c r="BV67" s="94">
        <v>44072.4653587963</v>
      </c>
      <c r="BW67" s="5">
        <v>83.0</v>
      </c>
    </row>
    <row r="68" ht="14.25" customHeight="1">
      <c r="A68" s="95">
        <v>67.0</v>
      </c>
      <c r="B68" s="95">
        <v>86.0</v>
      </c>
      <c r="C68" s="95" t="s">
        <v>2350</v>
      </c>
      <c r="D68" s="95" t="s">
        <v>2343</v>
      </c>
      <c r="E68" s="96"/>
      <c r="F68" s="97" t="s">
        <v>2351</v>
      </c>
      <c r="G68" s="95" t="s">
        <v>2352</v>
      </c>
      <c r="H68" s="95" t="s">
        <v>1781</v>
      </c>
      <c r="I68" s="95" t="s">
        <v>1782</v>
      </c>
      <c r="J68" s="98">
        <v>27103.0</v>
      </c>
      <c r="K68" s="5">
        <v>597.0</v>
      </c>
      <c r="L68" s="5" t="s">
        <v>2353</v>
      </c>
      <c r="M68" s="5">
        <v>224.0</v>
      </c>
      <c r="N68" s="5"/>
      <c r="O68" s="5">
        <v>41922.0</v>
      </c>
      <c r="P68" s="5" t="s">
        <v>1797</v>
      </c>
      <c r="Q68" s="5" t="s">
        <v>2349</v>
      </c>
      <c r="R68" s="5">
        <v>597.0</v>
      </c>
      <c r="S68" s="5">
        <v>9.85420121E9</v>
      </c>
      <c r="T68" s="5"/>
      <c r="U68" s="5" t="s">
        <v>1787</v>
      </c>
      <c r="V68" s="5">
        <v>3.921221021E9</v>
      </c>
      <c r="W68" s="5" t="s">
        <v>1787</v>
      </c>
      <c r="X68" s="91">
        <v>40679.0</v>
      </c>
      <c r="Y68" s="5">
        <v>5.0</v>
      </c>
      <c r="Z68" s="5">
        <v>19.0</v>
      </c>
      <c r="AA68" s="5">
        <v>1.0</v>
      </c>
      <c r="AB68" s="5"/>
      <c r="AC68" s="5"/>
      <c r="AD68" s="5" t="s">
        <v>1770</v>
      </c>
      <c r="AE68" s="5" t="s">
        <v>1770</v>
      </c>
      <c r="AF68" s="5"/>
      <c r="AG68" s="5"/>
      <c r="AH68" s="5">
        <v>7.5927405839E10</v>
      </c>
      <c r="AI68" s="5">
        <v>95.0</v>
      </c>
      <c r="AJ68" s="5"/>
      <c r="AK68" s="5" t="s">
        <v>1773</v>
      </c>
      <c r="AL68" s="92">
        <v>0.0</v>
      </c>
      <c r="AM68" s="5" t="s">
        <v>1770</v>
      </c>
      <c r="AN68" s="5" t="s">
        <v>1788</v>
      </c>
      <c r="AO68" s="5"/>
      <c r="AP68" s="5"/>
      <c r="AQ68" s="5"/>
      <c r="AR68" s="5"/>
      <c r="AS68" s="5"/>
      <c r="AT68" s="5"/>
      <c r="AU68" s="5"/>
      <c r="AV68" s="5"/>
      <c r="AW68" s="5" t="s">
        <v>1770</v>
      </c>
      <c r="AX68" s="5"/>
      <c r="AY68" s="5"/>
      <c r="AZ68" s="5" t="s">
        <v>1770</v>
      </c>
      <c r="BA68" s="93">
        <v>0.0</v>
      </c>
      <c r="BB68" s="93">
        <v>0.0</v>
      </c>
      <c r="BC68" s="93">
        <v>0.0</v>
      </c>
      <c r="BD68" s="93">
        <v>0.0</v>
      </c>
      <c r="BE68" s="93">
        <v>0.0</v>
      </c>
      <c r="BF68" s="93">
        <v>0.0</v>
      </c>
      <c r="BG68" s="5"/>
      <c r="BH68" s="93">
        <v>0.0</v>
      </c>
      <c r="BI68" s="93">
        <v>0.0</v>
      </c>
      <c r="BJ68" s="93">
        <v>0.0</v>
      </c>
      <c r="BK68" s="93">
        <v>0.0</v>
      </c>
      <c r="BL68" s="93">
        <v>0.0</v>
      </c>
      <c r="BM68" s="93">
        <v>0.0</v>
      </c>
      <c r="BN68" s="93">
        <v>0.0</v>
      </c>
      <c r="BO68" s="5"/>
      <c r="BP68" s="5" t="s">
        <v>1770</v>
      </c>
      <c r="BQ68" s="5" t="s">
        <v>1789</v>
      </c>
      <c r="BR68" s="94">
        <v>43477.45681712963</v>
      </c>
      <c r="BS68" s="5">
        <v>1.0</v>
      </c>
      <c r="BT68" s="94">
        <v>43768.54482638889</v>
      </c>
      <c r="BU68" s="5">
        <v>40.0</v>
      </c>
      <c r="BV68" s="94">
        <v>44060.54945601852</v>
      </c>
      <c r="BW68" s="5">
        <v>83.0</v>
      </c>
    </row>
    <row r="69" ht="14.25" customHeight="1">
      <c r="A69" s="95">
        <v>68.0</v>
      </c>
      <c r="B69" s="95">
        <v>218.0</v>
      </c>
      <c r="C69" s="95" t="s">
        <v>2356</v>
      </c>
      <c r="D69" s="95" t="s">
        <v>1792</v>
      </c>
      <c r="E69" s="96" t="s">
        <v>2001</v>
      </c>
      <c r="F69" s="97" t="s">
        <v>2357</v>
      </c>
      <c r="G69" s="95" t="s">
        <v>2358</v>
      </c>
      <c r="H69" s="95" t="s">
        <v>1781</v>
      </c>
      <c r="I69" s="95" t="s">
        <v>1782</v>
      </c>
      <c r="J69" s="98">
        <v>32373.0</v>
      </c>
      <c r="K69" s="5">
        <v>597.0</v>
      </c>
      <c r="L69" s="5" t="s">
        <v>2359</v>
      </c>
      <c r="M69" s="5">
        <v>85.0</v>
      </c>
      <c r="N69" s="5"/>
      <c r="O69" s="5">
        <v>43832.0</v>
      </c>
      <c r="P69" s="5" t="s">
        <v>1797</v>
      </c>
      <c r="Q69" s="5"/>
      <c r="R69" s="5">
        <v>597.0</v>
      </c>
      <c r="S69" s="5">
        <v>9.561222565E9</v>
      </c>
      <c r="T69" s="5"/>
      <c r="U69" s="5" t="s">
        <v>1787</v>
      </c>
      <c r="V69" s="5">
        <v>3.91652452E9</v>
      </c>
      <c r="W69" s="5" t="s">
        <v>1787</v>
      </c>
      <c r="X69" s="91">
        <v>41974.0</v>
      </c>
      <c r="Y69" s="5">
        <v>5.0</v>
      </c>
      <c r="Z69" s="5">
        <v>19.0</v>
      </c>
      <c r="AA69" s="5">
        <v>1.0</v>
      </c>
      <c r="AB69" s="5"/>
      <c r="AC69" s="5"/>
      <c r="AD69" s="5" t="s">
        <v>1770</v>
      </c>
      <c r="AE69" s="5" t="s">
        <v>1770</v>
      </c>
      <c r="AF69" s="5"/>
      <c r="AG69" s="5"/>
      <c r="AH69" s="5">
        <v>4.088845906E9</v>
      </c>
      <c r="AI69" s="5">
        <v>95.0</v>
      </c>
      <c r="AJ69" s="5"/>
      <c r="AK69" s="5" t="s">
        <v>1773</v>
      </c>
      <c r="AL69" s="92">
        <v>0.0</v>
      </c>
      <c r="AM69" s="5" t="s">
        <v>1770</v>
      </c>
      <c r="AN69" s="5" t="s">
        <v>1788</v>
      </c>
      <c r="AO69" s="5"/>
      <c r="AP69" s="5"/>
      <c r="AQ69" s="5"/>
      <c r="AR69" s="5"/>
      <c r="AS69" s="5"/>
      <c r="AT69" s="5"/>
      <c r="AU69" s="5"/>
      <c r="AV69" s="5"/>
      <c r="AW69" s="5" t="s">
        <v>1770</v>
      </c>
      <c r="AX69" s="5"/>
      <c r="AY69" s="5"/>
      <c r="AZ69" s="5" t="s">
        <v>1770</v>
      </c>
      <c r="BA69" s="93">
        <v>0.0</v>
      </c>
      <c r="BB69" s="93">
        <v>0.0</v>
      </c>
      <c r="BC69" s="93">
        <v>0.0</v>
      </c>
      <c r="BD69" s="93">
        <v>0.0</v>
      </c>
      <c r="BE69" s="93">
        <v>0.0</v>
      </c>
      <c r="BF69" s="93">
        <v>0.0</v>
      </c>
      <c r="BG69" s="5"/>
      <c r="BH69" s="93">
        <v>0.0</v>
      </c>
      <c r="BI69" s="93">
        <v>0.0</v>
      </c>
      <c r="BJ69" s="93">
        <v>0.0</v>
      </c>
      <c r="BK69" s="93">
        <v>0.0</v>
      </c>
      <c r="BL69" s="93">
        <v>0.0</v>
      </c>
      <c r="BM69" s="93">
        <v>0.0</v>
      </c>
      <c r="BN69" s="93">
        <v>0.0</v>
      </c>
      <c r="BO69" s="5"/>
      <c r="BP69" s="5" t="s">
        <v>1770</v>
      </c>
      <c r="BQ69" s="5" t="s">
        <v>1789</v>
      </c>
      <c r="BR69" s="94">
        <v>43477.45681712963</v>
      </c>
      <c r="BS69" s="5">
        <v>1.0</v>
      </c>
      <c r="BT69" s="94">
        <v>43768.54498842593</v>
      </c>
      <c r="BU69" s="5">
        <v>40.0</v>
      </c>
      <c r="BV69" s="94">
        <v>44072.46555555556</v>
      </c>
      <c r="BW69" s="5">
        <v>83.0</v>
      </c>
    </row>
    <row r="70" ht="14.25" customHeight="1">
      <c r="A70" s="95">
        <v>69.0</v>
      </c>
      <c r="B70" s="95">
        <v>301.0</v>
      </c>
      <c r="C70" s="95" t="s">
        <v>2360</v>
      </c>
      <c r="D70" s="95" t="s">
        <v>2361</v>
      </c>
      <c r="E70" s="96" t="s">
        <v>2001</v>
      </c>
      <c r="F70" s="97" t="s">
        <v>2362</v>
      </c>
      <c r="G70" s="95" t="s">
        <v>2363</v>
      </c>
      <c r="H70" s="95" t="s">
        <v>1815</v>
      </c>
      <c r="I70" s="95" t="s">
        <v>1763</v>
      </c>
      <c r="J70" s="98">
        <v>33549.0</v>
      </c>
      <c r="K70" s="5">
        <v>651.0</v>
      </c>
      <c r="L70" s="5" t="s">
        <v>2364</v>
      </c>
      <c r="M70" s="5">
        <v>263.0</v>
      </c>
      <c r="N70" s="5"/>
      <c r="O70" s="5">
        <v>41922.0</v>
      </c>
      <c r="P70" s="5" t="s">
        <v>1797</v>
      </c>
      <c r="Q70" s="5" t="s">
        <v>2349</v>
      </c>
      <c r="R70" s="5">
        <v>597.0</v>
      </c>
      <c r="S70" s="5">
        <v>3.913652421E9</v>
      </c>
      <c r="T70" s="5"/>
      <c r="U70" s="5" t="s">
        <v>1924</v>
      </c>
      <c r="V70" s="5">
        <v>3.9122202E9</v>
      </c>
      <c r="W70" s="5" t="s">
        <v>1924</v>
      </c>
      <c r="X70" s="91">
        <v>42675.0</v>
      </c>
      <c r="Y70" s="5">
        <v>5.0</v>
      </c>
      <c r="Z70" s="5">
        <v>4.0</v>
      </c>
      <c r="AA70" s="5">
        <v>38.0</v>
      </c>
      <c r="AB70" s="5"/>
      <c r="AC70" s="5"/>
      <c r="AD70" s="5" t="s">
        <v>1770</v>
      </c>
      <c r="AE70" s="5" t="s">
        <v>1770</v>
      </c>
      <c r="AF70" s="5"/>
      <c r="AG70" s="5"/>
      <c r="AH70" s="5">
        <v>1.9149136566E10</v>
      </c>
      <c r="AI70" s="5">
        <v>95.0</v>
      </c>
      <c r="AJ70" s="5"/>
      <c r="AK70" s="5" t="s">
        <v>1773</v>
      </c>
      <c r="AL70" s="92">
        <v>0.0</v>
      </c>
      <c r="AM70" s="5" t="s">
        <v>1770</v>
      </c>
      <c r="AN70" s="5" t="s">
        <v>1788</v>
      </c>
      <c r="AO70" s="5"/>
      <c r="AP70" s="5"/>
      <c r="AQ70" s="5"/>
      <c r="AR70" s="5"/>
      <c r="AS70" s="5"/>
      <c r="AT70" s="5"/>
      <c r="AU70" s="5"/>
      <c r="AV70" s="5"/>
      <c r="AW70" s="5" t="s">
        <v>1770</v>
      </c>
      <c r="AX70" s="5"/>
      <c r="AY70" s="5"/>
      <c r="AZ70" s="5" t="s">
        <v>1770</v>
      </c>
      <c r="BA70" s="93">
        <v>0.0</v>
      </c>
      <c r="BB70" s="93">
        <v>0.0</v>
      </c>
      <c r="BC70" s="93">
        <v>0.0</v>
      </c>
      <c r="BD70" s="93">
        <v>0.0</v>
      </c>
      <c r="BE70" s="93">
        <v>0.0</v>
      </c>
      <c r="BF70" s="93">
        <v>0.0</v>
      </c>
      <c r="BG70" s="5"/>
      <c r="BH70" s="93">
        <v>0.0</v>
      </c>
      <c r="BI70" s="93">
        <v>0.0</v>
      </c>
      <c r="BJ70" s="93">
        <v>0.0</v>
      </c>
      <c r="BK70" s="93">
        <v>0.0</v>
      </c>
      <c r="BL70" s="93">
        <v>0.0</v>
      </c>
      <c r="BM70" s="93">
        <v>0.0</v>
      </c>
      <c r="BN70" s="93">
        <v>0.0</v>
      </c>
      <c r="BO70" s="5"/>
      <c r="BP70" s="5" t="s">
        <v>1770</v>
      </c>
      <c r="BQ70" s="5" t="s">
        <v>1789</v>
      </c>
      <c r="BR70" s="94">
        <v>43477.45681712963</v>
      </c>
      <c r="BS70" s="5">
        <v>1.0</v>
      </c>
      <c r="BT70" s="94">
        <v>43710.567511574074</v>
      </c>
      <c r="BU70" s="5">
        <v>40.0</v>
      </c>
      <c r="BV70" s="94">
        <v>44645.66217592593</v>
      </c>
      <c r="BW70" s="5" t="s">
        <v>1770</v>
      </c>
    </row>
    <row r="71" ht="14.25" customHeight="1">
      <c r="A71" s="95">
        <v>70.0</v>
      </c>
      <c r="B71" s="95">
        <v>297.0</v>
      </c>
      <c r="C71" s="95" t="s">
        <v>2365</v>
      </c>
      <c r="D71" s="95" t="s">
        <v>2081</v>
      </c>
      <c r="E71" s="96" t="s">
        <v>2157</v>
      </c>
      <c r="F71" s="97" t="s">
        <v>2366</v>
      </c>
      <c r="G71" s="95" t="s">
        <v>2367</v>
      </c>
      <c r="H71" s="95" t="s">
        <v>1781</v>
      </c>
      <c r="I71" s="95" t="s">
        <v>1782</v>
      </c>
      <c r="J71" s="98">
        <v>34456.0</v>
      </c>
      <c r="K71" s="5">
        <v>418.0</v>
      </c>
      <c r="L71" s="5" t="s">
        <v>2368</v>
      </c>
      <c r="M71" s="5">
        <v>60.0</v>
      </c>
      <c r="N71" s="5"/>
      <c r="O71" s="5">
        <v>43832.0</v>
      </c>
      <c r="P71" s="5" t="s">
        <v>2369</v>
      </c>
      <c r="Q71" s="5" t="s">
        <v>2370</v>
      </c>
      <c r="R71" s="5">
        <v>424.0</v>
      </c>
      <c r="S71" s="5">
        <v>4.691150758E9</v>
      </c>
      <c r="T71" s="5"/>
      <c r="U71" s="5" t="s">
        <v>1924</v>
      </c>
      <c r="V71" s="5">
        <v>9.406100151E9</v>
      </c>
      <c r="W71" s="5" t="s">
        <v>1924</v>
      </c>
      <c r="X71" s="91">
        <v>42614.0</v>
      </c>
      <c r="Y71" s="5">
        <v>2.0</v>
      </c>
      <c r="Z71" s="5">
        <v>3.0</v>
      </c>
      <c r="AA71" s="5">
        <v>4.0</v>
      </c>
      <c r="AB71" s="5"/>
      <c r="AC71" s="5"/>
      <c r="AD71" s="5" t="s">
        <v>1770</v>
      </c>
      <c r="AE71" s="5" t="s">
        <v>1770</v>
      </c>
      <c r="AF71" s="5"/>
      <c r="AG71" s="5"/>
      <c r="AH71" s="5">
        <v>2.7159461402E10</v>
      </c>
      <c r="AI71" s="5">
        <v>9.0</v>
      </c>
      <c r="AJ71" s="5"/>
      <c r="AK71" s="5" t="s">
        <v>1773</v>
      </c>
      <c r="AL71" s="92">
        <v>0.0</v>
      </c>
      <c r="AM71" s="5" t="s">
        <v>1770</v>
      </c>
      <c r="AN71" s="5" t="s">
        <v>1788</v>
      </c>
      <c r="AO71" s="5"/>
      <c r="AP71" s="5"/>
      <c r="AQ71" s="5"/>
      <c r="AR71" s="5"/>
      <c r="AS71" s="5"/>
      <c r="AT71" s="5"/>
      <c r="AU71" s="5"/>
      <c r="AV71" s="5"/>
      <c r="AW71" s="5" t="s">
        <v>1770</v>
      </c>
      <c r="AX71" s="5"/>
      <c r="AY71" s="5"/>
      <c r="AZ71" s="5" t="s">
        <v>1770</v>
      </c>
      <c r="BA71" s="93">
        <v>0.0</v>
      </c>
      <c r="BB71" s="93">
        <v>0.0</v>
      </c>
      <c r="BC71" s="93">
        <v>0.0</v>
      </c>
      <c r="BD71" s="93">
        <v>0.0</v>
      </c>
      <c r="BE71" s="93">
        <v>0.0</v>
      </c>
      <c r="BF71" s="93">
        <v>0.0</v>
      </c>
      <c r="BG71" s="5"/>
      <c r="BH71" s="93">
        <v>0.0</v>
      </c>
      <c r="BI71" s="93">
        <v>0.0</v>
      </c>
      <c r="BJ71" s="93">
        <v>0.0</v>
      </c>
      <c r="BK71" s="93">
        <v>0.0</v>
      </c>
      <c r="BL71" s="93">
        <v>0.0</v>
      </c>
      <c r="BM71" s="93">
        <v>0.0</v>
      </c>
      <c r="BN71" s="93">
        <v>0.0</v>
      </c>
      <c r="BO71" s="5"/>
      <c r="BP71" s="5" t="s">
        <v>1770</v>
      </c>
      <c r="BQ71" s="5" t="s">
        <v>1789</v>
      </c>
      <c r="BR71" s="94">
        <v>43477.45681712963</v>
      </c>
      <c r="BS71" s="5">
        <v>1.0</v>
      </c>
      <c r="BT71" s="94">
        <v>43768.54457175926</v>
      </c>
      <c r="BU71" s="5">
        <v>40.0</v>
      </c>
      <c r="BV71" s="94">
        <v>44392.69782407407</v>
      </c>
      <c r="BW71" s="5">
        <v>40.0</v>
      </c>
    </row>
    <row r="72" ht="14.25" customHeight="1">
      <c r="A72" s="95">
        <v>71.0</v>
      </c>
      <c r="B72" s="95">
        <v>73.0</v>
      </c>
      <c r="C72" s="95" t="s">
        <v>2371</v>
      </c>
      <c r="D72" s="95" t="s">
        <v>1927</v>
      </c>
      <c r="E72" s="96" t="s">
        <v>1778</v>
      </c>
      <c r="F72" s="97" t="s">
        <v>2372</v>
      </c>
      <c r="G72" s="95" t="s">
        <v>2373</v>
      </c>
      <c r="H72" s="95" t="s">
        <v>1762</v>
      </c>
      <c r="I72" s="95" t="s">
        <v>1763</v>
      </c>
      <c r="J72" s="98">
        <v>32326.0</v>
      </c>
      <c r="K72" s="5">
        <v>424.0</v>
      </c>
      <c r="L72" s="5" t="s">
        <v>1797</v>
      </c>
      <c r="M72" s="5">
        <v>985.0</v>
      </c>
      <c r="N72" s="5"/>
      <c r="O72" s="5">
        <v>43832.0</v>
      </c>
      <c r="P72" s="5" t="s">
        <v>1797</v>
      </c>
      <c r="Q72" s="5"/>
      <c r="R72" s="5">
        <v>424.0</v>
      </c>
      <c r="S72" s="5">
        <v>4.694845045E9</v>
      </c>
      <c r="T72" s="5"/>
      <c r="U72" s="5" t="s">
        <v>1924</v>
      </c>
      <c r="V72" s="5">
        <v>4.694505155E9</v>
      </c>
      <c r="W72" s="5" t="s">
        <v>1924</v>
      </c>
      <c r="X72" s="91">
        <v>40483.0</v>
      </c>
      <c r="Y72" s="5">
        <v>2.0</v>
      </c>
      <c r="Z72" s="5">
        <v>4.0</v>
      </c>
      <c r="AA72" s="5">
        <v>38.0</v>
      </c>
      <c r="AB72" s="5"/>
      <c r="AC72" s="5"/>
      <c r="AD72" s="5" t="s">
        <v>1770</v>
      </c>
      <c r="AE72" s="5" t="s">
        <v>1770</v>
      </c>
      <c r="AF72" s="5"/>
      <c r="AG72" s="5"/>
      <c r="AH72" s="5">
        <v>2.306886891E10</v>
      </c>
      <c r="AI72" s="5">
        <v>9.0</v>
      </c>
      <c r="AJ72" s="5"/>
      <c r="AK72" s="5" t="s">
        <v>1773</v>
      </c>
      <c r="AL72" s="92">
        <v>0.0</v>
      </c>
      <c r="AM72" s="5" t="s">
        <v>1770</v>
      </c>
      <c r="AN72" s="5" t="s">
        <v>1788</v>
      </c>
      <c r="AO72" s="5"/>
      <c r="AP72" s="5"/>
      <c r="AQ72" s="5"/>
      <c r="AR72" s="5"/>
      <c r="AS72" s="5"/>
      <c r="AT72" s="5"/>
      <c r="AU72" s="5"/>
      <c r="AV72" s="5"/>
      <c r="AW72" s="5" t="s">
        <v>1770</v>
      </c>
      <c r="AX72" s="5"/>
      <c r="AY72" s="5"/>
      <c r="AZ72" s="5" t="s">
        <v>1770</v>
      </c>
      <c r="BA72" s="93">
        <v>0.0</v>
      </c>
      <c r="BB72" s="93">
        <v>0.0</v>
      </c>
      <c r="BC72" s="93">
        <v>0.0</v>
      </c>
      <c r="BD72" s="93">
        <v>0.0</v>
      </c>
      <c r="BE72" s="93">
        <v>0.0</v>
      </c>
      <c r="BF72" s="93">
        <v>0.0</v>
      </c>
      <c r="BG72" s="5"/>
      <c r="BH72" s="93">
        <v>0.0</v>
      </c>
      <c r="BI72" s="93">
        <v>0.0</v>
      </c>
      <c r="BJ72" s="93">
        <v>0.0</v>
      </c>
      <c r="BK72" s="93">
        <v>0.0</v>
      </c>
      <c r="BL72" s="93">
        <v>0.0</v>
      </c>
      <c r="BM72" s="93">
        <v>0.0</v>
      </c>
      <c r="BN72" s="93">
        <v>0.0</v>
      </c>
      <c r="BO72" s="5"/>
      <c r="BP72" s="5" t="s">
        <v>1770</v>
      </c>
      <c r="BQ72" s="5" t="s">
        <v>1789</v>
      </c>
      <c r="BR72" s="94">
        <v>43477.45681712963</v>
      </c>
      <c r="BS72" s="5">
        <v>1.0</v>
      </c>
      <c r="BT72" s="94">
        <v>43635.61163194444</v>
      </c>
      <c r="BU72" s="5">
        <v>40.0</v>
      </c>
      <c r="BV72" s="94">
        <v>44645.519733796296</v>
      </c>
      <c r="BW72" s="5">
        <v>167.0</v>
      </c>
    </row>
    <row r="73" ht="14.25" customHeight="1">
      <c r="A73" s="95">
        <v>72.0</v>
      </c>
      <c r="B73" s="95">
        <v>186.0</v>
      </c>
      <c r="C73" s="95" t="s">
        <v>2376</v>
      </c>
      <c r="D73" s="95" t="s">
        <v>1888</v>
      </c>
      <c r="E73" s="101" t="s">
        <v>2377</v>
      </c>
      <c r="F73" s="97" t="s">
        <v>2378</v>
      </c>
      <c r="G73" s="95" t="s">
        <v>2379</v>
      </c>
      <c r="H73" s="95" t="s">
        <v>1781</v>
      </c>
      <c r="I73" s="95" t="s">
        <v>1782</v>
      </c>
      <c r="J73" s="98">
        <v>33722.0</v>
      </c>
      <c r="K73" s="5">
        <v>424.0</v>
      </c>
      <c r="L73" s="5" t="s">
        <v>2380</v>
      </c>
      <c r="M73" s="5">
        <v>15.0</v>
      </c>
      <c r="N73" s="5"/>
      <c r="O73" s="5">
        <v>43832.0</v>
      </c>
      <c r="P73" s="5" t="s">
        <v>1797</v>
      </c>
      <c r="Q73" s="5"/>
      <c r="R73" s="5">
        <v>424.0</v>
      </c>
      <c r="S73" s="5">
        <v>4.692013548E9</v>
      </c>
      <c r="T73" s="5"/>
      <c r="U73" s="5" t="s">
        <v>1787</v>
      </c>
      <c r="V73" s="5">
        <v>6.946101051E9</v>
      </c>
      <c r="W73" s="5" t="s">
        <v>1787</v>
      </c>
      <c r="X73" s="91">
        <v>41661.0</v>
      </c>
      <c r="Y73" s="5">
        <v>2.0</v>
      </c>
      <c r="Z73" s="5">
        <v>3.0</v>
      </c>
      <c r="AA73" s="5">
        <v>58.0</v>
      </c>
      <c r="AB73" s="5" t="s">
        <v>2381</v>
      </c>
      <c r="AC73" s="5" t="s">
        <v>1772</v>
      </c>
      <c r="AD73" s="91">
        <v>45168.0</v>
      </c>
      <c r="AE73" s="91">
        <v>46995.0</v>
      </c>
      <c r="AF73" s="5"/>
      <c r="AG73" s="5"/>
      <c r="AH73" s="5">
        <v>3.149241162E9</v>
      </c>
      <c r="AI73" s="5">
        <v>9.0</v>
      </c>
      <c r="AJ73" s="5"/>
      <c r="AK73" s="5" t="s">
        <v>1773</v>
      </c>
      <c r="AL73" s="92">
        <v>0.0</v>
      </c>
      <c r="AM73" s="5" t="s">
        <v>1770</v>
      </c>
      <c r="AN73" s="5" t="s">
        <v>1830</v>
      </c>
      <c r="AO73" s="5"/>
      <c r="AP73" s="5"/>
      <c r="AQ73" s="5"/>
      <c r="AR73" s="5"/>
      <c r="AS73" s="5"/>
      <c r="AT73" s="5"/>
      <c r="AU73" s="5"/>
      <c r="AV73" s="5"/>
      <c r="AW73" s="5" t="s">
        <v>1770</v>
      </c>
      <c r="AX73" s="5"/>
      <c r="AY73" s="5"/>
      <c r="AZ73" s="5" t="s">
        <v>1770</v>
      </c>
      <c r="BA73" s="93">
        <v>0.0</v>
      </c>
      <c r="BB73" s="93">
        <v>0.0</v>
      </c>
      <c r="BC73" s="93">
        <v>0.0</v>
      </c>
      <c r="BD73" s="93">
        <v>0.0</v>
      </c>
      <c r="BE73" s="93">
        <v>0.0</v>
      </c>
      <c r="BF73" s="93">
        <v>0.0</v>
      </c>
      <c r="BG73" s="5"/>
      <c r="BH73" s="93">
        <v>0.0</v>
      </c>
      <c r="BI73" s="93">
        <v>0.0</v>
      </c>
      <c r="BJ73" s="93">
        <v>0.0</v>
      </c>
      <c r="BK73" s="93">
        <v>0.0</v>
      </c>
      <c r="BL73" s="93">
        <v>0.0</v>
      </c>
      <c r="BM73" s="93">
        <v>0.0</v>
      </c>
      <c r="BN73" s="93">
        <v>0.0</v>
      </c>
      <c r="BO73" s="5"/>
      <c r="BP73" s="5" t="s">
        <v>1770</v>
      </c>
      <c r="BQ73" s="5" t="s">
        <v>1789</v>
      </c>
      <c r="BR73" s="94">
        <v>43477.45681712963</v>
      </c>
      <c r="BS73" s="5">
        <v>1.0</v>
      </c>
      <c r="BT73" s="94">
        <v>45324.60744212963</v>
      </c>
      <c r="BU73" s="5">
        <v>40.0</v>
      </c>
      <c r="BV73" s="94">
        <v>45933.6658912037</v>
      </c>
      <c r="BW73" s="5" t="s">
        <v>1770</v>
      </c>
    </row>
    <row r="74" ht="14.25" customHeight="1">
      <c r="A74" s="95">
        <v>73.0</v>
      </c>
      <c r="B74" s="95">
        <v>169.0</v>
      </c>
      <c r="C74" s="95" t="s">
        <v>2074</v>
      </c>
      <c r="D74" s="95" t="s">
        <v>2382</v>
      </c>
      <c r="E74" s="96" t="s">
        <v>2383</v>
      </c>
      <c r="F74" s="97" t="s">
        <v>2384</v>
      </c>
      <c r="G74" s="95" t="s">
        <v>2385</v>
      </c>
      <c r="H74" s="95" t="s">
        <v>1781</v>
      </c>
      <c r="I74" s="95" t="s">
        <v>1782</v>
      </c>
      <c r="J74" s="98">
        <v>31838.0</v>
      </c>
      <c r="K74" s="5" t="s">
        <v>1770</v>
      </c>
      <c r="L74" s="5" t="s">
        <v>2386</v>
      </c>
      <c r="M74" s="5" t="s">
        <v>1911</v>
      </c>
      <c r="N74" s="5"/>
      <c r="O74" s="5">
        <v>35920.0</v>
      </c>
      <c r="P74" s="5" t="s">
        <v>2387</v>
      </c>
      <c r="Q74" s="5" t="s">
        <v>2387</v>
      </c>
      <c r="R74" s="5">
        <v>424.0</v>
      </c>
      <c r="S74" s="5">
        <v>4.696037094E9</v>
      </c>
      <c r="T74" s="5" t="s">
        <v>2388</v>
      </c>
      <c r="U74" s="5" t="s">
        <v>2389</v>
      </c>
      <c r="V74" s="5">
        <v>4.691337211E9</v>
      </c>
      <c r="W74" s="5" t="s">
        <v>1787</v>
      </c>
      <c r="X74" s="91">
        <v>41534.0</v>
      </c>
      <c r="Y74" s="5">
        <v>2.0</v>
      </c>
      <c r="Z74" s="5">
        <v>19.0</v>
      </c>
      <c r="AA74" s="5">
        <v>81.0</v>
      </c>
      <c r="AB74" s="5" t="s">
        <v>2390</v>
      </c>
      <c r="AC74" s="5" t="s">
        <v>1772</v>
      </c>
      <c r="AD74" s="91">
        <v>45310.0</v>
      </c>
      <c r="AE74" s="91">
        <v>47137.0</v>
      </c>
      <c r="AF74" s="5"/>
      <c r="AG74" s="5"/>
      <c r="AH74" s="5">
        <v>1.212872823E10</v>
      </c>
      <c r="AI74" s="5">
        <v>9.0</v>
      </c>
      <c r="AJ74" s="5"/>
      <c r="AK74" s="5" t="s">
        <v>1773</v>
      </c>
      <c r="AL74" s="92">
        <v>0.0</v>
      </c>
      <c r="AM74" s="5" t="s">
        <v>1770</v>
      </c>
      <c r="AN74" s="5" t="s">
        <v>1774</v>
      </c>
      <c r="AO74" s="5"/>
      <c r="AP74" s="5"/>
      <c r="AQ74" s="5"/>
      <c r="AR74" s="5"/>
      <c r="AS74" s="5"/>
      <c r="AT74" s="5"/>
      <c r="AU74" s="5"/>
      <c r="AV74" s="5"/>
      <c r="AW74" s="5" t="s">
        <v>1770</v>
      </c>
      <c r="AX74" s="5"/>
      <c r="AY74" s="5"/>
      <c r="AZ74" s="5" t="s">
        <v>1770</v>
      </c>
      <c r="BA74" s="93">
        <v>0.0</v>
      </c>
      <c r="BB74" s="93">
        <v>0.0</v>
      </c>
      <c r="BC74" s="93">
        <v>0.0</v>
      </c>
      <c r="BD74" s="93">
        <v>0.0</v>
      </c>
      <c r="BE74" s="93">
        <v>0.0</v>
      </c>
      <c r="BF74" s="93">
        <v>0.0</v>
      </c>
      <c r="BG74" s="5"/>
      <c r="BH74" s="93">
        <v>0.0</v>
      </c>
      <c r="BI74" s="93">
        <v>0.0</v>
      </c>
      <c r="BJ74" s="93">
        <v>0.0</v>
      </c>
      <c r="BK74" s="93">
        <v>0.0</v>
      </c>
      <c r="BL74" s="93">
        <v>0.0</v>
      </c>
      <c r="BM74" s="93">
        <v>0.0</v>
      </c>
      <c r="BN74" s="93">
        <v>0.0</v>
      </c>
      <c r="BO74" s="5"/>
      <c r="BP74" s="5"/>
      <c r="BQ74" s="5" t="s">
        <v>1775</v>
      </c>
      <c r="BR74" s="94">
        <v>43477.45681712963</v>
      </c>
      <c r="BS74" s="5">
        <v>1.0</v>
      </c>
      <c r="BT74" s="94">
        <v>46133.530023148145</v>
      </c>
      <c r="BU74" s="5">
        <v>272.0</v>
      </c>
      <c r="BV74" s="5" t="s">
        <v>1770</v>
      </c>
      <c r="BW74" s="5" t="s">
        <v>1770</v>
      </c>
    </row>
    <row r="75" ht="14.25" customHeight="1">
      <c r="A75" s="95">
        <v>74.0</v>
      </c>
      <c r="B75" s="95">
        <v>85.0</v>
      </c>
      <c r="C75" s="95" t="s">
        <v>1937</v>
      </c>
      <c r="D75" s="99" t="s">
        <v>2398</v>
      </c>
      <c r="E75" s="96" t="s">
        <v>2399</v>
      </c>
      <c r="F75" s="97" t="s">
        <v>2401</v>
      </c>
      <c r="G75" s="95" t="s">
        <v>2402</v>
      </c>
      <c r="H75" s="95" t="s">
        <v>1781</v>
      </c>
      <c r="I75" s="95" t="s">
        <v>1782</v>
      </c>
      <c r="J75" s="98">
        <v>32929.0</v>
      </c>
      <c r="K75" s="5">
        <v>424.0</v>
      </c>
      <c r="L75" s="5" t="s">
        <v>2405</v>
      </c>
      <c r="M75" s="5">
        <v>16.0</v>
      </c>
      <c r="N75" s="5"/>
      <c r="O75" s="5">
        <v>35873.0</v>
      </c>
      <c r="P75" s="5" t="s">
        <v>1797</v>
      </c>
      <c r="Q75" s="5" t="s">
        <v>2406</v>
      </c>
      <c r="R75" s="5">
        <v>424.0</v>
      </c>
      <c r="S75" s="5">
        <v>4.691415595E9</v>
      </c>
      <c r="T75" s="5"/>
      <c r="U75" s="5" t="s">
        <v>2408</v>
      </c>
      <c r="V75" s="5">
        <v>4.691288519E9</v>
      </c>
      <c r="W75" s="5" t="s">
        <v>1787</v>
      </c>
      <c r="X75" s="91">
        <v>40679.0</v>
      </c>
      <c r="Y75" s="5">
        <v>2.0</v>
      </c>
      <c r="Z75" s="5">
        <v>3.0</v>
      </c>
      <c r="AA75" s="5">
        <v>97.0</v>
      </c>
      <c r="AB75" s="5" t="s">
        <v>2410</v>
      </c>
      <c r="AC75" s="5" t="s">
        <v>1772</v>
      </c>
      <c r="AD75" s="91">
        <v>44376.0</v>
      </c>
      <c r="AE75" s="91">
        <v>46202.0</v>
      </c>
      <c r="AF75" s="5"/>
      <c r="AG75" s="5"/>
      <c r="AH75" s="5">
        <v>1.2099057643E10</v>
      </c>
      <c r="AI75" s="5">
        <v>9.0</v>
      </c>
      <c r="AJ75" s="5"/>
      <c r="AK75" s="5" t="s">
        <v>1773</v>
      </c>
      <c r="AL75" s="92">
        <v>0.0</v>
      </c>
      <c r="AM75" s="5" t="s">
        <v>1770</v>
      </c>
      <c r="AN75" s="5" t="s">
        <v>1830</v>
      </c>
      <c r="AO75" s="5"/>
      <c r="AP75" s="5"/>
      <c r="AQ75" s="5"/>
      <c r="AR75" s="5"/>
      <c r="AS75" s="5"/>
      <c r="AT75" s="5"/>
      <c r="AU75" s="5"/>
      <c r="AV75" s="5"/>
      <c r="AW75" s="5" t="s">
        <v>1770</v>
      </c>
      <c r="AX75" s="5"/>
      <c r="AY75" s="5"/>
      <c r="AZ75" s="5" t="s">
        <v>1770</v>
      </c>
      <c r="BA75" s="93">
        <v>0.0</v>
      </c>
      <c r="BB75" s="93">
        <v>0.0</v>
      </c>
      <c r="BC75" s="93">
        <v>0.0</v>
      </c>
      <c r="BD75" s="93">
        <v>0.0</v>
      </c>
      <c r="BE75" s="93">
        <v>0.0</v>
      </c>
      <c r="BF75" s="93">
        <v>0.0</v>
      </c>
      <c r="BG75" s="5"/>
      <c r="BH75" s="93">
        <v>0.0</v>
      </c>
      <c r="BI75" s="93">
        <v>0.0</v>
      </c>
      <c r="BJ75" s="93">
        <v>0.0</v>
      </c>
      <c r="BK75" s="93">
        <v>0.0</v>
      </c>
      <c r="BL75" s="93">
        <v>0.0</v>
      </c>
      <c r="BM75" s="93">
        <v>0.0</v>
      </c>
      <c r="BN75" s="93">
        <v>0.0</v>
      </c>
      <c r="BO75" s="5"/>
      <c r="BP75" s="5"/>
      <c r="BQ75" s="5" t="s">
        <v>1775</v>
      </c>
      <c r="BR75" s="94">
        <v>43477.45681712963</v>
      </c>
      <c r="BS75" s="5">
        <v>1.0</v>
      </c>
      <c r="BT75" s="94">
        <v>46133.492800925924</v>
      </c>
      <c r="BU75" s="5">
        <v>272.0</v>
      </c>
      <c r="BV75" s="5" t="s">
        <v>1770</v>
      </c>
      <c r="BW75" s="5" t="s">
        <v>1770</v>
      </c>
    </row>
    <row r="76" ht="14.25" customHeight="1">
      <c r="A76" s="95">
        <v>75.0</v>
      </c>
      <c r="B76" s="95">
        <v>311.0</v>
      </c>
      <c r="C76" s="95" t="s">
        <v>2412</v>
      </c>
      <c r="D76" s="95" t="s">
        <v>2413</v>
      </c>
      <c r="E76" s="96" t="s">
        <v>2414</v>
      </c>
      <c r="F76" s="97" t="s">
        <v>2415</v>
      </c>
      <c r="G76" s="95" t="s">
        <v>2416</v>
      </c>
      <c r="H76" s="95" t="s">
        <v>1781</v>
      </c>
      <c r="I76" s="95" t="s">
        <v>1782</v>
      </c>
      <c r="J76" s="98">
        <v>31371.0</v>
      </c>
      <c r="K76" s="5">
        <v>944.0</v>
      </c>
      <c r="L76" s="5" t="s">
        <v>2417</v>
      </c>
      <c r="M76" s="5">
        <v>340.0</v>
      </c>
      <c r="N76" s="5"/>
      <c r="O76" s="5">
        <v>35878.0</v>
      </c>
      <c r="P76" s="5" t="s">
        <v>2418</v>
      </c>
      <c r="Q76" s="5" t="s">
        <v>2406</v>
      </c>
      <c r="R76" s="5">
        <v>424.0</v>
      </c>
      <c r="S76" s="5">
        <v>4.691030648E9</v>
      </c>
      <c r="T76" s="5" t="s">
        <v>2419</v>
      </c>
      <c r="U76" s="100" t="s">
        <v>2420</v>
      </c>
      <c r="V76" s="5">
        <v>3.521127168E9</v>
      </c>
      <c r="W76" s="5" t="s">
        <v>1787</v>
      </c>
      <c r="X76" s="91">
        <v>42754.0</v>
      </c>
      <c r="Y76" s="5">
        <v>2.0</v>
      </c>
      <c r="Z76" s="5">
        <v>17.0</v>
      </c>
      <c r="AA76" s="5">
        <v>6.0</v>
      </c>
      <c r="AB76" s="5">
        <v>1.03060739E8</v>
      </c>
      <c r="AC76" s="5" t="s">
        <v>1800</v>
      </c>
      <c r="AD76" s="91">
        <v>45506.0</v>
      </c>
      <c r="AE76" s="91">
        <v>46601.0</v>
      </c>
      <c r="AF76" s="5"/>
      <c r="AG76" s="5"/>
      <c r="AH76" s="5">
        <v>5.5078509845E10</v>
      </c>
      <c r="AI76" s="5">
        <v>9.0</v>
      </c>
      <c r="AJ76" s="5"/>
      <c r="AK76" s="5" t="s">
        <v>1773</v>
      </c>
      <c r="AL76" s="92">
        <v>0.0</v>
      </c>
      <c r="AM76" s="5" t="s">
        <v>1770</v>
      </c>
      <c r="AN76" s="5" t="s">
        <v>1830</v>
      </c>
      <c r="AO76" s="5"/>
      <c r="AP76" s="5"/>
      <c r="AQ76" s="5"/>
      <c r="AR76" s="5"/>
      <c r="AS76" s="5"/>
      <c r="AT76" s="5"/>
      <c r="AU76" s="5"/>
      <c r="AV76" s="5"/>
      <c r="AW76" s="5" t="s">
        <v>1770</v>
      </c>
      <c r="AX76" s="5"/>
      <c r="AY76" s="5"/>
      <c r="AZ76" s="5" t="s">
        <v>1770</v>
      </c>
      <c r="BA76" s="93">
        <v>0.0</v>
      </c>
      <c r="BB76" s="93">
        <v>0.0</v>
      </c>
      <c r="BC76" s="93">
        <v>0.0</v>
      </c>
      <c r="BD76" s="93">
        <v>0.0</v>
      </c>
      <c r="BE76" s="93">
        <v>0.0</v>
      </c>
      <c r="BF76" s="93">
        <v>0.0</v>
      </c>
      <c r="BG76" s="5"/>
      <c r="BH76" s="93">
        <v>0.0</v>
      </c>
      <c r="BI76" s="93">
        <v>0.0</v>
      </c>
      <c r="BJ76" s="93">
        <v>0.0</v>
      </c>
      <c r="BK76" s="93">
        <v>0.0</v>
      </c>
      <c r="BL76" s="93">
        <v>0.0</v>
      </c>
      <c r="BM76" s="93">
        <v>0.0</v>
      </c>
      <c r="BN76" s="93">
        <v>0.0</v>
      </c>
      <c r="BO76" s="5"/>
      <c r="BP76" s="5"/>
      <c r="BQ76" s="5" t="s">
        <v>1775</v>
      </c>
      <c r="BR76" s="94">
        <v>43477.45681712963</v>
      </c>
      <c r="BS76" s="5">
        <v>1.0</v>
      </c>
      <c r="BT76" s="94">
        <v>46133.50791666667</v>
      </c>
      <c r="BU76" s="5">
        <v>272.0</v>
      </c>
      <c r="BV76" s="5" t="s">
        <v>1770</v>
      </c>
      <c r="BW76" s="5" t="s">
        <v>1770</v>
      </c>
    </row>
    <row r="77" ht="14.25" customHeight="1">
      <c r="A77" s="95">
        <v>76.0</v>
      </c>
      <c r="B77" s="95">
        <v>323.0</v>
      </c>
      <c r="C77" s="95" t="s">
        <v>1810</v>
      </c>
      <c r="D77" s="95" t="s">
        <v>1950</v>
      </c>
      <c r="E77" s="101" t="s">
        <v>2377</v>
      </c>
      <c r="F77" s="97" t="s">
        <v>2421</v>
      </c>
      <c r="G77" s="95" t="s">
        <v>2422</v>
      </c>
      <c r="H77" s="95" t="s">
        <v>1815</v>
      </c>
      <c r="I77" s="95" t="s">
        <v>1763</v>
      </c>
      <c r="J77" s="102" t="s">
        <v>1770</v>
      </c>
      <c r="K77" s="5" t="s">
        <v>1770</v>
      </c>
      <c r="L77" s="5" t="s">
        <v>2423</v>
      </c>
      <c r="M77" s="5">
        <v>26.0</v>
      </c>
      <c r="N77" s="5"/>
      <c r="O77" s="5">
        <v>35877.0</v>
      </c>
      <c r="P77" s="5" t="s">
        <v>1797</v>
      </c>
      <c r="Q77" s="5" t="s">
        <v>2406</v>
      </c>
      <c r="R77" s="5">
        <v>424.0</v>
      </c>
      <c r="S77" s="5">
        <v>4.691327459E9</v>
      </c>
      <c r="T77" s="5"/>
      <c r="U77" s="100" t="s">
        <v>2424</v>
      </c>
      <c r="V77" s="5">
        <v>1.23456789E9</v>
      </c>
      <c r="W77" s="5" t="s">
        <v>1924</v>
      </c>
      <c r="X77" s="91">
        <v>43102.0</v>
      </c>
      <c r="Y77" s="5">
        <v>2.0</v>
      </c>
      <c r="Z77" s="5">
        <v>17.0</v>
      </c>
      <c r="AA77" s="5">
        <v>18.0</v>
      </c>
      <c r="AB77" s="5"/>
      <c r="AC77" s="5"/>
      <c r="AD77" s="5" t="s">
        <v>1770</v>
      </c>
      <c r="AE77" s="5" t="s">
        <v>1770</v>
      </c>
      <c r="AF77" s="5"/>
      <c r="AG77" s="5"/>
      <c r="AH77" s="5">
        <v>2.1021021201E10</v>
      </c>
      <c r="AI77" s="5"/>
      <c r="AJ77" s="5"/>
      <c r="AK77" s="5" t="s">
        <v>1773</v>
      </c>
      <c r="AL77" s="92">
        <v>0.0</v>
      </c>
      <c r="AM77" s="5" t="s">
        <v>1770</v>
      </c>
      <c r="AN77" s="5" t="s">
        <v>1830</v>
      </c>
      <c r="AO77" s="5" t="s">
        <v>2425</v>
      </c>
      <c r="AP77" s="5"/>
      <c r="AQ77" s="5"/>
      <c r="AR77" s="5"/>
      <c r="AS77" s="5"/>
      <c r="AT77" s="5"/>
      <c r="AU77" s="5"/>
      <c r="AV77" s="5"/>
      <c r="AW77" s="5" t="s">
        <v>1770</v>
      </c>
      <c r="AX77" s="5"/>
      <c r="AY77" s="5"/>
      <c r="AZ77" s="5" t="s">
        <v>1770</v>
      </c>
      <c r="BA77" s="93">
        <v>0.0</v>
      </c>
      <c r="BB77" s="93">
        <v>0.0</v>
      </c>
      <c r="BC77" s="93">
        <v>0.0</v>
      </c>
      <c r="BD77" s="93">
        <v>0.0</v>
      </c>
      <c r="BE77" s="93">
        <v>0.0</v>
      </c>
      <c r="BF77" s="93">
        <v>0.0</v>
      </c>
      <c r="BG77" s="5"/>
      <c r="BH77" s="93">
        <v>0.0</v>
      </c>
      <c r="BI77" s="93">
        <v>0.0</v>
      </c>
      <c r="BJ77" s="93">
        <v>0.0</v>
      </c>
      <c r="BK77" s="93">
        <v>0.0</v>
      </c>
      <c r="BL77" s="93">
        <v>0.0</v>
      </c>
      <c r="BM77" s="93">
        <v>0.0</v>
      </c>
      <c r="BN77" s="93">
        <v>0.0</v>
      </c>
      <c r="BO77" s="5"/>
      <c r="BP77" s="5" t="s">
        <v>2426</v>
      </c>
      <c r="BQ77" s="5" t="s">
        <v>1775</v>
      </c>
      <c r="BR77" s="94">
        <v>43477.45681712963</v>
      </c>
      <c r="BS77" s="5">
        <v>1.0</v>
      </c>
      <c r="BT77" s="94">
        <v>46135.406273148146</v>
      </c>
      <c r="BU77" s="5">
        <v>339.0</v>
      </c>
      <c r="BV77" s="5" t="s">
        <v>1770</v>
      </c>
      <c r="BW77" s="5" t="s">
        <v>1770</v>
      </c>
    </row>
    <row r="78" ht="14.25" customHeight="1">
      <c r="A78" s="95">
        <v>77.0</v>
      </c>
      <c r="B78" s="95">
        <v>330.0</v>
      </c>
      <c r="C78" s="95" t="s">
        <v>2427</v>
      </c>
      <c r="D78" s="95" t="s">
        <v>2399</v>
      </c>
      <c r="E78" s="96" t="s">
        <v>2382</v>
      </c>
      <c r="F78" s="97" t="s">
        <v>2428</v>
      </c>
      <c r="G78" s="95" t="s">
        <v>2429</v>
      </c>
      <c r="H78" s="95" t="s">
        <v>1781</v>
      </c>
      <c r="I78" s="95" t="s">
        <v>1782</v>
      </c>
      <c r="J78" s="98">
        <v>31657.0</v>
      </c>
      <c r="K78" s="5">
        <v>424.0</v>
      </c>
      <c r="L78" s="5" t="s">
        <v>2430</v>
      </c>
      <c r="M78" s="5">
        <v>9.0</v>
      </c>
      <c r="N78" s="5"/>
      <c r="O78" s="5">
        <v>35872.0</v>
      </c>
      <c r="P78" s="5" t="s">
        <v>2431</v>
      </c>
      <c r="Q78" s="5" t="s">
        <v>2406</v>
      </c>
      <c r="R78" s="5">
        <v>424.0</v>
      </c>
      <c r="S78" s="5">
        <v>4.691021171E9</v>
      </c>
      <c r="T78" s="5"/>
      <c r="U78" s="5" t="s">
        <v>2432</v>
      </c>
      <c r="V78" s="5">
        <v>4.691122568E9</v>
      </c>
      <c r="W78" s="5" t="s">
        <v>1787</v>
      </c>
      <c r="X78" s="91">
        <v>42879.0</v>
      </c>
      <c r="Y78" s="5">
        <v>2.0</v>
      </c>
      <c r="Z78" s="5">
        <v>19.0</v>
      </c>
      <c r="AA78" s="5">
        <v>1.0</v>
      </c>
      <c r="AB78" s="5" t="s">
        <v>2433</v>
      </c>
      <c r="AC78" s="5" t="s">
        <v>1772</v>
      </c>
      <c r="AD78" s="91">
        <v>45323.0</v>
      </c>
      <c r="AE78" s="91">
        <v>46054.0</v>
      </c>
      <c r="AF78" s="5">
        <v>4.58592829E8</v>
      </c>
      <c r="AG78" s="5"/>
      <c r="AH78" s="5">
        <v>2.178686917E9</v>
      </c>
      <c r="AI78" s="5">
        <v>9.0</v>
      </c>
      <c r="AJ78" s="5"/>
      <c r="AK78" s="5" t="s">
        <v>1773</v>
      </c>
      <c r="AL78" s="92">
        <v>0.0</v>
      </c>
      <c r="AM78" s="5" t="s">
        <v>1770</v>
      </c>
      <c r="AN78" s="5" t="s">
        <v>1774</v>
      </c>
      <c r="AO78" s="5"/>
      <c r="AP78" s="5"/>
      <c r="AQ78" s="5"/>
      <c r="AR78" s="5"/>
      <c r="AS78" s="5"/>
      <c r="AT78" s="5" t="s">
        <v>2434</v>
      </c>
      <c r="AU78" s="5"/>
      <c r="AV78" s="5" t="s">
        <v>2435</v>
      </c>
      <c r="AW78" s="5" t="s">
        <v>1770</v>
      </c>
      <c r="AX78" s="5"/>
      <c r="AY78" s="5"/>
      <c r="AZ78" s="5" t="s">
        <v>1770</v>
      </c>
      <c r="BA78" s="93">
        <v>0.0</v>
      </c>
      <c r="BB78" s="93">
        <v>0.0</v>
      </c>
      <c r="BC78" s="93">
        <v>0.0</v>
      </c>
      <c r="BD78" s="93">
        <v>0.0</v>
      </c>
      <c r="BE78" s="93">
        <v>0.0</v>
      </c>
      <c r="BF78" s="93">
        <v>0.0</v>
      </c>
      <c r="BG78" s="5"/>
      <c r="BH78" s="93">
        <v>0.0</v>
      </c>
      <c r="BI78" s="93">
        <v>0.0</v>
      </c>
      <c r="BJ78" s="93">
        <v>0.0</v>
      </c>
      <c r="BK78" s="93">
        <v>0.0</v>
      </c>
      <c r="BL78" s="93">
        <v>0.0</v>
      </c>
      <c r="BM78" s="93">
        <v>0.0</v>
      </c>
      <c r="BN78" s="93">
        <v>0.0</v>
      </c>
      <c r="BO78" s="5"/>
      <c r="BP78" s="5" t="s">
        <v>1770</v>
      </c>
      <c r="BQ78" s="5" t="s">
        <v>1789</v>
      </c>
      <c r="BR78" s="94">
        <v>43477.45685185185</v>
      </c>
      <c r="BS78" s="5">
        <v>1.0</v>
      </c>
      <c r="BT78" s="94">
        <v>45324.48402777778</v>
      </c>
      <c r="BU78" s="5">
        <v>40.0</v>
      </c>
      <c r="BV78" s="94">
        <v>45748.3865625</v>
      </c>
      <c r="BW78" s="5">
        <v>40.0</v>
      </c>
    </row>
    <row r="79" ht="14.25" customHeight="1">
      <c r="A79" s="95">
        <v>78.0</v>
      </c>
      <c r="B79" s="95">
        <v>320.0</v>
      </c>
      <c r="C79" s="95" t="s">
        <v>2080</v>
      </c>
      <c r="D79" s="95" t="s">
        <v>2437</v>
      </c>
      <c r="E79" s="96" t="s">
        <v>2001</v>
      </c>
      <c r="F79" s="97" t="s">
        <v>2439</v>
      </c>
      <c r="G79" s="95" t="s">
        <v>2440</v>
      </c>
      <c r="H79" s="95" t="s">
        <v>1781</v>
      </c>
      <c r="I79" s="95" t="s">
        <v>1782</v>
      </c>
      <c r="J79" s="98">
        <v>42826.0</v>
      </c>
      <c r="K79" s="5">
        <v>428.0</v>
      </c>
      <c r="L79" s="5" t="s">
        <v>2441</v>
      </c>
      <c r="M79" s="5">
        <v>613.0</v>
      </c>
      <c r="N79" s="5"/>
      <c r="O79" s="5">
        <v>35672.0</v>
      </c>
      <c r="P79" s="5" t="s">
        <v>1797</v>
      </c>
      <c r="Q79" s="5" t="s">
        <v>2442</v>
      </c>
      <c r="R79" s="5">
        <v>428.0</v>
      </c>
      <c r="S79" s="5">
        <v>4.646485475E9</v>
      </c>
      <c r="T79" s="5"/>
      <c r="U79" s="5" t="s">
        <v>1787</v>
      </c>
      <c r="V79" s="5">
        <v>2.05015106E8</v>
      </c>
      <c r="W79" s="5" t="s">
        <v>1787</v>
      </c>
      <c r="X79" s="91">
        <v>42826.0</v>
      </c>
      <c r="Y79" s="5">
        <v>2.0</v>
      </c>
      <c r="Z79" s="5">
        <v>19.0</v>
      </c>
      <c r="AA79" s="5">
        <v>1.0</v>
      </c>
      <c r="AB79" s="5"/>
      <c r="AC79" s="5"/>
      <c r="AD79" s="5" t="s">
        <v>1770</v>
      </c>
      <c r="AE79" s="5" t="s">
        <v>1770</v>
      </c>
      <c r="AF79" s="5"/>
      <c r="AG79" s="5"/>
      <c r="AH79" s="5">
        <v>1.2947349564E10</v>
      </c>
      <c r="AI79" s="5">
        <v>3.0</v>
      </c>
      <c r="AJ79" s="5"/>
      <c r="AK79" s="5" t="s">
        <v>1773</v>
      </c>
      <c r="AL79" s="92">
        <v>0.0</v>
      </c>
      <c r="AM79" s="5" t="s">
        <v>1770</v>
      </c>
      <c r="AN79" s="5" t="s">
        <v>1830</v>
      </c>
      <c r="AO79" s="5"/>
      <c r="AP79" s="5"/>
      <c r="AQ79" s="5"/>
      <c r="AR79" s="5"/>
      <c r="AS79" s="5"/>
      <c r="AT79" s="5"/>
      <c r="AU79" s="5"/>
      <c r="AV79" s="5"/>
      <c r="AW79" s="5" t="s">
        <v>1770</v>
      </c>
      <c r="AX79" s="5"/>
      <c r="AY79" s="5"/>
      <c r="AZ79" s="5" t="s">
        <v>1770</v>
      </c>
      <c r="BA79" s="93">
        <v>0.0</v>
      </c>
      <c r="BB79" s="93">
        <v>0.0</v>
      </c>
      <c r="BC79" s="93">
        <v>0.0</v>
      </c>
      <c r="BD79" s="93">
        <v>0.0</v>
      </c>
      <c r="BE79" s="93">
        <v>0.0</v>
      </c>
      <c r="BF79" s="93">
        <v>0.0</v>
      </c>
      <c r="BG79" s="5"/>
      <c r="BH79" s="93">
        <v>0.0</v>
      </c>
      <c r="BI79" s="93">
        <v>0.0</v>
      </c>
      <c r="BJ79" s="93">
        <v>0.0</v>
      </c>
      <c r="BK79" s="93">
        <v>0.0</v>
      </c>
      <c r="BL79" s="93">
        <v>0.0</v>
      </c>
      <c r="BM79" s="93">
        <v>0.0</v>
      </c>
      <c r="BN79" s="93">
        <v>0.0</v>
      </c>
      <c r="BO79" s="5"/>
      <c r="BP79" s="5" t="s">
        <v>1770</v>
      </c>
      <c r="BQ79" s="5" t="s">
        <v>1789</v>
      </c>
      <c r="BR79" s="94">
        <v>43477.45685185185</v>
      </c>
      <c r="BS79" s="5">
        <v>1.0</v>
      </c>
      <c r="BT79" s="94">
        <v>43705.512083333335</v>
      </c>
      <c r="BU79" s="5">
        <v>40.0</v>
      </c>
      <c r="BV79" s="94">
        <v>44060.54777777778</v>
      </c>
      <c r="BW79" s="5">
        <v>83.0</v>
      </c>
    </row>
    <row r="80" ht="14.25" customHeight="1">
      <c r="A80" s="95">
        <v>79.0</v>
      </c>
      <c r="B80" s="95">
        <v>144.0</v>
      </c>
      <c r="C80" s="95" t="s">
        <v>2443</v>
      </c>
      <c r="D80" s="95" t="s">
        <v>1946</v>
      </c>
      <c r="E80" s="96" t="s">
        <v>2444</v>
      </c>
      <c r="F80" s="97" t="s">
        <v>2445</v>
      </c>
      <c r="G80" s="95" t="s">
        <v>2446</v>
      </c>
      <c r="H80" s="95" t="s">
        <v>1781</v>
      </c>
      <c r="I80" s="95" t="s">
        <v>1782</v>
      </c>
      <c r="J80" s="98">
        <v>32477.0</v>
      </c>
      <c r="K80" s="5">
        <v>271.0</v>
      </c>
      <c r="L80" s="5" t="s">
        <v>2449</v>
      </c>
      <c r="M80" s="5">
        <v>852.0</v>
      </c>
      <c r="N80" s="5"/>
      <c r="O80" s="5">
        <v>43832.0</v>
      </c>
      <c r="P80" s="5" t="s">
        <v>1797</v>
      </c>
      <c r="Q80" s="5"/>
      <c r="R80" s="5">
        <v>850.0</v>
      </c>
      <c r="S80" s="5">
        <v>3.519688874E9</v>
      </c>
      <c r="T80" s="5"/>
      <c r="U80" s="5" t="s">
        <v>1787</v>
      </c>
      <c r="V80" s="5">
        <v>3.516600148E9</v>
      </c>
      <c r="W80" s="5" t="s">
        <v>1787</v>
      </c>
      <c r="X80" s="91">
        <v>41349.0</v>
      </c>
      <c r="Y80" s="5">
        <v>2.0</v>
      </c>
      <c r="Z80" s="5">
        <v>4.0</v>
      </c>
      <c r="AA80" s="5">
        <v>41.0</v>
      </c>
      <c r="AB80" s="5" t="s">
        <v>2450</v>
      </c>
      <c r="AC80" s="5" t="s">
        <v>1800</v>
      </c>
      <c r="AD80" s="91">
        <v>44267.0</v>
      </c>
      <c r="AE80" s="91">
        <v>54859.0</v>
      </c>
      <c r="AF80" s="5"/>
      <c r="AG80" s="5"/>
      <c r="AH80" s="5">
        <v>5.3078802484E10</v>
      </c>
      <c r="AI80" s="5">
        <v>77.0</v>
      </c>
      <c r="AJ80" s="5"/>
      <c r="AK80" s="5" t="s">
        <v>1773</v>
      </c>
      <c r="AL80" s="92">
        <v>0.0</v>
      </c>
      <c r="AM80" s="5" t="s">
        <v>1770</v>
      </c>
      <c r="AN80" s="5" t="s">
        <v>1830</v>
      </c>
      <c r="AO80" s="5"/>
      <c r="AP80" s="5"/>
      <c r="AQ80" s="5"/>
      <c r="AR80" s="5"/>
      <c r="AS80" s="5"/>
      <c r="AT80" s="5"/>
      <c r="AU80" s="5"/>
      <c r="AV80" s="5"/>
      <c r="AW80" s="5" t="s">
        <v>1770</v>
      </c>
      <c r="AX80" s="5"/>
      <c r="AY80" s="5"/>
      <c r="AZ80" s="5" t="s">
        <v>1770</v>
      </c>
      <c r="BA80" s="93">
        <v>0.0</v>
      </c>
      <c r="BB80" s="93">
        <v>0.0</v>
      </c>
      <c r="BC80" s="93">
        <v>0.0</v>
      </c>
      <c r="BD80" s="93">
        <v>0.0</v>
      </c>
      <c r="BE80" s="93">
        <v>0.0</v>
      </c>
      <c r="BF80" s="93">
        <v>0.0</v>
      </c>
      <c r="BG80" s="5"/>
      <c r="BH80" s="93">
        <v>0.0</v>
      </c>
      <c r="BI80" s="93">
        <v>0.0</v>
      </c>
      <c r="BJ80" s="93">
        <v>0.0</v>
      </c>
      <c r="BK80" s="93">
        <v>0.0</v>
      </c>
      <c r="BL80" s="93">
        <v>0.0</v>
      </c>
      <c r="BM80" s="93">
        <v>0.0</v>
      </c>
      <c r="BN80" s="93">
        <v>0.0</v>
      </c>
      <c r="BO80" s="5"/>
      <c r="BP80" s="5" t="s">
        <v>1770</v>
      </c>
      <c r="BQ80" s="5" t="s">
        <v>1789</v>
      </c>
      <c r="BR80" s="94">
        <v>43477.45685185185</v>
      </c>
      <c r="BS80" s="5">
        <v>1.0</v>
      </c>
      <c r="BT80" s="94">
        <v>45324.650046296294</v>
      </c>
      <c r="BU80" s="5">
        <v>40.0</v>
      </c>
      <c r="BV80" s="94">
        <v>45642.703680555554</v>
      </c>
      <c r="BW80" s="5">
        <v>40.0</v>
      </c>
    </row>
    <row r="81" ht="14.25" customHeight="1">
      <c r="A81" s="95">
        <v>80.0</v>
      </c>
      <c r="B81" s="95">
        <v>190.0</v>
      </c>
      <c r="C81" s="95" t="s">
        <v>2451</v>
      </c>
      <c r="D81" s="95" t="s">
        <v>2399</v>
      </c>
      <c r="E81" s="96" t="s">
        <v>2452</v>
      </c>
      <c r="F81" s="97" t="s">
        <v>2453</v>
      </c>
      <c r="G81" s="95" t="s">
        <v>2454</v>
      </c>
      <c r="H81" s="95" t="s">
        <v>1781</v>
      </c>
      <c r="I81" s="95" t="s">
        <v>1782</v>
      </c>
      <c r="J81" s="98">
        <v>34627.0</v>
      </c>
      <c r="K81" s="5" t="s">
        <v>1770</v>
      </c>
      <c r="L81" s="5" t="s">
        <v>2455</v>
      </c>
      <c r="M81" s="5">
        <v>369.0</v>
      </c>
      <c r="N81" s="5"/>
      <c r="O81" s="5">
        <v>43832.0</v>
      </c>
      <c r="P81" s="5" t="s">
        <v>1797</v>
      </c>
      <c r="Q81" s="5"/>
      <c r="R81" s="5">
        <v>850.0</v>
      </c>
      <c r="S81" s="5">
        <v>3.517888952E9</v>
      </c>
      <c r="T81" s="5"/>
      <c r="U81" s="5" t="s">
        <v>1787</v>
      </c>
      <c r="V81" s="5">
        <v>3.517885655E9</v>
      </c>
      <c r="W81" s="5" t="s">
        <v>1787</v>
      </c>
      <c r="X81" s="91">
        <v>41708.0</v>
      </c>
      <c r="Y81" s="5">
        <v>3.0</v>
      </c>
      <c r="Z81" s="5">
        <v>4.0</v>
      </c>
      <c r="AA81" s="5">
        <v>41.0</v>
      </c>
      <c r="AB81" s="5"/>
      <c r="AC81" s="5"/>
      <c r="AD81" s="5" t="s">
        <v>1770</v>
      </c>
      <c r="AE81" s="5" t="s">
        <v>1770</v>
      </c>
      <c r="AF81" s="5"/>
      <c r="AG81" s="5"/>
      <c r="AH81" s="5">
        <v>2.714949382E10</v>
      </c>
      <c r="AI81" s="5">
        <v>77.0</v>
      </c>
      <c r="AJ81" s="5"/>
      <c r="AK81" s="5" t="s">
        <v>1773</v>
      </c>
      <c r="AL81" s="92">
        <v>0.0</v>
      </c>
      <c r="AM81" s="5" t="s">
        <v>1770</v>
      </c>
      <c r="AN81" s="5" t="s">
        <v>1788</v>
      </c>
      <c r="AO81" s="5"/>
      <c r="AP81" s="5"/>
      <c r="AQ81" s="5"/>
      <c r="AR81" s="5"/>
      <c r="AS81" s="5"/>
      <c r="AT81" s="5"/>
      <c r="AU81" s="5"/>
      <c r="AV81" s="5"/>
      <c r="AW81" s="5" t="s">
        <v>1770</v>
      </c>
      <c r="AX81" s="5"/>
      <c r="AY81" s="5"/>
      <c r="AZ81" s="5" t="s">
        <v>1770</v>
      </c>
      <c r="BA81" s="93">
        <v>0.0</v>
      </c>
      <c r="BB81" s="93">
        <v>0.0</v>
      </c>
      <c r="BC81" s="93">
        <v>0.0</v>
      </c>
      <c r="BD81" s="93">
        <v>0.0</v>
      </c>
      <c r="BE81" s="93">
        <v>0.0</v>
      </c>
      <c r="BF81" s="93">
        <v>0.0</v>
      </c>
      <c r="BG81" s="5"/>
      <c r="BH81" s="93">
        <v>0.0</v>
      </c>
      <c r="BI81" s="93">
        <v>0.0</v>
      </c>
      <c r="BJ81" s="93">
        <v>0.0</v>
      </c>
      <c r="BK81" s="93">
        <v>0.0</v>
      </c>
      <c r="BL81" s="93">
        <v>0.0</v>
      </c>
      <c r="BM81" s="93">
        <v>0.0</v>
      </c>
      <c r="BN81" s="93">
        <v>0.0</v>
      </c>
      <c r="BO81" s="5"/>
      <c r="BP81" s="5" t="s">
        <v>1770</v>
      </c>
      <c r="BQ81" s="5" t="s">
        <v>1789</v>
      </c>
      <c r="BR81" s="94">
        <v>43477.45685185185</v>
      </c>
      <c r="BS81" s="5">
        <v>1.0</v>
      </c>
      <c r="BT81" s="94">
        <v>43504.54703703704</v>
      </c>
      <c r="BU81" s="5">
        <v>40.0</v>
      </c>
      <c r="BV81" s="94">
        <v>44645.52767361111</v>
      </c>
      <c r="BW81" s="5">
        <v>167.0</v>
      </c>
    </row>
    <row r="82" ht="14.25" customHeight="1">
      <c r="A82" s="95">
        <v>81.0</v>
      </c>
      <c r="B82" s="95">
        <v>65.0</v>
      </c>
      <c r="C82" s="95" t="s">
        <v>2456</v>
      </c>
      <c r="D82" s="95" t="s">
        <v>2457</v>
      </c>
      <c r="E82" s="96" t="s">
        <v>2458</v>
      </c>
      <c r="F82" s="97" t="s">
        <v>2459</v>
      </c>
      <c r="G82" s="95" t="s">
        <v>2460</v>
      </c>
      <c r="H82" s="95" t="s">
        <v>1781</v>
      </c>
      <c r="I82" s="95" t="s">
        <v>1782</v>
      </c>
      <c r="J82" s="98">
        <v>27017.0</v>
      </c>
      <c r="K82" s="5">
        <v>850.0</v>
      </c>
      <c r="L82" s="5" t="s">
        <v>2461</v>
      </c>
      <c r="M82" s="5">
        <v>58742.0</v>
      </c>
      <c r="N82" s="5"/>
      <c r="O82" s="5">
        <v>43832.0</v>
      </c>
      <c r="P82" s="5" t="s">
        <v>1797</v>
      </c>
      <c r="Q82" s="5"/>
      <c r="R82" s="5">
        <v>850.0</v>
      </c>
      <c r="S82" s="5">
        <v>3.519875621E9</v>
      </c>
      <c r="T82" s="5"/>
      <c r="U82" s="5" t="s">
        <v>1787</v>
      </c>
      <c r="V82" s="5">
        <v>3.510548845E9</v>
      </c>
      <c r="W82" s="5" t="s">
        <v>1787</v>
      </c>
      <c r="X82" s="91">
        <v>41248.0</v>
      </c>
      <c r="Y82" s="5">
        <v>3.0</v>
      </c>
      <c r="Z82" s="5">
        <v>4.0</v>
      </c>
      <c r="AA82" s="5">
        <v>41.0</v>
      </c>
      <c r="AB82" s="5"/>
      <c r="AC82" s="5"/>
      <c r="AD82" s="5" t="s">
        <v>1770</v>
      </c>
      <c r="AE82" s="5" t="s">
        <v>1770</v>
      </c>
      <c r="AF82" s="5"/>
      <c r="AG82" s="5"/>
      <c r="AH82" s="5">
        <v>5.302730505E10</v>
      </c>
      <c r="AI82" s="5">
        <v>77.0</v>
      </c>
      <c r="AJ82" s="5"/>
      <c r="AK82" s="5" t="s">
        <v>1773</v>
      </c>
      <c r="AL82" s="92">
        <v>0.0</v>
      </c>
      <c r="AM82" s="5" t="s">
        <v>1770</v>
      </c>
      <c r="AN82" s="5" t="s">
        <v>1788</v>
      </c>
      <c r="AO82" s="5"/>
      <c r="AP82" s="5"/>
      <c r="AQ82" s="5"/>
      <c r="AR82" s="5"/>
      <c r="AS82" s="5"/>
      <c r="AT82" s="5"/>
      <c r="AU82" s="5"/>
      <c r="AV82" s="5"/>
      <c r="AW82" s="5" t="s">
        <v>1770</v>
      </c>
      <c r="AX82" s="5"/>
      <c r="AY82" s="5"/>
      <c r="AZ82" s="5" t="s">
        <v>1770</v>
      </c>
      <c r="BA82" s="93">
        <v>0.0</v>
      </c>
      <c r="BB82" s="93">
        <v>0.0</v>
      </c>
      <c r="BC82" s="93">
        <v>0.0</v>
      </c>
      <c r="BD82" s="93">
        <v>0.0</v>
      </c>
      <c r="BE82" s="93">
        <v>0.0</v>
      </c>
      <c r="BF82" s="93">
        <v>0.0</v>
      </c>
      <c r="BG82" s="5"/>
      <c r="BH82" s="93">
        <v>0.0</v>
      </c>
      <c r="BI82" s="93">
        <v>0.0</v>
      </c>
      <c r="BJ82" s="93">
        <v>0.0</v>
      </c>
      <c r="BK82" s="93">
        <v>0.0</v>
      </c>
      <c r="BL82" s="93">
        <v>0.0</v>
      </c>
      <c r="BM82" s="93">
        <v>0.0</v>
      </c>
      <c r="BN82" s="93">
        <v>0.0</v>
      </c>
      <c r="BO82" s="5"/>
      <c r="BP82" s="5" t="s">
        <v>1770</v>
      </c>
      <c r="BQ82" s="5" t="s">
        <v>1789</v>
      </c>
      <c r="BR82" s="94">
        <v>43477.45685185185</v>
      </c>
      <c r="BS82" s="5">
        <v>1.0</v>
      </c>
      <c r="BT82" s="94">
        <v>43635.60358796296</v>
      </c>
      <c r="BU82" s="5">
        <v>40.0</v>
      </c>
      <c r="BV82" s="94">
        <v>44645.517743055556</v>
      </c>
      <c r="BW82" s="5">
        <v>167.0</v>
      </c>
    </row>
    <row r="83" ht="14.25" customHeight="1">
      <c r="A83" s="95">
        <v>82.0</v>
      </c>
      <c r="B83" s="95">
        <v>285.0</v>
      </c>
      <c r="C83" s="95" t="s">
        <v>2462</v>
      </c>
      <c r="D83" s="95" t="s">
        <v>2463</v>
      </c>
      <c r="E83" s="96" t="s">
        <v>2464</v>
      </c>
      <c r="F83" s="97" t="s">
        <v>2465</v>
      </c>
      <c r="G83" s="95" t="s">
        <v>2466</v>
      </c>
      <c r="H83" s="95" t="s">
        <v>1781</v>
      </c>
      <c r="I83" s="95" t="s">
        <v>1782</v>
      </c>
      <c r="J83" s="98">
        <v>32785.0</v>
      </c>
      <c r="K83" s="5">
        <v>850.0</v>
      </c>
      <c r="L83" s="5" t="s">
        <v>2467</v>
      </c>
      <c r="M83" s="5">
        <v>720.0</v>
      </c>
      <c r="N83" s="5"/>
      <c r="O83" s="5">
        <v>55132.0</v>
      </c>
      <c r="P83" s="5" t="s">
        <v>2468</v>
      </c>
      <c r="Q83" s="5" t="s">
        <v>234</v>
      </c>
      <c r="R83" s="5">
        <v>850.0</v>
      </c>
      <c r="S83" s="5">
        <v>3.521654789E9</v>
      </c>
      <c r="T83" s="5"/>
      <c r="U83" s="5" t="s">
        <v>1787</v>
      </c>
      <c r="V83" s="5">
        <v>3.529870012E9</v>
      </c>
      <c r="W83" s="5" t="s">
        <v>1787</v>
      </c>
      <c r="X83" s="91">
        <v>42522.0</v>
      </c>
      <c r="Y83" s="5">
        <v>3.0</v>
      </c>
      <c r="Z83" s="5">
        <v>4.0</v>
      </c>
      <c r="AA83" s="5">
        <v>39.0</v>
      </c>
      <c r="AB83" s="5"/>
      <c r="AC83" s="5"/>
      <c r="AD83" s="5" t="s">
        <v>1770</v>
      </c>
      <c r="AE83" s="5" t="s">
        <v>1770</v>
      </c>
      <c r="AF83" s="5"/>
      <c r="AG83" s="5"/>
      <c r="AH83" s="5">
        <v>5.3088960199E10</v>
      </c>
      <c r="AI83" s="5">
        <v>77.0</v>
      </c>
      <c r="AJ83" s="5"/>
      <c r="AK83" s="5" t="s">
        <v>1773</v>
      </c>
      <c r="AL83" s="92">
        <v>0.0</v>
      </c>
      <c r="AM83" s="5" t="s">
        <v>1770</v>
      </c>
      <c r="AN83" s="5" t="s">
        <v>1788</v>
      </c>
      <c r="AO83" s="5"/>
      <c r="AP83" s="5"/>
      <c r="AQ83" s="5"/>
      <c r="AR83" s="5"/>
      <c r="AS83" s="5"/>
      <c r="AT83" s="5"/>
      <c r="AU83" s="5"/>
      <c r="AV83" s="5"/>
      <c r="AW83" s="5" t="s">
        <v>1770</v>
      </c>
      <c r="AX83" s="5"/>
      <c r="AY83" s="5"/>
      <c r="AZ83" s="5" t="s">
        <v>1770</v>
      </c>
      <c r="BA83" s="93">
        <v>0.0</v>
      </c>
      <c r="BB83" s="93">
        <v>0.0</v>
      </c>
      <c r="BC83" s="93">
        <v>0.0</v>
      </c>
      <c r="BD83" s="93">
        <v>0.0</v>
      </c>
      <c r="BE83" s="93">
        <v>0.0</v>
      </c>
      <c r="BF83" s="93">
        <v>0.0</v>
      </c>
      <c r="BG83" s="5"/>
      <c r="BH83" s="93">
        <v>0.0</v>
      </c>
      <c r="BI83" s="93">
        <v>0.0</v>
      </c>
      <c r="BJ83" s="93">
        <v>0.0</v>
      </c>
      <c r="BK83" s="93">
        <v>0.0</v>
      </c>
      <c r="BL83" s="93">
        <v>0.0</v>
      </c>
      <c r="BM83" s="93">
        <v>0.0</v>
      </c>
      <c r="BN83" s="93">
        <v>0.0</v>
      </c>
      <c r="BO83" s="5"/>
      <c r="BP83" s="5" t="s">
        <v>1770</v>
      </c>
      <c r="BQ83" s="5" t="s">
        <v>1789</v>
      </c>
      <c r="BR83" s="94">
        <v>43477.45685185185</v>
      </c>
      <c r="BS83" s="5">
        <v>1.0</v>
      </c>
      <c r="BT83" s="94">
        <v>43684.45527777778</v>
      </c>
      <c r="BU83" s="5">
        <v>40.0</v>
      </c>
      <c r="BV83" s="94">
        <v>44392.69814814815</v>
      </c>
      <c r="BW83" s="5">
        <v>40.0</v>
      </c>
    </row>
    <row r="84" ht="14.25" customHeight="1">
      <c r="A84" s="95">
        <v>83.0</v>
      </c>
      <c r="B84" s="95">
        <v>363.0</v>
      </c>
      <c r="C84" s="95" t="s">
        <v>2469</v>
      </c>
      <c r="D84" s="95" t="s">
        <v>2265</v>
      </c>
      <c r="E84" s="96" t="s">
        <v>1927</v>
      </c>
      <c r="F84" s="97" t="s">
        <v>2470</v>
      </c>
      <c r="G84" s="95"/>
      <c r="H84" s="95"/>
      <c r="I84" s="95" t="s">
        <v>1782</v>
      </c>
      <c r="J84" s="102" t="s">
        <v>1770</v>
      </c>
      <c r="K84" s="5" t="s">
        <v>1770</v>
      </c>
      <c r="L84" s="5" t="s">
        <v>2473</v>
      </c>
      <c r="M84" s="5">
        <v>785.0</v>
      </c>
      <c r="N84" s="5"/>
      <c r="O84" s="5">
        <v>43832.0</v>
      </c>
      <c r="P84" s="5" t="s">
        <v>1797</v>
      </c>
      <c r="Q84" s="5"/>
      <c r="R84" s="5">
        <v>850.0</v>
      </c>
      <c r="S84" s="5">
        <v>3.517955165E9</v>
      </c>
      <c r="T84" s="5"/>
      <c r="U84" s="5" t="s">
        <v>1787</v>
      </c>
      <c r="V84" s="5">
        <v>3.510205115E9</v>
      </c>
      <c r="W84" s="5" t="s">
        <v>1787</v>
      </c>
      <c r="X84" s="91">
        <v>43102.0</v>
      </c>
      <c r="Y84" s="5">
        <v>3.0</v>
      </c>
      <c r="Z84" s="5">
        <v>4.0</v>
      </c>
      <c r="AA84" s="5">
        <v>39.0</v>
      </c>
      <c r="AB84" s="5"/>
      <c r="AC84" s="5"/>
      <c r="AD84" s="5" t="s">
        <v>1770</v>
      </c>
      <c r="AE84" s="5" t="s">
        <v>1770</v>
      </c>
      <c r="AF84" s="5"/>
      <c r="AG84" s="5"/>
      <c r="AH84" s="5">
        <v>1.981101015E9</v>
      </c>
      <c r="AI84" s="5"/>
      <c r="AJ84" s="5"/>
      <c r="AK84" s="5" t="s">
        <v>1773</v>
      </c>
      <c r="AL84" s="92">
        <v>0.0</v>
      </c>
      <c r="AM84" s="5" t="s">
        <v>1770</v>
      </c>
      <c r="AN84" s="5" t="s">
        <v>1788</v>
      </c>
      <c r="AO84" s="5"/>
      <c r="AP84" s="5"/>
      <c r="AQ84" s="5"/>
      <c r="AR84" s="5"/>
      <c r="AS84" s="5"/>
      <c r="AT84" s="5"/>
      <c r="AU84" s="5"/>
      <c r="AV84" s="5"/>
      <c r="AW84" s="5" t="s">
        <v>1770</v>
      </c>
      <c r="AX84" s="5"/>
      <c r="AY84" s="5"/>
      <c r="AZ84" s="5" t="s">
        <v>1770</v>
      </c>
      <c r="BA84" s="93">
        <v>0.0</v>
      </c>
      <c r="BB84" s="93">
        <v>0.0</v>
      </c>
      <c r="BC84" s="93">
        <v>0.0</v>
      </c>
      <c r="BD84" s="93">
        <v>0.0</v>
      </c>
      <c r="BE84" s="93">
        <v>0.0</v>
      </c>
      <c r="BF84" s="93">
        <v>0.0</v>
      </c>
      <c r="BG84" s="5"/>
      <c r="BH84" s="93">
        <v>0.0</v>
      </c>
      <c r="BI84" s="93">
        <v>0.0</v>
      </c>
      <c r="BJ84" s="93">
        <v>0.0</v>
      </c>
      <c r="BK84" s="93">
        <v>0.0</v>
      </c>
      <c r="BL84" s="93">
        <v>0.0</v>
      </c>
      <c r="BM84" s="93">
        <v>0.0</v>
      </c>
      <c r="BN84" s="93">
        <v>0.0</v>
      </c>
      <c r="BO84" s="5"/>
      <c r="BP84" s="5" t="s">
        <v>1770</v>
      </c>
      <c r="BQ84" s="5" t="s">
        <v>1789</v>
      </c>
      <c r="BR84" s="94">
        <v>43477.45685185185</v>
      </c>
      <c r="BS84" s="5">
        <v>1.0</v>
      </c>
      <c r="BT84" s="94">
        <v>43636.54472222222</v>
      </c>
      <c r="BU84" s="5">
        <v>40.0</v>
      </c>
      <c r="BV84" s="94">
        <v>44392.704363425924</v>
      </c>
      <c r="BW84" s="5">
        <v>40.0</v>
      </c>
    </row>
    <row r="85" ht="14.25" customHeight="1">
      <c r="A85" s="95">
        <v>84.0</v>
      </c>
      <c r="B85" s="95">
        <v>108.0</v>
      </c>
      <c r="C85" s="95" t="s">
        <v>1967</v>
      </c>
      <c r="D85" s="95" t="s">
        <v>1946</v>
      </c>
      <c r="E85" s="96" t="s">
        <v>2474</v>
      </c>
      <c r="F85" s="97" t="s">
        <v>2475</v>
      </c>
      <c r="G85" s="95" t="s">
        <v>2476</v>
      </c>
      <c r="H85" s="95" t="s">
        <v>1781</v>
      </c>
      <c r="I85" s="95" t="s">
        <v>1782</v>
      </c>
      <c r="J85" s="98">
        <v>24059.0</v>
      </c>
      <c r="K85" s="5">
        <v>597.0</v>
      </c>
      <c r="L85" s="5" t="s">
        <v>2477</v>
      </c>
      <c r="M85" s="5">
        <v>22.0</v>
      </c>
      <c r="N85" s="5"/>
      <c r="O85" s="5">
        <v>43832.0</v>
      </c>
      <c r="P85" s="5" t="s">
        <v>2478</v>
      </c>
      <c r="Q85" s="5" t="s">
        <v>2478</v>
      </c>
      <c r="R85" s="5">
        <v>597.0</v>
      </c>
      <c r="S85" s="5">
        <v>3.319111756E9</v>
      </c>
      <c r="T85" s="5" t="s">
        <v>2479</v>
      </c>
      <c r="U85" s="5" t="s">
        <v>2480</v>
      </c>
      <c r="V85" s="5">
        <v>3.322063506E9</v>
      </c>
      <c r="W85" s="5" t="s">
        <v>1787</v>
      </c>
      <c r="X85" s="91">
        <v>40925.0</v>
      </c>
      <c r="Y85" s="5">
        <v>5.0</v>
      </c>
      <c r="Z85" s="5">
        <v>4.0</v>
      </c>
      <c r="AA85" s="5">
        <v>41.0</v>
      </c>
      <c r="AB85" s="5" t="s">
        <v>2481</v>
      </c>
      <c r="AC85" s="5" t="s">
        <v>1800</v>
      </c>
      <c r="AD85" s="91">
        <v>46149.0</v>
      </c>
      <c r="AE85" s="91">
        <v>47610.0</v>
      </c>
      <c r="AF85" s="5"/>
      <c r="AG85" s="5"/>
      <c r="AH85" s="5">
        <v>5.4846680699E10</v>
      </c>
      <c r="AI85" s="5">
        <v>95.0</v>
      </c>
      <c r="AJ85" s="5"/>
      <c r="AK85" s="5" t="s">
        <v>1773</v>
      </c>
      <c r="AL85" s="92">
        <v>0.0</v>
      </c>
      <c r="AM85" s="5" t="s">
        <v>1770</v>
      </c>
      <c r="AN85" s="5" t="s">
        <v>1830</v>
      </c>
      <c r="AO85" s="5"/>
      <c r="AP85" s="5"/>
      <c r="AQ85" s="5"/>
      <c r="AR85" s="5"/>
      <c r="AS85" s="5"/>
      <c r="AT85" s="5"/>
      <c r="AU85" s="5"/>
      <c r="AV85" s="5"/>
      <c r="AW85" s="5" t="s">
        <v>1770</v>
      </c>
      <c r="AX85" s="5"/>
      <c r="AY85" s="5"/>
      <c r="AZ85" s="5" t="s">
        <v>1770</v>
      </c>
      <c r="BA85" s="93">
        <v>0.0</v>
      </c>
      <c r="BB85" s="93">
        <v>0.0</v>
      </c>
      <c r="BC85" s="93">
        <v>0.0</v>
      </c>
      <c r="BD85" s="93">
        <v>0.0</v>
      </c>
      <c r="BE85" s="93">
        <v>0.0</v>
      </c>
      <c r="BF85" s="93">
        <v>0.0</v>
      </c>
      <c r="BG85" s="5"/>
      <c r="BH85" s="93">
        <v>0.0</v>
      </c>
      <c r="BI85" s="93">
        <v>0.0</v>
      </c>
      <c r="BJ85" s="93">
        <v>0.0</v>
      </c>
      <c r="BK85" s="93">
        <v>0.0</v>
      </c>
      <c r="BL85" s="93">
        <v>0.0</v>
      </c>
      <c r="BM85" s="93">
        <v>0.0</v>
      </c>
      <c r="BN85" s="93">
        <v>0.0</v>
      </c>
      <c r="BO85" s="5"/>
      <c r="BP85" s="5"/>
      <c r="BQ85" s="5" t="s">
        <v>1775</v>
      </c>
      <c r="BR85" s="94">
        <v>43477.45685185185</v>
      </c>
      <c r="BS85" s="5">
        <v>1.0</v>
      </c>
      <c r="BT85" s="94">
        <v>46176.571076388886</v>
      </c>
      <c r="BU85" s="5">
        <v>40.0</v>
      </c>
      <c r="BV85" s="5" t="s">
        <v>1770</v>
      </c>
      <c r="BW85" s="5" t="s">
        <v>1770</v>
      </c>
    </row>
    <row r="86" ht="14.25" customHeight="1">
      <c r="A86" s="95">
        <v>85.0</v>
      </c>
      <c r="B86" s="95">
        <v>258.0</v>
      </c>
      <c r="C86" s="95" t="s">
        <v>2482</v>
      </c>
      <c r="D86" s="95" t="s">
        <v>2343</v>
      </c>
      <c r="E86" s="96" t="s">
        <v>2208</v>
      </c>
      <c r="F86" s="97" t="s">
        <v>2483</v>
      </c>
      <c r="G86" s="95" t="s">
        <v>2484</v>
      </c>
      <c r="H86" s="95" t="s">
        <v>1781</v>
      </c>
      <c r="I86" s="95" t="s">
        <v>1782</v>
      </c>
      <c r="J86" s="98">
        <v>24934.0</v>
      </c>
      <c r="K86" s="5">
        <v>597.0</v>
      </c>
      <c r="L86" s="5" t="s">
        <v>1984</v>
      </c>
      <c r="M86" s="5">
        <v>85.0</v>
      </c>
      <c r="N86" s="5"/>
      <c r="O86" s="5">
        <v>41922.0</v>
      </c>
      <c r="P86" s="5" t="s">
        <v>1797</v>
      </c>
      <c r="Q86" s="5" t="s">
        <v>2485</v>
      </c>
      <c r="R86" s="5">
        <v>597.0</v>
      </c>
      <c r="S86" s="5">
        <v>3.928541256E9</v>
      </c>
      <c r="T86" s="5"/>
      <c r="U86" s="5" t="s">
        <v>1787</v>
      </c>
      <c r="V86" s="5">
        <v>3.919856523E9</v>
      </c>
      <c r="W86" s="5" t="s">
        <v>1787</v>
      </c>
      <c r="X86" s="91">
        <v>42354.0</v>
      </c>
      <c r="Y86" s="5">
        <v>5.0</v>
      </c>
      <c r="Z86" s="5">
        <v>4.0</v>
      </c>
      <c r="AA86" s="5">
        <v>39.0</v>
      </c>
      <c r="AB86" s="5"/>
      <c r="AC86" s="5"/>
      <c r="AD86" s="5" t="s">
        <v>1770</v>
      </c>
      <c r="AE86" s="5" t="s">
        <v>1770</v>
      </c>
      <c r="AF86" s="5"/>
      <c r="AG86" s="5"/>
      <c r="AH86" s="5">
        <v>4.06680932E9</v>
      </c>
      <c r="AI86" s="5">
        <v>95.0</v>
      </c>
      <c r="AJ86" s="5"/>
      <c r="AK86" s="5" t="s">
        <v>1773</v>
      </c>
      <c r="AL86" s="92">
        <v>0.0</v>
      </c>
      <c r="AM86" s="5" t="s">
        <v>1770</v>
      </c>
      <c r="AN86" s="5" t="s">
        <v>1788</v>
      </c>
      <c r="AO86" s="5"/>
      <c r="AP86" s="5"/>
      <c r="AQ86" s="5"/>
      <c r="AR86" s="5"/>
      <c r="AS86" s="5"/>
      <c r="AT86" s="5"/>
      <c r="AU86" s="5"/>
      <c r="AV86" s="5"/>
      <c r="AW86" s="5" t="s">
        <v>1770</v>
      </c>
      <c r="AX86" s="5"/>
      <c r="AY86" s="5"/>
      <c r="AZ86" s="5" t="s">
        <v>1770</v>
      </c>
      <c r="BA86" s="93">
        <v>0.0</v>
      </c>
      <c r="BB86" s="93">
        <v>0.0</v>
      </c>
      <c r="BC86" s="93">
        <v>0.0</v>
      </c>
      <c r="BD86" s="93">
        <v>0.0</v>
      </c>
      <c r="BE86" s="93">
        <v>0.0</v>
      </c>
      <c r="BF86" s="93">
        <v>0.0</v>
      </c>
      <c r="BG86" s="5"/>
      <c r="BH86" s="93">
        <v>0.0</v>
      </c>
      <c r="BI86" s="93">
        <v>0.0</v>
      </c>
      <c r="BJ86" s="93">
        <v>0.0</v>
      </c>
      <c r="BK86" s="93">
        <v>0.0</v>
      </c>
      <c r="BL86" s="93">
        <v>0.0</v>
      </c>
      <c r="BM86" s="93">
        <v>0.0</v>
      </c>
      <c r="BN86" s="93">
        <v>0.0</v>
      </c>
      <c r="BO86" s="5"/>
      <c r="BP86" s="5" t="s">
        <v>1770</v>
      </c>
      <c r="BQ86" s="5" t="s">
        <v>1789</v>
      </c>
      <c r="BR86" s="94">
        <v>43477.45685185185</v>
      </c>
      <c r="BS86" s="5">
        <v>1.0</v>
      </c>
      <c r="BT86" s="94">
        <v>43635.52284722222</v>
      </c>
      <c r="BU86" s="5">
        <v>40.0</v>
      </c>
      <c r="BV86" s="94">
        <v>44072.466203703705</v>
      </c>
      <c r="BW86" s="5">
        <v>83.0</v>
      </c>
    </row>
    <row r="87" ht="14.25" customHeight="1">
      <c r="A87" s="95">
        <v>86.0</v>
      </c>
      <c r="B87" s="95">
        <v>336.0</v>
      </c>
      <c r="C87" s="95" t="s">
        <v>2486</v>
      </c>
      <c r="D87" s="95" t="s">
        <v>1812</v>
      </c>
      <c r="E87" s="96" t="s">
        <v>1792</v>
      </c>
      <c r="F87" s="97" t="s">
        <v>2487</v>
      </c>
      <c r="G87" s="95" t="s">
        <v>2488</v>
      </c>
      <c r="H87" s="95" t="s">
        <v>1781</v>
      </c>
      <c r="I87" s="95" t="s">
        <v>1782</v>
      </c>
      <c r="J87" s="98">
        <v>33878.0</v>
      </c>
      <c r="K87" s="5" t="s">
        <v>1770</v>
      </c>
      <c r="L87" s="5" t="s">
        <v>2489</v>
      </c>
      <c r="M87" s="5">
        <v>298.0</v>
      </c>
      <c r="N87" s="5"/>
      <c r="O87" s="5">
        <v>41922.0</v>
      </c>
      <c r="P87" s="5" t="s">
        <v>2490</v>
      </c>
      <c r="Q87" s="5" t="s">
        <v>2349</v>
      </c>
      <c r="R87" s="5">
        <v>597.0</v>
      </c>
      <c r="S87" s="5">
        <v>3.929404856E9</v>
      </c>
      <c r="T87" s="5" t="s">
        <v>2491</v>
      </c>
      <c r="U87" s="5" t="s">
        <v>1787</v>
      </c>
      <c r="V87" s="5">
        <v>1.254205602E9</v>
      </c>
      <c r="W87" s="5" t="s">
        <v>1787</v>
      </c>
      <c r="X87" s="91">
        <v>42905.0</v>
      </c>
      <c r="Y87" s="5">
        <v>5.0</v>
      </c>
      <c r="Z87" s="5">
        <v>4.0</v>
      </c>
      <c r="AA87" s="5">
        <v>12.0</v>
      </c>
      <c r="AB87" s="5" t="s">
        <v>2492</v>
      </c>
      <c r="AC87" s="5" t="s">
        <v>1800</v>
      </c>
      <c r="AD87" s="91">
        <v>44494.0</v>
      </c>
      <c r="AE87" s="91">
        <v>45955.0</v>
      </c>
      <c r="AF87" s="5"/>
      <c r="AG87" s="5"/>
      <c r="AH87" s="5">
        <v>4.099274542E9</v>
      </c>
      <c r="AI87" s="5">
        <v>95.0</v>
      </c>
      <c r="AJ87" s="5"/>
      <c r="AK87" s="5" t="s">
        <v>1773</v>
      </c>
      <c r="AL87" s="92">
        <v>0.0</v>
      </c>
      <c r="AM87" s="5" t="s">
        <v>1770</v>
      </c>
      <c r="AN87" s="5" t="s">
        <v>1774</v>
      </c>
      <c r="AO87" s="5"/>
      <c r="AP87" s="5"/>
      <c r="AQ87" s="5"/>
      <c r="AR87" s="5"/>
      <c r="AS87" s="5"/>
      <c r="AT87" s="5"/>
      <c r="AU87" s="5"/>
      <c r="AV87" s="5"/>
      <c r="AW87" s="5" t="s">
        <v>1770</v>
      </c>
      <c r="AX87" s="5"/>
      <c r="AY87" s="5"/>
      <c r="AZ87" s="5" t="s">
        <v>1770</v>
      </c>
      <c r="BA87" s="93">
        <v>0.0</v>
      </c>
      <c r="BB87" s="93">
        <v>0.0</v>
      </c>
      <c r="BC87" s="93">
        <v>0.0</v>
      </c>
      <c r="BD87" s="93">
        <v>0.0</v>
      </c>
      <c r="BE87" s="93">
        <v>0.0</v>
      </c>
      <c r="BF87" s="93">
        <v>0.0</v>
      </c>
      <c r="BG87" s="5"/>
      <c r="BH87" s="93">
        <v>0.0</v>
      </c>
      <c r="BI87" s="93">
        <v>0.0</v>
      </c>
      <c r="BJ87" s="93">
        <v>0.0</v>
      </c>
      <c r="BK87" s="93">
        <v>0.0</v>
      </c>
      <c r="BL87" s="93">
        <v>0.0</v>
      </c>
      <c r="BM87" s="93">
        <v>0.0</v>
      </c>
      <c r="BN87" s="93">
        <v>0.0</v>
      </c>
      <c r="BO87" s="5"/>
      <c r="BP87" s="5" t="s">
        <v>1770</v>
      </c>
      <c r="BQ87" s="5" t="s">
        <v>1789</v>
      </c>
      <c r="BR87" s="94">
        <v>43477.45685185185</v>
      </c>
      <c r="BS87" s="5">
        <v>1.0</v>
      </c>
      <c r="BT87" s="94">
        <v>45755.44561342592</v>
      </c>
      <c r="BU87" s="5">
        <v>40.0</v>
      </c>
      <c r="BV87" s="94">
        <v>46104.453564814816</v>
      </c>
      <c r="BW87" s="5">
        <v>40.0</v>
      </c>
    </row>
    <row r="88" ht="14.25" customHeight="1">
      <c r="A88" s="95">
        <v>87.0</v>
      </c>
      <c r="B88" s="95">
        <v>230.0</v>
      </c>
      <c r="C88" s="95" t="s">
        <v>2493</v>
      </c>
      <c r="D88" s="95" t="s">
        <v>2494</v>
      </c>
      <c r="E88" s="96" t="s">
        <v>2074</v>
      </c>
      <c r="F88" s="97" t="s">
        <v>2495</v>
      </c>
      <c r="G88" s="95" t="s">
        <v>2496</v>
      </c>
      <c r="H88" s="95" t="s">
        <v>1972</v>
      </c>
      <c r="I88" s="95" t="s">
        <v>1782</v>
      </c>
      <c r="J88" s="98">
        <v>34399.0</v>
      </c>
      <c r="K88" s="5">
        <v>549.0</v>
      </c>
      <c r="L88" s="5" t="s">
        <v>2498</v>
      </c>
      <c r="M88" s="5">
        <v>253.0</v>
      </c>
      <c r="N88" s="5"/>
      <c r="O88" s="5">
        <v>43882.0</v>
      </c>
      <c r="P88" s="5" t="s">
        <v>1797</v>
      </c>
      <c r="Q88" s="5" t="s">
        <v>1798</v>
      </c>
      <c r="R88" s="5">
        <v>549.0</v>
      </c>
      <c r="S88" s="5">
        <v>3.332315584E9</v>
      </c>
      <c r="T88" s="5"/>
      <c r="U88" s="5" t="s">
        <v>1787</v>
      </c>
      <c r="V88" s="5">
        <v>3.10301205E9</v>
      </c>
      <c r="W88" s="5" t="s">
        <v>1787</v>
      </c>
      <c r="X88" s="91">
        <v>42055.0</v>
      </c>
      <c r="Y88" s="5">
        <v>1.0</v>
      </c>
      <c r="Z88" s="5">
        <v>4.0</v>
      </c>
      <c r="AA88" s="5">
        <v>12.0</v>
      </c>
      <c r="AB88" s="5" t="s">
        <v>2500</v>
      </c>
      <c r="AC88" s="5" t="s">
        <v>1800</v>
      </c>
      <c r="AD88" s="91">
        <v>45397.0</v>
      </c>
      <c r="AE88" s="91">
        <v>46858.0</v>
      </c>
      <c r="AF88" s="5"/>
      <c r="AG88" s="5"/>
      <c r="AH88" s="5">
        <v>1.0149457953E10</v>
      </c>
      <c r="AI88" s="5">
        <v>23.0</v>
      </c>
      <c r="AJ88" s="5"/>
      <c r="AK88" s="5" t="s">
        <v>1773</v>
      </c>
      <c r="AL88" s="92">
        <v>0.0</v>
      </c>
      <c r="AM88" s="5" t="s">
        <v>1770</v>
      </c>
      <c r="AN88" s="5" t="s">
        <v>1788</v>
      </c>
      <c r="AO88" s="5"/>
      <c r="AP88" s="5"/>
      <c r="AQ88" s="5"/>
      <c r="AR88" s="5"/>
      <c r="AS88" s="5"/>
      <c r="AT88" s="5"/>
      <c r="AU88" s="5"/>
      <c r="AV88" s="5"/>
      <c r="AW88" s="5" t="s">
        <v>1770</v>
      </c>
      <c r="AX88" s="5"/>
      <c r="AY88" s="5"/>
      <c r="AZ88" s="5" t="s">
        <v>1770</v>
      </c>
      <c r="BA88" s="93">
        <v>0.0</v>
      </c>
      <c r="BB88" s="93">
        <v>0.0</v>
      </c>
      <c r="BC88" s="93">
        <v>0.0</v>
      </c>
      <c r="BD88" s="93">
        <v>0.0</v>
      </c>
      <c r="BE88" s="93">
        <v>0.0</v>
      </c>
      <c r="BF88" s="93">
        <v>0.0</v>
      </c>
      <c r="BG88" s="5"/>
      <c r="BH88" s="93">
        <v>0.0</v>
      </c>
      <c r="BI88" s="93">
        <v>0.0</v>
      </c>
      <c r="BJ88" s="93">
        <v>0.0</v>
      </c>
      <c r="BK88" s="93">
        <v>0.0</v>
      </c>
      <c r="BL88" s="93">
        <v>0.0</v>
      </c>
      <c r="BM88" s="93">
        <v>0.0</v>
      </c>
      <c r="BN88" s="93">
        <v>0.0</v>
      </c>
      <c r="BO88" s="5"/>
      <c r="BP88" s="5" t="s">
        <v>1770</v>
      </c>
      <c r="BQ88" s="5" t="s">
        <v>1789</v>
      </c>
      <c r="BR88" s="94">
        <v>43477.45685185185</v>
      </c>
      <c r="BS88" s="5">
        <v>1.0</v>
      </c>
      <c r="BT88" s="94">
        <v>45455.56518518519</v>
      </c>
      <c r="BU88" s="5">
        <v>40.0</v>
      </c>
      <c r="BV88" s="94">
        <v>45671.69664351852</v>
      </c>
      <c r="BW88" s="5" t="s">
        <v>1770</v>
      </c>
    </row>
    <row r="89" ht="14.25" customHeight="1">
      <c r="A89" s="95">
        <v>88.0</v>
      </c>
      <c r="B89" s="95">
        <v>331.0</v>
      </c>
      <c r="C89" s="95" t="s">
        <v>2501</v>
      </c>
      <c r="D89" s="95" t="s">
        <v>1792</v>
      </c>
      <c r="E89" s="96" t="s">
        <v>1792</v>
      </c>
      <c r="F89" s="97" t="s">
        <v>2502</v>
      </c>
      <c r="G89" s="95" t="s">
        <v>2503</v>
      </c>
      <c r="H89" s="95" t="s">
        <v>1781</v>
      </c>
      <c r="I89" s="95" t="s">
        <v>1782</v>
      </c>
      <c r="J89" s="98">
        <v>33190.0</v>
      </c>
      <c r="K89" s="5">
        <v>549.0</v>
      </c>
      <c r="L89" s="5" t="s">
        <v>2504</v>
      </c>
      <c r="M89" s="5" t="s">
        <v>2505</v>
      </c>
      <c r="N89" s="5"/>
      <c r="O89" s="5">
        <v>43884.0</v>
      </c>
      <c r="P89" s="5" t="s">
        <v>2506</v>
      </c>
      <c r="Q89" s="5" t="s">
        <v>2506</v>
      </c>
      <c r="R89" s="5">
        <v>549.0</v>
      </c>
      <c r="S89" s="5">
        <v>3.931046464E9</v>
      </c>
      <c r="T89" s="5" t="s">
        <v>2507</v>
      </c>
      <c r="U89" s="5" t="s">
        <v>2508</v>
      </c>
      <c r="V89" s="5">
        <v>3.931046464E9</v>
      </c>
      <c r="W89" s="5" t="s">
        <v>1787</v>
      </c>
      <c r="X89" s="91">
        <v>42887.0</v>
      </c>
      <c r="Y89" s="5">
        <v>1.0</v>
      </c>
      <c r="Z89" s="5">
        <v>4.0</v>
      </c>
      <c r="AA89" s="5">
        <v>104.0</v>
      </c>
      <c r="AB89" s="5" t="s">
        <v>2509</v>
      </c>
      <c r="AC89" s="5" t="s">
        <v>1800</v>
      </c>
      <c r="AD89" s="91">
        <v>45996.0</v>
      </c>
      <c r="AE89" s="91">
        <v>47457.0</v>
      </c>
      <c r="AF89" s="5"/>
      <c r="AG89" s="5"/>
      <c r="AH89" s="5">
        <v>4.079010361E9</v>
      </c>
      <c r="AI89" s="5">
        <v>23.0</v>
      </c>
      <c r="AJ89" s="5"/>
      <c r="AK89" s="5" t="s">
        <v>1773</v>
      </c>
      <c r="AL89" s="92">
        <v>0.0</v>
      </c>
      <c r="AM89" s="5" t="s">
        <v>1770</v>
      </c>
      <c r="AN89" s="5" t="s">
        <v>2052</v>
      </c>
      <c r="AO89" s="5"/>
      <c r="AP89" s="5"/>
      <c r="AQ89" s="5"/>
      <c r="AR89" s="5"/>
      <c r="AS89" s="5"/>
      <c r="AT89" s="5"/>
      <c r="AU89" s="5"/>
      <c r="AV89" s="5"/>
      <c r="AW89" s="5" t="s">
        <v>1770</v>
      </c>
      <c r="AX89" s="5"/>
      <c r="AY89" s="5"/>
      <c r="AZ89" s="5" t="s">
        <v>1770</v>
      </c>
      <c r="BA89" s="93">
        <v>0.0</v>
      </c>
      <c r="BB89" s="93">
        <v>0.0</v>
      </c>
      <c r="BC89" s="93">
        <v>0.0</v>
      </c>
      <c r="BD89" s="93">
        <v>0.0</v>
      </c>
      <c r="BE89" s="93">
        <v>0.0</v>
      </c>
      <c r="BF89" s="93">
        <v>0.0</v>
      </c>
      <c r="BG89" s="5"/>
      <c r="BH89" s="93">
        <v>0.0</v>
      </c>
      <c r="BI89" s="93">
        <v>0.0</v>
      </c>
      <c r="BJ89" s="93">
        <v>0.0</v>
      </c>
      <c r="BK89" s="93">
        <v>0.0</v>
      </c>
      <c r="BL89" s="93">
        <v>0.0</v>
      </c>
      <c r="BM89" s="93">
        <v>0.0</v>
      </c>
      <c r="BN89" s="93">
        <v>0.0</v>
      </c>
      <c r="BO89" s="5"/>
      <c r="BP89" s="5" t="s">
        <v>2510</v>
      </c>
      <c r="BQ89" s="5" t="s">
        <v>1775</v>
      </c>
      <c r="BR89" s="94">
        <v>43477.45685185185</v>
      </c>
      <c r="BS89" s="5">
        <v>1.0</v>
      </c>
      <c r="BT89" s="94">
        <v>46134.387094907404</v>
      </c>
      <c r="BU89" s="5" t="s">
        <v>1770</v>
      </c>
      <c r="BV89" s="5" t="s">
        <v>1770</v>
      </c>
      <c r="BW89" s="5" t="s">
        <v>1770</v>
      </c>
    </row>
    <row r="90" ht="14.25" customHeight="1">
      <c r="A90" s="95">
        <v>89.0</v>
      </c>
      <c r="B90" s="95">
        <v>10.0</v>
      </c>
      <c r="C90" s="95" t="s">
        <v>2511</v>
      </c>
      <c r="D90" s="95" t="s">
        <v>2001</v>
      </c>
      <c r="E90" s="96" t="s">
        <v>2512</v>
      </c>
      <c r="F90" s="97" t="s">
        <v>2513</v>
      </c>
      <c r="G90" s="95" t="s">
        <v>2514</v>
      </c>
      <c r="H90" s="95" t="s">
        <v>1781</v>
      </c>
      <c r="I90" s="95" t="s">
        <v>1782</v>
      </c>
      <c r="J90" s="98">
        <v>28227.0</v>
      </c>
      <c r="K90" s="5">
        <v>549.0</v>
      </c>
      <c r="L90" s="5" t="s">
        <v>2515</v>
      </c>
      <c r="M90" s="5">
        <v>16.0</v>
      </c>
      <c r="N90" s="5"/>
      <c r="O90" s="5">
        <v>43882.0</v>
      </c>
      <c r="P90" s="5" t="s">
        <v>2516</v>
      </c>
      <c r="Q90" s="5" t="s">
        <v>1766</v>
      </c>
      <c r="R90" s="5">
        <v>549.0</v>
      </c>
      <c r="S90" s="5">
        <v>3.932441878E9</v>
      </c>
      <c r="T90" s="5" t="s">
        <v>2517</v>
      </c>
      <c r="U90" s="5" t="s">
        <v>2518</v>
      </c>
      <c r="V90" s="5">
        <v>3.931195893E9</v>
      </c>
      <c r="W90" s="5" t="s">
        <v>1787</v>
      </c>
      <c r="X90" s="91">
        <v>39157.0</v>
      </c>
      <c r="Y90" s="5">
        <v>1.0</v>
      </c>
      <c r="Z90" s="5">
        <v>4.0</v>
      </c>
      <c r="AA90" s="5">
        <v>104.0</v>
      </c>
      <c r="AB90" s="5" t="s">
        <v>2519</v>
      </c>
      <c r="AC90" s="5" t="s">
        <v>1800</v>
      </c>
      <c r="AD90" s="91">
        <v>45961.0</v>
      </c>
      <c r="AE90" s="91">
        <v>47422.0</v>
      </c>
      <c r="AF90" s="5"/>
      <c r="AG90" s="5"/>
      <c r="AH90" s="5">
        <v>5.493773391E10</v>
      </c>
      <c r="AI90" s="5">
        <v>23.0</v>
      </c>
      <c r="AJ90" s="5"/>
      <c r="AK90" s="5" t="s">
        <v>1773</v>
      </c>
      <c r="AL90" s="92">
        <v>0.0</v>
      </c>
      <c r="AM90" s="5" t="s">
        <v>1770</v>
      </c>
      <c r="AN90" s="5" t="s">
        <v>1774</v>
      </c>
      <c r="AO90" s="5"/>
      <c r="AP90" s="5"/>
      <c r="AQ90" s="5"/>
      <c r="AR90" s="5"/>
      <c r="AS90" s="5"/>
      <c r="AT90" s="5"/>
      <c r="AU90" s="5"/>
      <c r="AV90" s="5"/>
      <c r="AW90" s="5" t="s">
        <v>1770</v>
      </c>
      <c r="AX90" s="5"/>
      <c r="AY90" s="5"/>
      <c r="AZ90" s="5" t="s">
        <v>1770</v>
      </c>
      <c r="BA90" s="93">
        <v>0.0</v>
      </c>
      <c r="BB90" s="93">
        <v>0.0</v>
      </c>
      <c r="BC90" s="93">
        <v>0.0</v>
      </c>
      <c r="BD90" s="93">
        <v>0.0</v>
      </c>
      <c r="BE90" s="93">
        <v>0.0</v>
      </c>
      <c r="BF90" s="93">
        <v>0.0</v>
      </c>
      <c r="BG90" s="5"/>
      <c r="BH90" s="93">
        <v>0.0</v>
      </c>
      <c r="BI90" s="93">
        <v>0.0</v>
      </c>
      <c r="BJ90" s="93">
        <v>0.0</v>
      </c>
      <c r="BK90" s="93">
        <v>0.0</v>
      </c>
      <c r="BL90" s="93">
        <v>0.0</v>
      </c>
      <c r="BM90" s="93">
        <v>0.0</v>
      </c>
      <c r="BN90" s="93">
        <v>0.0</v>
      </c>
      <c r="BO90" s="5"/>
      <c r="BP90" s="5"/>
      <c r="BQ90" s="5" t="s">
        <v>1775</v>
      </c>
      <c r="BR90" s="94">
        <v>43477.45685185185</v>
      </c>
      <c r="BS90" s="5">
        <v>1.0</v>
      </c>
      <c r="BT90" s="94">
        <v>46134.39880787037</v>
      </c>
      <c r="BU90" s="5">
        <v>40.0</v>
      </c>
      <c r="BV90" s="5" t="s">
        <v>1770</v>
      </c>
      <c r="BW90" s="5" t="s">
        <v>1770</v>
      </c>
    </row>
    <row r="91" ht="14.25" customHeight="1">
      <c r="A91" s="95">
        <v>90.0</v>
      </c>
      <c r="B91" s="95">
        <v>259.0</v>
      </c>
      <c r="C91" s="95" t="s">
        <v>2520</v>
      </c>
      <c r="D91" s="95" t="s">
        <v>2521</v>
      </c>
      <c r="E91" s="96" t="s">
        <v>2522</v>
      </c>
      <c r="F91" s="97" t="s">
        <v>2523</v>
      </c>
      <c r="G91" s="95" t="s">
        <v>2524</v>
      </c>
      <c r="H91" s="95" t="s">
        <v>1781</v>
      </c>
      <c r="I91" s="95" t="s">
        <v>1782</v>
      </c>
      <c r="J91" s="98">
        <v>34506.0</v>
      </c>
      <c r="K91" s="5">
        <v>792.0</v>
      </c>
      <c r="L91" s="5" t="s">
        <v>2525</v>
      </c>
      <c r="M91" s="5">
        <v>8.0</v>
      </c>
      <c r="N91" s="5"/>
      <c r="O91" s="5">
        <v>54922.0</v>
      </c>
      <c r="P91" s="5" t="s">
        <v>1797</v>
      </c>
      <c r="Q91" s="5" t="s">
        <v>1946</v>
      </c>
      <c r="R91" s="5">
        <v>792.0</v>
      </c>
      <c r="S91" s="5">
        <v>1.1223366E7</v>
      </c>
      <c r="T91" s="5"/>
      <c r="U91" s="5" t="s">
        <v>1924</v>
      </c>
      <c r="V91" s="5">
        <v>5.287402602E9</v>
      </c>
      <c r="W91" s="5" t="s">
        <v>1924</v>
      </c>
      <c r="X91" s="91">
        <v>42354.0</v>
      </c>
      <c r="Y91" s="5">
        <v>1.0</v>
      </c>
      <c r="Z91" s="5">
        <v>4.0</v>
      </c>
      <c r="AA91" s="5">
        <v>12.0</v>
      </c>
      <c r="AB91" s="5"/>
      <c r="AC91" s="5"/>
      <c r="AD91" s="5" t="s">
        <v>1770</v>
      </c>
      <c r="AE91" s="5" t="s">
        <v>1770</v>
      </c>
      <c r="AF91" s="5"/>
      <c r="AG91" s="5"/>
      <c r="AH91" s="5">
        <v>4.9159446738E10</v>
      </c>
      <c r="AI91" s="5"/>
      <c r="AJ91" s="5"/>
      <c r="AK91" s="5" t="s">
        <v>1773</v>
      </c>
      <c r="AL91" s="92">
        <v>0.0</v>
      </c>
      <c r="AM91" s="5" t="s">
        <v>1770</v>
      </c>
      <c r="AN91" s="5" t="s">
        <v>1788</v>
      </c>
      <c r="AO91" s="5"/>
      <c r="AP91" s="5"/>
      <c r="AQ91" s="5"/>
      <c r="AR91" s="5"/>
      <c r="AS91" s="5"/>
      <c r="AT91" s="5"/>
      <c r="AU91" s="5"/>
      <c r="AV91" s="5"/>
      <c r="AW91" s="5" t="s">
        <v>1770</v>
      </c>
      <c r="AX91" s="5"/>
      <c r="AY91" s="5"/>
      <c r="AZ91" s="5" t="s">
        <v>1770</v>
      </c>
      <c r="BA91" s="93">
        <v>0.0</v>
      </c>
      <c r="BB91" s="93">
        <v>0.0</v>
      </c>
      <c r="BC91" s="93">
        <v>0.0</v>
      </c>
      <c r="BD91" s="93">
        <v>0.0</v>
      </c>
      <c r="BE91" s="93">
        <v>0.0</v>
      </c>
      <c r="BF91" s="93">
        <v>0.0</v>
      </c>
      <c r="BG91" s="5"/>
      <c r="BH91" s="93">
        <v>0.0</v>
      </c>
      <c r="BI91" s="93">
        <v>0.0</v>
      </c>
      <c r="BJ91" s="93">
        <v>0.0</v>
      </c>
      <c r="BK91" s="93">
        <v>0.0</v>
      </c>
      <c r="BL91" s="93">
        <v>0.0</v>
      </c>
      <c r="BM91" s="93">
        <v>0.0</v>
      </c>
      <c r="BN91" s="93">
        <v>0.0</v>
      </c>
      <c r="BO91" s="5"/>
      <c r="BP91" s="5" t="s">
        <v>1770</v>
      </c>
      <c r="BQ91" s="5" t="s">
        <v>1789</v>
      </c>
      <c r="BR91" s="94">
        <v>43477.45685185185</v>
      </c>
      <c r="BS91" s="5">
        <v>1.0</v>
      </c>
      <c r="BT91" s="94">
        <v>43683.44803240741</v>
      </c>
      <c r="BU91" s="5">
        <v>40.0</v>
      </c>
      <c r="BV91" s="94">
        <v>44392.70318287037</v>
      </c>
      <c r="BW91" s="5">
        <v>40.0</v>
      </c>
    </row>
    <row r="92" ht="14.25" customHeight="1">
      <c r="A92" s="95">
        <v>91.0</v>
      </c>
      <c r="B92" s="95">
        <v>318.0</v>
      </c>
      <c r="C92" s="95" t="s">
        <v>2526</v>
      </c>
      <c r="D92" s="95" t="s">
        <v>2464</v>
      </c>
      <c r="E92" s="101" t="s">
        <v>2527</v>
      </c>
      <c r="F92" s="97" t="s">
        <v>2528</v>
      </c>
      <c r="G92" s="95" t="s">
        <v>2529</v>
      </c>
      <c r="H92" s="95" t="s">
        <v>1972</v>
      </c>
      <c r="I92" s="95" t="s">
        <v>1782</v>
      </c>
      <c r="J92" s="98">
        <v>35515.0</v>
      </c>
      <c r="K92" s="5">
        <v>594.0</v>
      </c>
      <c r="L92" s="5" t="s">
        <v>2168</v>
      </c>
      <c r="M92" s="5">
        <v>45.0</v>
      </c>
      <c r="N92" s="5"/>
      <c r="O92" s="5">
        <v>43882.0</v>
      </c>
      <c r="P92" s="5" t="s">
        <v>1797</v>
      </c>
      <c r="Q92" s="5" t="s">
        <v>2530</v>
      </c>
      <c r="R92" s="5">
        <v>549.0</v>
      </c>
      <c r="S92" s="5">
        <v>3.931190467E9</v>
      </c>
      <c r="T92" s="5"/>
      <c r="U92" s="5" t="s">
        <v>1924</v>
      </c>
      <c r="V92" s="5">
        <v>2.1021021E8</v>
      </c>
      <c r="W92" s="5" t="s">
        <v>1924</v>
      </c>
      <c r="X92" s="91">
        <v>42795.0</v>
      </c>
      <c r="Y92" s="5">
        <v>1.0</v>
      </c>
      <c r="Z92" s="5">
        <v>4.0</v>
      </c>
      <c r="AA92" s="5">
        <v>39.0</v>
      </c>
      <c r="AB92" s="5"/>
      <c r="AC92" s="5"/>
      <c r="AD92" s="5" t="s">
        <v>1770</v>
      </c>
      <c r="AE92" s="5" t="s">
        <v>1770</v>
      </c>
      <c r="AF92" s="5"/>
      <c r="AG92" s="5"/>
      <c r="AH92" s="5">
        <v>7.8169785728E10</v>
      </c>
      <c r="AI92" s="5">
        <v>23.0</v>
      </c>
      <c r="AJ92" s="5"/>
      <c r="AK92" s="5" t="s">
        <v>1773</v>
      </c>
      <c r="AL92" s="92">
        <v>0.0</v>
      </c>
      <c r="AM92" s="5" t="s">
        <v>1770</v>
      </c>
      <c r="AN92" s="5" t="s">
        <v>1788</v>
      </c>
      <c r="AO92" s="5"/>
      <c r="AP92" s="5"/>
      <c r="AQ92" s="5"/>
      <c r="AR92" s="5"/>
      <c r="AS92" s="5"/>
      <c r="AT92" s="5"/>
      <c r="AU92" s="5"/>
      <c r="AV92" s="5"/>
      <c r="AW92" s="5" t="s">
        <v>1770</v>
      </c>
      <c r="AX92" s="5"/>
      <c r="AY92" s="5"/>
      <c r="AZ92" s="5" t="s">
        <v>1770</v>
      </c>
      <c r="BA92" s="93">
        <v>0.0</v>
      </c>
      <c r="BB92" s="93">
        <v>0.0</v>
      </c>
      <c r="BC92" s="93">
        <v>0.0</v>
      </c>
      <c r="BD92" s="93">
        <v>0.0</v>
      </c>
      <c r="BE92" s="93">
        <v>0.0</v>
      </c>
      <c r="BF92" s="93">
        <v>0.0</v>
      </c>
      <c r="BG92" s="5"/>
      <c r="BH92" s="93">
        <v>0.0</v>
      </c>
      <c r="BI92" s="93">
        <v>0.0</v>
      </c>
      <c r="BJ92" s="93">
        <v>0.0</v>
      </c>
      <c r="BK92" s="93">
        <v>0.0</v>
      </c>
      <c r="BL92" s="93">
        <v>0.0</v>
      </c>
      <c r="BM92" s="93">
        <v>0.0</v>
      </c>
      <c r="BN92" s="93">
        <v>0.0</v>
      </c>
      <c r="BO92" s="5"/>
      <c r="BP92" s="5" t="s">
        <v>1770</v>
      </c>
      <c r="BQ92" s="5" t="s">
        <v>1789</v>
      </c>
      <c r="BR92" s="94">
        <v>43477.45685185185</v>
      </c>
      <c r="BS92" s="5">
        <v>1.0</v>
      </c>
      <c r="BT92" s="94">
        <v>43670.56805555556</v>
      </c>
      <c r="BU92" s="5">
        <v>40.0</v>
      </c>
      <c r="BV92" s="94">
        <v>44392.70957175926</v>
      </c>
      <c r="BW92" s="5">
        <v>40.0</v>
      </c>
    </row>
    <row r="93" ht="14.25" customHeight="1">
      <c r="A93" s="95">
        <v>92.0</v>
      </c>
      <c r="B93" s="95">
        <v>353.0</v>
      </c>
      <c r="C93" s="95" t="s">
        <v>2533</v>
      </c>
      <c r="D93" s="95" t="s">
        <v>2534</v>
      </c>
      <c r="E93" s="96" t="s">
        <v>2382</v>
      </c>
      <c r="F93" s="97" t="s">
        <v>2535</v>
      </c>
      <c r="G93" s="95"/>
      <c r="H93" s="95"/>
      <c r="I93" s="95" t="s">
        <v>1782</v>
      </c>
      <c r="J93" s="102" t="s">
        <v>1770</v>
      </c>
      <c r="K93" s="5" t="s">
        <v>1770</v>
      </c>
      <c r="L93" s="5" t="s">
        <v>2536</v>
      </c>
      <c r="M93" s="5">
        <v>5.0</v>
      </c>
      <c r="N93" s="5"/>
      <c r="O93" s="5">
        <v>43882.0</v>
      </c>
      <c r="P93" s="5" t="s">
        <v>1797</v>
      </c>
      <c r="Q93" s="5"/>
      <c r="R93" s="5">
        <v>549.0</v>
      </c>
      <c r="S93" s="5">
        <v>3.32302121E9</v>
      </c>
      <c r="T93" s="5"/>
      <c r="U93" s="5" t="s">
        <v>2537</v>
      </c>
      <c r="V93" s="5">
        <v>3.931586676E9</v>
      </c>
      <c r="W93" s="5" t="s">
        <v>1787</v>
      </c>
      <c r="X93" s="91">
        <v>43158.0</v>
      </c>
      <c r="Y93" s="5">
        <v>1.0</v>
      </c>
      <c r="Z93" s="5">
        <v>17.0</v>
      </c>
      <c r="AA93" s="5">
        <v>33.0</v>
      </c>
      <c r="AB93" s="5"/>
      <c r="AC93" s="5"/>
      <c r="AD93" s="5" t="s">
        <v>1770</v>
      </c>
      <c r="AE93" s="5" t="s">
        <v>1770</v>
      </c>
      <c r="AF93" s="5"/>
      <c r="AG93" s="5"/>
      <c r="AH93" s="5">
        <v>3.010210581E10</v>
      </c>
      <c r="AI93" s="5"/>
      <c r="AJ93" s="5"/>
      <c r="AK93" s="5" t="s">
        <v>1773</v>
      </c>
      <c r="AL93" s="92">
        <v>0.0</v>
      </c>
      <c r="AM93" s="5" t="s">
        <v>1770</v>
      </c>
      <c r="AN93" s="5" t="s">
        <v>1830</v>
      </c>
      <c r="AO93" s="5"/>
      <c r="AP93" s="5"/>
      <c r="AQ93" s="5"/>
      <c r="AR93" s="5"/>
      <c r="AS93" s="5"/>
      <c r="AT93" s="5"/>
      <c r="AU93" s="5"/>
      <c r="AV93" s="5"/>
      <c r="AW93" s="5" t="s">
        <v>1770</v>
      </c>
      <c r="AX93" s="5"/>
      <c r="AY93" s="5"/>
      <c r="AZ93" s="5" t="s">
        <v>1770</v>
      </c>
      <c r="BA93" s="93">
        <v>0.0</v>
      </c>
      <c r="BB93" s="93">
        <v>0.0</v>
      </c>
      <c r="BC93" s="93">
        <v>0.0</v>
      </c>
      <c r="BD93" s="93">
        <v>0.0</v>
      </c>
      <c r="BE93" s="93">
        <v>0.0</v>
      </c>
      <c r="BF93" s="93">
        <v>0.0</v>
      </c>
      <c r="BG93" s="5"/>
      <c r="BH93" s="93">
        <v>0.0</v>
      </c>
      <c r="BI93" s="93">
        <v>0.0</v>
      </c>
      <c r="BJ93" s="93">
        <v>0.0</v>
      </c>
      <c r="BK93" s="93">
        <v>0.0</v>
      </c>
      <c r="BL93" s="93">
        <v>0.0</v>
      </c>
      <c r="BM93" s="93">
        <v>0.0</v>
      </c>
      <c r="BN93" s="93">
        <v>0.0</v>
      </c>
      <c r="BO93" s="5"/>
      <c r="BP93" s="5" t="s">
        <v>1770</v>
      </c>
      <c r="BQ93" s="5" t="s">
        <v>1789</v>
      </c>
      <c r="BR93" s="94">
        <v>43477.45685185185</v>
      </c>
      <c r="BS93" s="5">
        <v>1.0</v>
      </c>
      <c r="BT93" s="94">
        <v>43845.487905092596</v>
      </c>
      <c r="BU93" s="5">
        <v>13.0</v>
      </c>
      <c r="BV93" s="94">
        <v>44392.700787037036</v>
      </c>
      <c r="BW93" s="5">
        <v>40.0</v>
      </c>
    </row>
    <row r="94" ht="14.25" customHeight="1">
      <c r="A94" s="95">
        <v>93.0</v>
      </c>
      <c r="B94" s="95">
        <v>295.0</v>
      </c>
      <c r="C94" s="95" t="s">
        <v>2538</v>
      </c>
      <c r="D94" s="95" t="s">
        <v>1926</v>
      </c>
      <c r="E94" s="96" t="s">
        <v>1759</v>
      </c>
      <c r="F94" s="97" t="s">
        <v>2539</v>
      </c>
      <c r="G94" s="95" t="s">
        <v>2540</v>
      </c>
      <c r="H94" s="95" t="s">
        <v>1781</v>
      </c>
      <c r="I94" s="95" t="s">
        <v>1782</v>
      </c>
      <c r="J94" s="98">
        <v>26914.0</v>
      </c>
      <c r="K94" s="5">
        <v>570.0</v>
      </c>
      <c r="L94" s="5" t="s">
        <v>2541</v>
      </c>
      <c r="M94" s="5">
        <v>7.0</v>
      </c>
      <c r="N94" s="5"/>
      <c r="O94" s="5">
        <v>43882.0</v>
      </c>
      <c r="P94" s="5" t="s">
        <v>1797</v>
      </c>
      <c r="Q94" s="5" t="s">
        <v>1883</v>
      </c>
      <c r="R94" s="5">
        <v>549.0</v>
      </c>
      <c r="S94" s="5">
        <v>3.939385162E9</v>
      </c>
      <c r="T94" s="5" t="s">
        <v>2542</v>
      </c>
      <c r="U94" s="5" t="s">
        <v>2543</v>
      </c>
      <c r="V94" s="5">
        <v>3.939359022E9</v>
      </c>
      <c r="W94" s="5" t="s">
        <v>1787</v>
      </c>
      <c r="X94" s="91">
        <v>42599.0</v>
      </c>
      <c r="Y94" s="5">
        <v>1.0</v>
      </c>
      <c r="Z94" s="5">
        <v>19.0</v>
      </c>
      <c r="AA94" s="5">
        <v>15.0</v>
      </c>
      <c r="AB94" s="5" t="s">
        <v>2544</v>
      </c>
      <c r="AC94" s="5" t="s">
        <v>1800</v>
      </c>
      <c r="AD94" s="91">
        <v>45446.0</v>
      </c>
      <c r="AE94" s="91">
        <v>46176.0</v>
      </c>
      <c r="AF94" s="5"/>
      <c r="AG94" s="5"/>
      <c r="AH94" s="5">
        <v>4.907346391E9</v>
      </c>
      <c r="AI94" s="5">
        <v>23.0</v>
      </c>
      <c r="AJ94" s="5"/>
      <c r="AK94" s="5" t="s">
        <v>1773</v>
      </c>
      <c r="AL94" s="92">
        <v>0.0</v>
      </c>
      <c r="AM94" s="5" t="s">
        <v>1770</v>
      </c>
      <c r="AN94" s="5" t="s">
        <v>1774</v>
      </c>
      <c r="AO94" s="5"/>
      <c r="AP94" s="5"/>
      <c r="AQ94" s="5"/>
      <c r="AR94" s="5"/>
      <c r="AS94" s="5"/>
      <c r="AT94" s="5"/>
      <c r="AU94" s="5"/>
      <c r="AV94" s="5"/>
      <c r="AW94" s="5" t="s">
        <v>1770</v>
      </c>
      <c r="AX94" s="5"/>
      <c r="AY94" s="5"/>
      <c r="AZ94" s="5" t="s">
        <v>1770</v>
      </c>
      <c r="BA94" s="93">
        <v>0.0</v>
      </c>
      <c r="BB94" s="93">
        <v>0.0</v>
      </c>
      <c r="BC94" s="93">
        <v>0.0</v>
      </c>
      <c r="BD94" s="93">
        <v>0.0</v>
      </c>
      <c r="BE94" s="93">
        <v>0.0</v>
      </c>
      <c r="BF94" s="93">
        <v>0.0</v>
      </c>
      <c r="BG94" s="5"/>
      <c r="BH94" s="93">
        <v>0.0</v>
      </c>
      <c r="BI94" s="93">
        <v>0.0</v>
      </c>
      <c r="BJ94" s="93">
        <v>0.0</v>
      </c>
      <c r="BK94" s="93">
        <v>0.0</v>
      </c>
      <c r="BL94" s="93">
        <v>0.0</v>
      </c>
      <c r="BM94" s="93">
        <v>0.0</v>
      </c>
      <c r="BN94" s="93">
        <v>0.0</v>
      </c>
      <c r="BO94" s="5"/>
      <c r="BP94" s="5"/>
      <c r="BQ94" s="5" t="s">
        <v>1775</v>
      </c>
      <c r="BR94" s="94">
        <v>43477.45685185185</v>
      </c>
      <c r="BS94" s="5">
        <v>1.0</v>
      </c>
      <c r="BT94" s="94">
        <v>46133.46690972222</v>
      </c>
      <c r="BU94" s="5">
        <v>40.0</v>
      </c>
      <c r="BV94" s="5" t="s">
        <v>1770</v>
      </c>
      <c r="BW94" s="5" t="s">
        <v>1770</v>
      </c>
    </row>
    <row r="95" ht="14.25" customHeight="1">
      <c r="A95" s="95">
        <v>94.0</v>
      </c>
      <c r="B95" s="95">
        <v>47.0</v>
      </c>
      <c r="C95" s="95" t="s">
        <v>2493</v>
      </c>
      <c r="D95" s="95" t="s">
        <v>1878</v>
      </c>
      <c r="E95" s="96" t="s">
        <v>2074</v>
      </c>
      <c r="F95" s="97" t="s">
        <v>2545</v>
      </c>
      <c r="G95" s="95" t="s">
        <v>2546</v>
      </c>
      <c r="H95" s="95" t="s">
        <v>1781</v>
      </c>
      <c r="I95" s="95" t="s">
        <v>1782</v>
      </c>
      <c r="J95" s="98">
        <v>30722.0</v>
      </c>
      <c r="K95" s="5">
        <v>549.0</v>
      </c>
      <c r="L95" s="5" t="s">
        <v>1766</v>
      </c>
      <c r="M95" s="5">
        <v>12.0</v>
      </c>
      <c r="N95" s="5"/>
      <c r="O95" s="5">
        <v>43832.0</v>
      </c>
      <c r="P95" s="5" t="s">
        <v>1766</v>
      </c>
      <c r="Q95" s="5"/>
      <c r="R95" s="5">
        <v>549.0</v>
      </c>
      <c r="S95" s="5">
        <v>3.931806356E9</v>
      </c>
      <c r="T95" s="5" t="s">
        <v>2547</v>
      </c>
      <c r="U95" s="5" t="s">
        <v>2548</v>
      </c>
      <c r="V95" s="5">
        <v>3.931806356E9</v>
      </c>
      <c r="W95" s="5" t="s">
        <v>1787</v>
      </c>
      <c r="X95" s="91">
        <v>43193.0</v>
      </c>
      <c r="Y95" s="5">
        <v>1.0</v>
      </c>
      <c r="Z95" s="5">
        <v>19.0</v>
      </c>
      <c r="AA95" s="5">
        <v>81.0</v>
      </c>
      <c r="AB95" s="5" t="s">
        <v>2549</v>
      </c>
      <c r="AC95" s="5" t="s">
        <v>1800</v>
      </c>
      <c r="AD95" s="91">
        <v>46196.0</v>
      </c>
      <c r="AE95" s="91">
        <v>47657.0</v>
      </c>
      <c r="AF95" s="5"/>
      <c r="AG95" s="5"/>
      <c r="AH95" s="5">
        <v>4.028404301E9</v>
      </c>
      <c r="AI95" s="5">
        <v>23.0</v>
      </c>
      <c r="AJ95" s="5"/>
      <c r="AK95" s="5" t="s">
        <v>1773</v>
      </c>
      <c r="AL95" s="92">
        <v>0.0</v>
      </c>
      <c r="AM95" s="5" t="s">
        <v>1770</v>
      </c>
      <c r="AN95" s="5" t="s">
        <v>1774</v>
      </c>
      <c r="AO95" s="5"/>
      <c r="AP95" s="5"/>
      <c r="AQ95" s="5"/>
      <c r="AR95" s="5"/>
      <c r="AS95" s="5"/>
      <c r="AT95" s="5"/>
      <c r="AU95" s="5"/>
      <c r="AV95" s="5"/>
      <c r="AW95" s="5" t="s">
        <v>1770</v>
      </c>
      <c r="AX95" s="5"/>
      <c r="AY95" s="5"/>
      <c r="AZ95" s="5" t="s">
        <v>1770</v>
      </c>
      <c r="BA95" s="93">
        <v>0.0</v>
      </c>
      <c r="BB95" s="93">
        <v>0.0</v>
      </c>
      <c r="BC95" s="93">
        <v>0.0</v>
      </c>
      <c r="BD95" s="93">
        <v>0.0</v>
      </c>
      <c r="BE95" s="93">
        <v>0.0</v>
      </c>
      <c r="BF95" s="93">
        <v>0.0</v>
      </c>
      <c r="BG95" s="5"/>
      <c r="BH95" s="93">
        <v>0.0</v>
      </c>
      <c r="BI95" s="93">
        <v>0.0</v>
      </c>
      <c r="BJ95" s="93">
        <v>0.0</v>
      </c>
      <c r="BK95" s="93">
        <v>0.0</v>
      </c>
      <c r="BL95" s="93">
        <v>0.0</v>
      </c>
      <c r="BM95" s="93">
        <v>0.0</v>
      </c>
      <c r="BN95" s="93">
        <v>0.0</v>
      </c>
      <c r="BO95" s="5"/>
      <c r="BP95" s="5"/>
      <c r="BQ95" s="5" t="s">
        <v>1775</v>
      </c>
      <c r="BR95" s="94">
        <v>43477.45685185185</v>
      </c>
      <c r="BS95" s="5">
        <v>1.0</v>
      </c>
      <c r="BT95" s="94">
        <v>46199.49681712963</v>
      </c>
      <c r="BU95" s="5">
        <v>40.0</v>
      </c>
      <c r="BV95" s="5" t="s">
        <v>1770</v>
      </c>
      <c r="BW95" s="5" t="s">
        <v>1770</v>
      </c>
    </row>
    <row r="96" ht="14.25" customHeight="1">
      <c r="A96" s="95">
        <v>95.0</v>
      </c>
      <c r="B96" s="95">
        <v>374.0</v>
      </c>
      <c r="C96" s="95" t="s">
        <v>2550</v>
      </c>
      <c r="D96" s="95" t="s">
        <v>2551</v>
      </c>
      <c r="E96" s="96" t="s">
        <v>2552</v>
      </c>
      <c r="F96" s="97" t="s">
        <v>2553</v>
      </c>
      <c r="G96" s="95" t="s">
        <v>2554</v>
      </c>
      <c r="H96" s="95" t="s">
        <v>1972</v>
      </c>
      <c r="I96" s="95" t="s">
        <v>1782</v>
      </c>
      <c r="J96" s="98">
        <v>31411.0</v>
      </c>
      <c r="K96" s="5">
        <v>834.0</v>
      </c>
      <c r="L96" s="5" t="s">
        <v>2555</v>
      </c>
      <c r="M96" s="5">
        <v>47.0</v>
      </c>
      <c r="N96" s="5" t="s">
        <v>2340</v>
      </c>
      <c r="O96" s="5">
        <v>54695.0</v>
      </c>
      <c r="P96" s="5" t="s">
        <v>2556</v>
      </c>
      <c r="Q96" s="5" t="s">
        <v>2342</v>
      </c>
      <c r="R96" s="5">
        <v>834.0</v>
      </c>
      <c r="S96" s="5">
        <v>4.432213319E9</v>
      </c>
      <c r="T96" s="5"/>
      <c r="U96" s="5" t="s">
        <v>1787</v>
      </c>
      <c r="V96" s="5">
        <v>4.565020164E9</v>
      </c>
      <c r="W96" s="5" t="s">
        <v>1787</v>
      </c>
      <c r="X96" s="91">
        <v>43199.0</v>
      </c>
      <c r="Y96" s="5">
        <v>4.0</v>
      </c>
      <c r="Z96" s="5">
        <v>1.0</v>
      </c>
      <c r="AA96" s="5">
        <v>1.0</v>
      </c>
      <c r="AB96" s="5"/>
      <c r="AC96" s="5"/>
      <c r="AD96" s="5" t="s">
        <v>1770</v>
      </c>
      <c r="AE96" s="5" t="s">
        <v>1770</v>
      </c>
      <c r="AF96" s="5"/>
      <c r="AG96" s="5"/>
      <c r="AH96" s="5">
        <v>5.3048538309E10</v>
      </c>
      <c r="AI96" s="5">
        <v>80.0</v>
      </c>
      <c r="AJ96" s="5"/>
      <c r="AK96" s="5" t="s">
        <v>1773</v>
      </c>
      <c r="AL96" s="92">
        <v>0.0</v>
      </c>
      <c r="AM96" s="5" t="s">
        <v>1770</v>
      </c>
      <c r="AN96" s="5" t="s">
        <v>1788</v>
      </c>
      <c r="AO96" s="5"/>
      <c r="AP96" s="5"/>
      <c r="AQ96" s="5"/>
      <c r="AR96" s="5"/>
      <c r="AS96" s="5"/>
      <c r="AT96" s="5"/>
      <c r="AU96" s="5"/>
      <c r="AV96" s="5"/>
      <c r="AW96" s="5" t="s">
        <v>1770</v>
      </c>
      <c r="AX96" s="5"/>
      <c r="AY96" s="5"/>
      <c r="AZ96" s="5" t="s">
        <v>1770</v>
      </c>
      <c r="BA96" s="93">
        <v>0.0</v>
      </c>
      <c r="BB96" s="93">
        <v>0.0</v>
      </c>
      <c r="BC96" s="93">
        <v>0.0</v>
      </c>
      <c r="BD96" s="93">
        <v>0.0</v>
      </c>
      <c r="BE96" s="93">
        <v>0.0</v>
      </c>
      <c r="BF96" s="93">
        <v>0.0</v>
      </c>
      <c r="BG96" s="5"/>
      <c r="BH96" s="93">
        <v>0.0</v>
      </c>
      <c r="BI96" s="93">
        <v>0.0</v>
      </c>
      <c r="BJ96" s="93">
        <v>0.0</v>
      </c>
      <c r="BK96" s="93">
        <v>0.0</v>
      </c>
      <c r="BL96" s="93">
        <v>0.0</v>
      </c>
      <c r="BM96" s="93">
        <v>0.0</v>
      </c>
      <c r="BN96" s="93">
        <v>0.0</v>
      </c>
      <c r="BO96" s="5"/>
      <c r="BP96" s="5" t="s">
        <v>1770</v>
      </c>
      <c r="BQ96" s="5" t="s">
        <v>1789</v>
      </c>
      <c r="BR96" s="94">
        <v>43477.45685185185</v>
      </c>
      <c r="BS96" s="5">
        <v>1.0</v>
      </c>
      <c r="BT96" s="94">
        <v>43521.749548611115</v>
      </c>
      <c r="BU96" s="5">
        <v>40.0</v>
      </c>
      <c r="BV96" s="94">
        <v>44060.55605324074</v>
      </c>
      <c r="BW96" s="5">
        <v>83.0</v>
      </c>
    </row>
    <row r="97" ht="14.25" customHeight="1">
      <c r="A97" s="95">
        <v>96.0</v>
      </c>
      <c r="B97" s="95">
        <v>193.0</v>
      </c>
      <c r="C97" s="95" t="s">
        <v>2557</v>
      </c>
      <c r="D97" s="95" t="s">
        <v>2001</v>
      </c>
      <c r="E97" s="96" t="s">
        <v>2558</v>
      </c>
      <c r="F97" s="97" t="s">
        <v>2559</v>
      </c>
      <c r="G97" s="95" t="s">
        <v>2560</v>
      </c>
      <c r="H97" s="95" t="s">
        <v>1762</v>
      </c>
      <c r="I97" s="95" t="s">
        <v>1763</v>
      </c>
      <c r="J97" s="98">
        <v>28658.0</v>
      </c>
      <c r="K97" s="5">
        <v>597.0</v>
      </c>
      <c r="L97" s="5" t="s">
        <v>2561</v>
      </c>
      <c r="M97" s="5">
        <v>269.0</v>
      </c>
      <c r="N97" s="5"/>
      <c r="O97" s="5">
        <v>41922.0</v>
      </c>
      <c r="P97" s="5" t="s">
        <v>2562</v>
      </c>
      <c r="Q97" s="5"/>
      <c r="R97" s="5">
        <v>597.0</v>
      </c>
      <c r="S97" s="5">
        <v>3.316030042E9</v>
      </c>
      <c r="T97" s="5" t="s">
        <v>2563</v>
      </c>
      <c r="U97" s="5" t="s">
        <v>2564</v>
      </c>
      <c r="V97" s="5">
        <v>3.313887492E9</v>
      </c>
      <c r="W97" s="5" t="s">
        <v>1769</v>
      </c>
      <c r="X97" s="91">
        <v>41714.0</v>
      </c>
      <c r="Y97" s="5">
        <v>5.0</v>
      </c>
      <c r="Z97" s="5">
        <v>17.0</v>
      </c>
      <c r="AA97" s="5">
        <v>109.0</v>
      </c>
      <c r="AB97" s="5"/>
      <c r="AC97" s="5"/>
      <c r="AD97" s="5" t="s">
        <v>1770</v>
      </c>
      <c r="AE97" s="5" t="s">
        <v>1770</v>
      </c>
      <c r="AF97" s="5"/>
      <c r="AG97" s="5"/>
      <c r="AH97" s="5">
        <v>5.4937831284E10</v>
      </c>
      <c r="AI97" s="5">
        <v>95.0</v>
      </c>
      <c r="AJ97" s="5"/>
      <c r="AK97" s="5" t="s">
        <v>1773</v>
      </c>
      <c r="AL97" s="92">
        <v>0.0</v>
      </c>
      <c r="AM97" s="5" t="s">
        <v>1770</v>
      </c>
      <c r="AN97" s="5" t="s">
        <v>1774</v>
      </c>
      <c r="AO97" s="5"/>
      <c r="AP97" s="5"/>
      <c r="AQ97" s="5"/>
      <c r="AR97" s="5"/>
      <c r="AS97" s="5"/>
      <c r="AT97" s="5"/>
      <c r="AU97" s="5"/>
      <c r="AV97" s="5"/>
      <c r="AW97" s="5" t="s">
        <v>1770</v>
      </c>
      <c r="AX97" s="5"/>
      <c r="AY97" s="5"/>
      <c r="AZ97" s="5" t="s">
        <v>1770</v>
      </c>
      <c r="BA97" s="93">
        <v>0.0</v>
      </c>
      <c r="BB97" s="93">
        <v>0.0</v>
      </c>
      <c r="BC97" s="93">
        <v>0.0</v>
      </c>
      <c r="BD97" s="93">
        <v>0.0</v>
      </c>
      <c r="BE97" s="93">
        <v>0.0</v>
      </c>
      <c r="BF97" s="93">
        <v>0.0</v>
      </c>
      <c r="BG97" s="5"/>
      <c r="BH97" s="93">
        <v>0.0</v>
      </c>
      <c r="BI97" s="93">
        <v>0.0</v>
      </c>
      <c r="BJ97" s="93">
        <v>0.0</v>
      </c>
      <c r="BK97" s="93">
        <v>0.0</v>
      </c>
      <c r="BL97" s="93">
        <v>0.0</v>
      </c>
      <c r="BM97" s="93">
        <v>0.0</v>
      </c>
      <c r="BN97" s="93">
        <v>0.0</v>
      </c>
      <c r="BO97" s="5"/>
      <c r="BP97" s="5"/>
      <c r="BQ97" s="5" t="s">
        <v>1775</v>
      </c>
      <c r="BR97" s="94">
        <v>43477.45685185185</v>
      </c>
      <c r="BS97" s="5">
        <v>1.0</v>
      </c>
      <c r="BT97" s="94">
        <v>46134.555983796294</v>
      </c>
      <c r="BU97" s="5" t="s">
        <v>1770</v>
      </c>
      <c r="BV97" s="5" t="s">
        <v>1770</v>
      </c>
      <c r="BW97" s="5" t="s">
        <v>1770</v>
      </c>
    </row>
    <row r="98" ht="14.25" customHeight="1">
      <c r="A98" s="95">
        <v>97.0</v>
      </c>
      <c r="B98" s="95">
        <v>228.0</v>
      </c>
      <c r="C98" s="95" t="s">
        <v>2096</v>
      </c>
      <c r="D98" s="95" t="s">
        <v>1792</v>
      </c>
      <c r="E98" s="96" t="s">
        <v>2565</v>
      </c>
      <c r="F98" s="97" t="s">
        <v>2566</v>
      </c>
      <c r="G98" s="95" t="s">
        <v>2567</v>
      </c>
      <c r="H98" s="95" t="s">
        <v>1781</v>
      </c>
      <c r="I98" s="95" t="s">
        <v>1782</v>
      </c>
      <c r="J98" s="98">
        <v>33973.0</v>
      </c>
      <c r="K98" s="5">
        <v>597.0</v>
      </c>
      <c r="L98" s="5" t="s">
        <v>2569</v>
      </c>
      <c r="M98" s="5">
        <v>82.0</v>
      </c>
      <c r="N98" s="5"/>
      <c r="O98" s="5">
        <v>43832.0</v>
      </c>
      <c r="P98" s="5" t="s">
        <v>1797</v>
      </c>
      <c r="Q98" s="5"/>
      <c r="R98" s="5">
        <v>597.0</v>
      </c>
      <c r="S98" s="5">
        <v>3.321547975E9</v>
      </c>
      <c r="T98" s="5"/>
      <c r="U98" s="5" t="s">
        <v>1787</v>
      </c>
      <c r="V98" s="5">
        <v>3.38798621E9</v>
      </c>
      <c r="W98" s="5" t="s">
        <v>1787</v>
      </c>
      <c r="X98" s="91">
        <v>42055.0</v>
      </c>
      <c r="Y98" s="5">
        <v>5.0</v>
      </c>
      <c r="Z98" s="5">
        <v>19.0</v>
      </c>
      <c r="AA98" s="5">
        <v>45.0</v>
      </c>
      <c r="AB98" s="5" t="s">
        <v>2571</v>
      </c>
      <c r="AC98" s="5" t="s">
        <v>1800</v>
      </c>
      <c r="AD98" s="91">
        <v>43510.0</v>
      </c>
      <c r="AE98" s="91">
        <v>44971.0</v>
      </c>
      <c r="AF98" s="5"/>
      <c r="AG98" s="5"/>
      <c r="AH98" s="5">
        <v>7.513932513E10</v>
      </c>
      <c r="AI98" s="5">
        <v>95.0</v>
      </c>
      <c r="AJ98" s="5"/>
      <c r="AK98" s="5" t="s">
        <v>1773</v>
      </c>
      <c r="AL98" s="92">
        <v>0.0</v>
      </c>
      <c r="AM98" s="5" t="s">
        <v>1770</v>
      </c>
      <c r="AN98" s="5" t="s">
        <v>1830</v>
      </c>
      <c r="AO98" s="5"/>
      <c r="AP98" s="5"/>
      <c r="AQ98" s="5"/>
      <c r="AR98" s="5"/>
      <c r="AS98" s="5"/>
      <c r="AT98" s="5"/>
      <c r="AU98" s="5"/>
      <c r="AV98" s="5"/>
      <c r="AW98" s="5" t="s">
        <v>1770</v>
      </c>
      <c r="AX98" s="5"/>
      <c r="AY98" s="5"/>
      <c r="AZ98" s="5" t="s">
        <v>1770</v>
      </c>
      <c r="BA98" s="93">
        <v>0.0</v>
      </c>
      <c r="BB98" s="93">
        <v>0.0</v>
      </c>
      <c r="BC98" s="93">
        <v>0.0</v>
      </c>
      <c r="BD98" s="93">
        <v>0.0</v>
      </c>
      <c r="BE98" s="93">
        <v>0.0</v>
      </c>
      <c r="BF98" s="93">
        <v>0.0</v>
      </c>
      <c r="BG98" s="5"/>
      <c r="BH98" s="93">
        <v>0.0</v>
      </c>
      <c r="BI98" s="93">
        <v>0.0</v>
      </c>
      <c r="BJ98" s="93">
        <v>0.0</v>
      </c>
      <c r="BK98" s="93">
        <v>0.0</v>
      </c>
      <c r="BL98" s="93">
        <v>0.0</v>
      </c>
      <c r="BM98" s="93">
        <v>0.0</v>
      </c>
      <c r="BN98" s="93">
        <v>0.0</v>
      </c>
      <c r="BO98" s="5"/>
      <c r="BP98" s="5" t="s">
        <v>1770</v>
      </c>
      <c r="BQ98" s="5" t="s">
        <v>1789</v>
      </c>
      <c r="BR98" s="94">
        <v>43477.45685185185</v>
      </c>
      <c r="BS98" s="5">
        <v>1.0</v>
      </c>
      <c r="BT98" s="94">
        <v>44280.7016087963</v>
      </c>
      <c r="BU98" s="5" t="s">
        <v>1770</v>
      </c>
      <c r="BV98" s="94">
        <v>44705.55569444445</v>
      </c>
      <c r="BW98" s="5">
        <v>196.0</v>
      </c>
    </row>
    <row r="99" ht="14.25" customHeight="1">
      <c r="A99" s="95">
        <v>98.0</v>
      </c>
      <c r="B99" s="95">
        <v>60.0</v>
      </c>
      <c r="C99" s="95" t="s">
        <v>2572</v>
      </c>
      <c r="D99" s="95" t="s">
        <v>2573</v>
      </c>
      <c r="E99" s="96" t="s">
        <v>2574</v>
      </c>
      <c r="F99" s="97" t="s">
        <v>2575</v>
      </c>
      <c r="G99" s="95" t="s">
        <v>2576</v>
      </c>
      <c r="H99" s="95" t="s">
        <v>2577</v>
      </c>
      <c r="I99" s="95" t="s">
        <v>1763</v>
      </c>
      <c r="J99" s="98">
        <v>23021.0</v>
      </c>
      <c r="K99" s="5">
        <v>850.0</v>
      </c>
      <c r="L99" s="5" t="s">
        <v>2578</v>
      </c>
      <c r="M99" s="5">
        <v>9.0</v>
      </c>
      <c r="N99" s="5"/>
      <c r="O99" s="5">
        <v>55191.0</v>
      </c>
      <c r="P99" s="5" t="s">
        <v>2579</v>
      </c>
      <c r="Q99" s="5"/>
      <c r="R99" s="5">
        <v>850.0</v>
      </c>
      <c r="S99" s="5">
        <v>3.521297063E9</v>
      </c>
      <c r="T99" s="5" t="s">
        <v>2580</v>
      </c>
      <c r="U99" s="5" t="s">
        <v>2581</v>
      </c>
      <c r="V99" s="5">
        <v>3.521106781E9</v>
      </c>
      <c r="W99" s="5" t="s">
        <v>2284</v>
      </c>
      <c r="X99" s="91">
        <v>40028.0</v>
      </c>
      <c r="Y99" s="5">
        <v>3.0</v>
      </c>
      <c r="Z99" s="5">
        <v>17.0</v>
      </c>
      <c r="AA99" s="5">
        <v>109.0</v>
      </c>
      <c r="AB99" s="5"/>
      <c r="AC99" s="5"/>
      <c r="AD99" s="5" t="s">
        <v>1770</v>
      </c>
      <c r="AE99" s="5" t="s">
        <v>1770</v>
      </c>
      <c r="AF99" s="5"/>
      <c r="AG99" s="5"/>
      <c r="AH99" s="5">
        <v>5.3876345249E10</v>
      </c>
      <c r="AI99" s="5">
        <v>77.0</v>
      </c>
      <c r="AJ99" s="5"/>
      <c r="AK99" s="5" t="s">
        <v>1773</v>
      </c>
      <c r="AL99" s="92">
        <v>0.0</v>
      </c>
      <c r="AM99" s="5" t="s">
        <v>1770</v>
      </c>
      <c r="AN99" s="5" t="s">
        <v>1830</v>
      </c>
      <c r="AO99" s="5"/>
      <c r="AP99" s="5"/>
      <c r="AQ99" s="5"/>
      <c r="AR99" s="5"/>
      <c r="AS99" s="5"/>
      <c r="AT99" s="5"/>
      <c r="AU99" s="5"/>
      <c r="AV99" s="5"/>
      <c r="AW99" s="5" t="s">
        <v>1770</v>
      </c>
      <c r="AX99" s="5"/>
      <c r="AY99" s="5"/>
      <c r="AZ99" s="5" t="s">
        <v>1770</v>
      </c>
      <c r="BA99" s="93">
        <v>0.0</v>
      </c>
      <c r="BB99" s="93">
        <v>0.0</v>
      </c>
      <c r="BC99" s="93">
        <v>0.0</v>
      </c>
      <c r="BD99" s="93">
        <v>0.0</v>
      </c>
      <c r="BE99" s="93">
        <v>0.0</v>
      </c>
      <c r="BF99" s="93">
        <v>0.0</v>
      </c>
      <c r="BG99" s="5"/>
      <c r="BH99" s="93">
        <v>0.0</v>
      </c>
      <c r="BI99" s="93">
        <v>0.0</v>
      </c>
      <c r="BJ99" s="93">
        <v>0.0</v>
      </c>
      <c r="BK99" s="93">
        <v>0.0</v>
      </c>
      <c r="BL99" s="93">
        <v>0.0</v>
      </c>
      <c r="BM99" s="93">
        <v>0.0</v>
      </c>
      <c r="BN99" s="93">
        <v>0.0</v>
      </c>
      <c r="BO99" s="5"/>
      <c r="BP99" s="5"/>
      <c r="BQ99" s="5" t="s">
        <v>1775</v>
      </c>
      <c r="BR99" s="94">
        <v>43477.45685185185</v>
      </c>
      <c r="BS99" s="5">
        <v>1.0</v>
      </c>
      <c r="BT99" s="94">
        <v>46134.69237268518</v>
      </c>
      <c r="BU99" s="5" t="s">
        <v>1770</v>
      </c>
      <c r="BV99" s="5" t="s">
        <v>1770</v>
      </c>
      <c r="BW99" s="5" t="s">
        <v>1770</v>
      </c>
    </row>
    <row r="100" ht="14.25" customHeight="1">
      <c r="A100" s="95">
        <v>99.0</v>
      </c>
      <c r="B100" s="95">
        <v>185.0</v>
      </c>
      <c r="C100" s="95" t="s">
        <v>2582</v>
      </c>
      <c r="D100" s="95" t="s">
        <v>1777</v>
      </c>
      <c r="E100" s="96" t="s">
        <v>1758</v>
      </c>
      <c r="F100" s="97" t="s">
        <v>2583</v>
      </c>
      <c r="G100" s="95" t="s">
        <v>2584</v>
      </c>
      <c r="H100" s="95" t="s">
        <v>1781</v>
      </c>
      <c r="I100" s="95" t="s">
        <v>1782</v>
      </c>
      <c r="J100" s="98">
        <v>28939.0</v>
      </c>
      <c r="K100" s="5" t="s">
        <v>1770</v>
      </c>
      <c r="L100" s="5" t="s">
        <v>2585</v>
      </c>
      <c r="M100" s="5">
        <v>951.0</v>
      </c>
      <c r="N100" s="5"/>
      <c r="O100" s="5">
        <v>43832.0</v>
      </c>
      <c r="P100" s="5" t="s">
        <v>1797</v>
      </c>
      <c r="Q100" s="5"/>
      <c r="R100" s="5">
        <v>850.0</v>
      </c>
      <c r="S100" s="5">
        <v>3.518945621E9</v>
      </c>
      <c r="T100" s="5"/>
      <c r="U100" s="5" t="s">
        <v>1787</v>
      </c>
      <c r="V100" s="5">
        <v>3.510208401E9</v>
      </c>
      <c r="W100" s="5" t="s">
        <v>1787</v>
      </c>
      <c r="X100" s="91">
        <v>41661.0</v>
      </c>
      <c r="Y100" s="5">
        <v>3.0</v>
      </c>
      <c r="Z100" s="5">
        <v>19.0</v>
      </c>
      <c r="AA100" s="5">
        <v>45.0</v>
      </c>
      <c r="AB100" s="5"/>
      <c r="AC100" s="5"/>
      <c r="AD100" s="5" t="s">
        <v>1770</v>
      </c>
      <c r="AE100" s="5" t="s">
        <v>1770</v>
      </c>
      <c r="AF100" s="5"/>
      <c r="AG100" s="5"/>
      <c r="AH100" s="5">
        <v>5.3937902137E10</v>
      </c>
      <c r="AI100" s="5">
        <v>77.0</v>
      </c>
      <c r="AJ100" s="5"/>
      <c r="AK100" s="5" t="s">
        <v>1773</v>
      </c>
      <c r="AL100" s="92">
        <v>0.0</v>
      </c>
      <c r="AM100" s="5" t="s">
        <v>1770</v>
      </c>
      <c r="AN100" s="5" t="s">
        <v>1788</v>
      </c>
      <c r="AO100" s="5"/>
      <c r="AP100" s="5"/>
      <c r="AQ100" s="5"/>
      <c r="AR100" s="5"/>
      <c r="AS100" s="5"/>
      <c r="AT100" s="5"/>
      <c r="AU100" s="5"/>
      <c r="AV100" s="5"/>
      <c r="AW100" s="5" t="s">
        <v>1770</v>
      </c>
      <c r="AX100" s="5"/>
      <c r="AY100" s="5"/>
      <c r="AZ100" s="5" t="s">
        <v>1770</v>
      </c>
      <c r="BA100" s="93">
        <v>0.0</v>
      </c>
      <c r="BB100" s="93">
        <v>0.0</v>
      </c>
      <c r="BC100" s="93">
        <v>0.0</v>
      </c>
      <c r="BD100" s="93">
        <v>0.0</v>
      </c>
      <c r="BE100" s="93">
        <v>0.0</v>
      </c>
      <c r="BF100" s="93">
        <v>0.0</v>
      </c>
      <c r="BG100" s="5"/>
      <c r="BH100" s="93">
        <v>0.0</v>
      </c>
      <c r="BI100" s="93">
        <v>0.0</v>
      </c>
      <c r="BJ100" s="93">
        <v>0.0</v>
      </c>
      <c r="BK100" s="93">
        <v>0.0</v>
      </c>
      <c r="BL100" s="93">
        <v>0.0</v>
      </c>
      <c r="BM100" s="93">
        <v>0.0</v>
      </c>
      <c r="BN100" s="93">
        <v>0.0</v>
      </c>
      <c r="BO100" s="5"/>
      <c r="BP100" s="5" t="s">
        <v>1770</v>
      </c>
      <c r="BQ100" s="5" t="s">
        <v>1789</v>
      </c>
      <c r="BR100" s="94">
        <v>43477.45685185185</v>
      </c>
      <c r="BS100" s="5">
        <v>1.0</v>
      </c>
      <c r="BT100" s="94">
        <v>43635.53612268518</v>
      </c>
      <c r="BU100" s="5">
        <v>40.0</v>
      </c>
      <c r="BV100" s="94">
        <v>44392.70109953704</v>
      </c>
      <c r="BW100" s="5">
        <v>40.0</v>
      </c>
    </row>
    <row r="101" ht="14.25" customHeight="1">
      <c r="A101" s="95">
        <v>100.0</v>
      </c>
      <c r="B101" s="95">
        <v>369.0</v>
      </c>
      <c r="C101" s="95" t="s">
        <v>2586</v>
      </c>
      <c r="D101" s="95" t="s">
        <v>2587</v>
      </c>
      <c r="E101" s="96" t="s">
        <v>2588</v>
      </c>
      <c r="F101" s="97" t="s">
        <v>2589</v>
      </c>
      <c r="G101" s="95" t="s">
        <v>2590</v>
      </c>
      <c r="H101" s="95" t="s">
        <v>1815</v>
      </c>
      <c r="I101" s="95" t="s">
        <v>1763</v>
      </c>
      <c r="J101" s="98">
        <v>34476.0</v>
      </c>
      <c r="K101" s="5">
        <v>570.0</v>
      </c>
      <c r="L101" s="5" t="s">
        <v>2591</v>
      </c>
      <c r="M101" s="5">
        <v>10.0</v>
      </c>
      <c r="N101" s="5"/>
      <c r="O101" s="5">
        <v>54922.0</v>
      </c>
      <c r="P101" s="5" t="s">
        <v>1797</v>
      </c>
      <c r="Q101" s="100" t="s">
        <v>2592</v>
      </c>
      <c r="R101" s="5">
        <v>792.0</v>
      </c>
      <c r="S101" s="5">
        <v>3.931177637E9</v>
      </c>
      <c r="T101" s="5" t="s">
        <v>2593</v>
      </c>
      <c r="U101" s="5" t="s">
        <v>2594</v>
      </c>
      <c r="V101" s="5">
        <v>3.931801998E9</v>
      </c>
      <c r="W101" s="5" t="s">
        <v>2595</v>
      </c>
      <c r="X101" s="91">
        <v>43171.0</v>
      </c>
      <c r="Y101" s="5">
        <v>3.0</v>
      </c>
      <c r="Z101" s="5">
        <v>17.0</v>
      </c>
      <c r="AA101" s="5">
        <v>31.0</v>
      </c>
      <c r="AB101" s="5"/>
      <c r="AC101" s="5"/>
      <c r="AD101" s="5" t="s">
        <v>1770</v>
      </c>
      <c r="AE101" s="5" t="s">
        <v>1770</v>
      </c>
      <c r="AF101" s="5"/>
      <c r="AG101" s="5"/>
      <c r="AH101" s="5">
        <v>5.139491533E9</v>
      </c>
      <c r="AI101" s="5">
        <v>23.0</v>
      </c>
      <c r="AJ101" s="5"/>
      <c r="AK101" s="5" t="s">
        <v>1773</v>
      </c>
      <c r="AL101" s="92">
        <v>0.0</v>
      </c>
      <c r="AM101" s="5" t="s">
        <v>1770</v>
      </c>
      <c r="AN101" s="5" t="s">
        <v>1774</v>
      </c>
      <c r="AO101" s="5"/>
      <c r="AP101" s="5"/>
      <c r="AQ101" s="5"/>
      <c r="AR101" s="5"/>
      <c r="AS101" s="5"/>
      <c r="AT101" s="5"/>
      <c r="AU101" s="5"/>
      <c r="AV101" s="5"/>
      <c r="AW101" s="5" t="s">
        <v>1770</v>
      </c>
      <c r="AX101" s="5"/>
      <c r="AY101" s="5"/>
      <c r="AZ101" s="5" t="s">
        <v>1770</v>
      </c>
      <c r="BA101" s="93">
        <v>0.0</v>
      </c>
      <c r="BB101" s="93">
        <v>0.0</v>
      </c>
      <c r="BC101" s="93">
        <v>0.0</v>
      </c>
      <c r="BD101" s="93">
        <v>0.0</v>
      </c>
      <c r="BE101" s="93">
        <v>0.0</v>
      </c>
      <c r="BF101" s="93">
        <v>0.0</v>
      </c>
      <c r="BG101" s="5"/>
      <c r="BH101" s="93">
        <v>0.0</v>
      </c>
      <c r="BI101" s="93">
        <v>0.0</v>
      </c>
      <c r="BJ101" s="93">
        <v>0.0</v>
      </c>
      <c r="BK101" s="93">
        <v>0.0</v>
      </c>
      <c r="BL101" s="93">
        <v>0.0</v>
      </c>
      <c r="BM101" s="93">
        <v>0.0</v>
      </c>
      <c r="BN101" s="93">
        <v>0.0</v>
      </c>
      <c r="BO101" s="5"/>
      <c r="BP101" s="5"/>
      <c r="BQ101" s="5" t="s">
        <v>1775</v>
      </c>
      <c r="BR101" s="94">
        <v>43477.45685185185</v>
      </c>
      <c r="BS101" s="5">
        <v>1.0</v>
      </c>
      <c r="BT101" s="94">
        <v>46133.47719907408</v>
      </c>
      <c r="BU101" s="5">
        <v>272.0</v>
      </c>
      <c r="BV101" s="5" t="s">
        <v>1770</v>
      </c>
      <c r="BW101" s="5" t="s">
        <v>1770</v>
      </c>
    </row>
    <row r="102" ht="14.25" customHeight="1">
      <c r="A102" s="95">
        <v>101.0</v>
      </c>
      <c r="B102" s="95">
        <v>29.0</v>
      </c>
      <c r="C102" s="95" t="s">
        <v>2596</v>
      </c>
      <c r="D102" s="95" t="s">
        <v>2551</v>
      </c>
      <c r="E102" s="96" t="s">
        <v>2551</v>
      </c>
      <c r="F102" s="97" t="s">
        <v>2597</v>
      </c>
      <c r="G102" s="95" t="s">
        <v>2598</v>
      </c>
      <c r="H102" s="95" t="s">
        <v>1781</v>
      </c>
      <c r="I102" s="95" t="s">
        <v>1782</v>
      </c>
      <c r="J102" s="98">
        <v>20081.0</v>
      </c>
      <c r="K102" s="5">
        <v>850.0</v>
      </c>
      <c r="L102" s="5" t="s">
        <v>2599</v>
      </c>
      <c r="M102" s="5">
        <v>87453.0</v>
      </c>
      <c r="N102" s="5"/>
      <c r="O102" s="5">
        <v>43832.0</v>
      </c>
      <c r="P102" s="5" t="s">
        <v>1797</v>
      </c>
      <c r="Q102" s="5"/>
      <c r="R102" s="5">
        <v>850.0</v>
      </c>
      <c r="S102" s="5">
        <v>3.510042949E9</v>
      </c>
      <c r="T102" s="5"/>
      <c r="U102" s="5" t="s">
        <v>1787</v>
      </c>
      <c r="V102" s="5">
        <v>3.512036578E9</v>
      </c>
      <c r="W102" s="5" t="s">
        <v>1787</v>
      </c>
      <c r="X102" s="91">
        <v>39494.0</v>
      </c>
      <c r="Y102" s="5">
        <v>3.0</v>
      </c>
      <c r="Z102" s="5">
        <v>17.0</v>
      </c>
      <c r="AA102" s="5">
        <v>44.0</v>
      </c>
      <c r="AB102" s="5"/>
      <c r="AC102" s="5"/>
      <c r="AD102" s="5" t="s">
        <v>1770</v>
      </c>
      <c r="AE102" s="5" t="s">
        <v>1770</v>
      </c>
      <c r="AF102" s="5"/>
      <c r="AG102" s="5"/>
      <c r="AH102" s="5">
        <v>5.373541398E10</v>
      </c>
      <c r="AI102" s="5">
        <v>77.0</v>
      </c>
      <c r="AJ102" s="5"/>
      <c r="AK102" s="5" t="s">
        <v>1773</v>
      </c>
      <c r="AL102" s="92">
        <v>0.0</v>
      </c>
      <c r="AM102" s="5" t="s">
        <v>1770</v>
      </c>
      <c r="AN102" s="5">
        <v>0.0</v>
      </c>
      <c r="AO102" s="5"/>
      <c r="AP102" s="5"/>
      <c r="AQ102" s="5"/>
      <c r="AR102" s="5"/>
      <c r="AS102" s="5"/>
      <c r="AT102" s="5"/>
      <c r="AU102" s="5"/>
      <c r="AV102" s="5"/>
      <c r="AW102" s="5" t="s">
        <v>1770</v>
      </c>
      <c r="AX102" s="5"/>
      <c r="AY102" s="5"/>
      <c r="AZ102" s="5" t="s">
        <v>1770</v>
      </c>
      <c r="BA102" s="93">
        <v>0.0</v>
      </c>
      <c r="BB102" s="93">
        <v>0.0</v>
      </c>
      <c r="BC102" s="93">
        <v>0.0</v>
      </c>
      <c r="BD102" s="93">
        <v>0.0</v>
      </c>
      <c r="BE102" s="93">
        <v>0.0</v>
      </c>
      <c r="BF102" s="93">
        <v>0.0</v>
      </c>
      <c r="BG102" s="5"/>
      <c r="BH102" s="93">
        <v>0.0</v>
      </c>
      <c r="BI102" s="93">
        <v>0.0</v>
      </c>
      <c r="BJ102" s="93">
        <v>0.0</v>
      </c>
      <c r="BK102" s="93">
        <v>0.0</v>
      </c>
      <c r="BL102" s="93">
        <v>0.0</v>
      </c>
      <c r="BM102" s="93">
        <v>0.0</v>
      </c>
      <c r="BN102" s="93">
        <v>0.0</v>
      </c>
      <c r="BO102" s="5"/>
      <c r="BP102" s="5" t="s">
        <v>1770</v>
      </c>
      <c r="BQ102" s="5" t="s">
        <v>1789</v>
      </c>
      <c r="BR102" s="94">
        <v>43477.45685185185</v>
      </c>
      <c r="BS102" s="5">
        <v>1.0</v>
      </c>
      <c r="BT102" s="94">
        <v>43503.56837962963</v>
      </c>
      <c r="BU102" s="5">
        <v>40.0</v>
      </c>
      <c r="BV102" s="94">
        <v>44645.66459490741</v>
      </c>
      <c r="BW102" s="5" t="s">
        <v>1770</v>
      </c>
    </row>
    <row r="103" ht="14.25" customHeight="1">
      <c r="A103" s="95">
        <v>102.0</v>
      </c>
      <c r="B103" s="95">
        <v>149.0</v>
      </c>
      <c r="C103" s="95" t="s">
        <v>2602</v>
      </c>
      <c r="D103" s="95" t="s">
        <v>2603</v>
      </c>
      <c r="E103" s="96" t="s">
        <v>1946</v>
      </c>
      <c r="F103" s="97" t="s">
        <v>2604</v>
      </c>
      <c r="G103" s="95" t="s">
        <v>2605</v>
      </c>
      <c r="H103" s="95" t="s">
        <v>1781</v>
      </c>
      <c r="I103" s="95" t="s">
        <v>1782</v>
      </c>
      <c r="J103" s="98">
        <v>25716.0</v>
      </c>
      <c r="K103" s="5">
        <v>424.0</v>
      </c>
      <c r="L103" s="5" t="s">
        <v>2606</v>
      </c>
      <c r="M103" s="5">
        <v>22.0</v>
      </c>
      <c r="N103" s="5"/>
      <c r="O103" s="5">
        <v>35872.0</v>
      </c>
      <c r="P103" s="5" t="s">
        <v>2607</v>
      </c>
      <c r="Q103" s="5" t="s">
        <v>2406</v>
      </c>
      <c r="R103" s="5">
        <v>424.0</v>
      </c>
      <c r="S103" s="5">
        <v>4.696214798E9</v>
      </c>
      <c r="T103" s="5" t="s">
        <v>2608</v>
      </c>
      <c r="U103" s="5" t="s">
        <v>2609</v>
      </c>
      <c r="V103" s="5">
        <v>4.696973206E9</v>
      </c>
      <c r="W103" s="5" t="s">
        <v>2610</v>
      </c>
      <c r="X103" s="91">
        <v>41395.0</v>
      </c>
      <c r="Y103" s="5">
        <v>2.0</v>
      </c>
      <c r="Z103" s="5">
        <v>19.0</v>
      </c>
      <c r="AA103" s="5">
        <v>15.0</v>
      </c>
      <c r="AB103" s="5" t="s">
        <v>2611</v>
      </c>
      <c r="AC103" s="5" t="s">
        <v>1772</v>
      </c>
      <c r="AD103" s="91">
        <v>45063.0</v>
      </c>
      <c r="AE103" s="91">
        <v>46890.0</v>
      </c>
      <c r="AF103" s="5">
        <v>2.964939786E9</v>
      </c>
      <c r="AG103" s="5"/>
      <c r="AH103" s="5">
        <v>1.2917030806E10</v>
      </c>
      <c r="AI103" s="5">
        <v>9.0</v>
      </c>
      <c r="AJ103" s="5"/>
      <c r="AK103" s="5" t="s">
        <v>1773</v>
      </c>
      <c r="AL103" s="92">
        <v>0.0</v>
      </c>
      <c r="AM103" s="5" t="s">
        <v>1770</v>
      </c>
      <c r="AN103" s="5" t="s">
        <v>1774</v>
      </c>
      <c r="AO103" s="5"/>
      <c r="AP103" s="5"/>
      <c r="AQ103" s="5"/>
      <c r="AR103" s="5"/>
      <c r="AS103" s="5"/>
      <c r="AT103" s="5"/>
      <c r="AU103" s="5"/>
      <c r="AV103" s="5"/>
      <c r="AW103" s="5" t="s">
        <v>1770</v>
      </c>
      <c r="AX103" s="5"/>
      <c r="AY103" s="5"/>
      <c r="AZ103" s="5" t="s">
        <v>1770</v>
      </c>
      <c r="BA103" s="93">
        <v>0.0</v>
      </c>
      <c r="BB103" s="93">
        <v>0.0</v>
      </c>
      <c r="BC103" s="93">
        <v>0.0</v>
      </c>
      <c r="BD103" s="93">
        <v>0.0</v>
      </c>
      <c r="BE103" s="93">
        <v>0.0</v>
      </c>
      <c r="BF103" s="93">
        <v>0.0</v>
      </c>
      <c r="BG103" s="5"/>
      <c r="BH103" s="93">
        <v>0.0</v>
      </c>
      <c r="BI103" s="93">
        <v>0.0</v>
      </c>
      <c r="BJ103" s="93">
        <v>0.0</v>
      </c>
      <c r="BK103" s="93">
        <v>0.0</v>
      </c>
      <c r="BL103" s="93">
        <v>0.0</v>
      </c>
      <c r="BM103" s="93">
        <v>0.0</v>
      </c>
      <c r="BN103" s="93">
        <v>0.0</v>
      </c>
      <c r="BO103" s="5"/>
      <c r="BP103" s="5"/>
      <c r="BQ103" s="5" t="s">
        <v>1775</v>
      </c>
      <c r="BR103" s="94">
        <v>43477.45685185185</v>
      </c>
      <c r="BS103" s="5">
        <v>1.0</v>
      </c>
      <c r="BT103" s="94">
        <v>46135.40710648148</v>
      </c>
      <c r="BU103" s="5">
        <v>339.0</v>
      </c>
      <c r="BV103" s="5" t="s">
        <v>1770</v>
      </c>
      <c r="BW103" s="5" t="s">
        <v>1770</v>
      </c>
    </row>
    <row r="104" ht="14.25" customHeight="1">
      <c r="A104" s="95">
        <v>103.0</v>
      </c>
      <c r="B104" s="95">
        <v>174.0</v>
      </c>
      <c r="C104" s="95" t="s">
        <v>2612</v>
      </c>
      <c r="D104" s="95" t="s">
        <v>2613</v>
      </c>
      <c r="E104" s="96" t="s">
        <v>2614</v>
      </c>
      <c r="F104" s="97" t="s">
        <v>2615</v>
      </c>
      <c r="G104" s="95" t="s">
        <v>2616</v>
      </c>
      <c r="H104" s="95" t="s">
        <v>1781</v>
      </c>
      <c r="I104" s="95" t="s">
        <v>1782</v>
      </c>
      <c r="J104" s="98">
        <v>23287.0</v>
      </c>
      <c r="K104" s="5">
        <v>424.0</v>
      </c>
      <c r="L104" s="5" t="s">
        <v>2617</v>
      </c>
      <c r="M104" s="5">
        <v>7496.0</v>
      </c>
      <c r="N104" s="5"/>
      <c r="O104" s="5">
        <v>43832.0</v>
      </c>
      <c r="P104" s="5" t="s">
        <v>1797</v>
      </c>
      <c r="Q104" s="5"/>
      <c r="R104" s="5">
        <v>424.0</v>
      </c>
      <c r="S104" s="5">
        <v>6.46851511E9</v>
      </c>
      <c r="T104" s="5"/>
      <c r="U104" s="5" t="s">
        <v>1787</v>
      </c>
      <c r="V104" s="5">
        <v>4.65854112E9</v>
      </c>
      <c r="W104" s="5" t="s">
        <v>1787</v>
      </c>
      <c r="X104" s="91">
        <v>41591.0</v>
      </c>
      <c r="Y104" s="5">
        <v>2.0</v>
      </c>
      <c r="Z104" s="5">
        <v>19.0</v>
      </c>
      <c r="AA104" s="5">
        <v>45.0</v>
      </c>
      <c r="AB104" s="5" t="s">
        <v>2618</v>
      </c>
      <c r="AC104" s="5" t="s">
        <v>2274</v>
      </c>
      <c r="AD104" s="91">
        <v>42991.0</v>
      </c>
      <c r="AE104" s="91">
        <v>44817.0</v>
      </c>
      <c r="AF104" s="5"/>
      <c r="AG104" s="5"/>
      <c r="AH104" s="5">
        <v>1.2816340066E10</v>
      </c>
      <c r="AI104" s="5">
        <v>9.0</v>
      </c>
      <c r="AJ104" s="5"/>
      <c r="AK104" s="5" t="s">
        <v>1773</v>
      </c>
      <c r="AL104" s="92">
        <v>0.0</v>
      </c>
      <c r="AM104" s="5" t="s">
        <v>1770</v>
      </c>
      <c r="AN104" s="5" t="s">
        <v>1774</v>
      </c>
      <c r="AO104" s="5"/>
      <c r="AP104" s="5"/>
      <c r="AQ104" s="5"/>
      <c r="AR104" s="5"/>
      <c r="AS104" s="5"/>
      <c r="AT104" s="5"/>
      <c r="AU104" s="5"/>
      <c r="AV104" s="5"/>
      <c r="AW104" s="5" t="s">
        <v>1770</v>
      </c>
      <c r="AX104" s="5"/>
      <c r="AY104" s="5"/>
      <c r="AZ104" s="5" t="s">
        <v>1770</v>
      </c>
      <c r="BA104" s="93">
        <v>0.0</v>
      </c>
      <c r="BB104" s="93">
        <v>0.0</v>
      </c>
      <c r="BC104" s="93">
        <v>0.0</v>
      </c>
      <c r="BD104" s="93">
        <v>0.0</v>
      </c>
      <c r="BE104" s="93">
        <v>0.0</v>
      </c>
      <c r="BF104" s="93">
        <v>0.0</v>
      </c>
      <c r="BG104" s="5"/>
      <c r="BH104" s="93">
        <v>0.0</v>
      </c>
      <c r="BI104" s="93">
        <v>0.0</v>
      </c>
      <c r="BJ104" s="93">
        <v>0.0</v>
      </c>
      <c r="BK104" s="93">
        <v>0.0</v>
      </c>
      <c r="BL104" s="93">
        <v>0.0</v>
      </c>
      <c r="BM104" s="93">
        <v>0.0</v>
      </c>
      <c r="BN104" s="93">
        <v>0.0</v>
      </c>
      <c r="BO104" s="5"/>
      <c r="BP104" s="5" t="s">
        <v>1770</v>
      </c>
      <c r="BQ104" s="5" t="s">
        <v>1789</v>
      </c>
      <c r="BR104" s="94">
        <v>43477.45685185185</v>
      </c>
      <c r="BS104" s="5">
        <v>1.0</v>
      </c>
      <c r="BT104" s="94">
        <v>44280.70753472222</v>
      </c>
      <c r="BU104" s="5" t="s">
        <v>1770</v>
      </c>
      <c r="BV104" s="94">
        <v>45252.659097222226</v>
      </c>
      <c r="BW104" s="5">
        <v>40.0</v>
      </c>
    </row>
    <row r="105" ht="14.25" customHeight="1">
      <c r="A105" s="95">
        <v>104.0</v>
      </c>
      <c r="B105" s="95">
        <v>333.0</v>
      </c>
      <c r="C105" s="95" t="s">
        <v>2619</v>
      </c>
      <c r="D105" s="95" t="s">
        <v>2620</v>
      </c>
      <c r="E105" s="96" t="s">
        <v>1778</v>
      </c>
      <c r="F105" s="97" t="s">
        <v>2621</v>
      </c>
      <c r="G105" s="95" t="s">
        <v>2622</v>
      </c>
      <c r="H105" s="95" t="s">
        <v>2301</v>
      </c>
      <c r="I105" s="95" t="s">
        <v>1763</v>
      </c>
      <c r="J105" s="98">
        <v>26458.0</v>
      </c>
      <c r="K105" s="5">
        <v>424.0</v>
      </c>
      <c r="L105" s="5" t="s">
        <v>2623</v>
      </c>
      <c r="M105" s="5">
        <v>54.0</v>
      </c>
      <c r="N105" s="5" t="s">
        <v>2624</v>
      </c>
      <c r="O105" s="5">
        <v>35873.0</v>
      </c>
      <c r="P105" s="5" t="s">
        <v>2625</v>
      </c>
      <c r="Q105" s="5" t="s">
        <v>2406</v>
      </c>
      <c r="R105" s="5">
        <v>424.0</v>
      </c>
      <c r="S105" s="5">
        <v>4.69126602E9</v>
      </c>
      <c r="T105" s="5"/>
      <c r="U105" s="5" t="s">
        <v>1769</v>
      </c>
      <c r="V105" s="5">
        <v>5.445050545E9</v>
      </c>
      <c r="W105" s="5" t="s">
        <v>1769</v>
      </c>
      <c r="X105" s="91">
        <v>42894.0</v>
      </c>
      <c r="Y105" s="5">
        <v>2.0</v>
      </c>
      <c r="Z105" s="5">
        <v>17.0</v>
      </c>
      <c r="AA105" s="5">
        <v>27.0</v>
      </c>
      <c r="AB105" s="5"/>
      <c r="AC105" s="5"/>
      <c r="AD105" s="5" t="s">
        <v>1770</v>
      </c>
      <c r="AE105" s="5" t="s">
        <v>1770</v>
      </c>
      <c r="AF105" s="5"/>
      <c r="AG105" s="5"/>
      <c r="AH105" s="5">
        <v>2.177242969E9</v>
      </c>
      <c r="AI105" s="5">
        <v>9.0</v>
      </c>
      <c r="AJ105" s="5"/>
      <c r="AK105" s="5" t="s">
        <v>1773</v>
      </c>
      <c r="AL105" s="92">
        <v>0.0</v>
      </c>
      <c r="AM105" s="5" t="s">
        <v>1770</v>
      </c>
      <c r="AN105" s="5" t="s">
        <v>1788</v>
      </c>
      <c r="AO105" s="5"/>
      <c r="AP105" s="5"/>
      <c r="AQ105" s="5"/>
      <c r="AR105" s="5"/>
      <c r="AS105" s="5"/>
      <c r="AT105" s="5"/>
      <c r="AU105" s="5"/>
      <c r="AV105" s="5"/>
      <c r="AW105" s="5" t="s">
        <v>1770</v>
      </c>
      <c r="AX105" s="5"/>
      <c r="AY105" s="5"/>
      <c r="AZ105" s="5" t="s">
        <v>1770</v>
      </c>
      <c r="BA105" s="93">
        <v>0.0</v>
      </c>
      <c r="BB105" s="93">
        <v>0.0</v>
      </c>
      <c r="BC105" s="93">
        <v>0.0</v>
      </c>
      <c r="BD105" s="93">
        <v>0.0</v>
      </c>
      <c r="BE105" s="93">
        <v>0.0</v>
      </c>
      <c r="BF105" s="93">
        <v>0.0</v>
      </c>
      <c r="BG105" s="5"/>
      <c r="BH105" s="93">
        <v>0.0</v>
      </c>
      <c r="BI105" s="93">
        <v>0.0</v>
      </c>
      <c r="BJ105" s="93">
        <v>0.0</v>
      </c>
      <c r="BK105" s="93">
        <v>0.0</v>
      </c>
      <c r="BL105" s="93">
        <v>0.0</v>
      </c>
      <c r="BM105" s="93">
        <v>0.0</v>
      </c>
      <c r="BN105" s="93">
        <v>0.0</v>
      </c>
      <c r="BO105" s="5"/>
      <c r="BP105" s="5" t="s">
        <v>1770</v>
      </c>
      <c r="BQ105" s="5" t="s">
        <v>1789</v>
      </c>
      <c r="BR105" s="94">
        <v>43477.45685185185</v>
      </c>
      <c r="BS105" s="5">
        <v>1.0</v>
      </c>
      <c r="BT105" s="94">
        <v>43518.6909375</v>
      </c>
      <c r="BU105" s="5">
        <v>40.0</v>
      </c>
      <c r="BV105" s="94">
        <v>44392.69844907407</v>
      </c>
      <c r="BW105" s="5">
        <v>40.0</v>
      </c>
    </row>
    <row r="106" ht="14.25" customHeight="1">
      <c r="A106" s="95">
        <v>105.0</v>
      </c>
      <c r="B106" s="95">
        <v>378.0</v>
      </c>
      <c r="C106" s="95" t="s">
        <v>2626</v>
      </c>
      <c r="D106" s="95" t="s">
        <v>1926</v>
      </c>
      <c r="E106" s="96" t="s">
        <v>2627</v>
      </c>
      <c r="F106" s="97" t="s">
        <v>2628</v>
      </c>
      <c r="G106" s="95"/>
      <c r="H106" s="95"/>
      <c r="I106" s="95" t="s">
        <v>1782</v>
      </c>
      <c r="J106" s="102" t="s">
        <v>1770</v>
      </c>
      <c r="K106" s="5" t="s">
        <v>1770</v>
      </c>
      <c r="L106" s="5" t="s">
        <v>1984</v>
      </c>
      <c r="M106" s="5">
        <v>61.0</v>
      </c>
      <c r="N106" s="5"/>
      <c r="O106" s="5">
        <v>43832.0</v>
      </c>
      <c r="P106" s="5" t="s">
        <v>1797</v>
      </c>
      <c r="Q106" s="5" t="s">
        <v>2406</v>
      </c>
      <c r="R106" s="5">
        <v>424.0</v>
      </c>
      <c r="S106" s="5">
        <v>3.465854545E9</v>
      </c>
      <c r="T106" s="5"/>
      <c r="U106" s="5" t="s">
        <v>1924</v>
      </c>
      <c r="V106" s="5">
        <v>4.698521454E9</v>
      </c>
      <c r="W106" s="5" t="s">
        <v>1924</v>
      </c>
      <c r="X106" s="91">
        <v>43102.0</v>
      </c>
      <c r="Y106" s="5">
        <v>2.0</v>
      </c>
      <c r="Z106" s="5">
        <v>4.0</v>
      </c>
      <c r="AA106" s="5">
        <v>40.0</v>
      </c>
      <c r="AB106" s="5" t="s">
        <v>2629</v>
      </c>
      <c r="AC106" s="5" t="s">
        <v>1772</v>
      </c>
      <c r="AD106" s="91">
        <v>43978.0</v>
      </c>
      <c r="AE106" s="91">
        <v>45804.0</v>
      </c>
      <c r="AF106" s="5"/>
      <c r="AG106" s="5"/>
      <c r="AH106" s="5">
        <v>1.2100021212E10</v>
      </c>
      <c r="AI106" s="5"/>
      <c r="AJ106" s="5"/>
      <c r="AK106" s="5" t="s">
        <v>1773</v>
      </c>
      <c r="AL106" s="92">
        <v>0.0</v>
      </c>
      <c r="AM106" s="5" t="s">
        <v>1770</v>
      </c>
      <c r="AN106" s="5" t="s">
        <v>1788</v>
      </c>
      <c r="AO106" s="5"/>
      <c r="AP106" s="5"/>
      <c r="AQ106" s="5"/>
      <c r="AR106" s="5"/>
      <c r="AS106" s="5"/>
      <c r="AT106" s="5"/>
      <c r="AU106" s="5"/>
      <c r="AV106" s="5"/>
      <c r="AW106" s="5" t="s">
        <v>1770</v>
      </c>
      <c r="AX106" s="5"/>
      <c r="AY106" s="5"/>
      <c r="AZ106" s="5" t="s">
        <v>1770</v>
      </c>
      <c r="BA106" s="93">
        <v>0.0</v>
      </c>
      <c r="BB106" s="93">
        <v>0.0</v>
      </c>
      <c r="BC106" s="93">
        <v>0.0</v>
      </c>
      <c r="BD106" s="93">
        <v>0.0</v>
      </c>
      <c r="BE106" s="93">
        <v>0.0</v>
      </c>
      <c r="BF106" s="93">
        <v>0.0</v>
      </c>
      <c r="BG106" s="5"/>
      <c r="BH106" s="93">
        <v>0.0</v>
      </c>
      <c r="BI106" s="93">
        <v>0.0</v>
      </c>
      <c r="BJ106" s="93">
        <v>0.0</v>
      </c>
      <c r="BK106" s="93">
        <v>0.0</v>
      </c>
      <c r="BL106" s="93">
        <v>0.0</v>
      </c>
      <c r="BM106" s="93">
        <v>0.0</v>
      </c>
      <c r="BN106" s="93">
        <v>0.0</v>
      </c>
      <c r="BO106" s="5"/>
      <c r="BP106" s="5" t="s">
        <v>1770</v>
      </c>
      <c r="BQ106" s="5" t="s">
        <v>1789</v>
      </c>
      <c r="BR106" s="94">
        <v>43477.45685185185</v>
      </c>
      <c r="BS106" s="5">
        <v>1.0</v>
      </c>
      <c r="BT106" s="94">
        <v>44722.71638888889</v>
      </c>
      <c r="BU106" s="5">
        <v>40.0</v>
      </c>
      <c r="BV106" s="94">
        <v>44742.631157407406</v>
      </c>
      <c r="BW106" s="5">
        <v>167.0</v>
      </c>
    </row>
    <row r="107" ht="14.25" customHeight="1">
      <c r="A107" s="95">
        <v>106.0</v>
      </c>
      <c r="B107" s="95">
        <v>83.0</v>
      </c>
      <c r="C107" s="95" t="s">
        <v>2632</v>
      </c>
      <c r="D107" s="95" t="s">
        <v>1777</v>
      </c>
      <c r="E107" s="96" t="s">
        <v>2633</v>
      </c>
      <c r="F107" s="97" t="s">
        <v>2634</v>
      </c>
      <c r="G107" s="95" t="s">
        <v>2635</v>
      </c>
      <c r="H107" s="95" t="s">
        <v>1781</v>
      </c>
      <c r="I107" s="95" t="s">
        <v>1782</v>
      </c>
      <c r="J107" s="98">
        <v>27896.0</v>
      </c>
      <c r="K107" s="5">
        <v>549.0</v>
      </c>
      <c r="L107" s="5" t="s">
        <v>2636</v>
      </c>
      <c r="M107" s="5">
        <v>32.0</v>
      </c>
      <c r="N107" s="5"/>
      <c r="O107" s="5">
        <v>43832.0</v>
      </c>
      <c r="P107" s="5" t="s">
        <v>1797</v>
      </c>
      <c r="Q107" s="5" t="s">
        <v>2637</v>
      </c>
      <c r="R107" s="5">
        <v>792.0</v>
      </c>
      <c r="S107" s="5">
        <v>3.931194752E9</v>
      </c>
      <c r="T107" s="5" t="s">
        <v>2638</v>
      </c>
      <c r="U107" s="5" t="s">
        <v>2639</v>
      </c>
      <c r="V107" s="5">
        <v>3.931194752E9</v>
      </c>
      <c r="W107" s="5" t="s">
        <v>1787</v>
      </c>
      <c r="X107" s="91">
        <v>40651.0</v>
      </c>
      <c r="Y107" s="5" t="s">
        <v>1770</v>
      </c>
      <c r="Z107" s="5">
        <v>17.0</v>
      </c>
      <c r="AA107" s="5">
        <v>55.0</v>
      </c>
      <c r="AB107" s="5" t="s">
        <v>2640</v>
      </c>
      <c r="AC107" s="5" t="s">
        <v>1800</v>
      </c>
      <c r="AD107" s="91">
        <v>44271.0</v>
      </c>
      <c r="AE107" s="91">
        <v>55228.0</v>
      </c>
      <c r="AF107" s="5"/>
      <c r="AG107" s="5"/>
      <c r="AH107" s="5">
        <v>4.117603169E9</v>
      </c>
      <c r="AI107" s="5">
        <v>23.0</v>
      </c>
      <c r="AJ107" s="5"/>
      <c r="AK107" s="5" t="s">
        <v>1773</v>
      </c>
      <c r="AL107" s="92">
        <v>0.0</v>
      </c>
      <c r="AM107" s="5" t="s">
        <v>1770</v>
      </c>
      <c r="AN107" s="5" t="s">
        <v>1830</v>
      </c>
      <c r="AO107" s="5"/>
      <c r="AP107" s="5"/>
      <c r="AQ107" s="5"/>
      <c r="AR107" s="5"/>
      <c r="AS107" s="5"/>
      <c r="AT107" s="5"/>
      <c r="AU107" s="5"/>
      <c r="AV107" s="5"/>
      <c r="AW107" s="5" t="s">
        <v>1770</v>
      </c>
      <c r="AX107" s="5"/>
      <c r="AY107" s="5"/>
      <c r="AZ107" s="5" t="s">
        <v>1770</v>
      </c>
      <c r="BA107" s="93">
        <v>0.0</v>
      </c>
      <c r="BB107" s="93">
        <v>0.0</v>
      </c>
      <c r="BC107" s="93">
        <v>0.0</v>
      </c>
      <c r="BD107" s="93">
        <v>0.0</v>
      </c>
      <c r="BE107" s="93">
        <v>0.0</v>
      </c>
      <c r="BF107" s="93">
        <v>0.0</v>
      </c>
      <c r="BG107" s="5"/>
      <c r="BH107" s="93">
        <v>0.0</v>
      </c>
      <c r="BI107" s="93">
        <v>0.0</v>
      </c>
      <c r="BJ107" s="93">
        <v>0.0</v>
      </c>
      <c r="BK107" s="93">
        <v>0.0</v>
      </c>
      <c r="BL107" s="93">
        <v>0.0</v>
      </c>
      <c r="BM107" s="93">
        <v>0.0</v>
      </c>
      <c r="BN107" s="93">
        <v>0.0</v>
      </c>
      <c r="BO107" s="5"/>
      <c r="BP107" s="5"/>
      <c r="BQ107" s="5" t="s">
        <v>1775</v>
      </c>
      <c r="BR107" s="94">
        <v>43477.45685185185</v>
      </c>
      <c r="BS107" s="5">
        <v>1.0</v>
      </c>
      <c r="BT107" s="94">
        <v>46133.574155092596</v>
      </c>
      <c r="BU107" s="5">
        <v>40.0</v>
      </c>
      <c r="BV107" s="5" t="s">
        <v>1770</v>
      </c>
      <c r="BW107" s="5" t="s">
        <v>1770</v>
      </c>
    </row>
    <row r="108" ht="14.25" customHeight="1">
      <c r="A108" s="95">
        <v>107.0</v>
      </c>
      <c r="B108" s="95">
        <v>222.0</v>
      </c>
      <c r="C108" s="95" t="s">
        <v>2641</v>
      </c>
      <c r="D108" s="95" t="s">
        <v>2642</v>
      </c>
      <c r="E108" s="96" t="s">
        <v>2643</v>
      </c>
      <c r="F108" s="97" t="s">
        <v>2644</v>
      </c>
      <c r="G108" s="95" t="s">
        <v>2645</v>
      </c>
      <c r="H108" s="95" t="s">
        <v>1781</v>
      </c>
      <c r="I108" s="95" t="s">
        <v>1782</v>
      </c>
      <c r="J108" s="98">
        <v>30682.0</v>
      </c>
      <c r="K108" s="5">
        <v>424.0</v>
      </c>
      <c r="L108" s="5" t="s">
        <v>2646</v>
      </c>
      <c r="M108" s="5">
        <v>92.0</v>
      </c>
      <c r="N108" s="5"/>
      <c r="O108" s="5">
        <v>35872.0</v>
      </c>
      <c r="P108" s="5" t="s">
        <v>2625</v>
      </c>
      <c r="Q108" s="5"/>
      <c r="R108" s="5">
        <v>424.0</v>
      </c>
      <c r="S108" s="5">
        <v>4.691075753E9</v>
      </c>
      <c r="T108" s="5" t="s">
        <v>2647</v>
      </c>
      <c r="U108" s="5" t="s">
        <v>2648</v>
      </c>
      <c r="V108" s="5">
        <v>4.691138216E9</v>
      </c>
      <c r="W108" s="5" t="s">
        <v>1787</v>
      </c>
      <c r="X108" s="91">
        <v>42023.0</v>
      </c>
      <c r="Y108" s="5">
        <v>2.0</v>
      </c>
      <c r="Z108" s="5">
        <v>17.0</v>
      </c>
      <c r="AA108" s="5">
        <v>61.0</v>
      </c>
      <c r="AB108" s="5" t="s">
        <v>2649</v>
      </c>
      <c r="AC108" s="5" t="s">
        <v>1772</v>
      </c>
      <c r="AD108" s="91">
        <v>42977.0</v>
      </c>
      <c r="AE108" s="91">
        <v>43707.0</v>
      </c>
      <c r="AF108" s="5"/>
      <c r="AG108" s="5"/>
      <c r="AH108" s="5">
        <v>1.4008404131E10</v>
      </c>
      <c r="AI108" s="5">
        <v>9.0</v>
      </c>
      <c r="AJ108" s="5"/>
      <c r="AK108" s="5" t="s">
        <v>1773</v>
      </c>
      <c r="AL108" s="92">
        <v>0.0</v>
      </c>
      <c r="AM108" s="5" t="s">
        <v>1770</v>
      </c>
      <c r="AN108" s="5" t="s">
        <v>1830</v>
      </c>
      <c r="AO108" s="5"/>
      <c r="AP108" s="5"/>
      <c r="AQ108" s="5"/>
      <c r="AR108" s="5"/>
      <c r="AS108" s="5"/>
      <c r="AT108" s="5"/>
      <c r="AU108" s="5"/>
      <c r="AV108" s="5"/>
      <c r="AW108" s="5" t="s">
        <v>1770</v>
      </c>
      <c r="AX108" s="5"/>
      <c r="AY108" s="5"/>
      <c r="AZ108" s="5" t="s">
        <v>1770</v>
      </c>
      <c r="BA108" s="93">
        <v>0.0</v>
      </c>
      <c r="BB108" s="93">
        <v>0.0</v>
      </c>
      <c r="BC108" s="93">
        <v>0.0</v>
      </c>
      <c r="BD108" s="93">
        <v>0.0</v>
      </c>
      <c r="BE108" s="93">
        <v>0.0</v>
      </c>
      <c r="BF108" s="93">
        <v>0.0</v>
      </c>
      <c r="BG108" s="5"/>
      <c r="BH108" s="93">
        <v>0.0</v>
      </c>
      <c r="BI108" s="93">
        <v>0.0</v>
      </c>
      <c r="BJ108" s="93">
        <v>0.0</v>
      </c>
      <c r="BK108" s="93">
        <v>0.0</v>
      </c>
      <c r="BL108" s="93">
        <v>0.0</v>
      </c>
      <c r="BM108" s="93">
        <v>0.0</v>
      </c>
      <c r="BN108" s="93">
        <v>0.0</v>
      </c>
      <c r="BO108" s="5"/>
      <c r="BP108" s="5"/>
      <c r="BQ108" s="5" t="s">
        <v>1775</v>
      </c>
      <c r="BR108" s="94">
        <v>43477.45685185185</v>
      </c>
      <c r="BS108" s="5">
        <v>1.0</v>
      </c>
      <c r="BT108" s="94">
        <v>46163.45458333333</v>
      </c>
      <c r="BU108" s="5">
        <v>40.0</v>
      </c>
      <c r="BV108" s="5" t="s">
        <v>1770</v>
      </c>
      <c r="BW108" s="5" t="s">
        <v>1770</v>
      </c>
    </row>
    <row r="109" ht="14.25" customHeight="1">
      <c r="A109" s="95">
        <v>108.0</v>
      </c>
      <c r="B109" s="95">
        <v>360.0</v>
      </c>
      <c r="C109" s="95" t="s">
        <v>2650</v>
      </c>
      <c r="D109" s="95" t="s">
        <v>1758</v>
      </c>
      <c r="E109" s="96" t="s">
        <v>2603</v>
      </c>
      <c r="F109" s="97" t="s">
        <v>2651</v>
      </c>
      <c r="G109" s="95" t="s">
        <v>2652</v>
      </c>
      <c r="H109" s="95" t="s">
        <v>1781</v>
      </c>
      <c r="I109" s="95" t="s">
        <v>1782</v>
      </c>
      <c r="J109" s="98">
        <v>33549.0</v>
      </c>
      <c r="K109" s="5">
        <v>594.0</v>
      </c>
      <c r="L109" s="5" t="s">
        <v>2653</v>
      </c>
      <c r="M109" s="5">
        <v>3.0</v>
      </c>
      <c r="N109" s="5" t="s">
        <v>2340</v>
      </c>
      <c r="O109" s="5">
        <v>43890.0</v>
      </c>
      <c r="P109" s="5" t="s">
        <v>2556</v>
      </c>
      <c r="Q109" s="5" t="s">
        <v>2654</v>
      </c>
      <c r="R109" s="5">
        <v>549.0</v>
      </c>
      <c r="S109" s="5">
        <v>3.931096374E9</v>
      </c>
      <c r="T109" s="5"/>
      <c r="U109" s="5" t="s">
        <v>1787</v>
      </c>
      <c r="V109" s="5">
        <v>6.048840848E9</v>
      </c>
      <c r="W109" s="5" t="s">
        <v>1787</v>
      </c>
      <c r="X109" s="91">
        <v>43222.0</v>
      </c>
      <c r="Y109" s="5">
        <v>1.0</v>
      </c>
      <c r="Z109" s="5">
        <v>17.0</v>
      </c>
      <c r="AA109" s="5">
        <v>33.0</v>
      </c>
      <c r="AB109" s="5"/>
      <c r="AC109" s="5"/>
      <c r="AD109" s="5" t="s">
        <v>1770</v>
      </c>
      <c r="AE109" s="5" t="s">
        <v>1770</v>
      </c>
      <c r="AF109" s="5"/>
      <c r="AG109" s="5"/>
      <c r="AH109" s="5">
        <v>8.484084015E10</v>
      </c>
      <c r="AI109" s="5"/>
      <c r="AJ109" s="5"/>
      <c r="AK109" s="5" t="s">
        <v>1773</v>
      </c>
      <c r="AL109" s="92">
        <v>0.0</v>
      </c>
      <c r="AM109" s="5" t="s">
        <v>1770</v>
      </c>
      <c r="AN109" s="5" t="s">
        <v>1788</v>
      </c>
      <c r="AO109" s="5"/>
      <c r="AP109" s="5"/>
      <c r="AQ109" s="5"/>
      <c r="AR109" s="5"/>
      <c r="AS109" s="5"/>
      <c r="AT109" s="5"/>
      <c r="AU109" s="5"/>
      <c r="AV109" s="5"/>
      <c r="AW109" s="5" t="s">
        <v>1770</v>
      </c>
      <c r="AX109" s="5"/>
      <c r="AY109" s="5"/>
      <c r="AZ109" s="5" t="s">
        <v>1770</v>
      </c>
      <c r="BA109" s="93">
        <v>0.0</v>
      </c>
      <c r="BB109" s="93">
        <v>0.0</v>
      </c>
      <c r="BC109" s="93">
        <v>0.0</v>
      </c>
      <c r="BD109" s="93">
        <v>0.0</v>
      </c>
      <c r="BE109" s="93">
        <v>0.0</v>
      </c>
      <c r="BF109" s="93">
        <v>0.0</v>
      </c>
      <c r="BG109" s="5"/>
      <c r="BH109" s="93">
        <v>0.0</v>
      </c>
      <c r="BI109" s="93">
        <v>0.0</v>
      </c>
      <c r="BJ109" s="93">
        <v>0.0</v>
      </c>
      <c r="BK109" s="93">
        <v>0.0</v>
      </c>
      <c r="BL109" s="93">
        <v>0.0</v>
      </c>
      <c r="BM109" s="93">
        <v>0.0</v>
      </c>
      <c r="BN109" s="93">
        <v>0.0</v>
      </c>
      <c r="BO109" s="5"/>
      <c r="BP109" s="5" t="s">
        <v>1770</v>
      </c>
      <c r="BQ109" s="5" t="s">
        <v>1789</v>
      </c>
      <c r="BR109" s="94">
        <v>43477.45685185185</v>
      </c>
      <c r="BS109" s="5">
        <v>1.0</v>
      </c>
      <c r="BT109" s="94">
        <v>43768.54601851852</v>
      </c>
      <c r="BU109" s="5">
        <v>40.0</v>
      </c>
      <c r="BV109" s="94">
        <v>44392.70921296296</v>
      </c>
      <c r="BW109" s="5">
        <v>40.0</v>
      </c>
    </row>
    <row r="110" ht="14.25" customHeight="1">
      <c r="A110" s="95">
        <v>109.0</v>
      </c>
      <c r="B110" s="95">
        <v>362.0</v>
      </c>
      <c r="C110" s="95" t="s">
        <v>2657</v>
      </c>
      <c r="D110" s="99" t="s">
        <v>2658</v>
      </c>
      <c r="E110" s="96" t="s">
        <v>2659</v>
      </c>
      <c r="F110" s="97" t="s">
        <v>2660</v>
      </c>
      <c r="G110" s="95" t="s">
        <v>2661</v>
      </c>
      <c r="H110" s="95" t="s">
        <v>1762</v>
      </c>
      <c r="I110" s="95" t="s">
        <v>1763</v>
      </c>
      <c r="J110" s="98">
        <v>23313.0</v>
      </c>
      <c r="K110" s="5">
        <v>549.0</v>
      </c>
      <c r="L110" s="5" t="s">
        <v>2662</v>
      </c>
      <c r="M110" s="5">
        <v>95.0</v>
      </c>
      <c r="N110" s="5"/>
      <c r="O110" s="5">
        <v>43882.0</v>
      </c>
      <c r="P110" s="5" t="s">
        <v>2663</v>
      </c>
      <c r="Q110" s="5" t="s">
        <v>1766</v>
      </c>
      <c r="R110" s="5">
        <v>549.0</v>
      </c>
      <c r="S110" s="5">
        <v>3.939355626E9</v>
      </c>
      <c r="T110" s="5"/>
      <c r="U110" s="5" t="s">
        <v>1769</v>
      </c>
      <c r="V110" s="5">
        <v>6.09408151E9</v>
      </c>
      <c r="W110" s="5" t="s">
        <v>2239</v>
      </c>
      <c r="X110" s="91">
        <v>43116.0</v>
      </c>
      <c r="Y110" s="5">
        <v>1.0</v>
      </c>
      <c r="Z110" s="5">
        <v>17.0</v>
      </c>
      <c r="AA110" s="5">
        <v>27.0</v>
      </c>
      <c r="AB110" s="5"/>
      <c r="AC110" s="5"/>
      <c r="AD110" s="5" t="s">
        <v>1770</v>
      </c>
      <c r="AE110" s="5" t="s">
        <v>1770</v>
      </c>
      <c r="AF110" s="5"/>
      <c r="AG110" s="5"/>
      <c r="AH110" s="5">
        <v>2.186301921E9</v>
      </c>
      <c r="AI110" s="5">
        <v>23.0</v>
      </c>
      <c r="AJ110" s="5"/>
      <c r="AK110" s="5" t="s">
        <v>1773</v>
      </c>
      <c r="AL110" s="92">
        <v>0.0</v>
      </c>
      <c r="AM110" s="5" t="s">
        <v>1770</v>
      </c>
      <c r="AN110" s="5" t="s">
        <v>1788</v>
      </c>
      <c r="AO110" s="5"/>
      <c r="AP110" s="5"/>
      <c r="AQ110" s="5"/>
      <c r="AR110" s="5"/>
      <c r="AS110" s="5"/>
      <c r="AT110" s="5"/>
      <c r="AU110" s="5"/>
      <c r="AV110" s="5"/>
      <c r="AW110" s="5" t="s">
        <v>1770</v>
      </c>
      <c r="AX110" s="5"/>
      <c r="AY110" s="5"/>
      <c r="AZ110" s="5" t="s">
        <v>1770</v>
      </c>
      <c r="BA110" s="93">
        <v>0.0</v>
      </c>
      <c r="BB110" s="93">
        <v>0.0</v>
      </c>
      <c r="BC110" s="93">
        <v>0.0</v>
      </c>
      <c r="BD110" s="93">
        <v>0.0</v>
      </c>
      <c r="BE110" s="93">
        <v>0.0</v>
      </c>
      <c r="BF110" s="93">
        <v>0.0</v>
      </c>
      <c r="BG110" s="5"/>
      <c r="BH110" s="93">
        <v>0.0</v>
      </c>
      <c r="BI110" s="93">
        <v>0.0</v>
      </c>
      <c r="BJ110" s="93">
        <v>0.0</v>
      </c>
      <c r="BK110" s="93">
        <v>0.0</v>
      </c>
      <c r="BL110" s="93">
        <v>0.0</v>
      </c>
      <c r="BM110" s="93">
        <v>0.0</v>
      </c>
      <c r="BN110" s="93">
        <v>0.0</v>
      </c>
      <c r="BO110" s="5"/>
      <c r="BP110" s="5" t="s">
        <v>1770</v>
      </c>
      <c r="BQ110" s="5" t="s">
        <v>1789</v>
      </c>
      <c r="BR110" s="94">
        <v>43477.45685185185</v>
      </c>
      <c r="BS110" s="5">
        <v>1.0</v>
      </c>
      <c r="BT110" s="94">
        <v>43521.73033564815</v>
      </c>
      <c r="BU110" s="5">
        <v>40.0</v>
      </c>
      <c r="BV110" s="94">
        <v>44392.71460648148</v>
      </c>
      <c r="BW110" s="5">
        <v>40.0</v>
      </c>
    </row>
    <row r="111" ht="14.25" customHeight="1">
      <c r="A111" s="95">
        <v>110.0</v>
      </c>
      <c r="B111" s="95">
        <v>371.0</v>
      </c>
      <c r="C111" s="95" t="s">
        <v>2664</v>
      </c>
      <c r="D111" s="95" t="s">
        <v>2335</v>
      </c>
      <c r="E111" s="96" t="s">
        <v>2534</v>
      </c>
      <c r="F111" s="97" t="s">
        <v>2665</v>
      </c>
      <c r="G111" s="95" t="s">
        <v>2666</v>
      </c>
      <c r="H111" s="95" t="s">
        <v>1815</v>
      </c>
      <c r="I111" s="95" t="s">
        <v>1763</v>
      </c>
      <c r="J111" s="98">
        <v>30557.0</v>
      </c>
      <c r="K111" s="5">
        <v>549.0</v>
      </c>
      <c r="L111" s="5" t="s">
        <v>2667</v>
      </c>
      <c r="M111" s="5">
        <v>176.0</v>
      </c>
      <c r="N111" s="5" t="s">
        <v>2624</v>
      </c>
      <c r="O111" s="5">
        <v>43882.0</v>
      </c>
      <c r="P111" s="5" t="s">
        <v>1797</v>
      </c>
      <c r="Q111" s="5" t="s">
        <v>1766</v>
      </c>
      <c r="R111" s="5">
        <v>549.0</v>
      </c>
      <c r="S111" s="5">
        <v>3.931179414E9</v>
      </c>
      <c r="T111" s="5"/>
      <c r="U111" s="5" t="s">
        <v>1924</v>
      </c>
      <c r="V111" s="5">
        <v>9.874520126E9</v>
      </c>
      <c r="W111" s="5" t="s">
        <v>1924</v>
      </c>
      <c r="X111" s="91">
        <v>43175.0</v>
      </c>
      <c r="Y111" s="5">
        <v>1.0</v>
      </c>
      <c r="Z111" s="5">
        <v>17.0</v>
      </c>
      <c r="AA111" s="5">
        <v>31.0</v>
      </c>
      <c r="AB111" s="5"/>
      <c r="AC111" s="5"/>
      <c r="AD111" s="5" t="s">
        <v>1770</v>
      </c>
      <c r="AE111" s="5" t="s">
        <v>1770</v>
      </c>
      <c r="AF111" s="5"/>
      <c r="AG111" s="5"/>
      <c r="AH111" s="5">
        <v>7.5018391799E10</v>
      </c>
      <c r="AI111" s="5">
        <v>23.0</v>
      </c>
      <c r="AJ111" s="5"/>
      <c r="AK111" s="5" t="s">
        <v>1773</v>
      </c>
      <c r="AL111" s="92">
        <v>0.0</v>
      </c>
      <c r="AM111" s="5" t="s">
        <v>1770</v>
      </c>
      <c r="AN111" s="5" t="s">
        <v>1788</v>
      </c>
      <c r="AO111" s="5"/>
      <c r="AP111" s="5"/>
      <c r="AQ111" s="5"/>
      <c r="AR111" s="5"/>
      <c r="AS111" s="5"/>
      <c r="AT111" s="5"/>
      <c r="AU111" s="5"/>
      <c r="AV111" s="5"/>
      <c r="AW111" s="5" t="s">
        <v>1770</v>
      </c>
      <c r="AX111" s="5"/>
      <c r="AY111" s="5"/>
      <c r="AZ111" s="5" t="s">
        <v>1770</v>
      </c>
      <c r="BA111" s="93">
        <v>0.0</v>
      </c>
      <c r="BB111" s="93">
        <v>0.0</v>
      </c>
      <c r="BC111" s="93">
        <v>0.0</v>
      </c>
      <c r="BD111" s="93">
        <v>0.0</v>
      </c>
      <c r="BE111" s="93">
        <v>0.0</v>
      </c>
      <c r="BF111" s="93">
        <v>0.0</v>
      </c>
      <c r="BG111" s="5"/>
      <c r="BH111" s="93">
        <v>0.0</v>
      </c>
      <c r="BI111" s="93">
        <v>0.0</v>
      </c>
      <c r="BJ111" s="93">
        <v>0.0</v>
      </c>
      <c r="BK111" s="93">
        <v>0.0</v>
      </c>
      <c r="BL111" s="93">
        <v>0.0</v>
      </c>
      <c r="BM111" s="93">
        <v>0.0</v>
      </c>
      <c r="BN111" s="93">
        <v>0.0</v>
      </c>
      <c r="BO111" s="5"/>
      <c r="BP111" s="5" t="s">
        <v>1770</v>
      </c>
      <c r="BQ111" s="5" t="s">
        <v>1789</v>
      </c>
      <c r="BR111" s="94">
        <v>43477.45685185185</v>
      </c>
      <c r="BS111" s="5">
        <v>1.0</v>
      </c>
      <c r="BT111" s="94">
        <v>43768.54471064815</v>
      </c>
      <c r="BU111" s="5">
        <v>40.0</v>
      </c>
      <c r="BV111" s="94">
        <v>44771.61019675926</v>
      </c>
      <c r="BW111" s="5">
        <v>167.0</v>
      </c>
    </row>
    <row r="112" ht="14.25" customHeight="1">
      <c r="A112" s="95">
        <v>111.0</v>
      </c>
      <c r="B112" s="95">
        <v>372.0</v>
      </c>
      <c r="C112" s="95" t="s">
        <v>2668</v>
      </c>
      <c r="D112" s="95" t="s">
        <v>2132</v>
      </c>
      <c r="E112" s="96" t="s">
        <v>2534</v>
      </c>
      <c r="F112" s="97" t="s">
        <v>2669</v>
      </c>
      <c r="G112" s="95" t="s">
        <v>2670</v>
      </c>
      <c r="H112" s="95" t="s">
        <v>2671</v>
      </c>
      <c r="I112" s="95" t="s">
        <v>1782</v>
      </c>
      <c r="J112" s="98">
        <v>31274.0</v>
      </c>
      <c r="K112" s="5">
        <v>549.0</v>
      </c>
      <c r="L112" s="5" t="s">
        <v>2672</v>
      </c>
      <c r="M112" s="5">
        <v>97.0</v>
      </c>
      <c r="N112" s="5"/>
      <c r="O112" s="5">
        <v>43885.0</v>
      </c>
      <c r="P112" s="5" t="s">
        <v>2109</v>
      </c>
      <c r="Q112" s="5" t="s">
        <v>1766</v>
      </c>
      <c r="R112" s="5">
        <v>549.0</v>
      </c>
      <c r="S112" s="5">
        <v>3.931066715E9</v>
      </c>
      <c r="T112" s="5" t="s">
        <v>2673</v>
      </c>
      <c r="U112" s="5" t="s">
        <v>2674</v>
      </c>
      <c r="V112" s="5">
        <v>3.931004488E9</v>
      </c>
      <c r="W112" s="5" t="s">
        <v>2675</v>
      </c>
      <c r="X112" s="91">
        <v>43176.0</v>
      </c>
      <c r="Y112" s="5">
        <v>1.0</v>
      </c>
      <c r="Z112" s="5">
        <v>4.0</v>
      </c>
      <c r="AA112" s="5">
        <v>12.0</v>
      </c>
      <c r="AB112" s="5" t="s">
        <v>2676</v>
      </c>
      <c r="AC112" s="5" t="s">
        <v>1800</v>
      </c>
      <c r="AD112" s="91">
        <v>45397.0</v>
      </c>
      <c r="AE112" s="91">
        <v>46858.0</v>
      </c>
      <c r="AF112" s="5">
        <v>1.564991087E9</v>
      </c>
      <c r="AG112" s="5"/>
      <c r="AH112" s="5">
        <v>4.118520289E9</v>
      </c>
      <c r="AI112" s="5">
        <v>23.0</v>
      </c>
      <c r="AJ112" s="5"/>
      <c r="AK112" s="5" t="s">
        <v>1773</v>
      </c>
      <c r="AL112" s="92">
        <v>0.0</v>
      </c>
      <c r="AM112" s="5" t="s">
        <v>1770</v>
      </c>
      <c r="AN112" s="5" t="s">
        <v>1830</v>
      </c>
      <c r="AO112" s="5"/>
      <c r="AP112" s="5"/>
      <c r="AQ112" s="5"/>
      <c r="AR112" s="5"/>
      <c r="AS112" s="5"/>
      <c r="AT112" s="5"/>
      <c r="AU112" s="5"/>
      <c r="AV112" s="5"/>
      <c r="AW112" s="5" t="s">
        <v>1770</v>
      </c>
      <c r="AX112" s="5"/>
      <c r="AY112" s="5"/>
      <c r="AZ112" s="5" t="s">
        <v>1770</v>
      </c>
      <c r="BA112" s="93">
        <v>0.0</v>
      </c>
      <c r="BB112" s="93">
        <v>0.0</v>
      </c>
      <c r="BC112" s="93">
        <v>0.0</v>
      </c>
      <c r="BD112" s="93">
        <v>0.0</v>
      </c>
      <c r="BE112" s="93">
        <v>0.0</v>
      </c>
      <c r="BF112" s="93">
        <v>0.0</v>
      </c>
      <c r="BG112" s="5"/>
      <c r="BH112" s="93">
        <v>0.0</v>
      </c>
      <c r="BI112" s="93">
        <v>0.0</v>
      </c>
      <c r="BJ112" s="93">
        <v>0.0</v>
      </c>
      <c r="BK112" s="93">
        <v>0.0</v>
      </c>
      <c r="BL112" s="93">
        <v>0.0</v>
      </c>
      <c r="BM112" s="93">
        <v>0.0</v>
      </c>
      <c r="BN112" s="93">
        <v>0.0</v>
      </c>
      <c r="BO112" s="5"/>
      <c r="BP112" s="5"/>
      <c r="BQ112" s="5" t="s">
        <v>1775</v>
      </c>
      <c r="BR112" s="94">
        <v>43477.45685185185</v>
      </c>
      <c r="BS112" s="5">
        <v>1.0</v>
      </c>
      <c r="BT112" s="94">
        <v>46219.441030092596</v>
      </c>
      <c r="BU112" s="5">
        <v>272.0</v>
      </c>
      <c r="BV112" s="5" t="s">
        <v>1770</v>
      </c>
      <c r="BW112" s="5" t="s">
        <v>1770</v>
      </c>
    </row>
    <row r="113" ht="14.25" customHeight="1">
      <c r="A113" s="95">
        <v>112.0</v>
      </c>
      <c r="B113" s="95">
        <v>79.0</v>
      </c>
      <c r="C113" s="95" t="s">
        <v>2677</v>
      </c>
      <c r="D113" s="95" t="s">
        <v>2678</v>
      </c>
      <c r="E113" s="96" t="s">
        <v>2679</v>
      </c>
      <c r="F113" s="97" t="s">
        <v>2680</v>
      </c>
      <c r="G113" s="95" t="s">
        <v>2681</v>
      </c>
      <c r="H113" s="95" t="s">
        <v>1781</v>
      </c>
      <c r="I113" s="95" t="s">
        <v>1782</v>
      </c>
      <c r="J113" s="98">
        <v>22835.0</v>
      </c>
      <c r="K113" s="5">
        <v>549.0</v>
      </c>
      <c r="L113" s="5" t="s">
        <v>2682</v>
      </c>
      <c r="M113" s="5">
        <v>99.0</v>
      </c>
      <c r="N113" s="5"/>
      <c r="O113" s="5">
        <v>43882.0</v>
      </c>
      <c r="P113" s="5" t="s">
        <v>2683</v>
      </c>
      <c r="Q113" s="5" t="s">
        <v>1766</v>
      </c>
      <c r="R113" s="5">
        <v>549.0</v>
      </c>
      <c r="S113" s="5">
        <v>3.93936655E9</v>
      </c>
      <c r="T113" s="5"/>
      <c r="U113" s="5" t="s">
        <v>1787</v>
      </c>
      <c r="V113" s="5">
        <v>5.01501501E9</v>
      </c>
      <c r="W113" s="5" t="s">
        <v>1787</v>
      </c>
      <c r="X113" s="91">
        <v>40575.0</v>
      </c>
      <c r="Y113" s="5">
        <v>1.0</v>
      </c>
      <c r="Z113" s="5">
        <v>19.0</v>
      </c>
      <c r="AA113" s="5">
        <v>34.0</v>
      </c>
      <c r="AB113" s="5" t="s">
        <v>2684</v>
      </c>
      <c r="AC113" s="5" t="s">
        <v>1800</v>
      </c>
      <c r="AD113" s="91">
        <v>43168.0</v>
      </c>
      <c r="AE113" s="91">
        <v>44629.0</v>
      </c>
      <c r="AF113" s="5"/>
      <c r="AG113" s="5"/>
      <c r="AH113" s="5">
        <v>5.482631529E10</v>
      </c>
      <c r="AI113" s="5">
        <v>23.0</v>
      </c>
      <c r="AJ113" s="5"/>
      <c r="AK113" s="5" t="s">
        <v>1773</v>
      </c>
      <c r="AL113" s="92">
        <v>0.0</v>
      </c>
      <c r="AM113" s="5" t="s">
        <v>1770</v>
      </c>
      <c r="AN113" s="5" t="s">
        <v>1830</v>
      </c>
      <c r="AO113" s="5"/>
      <c r="AP113" s="5"/>
      <c r="AQ113" s="5"/>
      <c r="AR113" s="5"/>
      <c r="AS113" s="5"/>
      <c r="AT113" s="5"/>
      <c r="AU113" s="5"/>
      <c r="AV113" s="5"/>
      <c r="AW113" s="5" t="s">
        <v>1770</v>
      </c>
      <c r="AX113" s="5"/>
      <c r="AY113" s="5"/>
      <c r="AZ113" s="5" t="s">
        <v>1770</v>
      </c>
      <c r="BA113" s="93">
        <v>0.0</v>
      </c>
      <c r="BB113" s="93">
        <v>0.0</v>
      </c>
      <c r="BC113" s="93">
        <v>0.0</v>
      </c>
      <c r="BD113" s="93">
        <v>0.0</v>
      </c>
      <c r="BE113" s="93">
        <v>0.0</v>
      </c>
      <c r="BF113" s="93">
        <v>0.0</v>
      </c>
      <c r="BG113" s="5"/>
      <c r="BH113" s="93">
        <v>0.0</v>
      </c>
      <c r="BI113" s="93">
        <v>0.0</v>
      </c>
      <c r="BJ113" s="93">
        <v>0.0</v>
      </c>
      <c r="BK113" s="93">
        <v>0.0</v>
      </c>
      <c r="BL113" s="93">
        <v>0.0</v>
      </c>
      <c r="BM113" s="93">
        <v>0.0</v>
      </c>
      <c r="BN113" s="93">
        <v>0.0</v>
      </c>
      <c r="BO113" s="5"/>
      <c r="BP113" s="5" t="s">
        <v>1770</v>
      </c>
      <c r="BQ113" s="5" t="s">
        <v>1789</v>
      </c>
      <c r="BR113" s="94">
        <v>43477.45685185185</v>
      </c>
      <c r="BS113" s="5">
        <v>1.0</v>
      </c>
      <c r="BT113" s="94">
        <v>44279.5346412037</v>
      </c>
      <c r="BU113" s="5">
        <v>40.0</v>
      </c>
      <c r="BV113" s="94">
        <v>45014.713472222225</v>
      </c>
      <c r="BW113" s="5">
        <v>40.0</v>
      </c>
    </row>
    <row r="114" ht="14.25" customHeight="1">
      <c r="A114" s="95">
        <v>113.0</v>
      </c>
      <c r="B114" s="95">
        <v>381.0</v>
      </c>
      <c r="C114" s="95" t="s">
        <v>2685</v>
      </c>
      <c r="D114" s="95" t="s">
        <v>1959</v>
      </c>
      <c r="E114" s="96" t="s">
        <v>2686</v>
      </c>
      <c r="F114" s="97" t="s">
        <v>2687</v>
      </c>
      <c r="G114" s="95" t="s">
        <v>2688</v>
      </c>
      <c r="H114" s="95" t="s">
        <v>1972</v>
      </c>
      <c r="I114" s="95" t="s">
        <v>1782</v>
      </c>
      <c r="J114" s="98">
        <v>35961.0</v>
      </c>
      <c r="K114" s="5">
        <v>424.0</v>
      </c>
      <c r="L114" s="5" t="s">
        <v>2689</v>
      </c>
      <c r="M114" s="5">
        <v>9.0</v>
      </c>
      <c r="N114" s="5"/>
      <c r="O114" s="5">
        <v>32873.0</v>
      </c>
      <c r="P114" s="5" t="s">
        <v>2556</v>
      </c>
      <c r="Q114" s="5" t="s">
        <v>2406</v>
      </c>
      <c r="R114" s="5">
        <v>424.0</v>
      </c>
      <c r="S114" s="5">
        <v>4.691089742E9</v>
      </c>
      <c r="T114" s="5"/>
      <c r="U114" s="5" t="s">
        <v>2595</v>
      </c>
      <c r="V114" s="5">
        <v>1.236547896E9</v>
      </c>
      <c r="W114" s="5" t="s">
        <v>2595</v>
      </c>
      <c r="X114" s="91">
        <v>43221.0</v>
      </c>
      <c r="Y114" s="5">
        <v>2.0</v>
      </c>
      <c r="Z114" s="5">
        <v>4.0</v>
      </c>
      <c r="AA114" s="5">
        <v>39.0</v>
      </c>
      <c r="AB114" s="5"/>
      <c r="AC114" s="5"/>
      <c r="AD114" s="5" t="s">
        <v>1770</v>
      </c>
      <c r="AE114" s="5" t="s">
        <v>1770</v>
      </c>
      <c r="AF114" s="5"/>
      <c r="AG114" s="5"/>
      <c r="AH114" s="5">
        <v>4.7169836641E10</v>
      </c>
      <c r="AI114" s="5">
        <v>9.0</v>
      </c>
      <c r="AJ114" s="5"/>
      <c r="AK114" s="5" t="s">
        <v>1773</v>
      </c>
      <c r="AL114" s="92">
        <v>0.0</v>
      </c>
      <c r="AM114" s="5" t="s">
        <v>1770</v>
      </c>
      <c r="AN114" s="5" t="s">
        <v>1774</v>
      </c>
      <c r="AO114" s="5"/>
      <c r="AP114" s="5"/>
      <c r="AQ114" s="5"/>
      <c r="AR114" s="5"/>
      <c r="AS114" s="5"/>
      <c r="AT114" s="5"/>
      <c r="AU114" s="5"/>
      <c r="AV114" s="5"/>
      <c r="AW114" s="5" t="s">
        <v>1770</v>
      </c>
      <c r="AX114" s="5"/>
      <c r="AY114" s="5"/>
      <c r="AZ114" s="5" t="s">
        <v>1770</v>
      </c>
      <c r="BA114" s="93">
        <v>0.0</v>
      </c>
      <c r="BB114" s="93">
        <v>0.0</v>
      </c>
      <c r="BC114" s="93">
        <v>0.0</v>
      </c>
      <c r="BD114" s="93">
        <v>0.0</v>
      </c>
      <c r="BE114" s="93">
        <v>0.0</v>
      </c>
      <c r="BF114" s="93">
        <v>0.0</v>
      </c>
      <c r="BG114" s="5"/>
      <c r="BH114" s="93">
        <v>0.0</v>
      </c>
      <c r="BI114" s="93">
        <v>0.0</v>
      </c>
      <c r="BJ114" s="93">
        <v>0.0</v>
      </c>
      <c r="BK114" s="93">
        <v>0.0</v>
      </c>
      <c r="BL114" s="93">
        <v>0.0</v>
      </c>
      <c r="BM114" s="93">
        <v>0.0</v>
      </c>
      <c r="BN114" s="93">
        <v>0.0</v>
      </c>
      <c r="BO114" s="5"/>
      <c r="BP114" s="5" t="s">
        <v>1770</v>
      </c>
      <c r="BQ114" s="5" t="s">
        <v>1789</v>
      </c>
      <c r="BR114" s="94">
        <v>43477.45685185185</v>
      </c>
      <c r="BS114" s="5">
        <v>1.0</v>
      </c>
      <c r="BT114" s="94">
        <v>43753.46429398148</v>
      </c>
      <c r="BU114" s="5">
        <v>13.0</v>
      </c>
      <c r="BV114" s="94">
        <v>44392.71424768519</v>
      </c>
      <c r="BW114" s="5">
        <v>40.0</v>
      </c>
    </row>
    <row r="115" ht="14.25" customHeight="1">
      <c r="A115" s="95">
        <v>114.0</v>
      </c>
      <c r="B115" s="95">
        <v>383.0</v>
      </c>
      <c r="C115" s="95" t="s">
        <v>2690</v>
      </c>
      <c r="D115" s="95" t="s">
        <v>2691</v>
      </c>
      <c r="E115" s="101" t="s">
        <v>2658</v>
      </c>
      <c r="F115" s="97" t="s">
        <v>2693</v>
      </c>
      <c r="G115" s="95" t="s">
        <v>2695</v>
      </c>
      <c r="H115" s="95" t="s">
        <v>1781</v>
      </c>
      <c r="I115" s="95" t="s">
        <v>1782</v>
      </c>
      <c r="J115" s="98">
        <v>34546.0</v>
      </c>
      <c r="K115" s="5">
        <v>1826.0</v>
      </c>
      <c r="L115" s="5" t="s">
        <v>2696</v>
      </c>
      <c r="M115" s="5">
        <v>15.0</v>
      </c>
      <c r="N115" s="5"/>
      <c r="O115" s="5">
        <v>43882.0</v>
      </c>
      <c r="P115" s="5" t="s">
        <v>1931</v>
      </c>
      <c r="Q115" s="5" t="s">
        <v>1766</v>
      </c>
      <c r="R115" s="5">
        <v>549.0</v>
      </c>
      <c r="S115" s="5">
        <v>3.931096895E9</v>
      </c>
      <c r="T115" s="5" t="s">
        <v>2697</v>
      </c>
      <c r="U115" s="5" t="s">
        <v>2698</v>
      </c>
      <c r="V115" s="5">
        <v>3.931057347E9</v>
      </c>
      <c r="W115" s="5" t="s">
        <v>1965</v>
      </c>
      <c r="X115" s="91">
        <v>43223.0</v>
      </c>
      <c r="Y115" s="5">
        <v>1.0</v>
      </c>
      <c r="Z115" s="5">
        <v>4.0</v>
      </c>
      <c r="AA115" s="5">
        <v>41.0</v>
      </c>
      <c r="AB115" s="5" t="s">
        <v>2699</v>
      </c>
      <c r="AC115" s="5" t="s">
        <v>1800</v>
      </c>
      <c r="AD115" s="91">
        <v>45573.0</v>
      </c>
      <c r="AE115" s="91">
        <v>47034.0</v>
      </c>
      <c r="AF115" s="5"/>
      <c r="AG115" s="5"/>
      <c r="AH115" s="5">
        <v>3.159469299E9</v>
      </c>
      <c r="AI115" s="5">
        <v>23.0</v>
      </c>
      <c r="AJ115" s="5"/>
      <c r="AK115" s="5" t="s">
        <v>1773</v>
      </c>
      <c r="AL115" s="92">
        <v>0.0</v>
      </c>
      <c r="AM115" s="5" t="s">
        <v>1770</v>
      </c>
      <c r="AN115" s="5" t="s">
        <v>1830</v>
      </c>
      <c r="AO115" s="5"/>
      <c r="AP115" s="5"/>
      <c r="AQ115" s="5"/>
      <c r="AR115" s="5"/>
      <c r="AS115" s="5"/>
      <c r="AT115" s="5"/>
      <c r="AU115" s="5"/>
      <c r="AV115" s="5"/>
      <c r="AW115" s="5" t="s">
        <v>1770</v>
      </c>
      <c r="AX115" s="5"/>
      <c r="AY115" s="5"/>
      <c r="AZ115" s="5" t="s">
        <v>1770</v>
      </c>
      <c r="BA115" s="93">
        <v>0.0</v>
      </c>
      <c r="BB115" s="93">
        <v>0.0</v>
      </c>
      <c r="BC115" s="93">
        <v>0.0</v>
      </c>
      <c r="BD115" s="93">
        <v>0.0</v>
      </c>
      <c r="BE115" s="93">
        <v>0.0</v>
      </c>
      <c r="BF115" s="93">
        <v>0.0</v>
      </c>
      <c r="BG115" s="5"/>
      <c r="BH115" s="93">
        <v>0.0</v>
      </c>
      <c r="BI115" s="93">
        <v>0.0</v>
      </c>
      <c r="BJ115" s="93">
        <v>0.0</v>
      </c>
      <c r="BK115" s="93">
        <v>0.0</v>
      </c>
      <c r="BL115" s="93">
        <v>0.0</v>
      </c>
      <c r="BM115" s="93">
        <v>0.0</v>
      </c>
      <c r="BN115" s="93">
        <v>0.0</v>
      </c>
      <c r="BO115" s="5"/>
      <c r="BP115" s="5" t="s">
        <v>2700</v>
      </c>
      <c r="BQ115" s="5" t="s">
        <v>1775</v>
      </c>
      <c r="BR115" s="94">
        <v>43477.45685185185</v>
      </c>
      <c r="BS115" s="5">
        <v>1.0</v>
      </c>
      <c r="BT115" s="94">
        <v>46134.393379629626</v>
      </c>
      <c r="BU115" s="5" t="s">
        <v>1770</v>
      </c>
      <c r="BV115" s="5" t="s">
        <v>1770</v>
      </c>
      <c r="BW115" s="5" t="s">
        <v>1770</v>
      </c>
    </row>
    <row r="116" ht="14.25" customHeight="1">
      <c r="A116" s="95">
        <v>115.0</v>
      </c>
      <c r="B116" s="95">
        <v>384.0</v>
      </c>
      <c r="C116" s="95" t="s">
        <v>2701</v>
      </c>
      <c r="D116" s="95" t="s">
        <v>1778</v>
      </c>
      <c r="E116" s="96" t="s">
        <v>1792</v>
      </c>
      <c r="F116" s="97" t="s">
        <v>2702</v>
      </c>
      <c r="G116" s="95" t="s">
        <v>2703</v>
      </c>
      <c r="H116" s="95" t="s">
        <v>1762</v>
      </c>
      <c r="I116" s="95" t="s">
        <v>1763</v>
      </c>
      <c r="J116" s="98">
        <v>27782.0</v>
      </c>
      <c r="K116" s="5">
        <v>549.0</v>
      </c>
      <c r="L116" s="5" t="s">
        <v>2704</v>
      </c>
      <c r="M116" s="5">
        <v>14.0</v>
      </c>
      <c r="N116" s="5"/>
      <c r="O116" s="5">
        <v>43882.0</v>
      </c>
      <c r="P116" s="5" t="s">
        <v>1827</v>
      </c>
      <c r="Q116" s="5" t="s">
        <v>1766</v>
      </c>
      <c r="R116" s="5">
        <v>549.0</v>
      </c>
      <c r="S116" s="5">
        <v>4.774731095E9</v>
      </c>
      <c r="T116" s="5"/>
      <c r="U116" s="5" t="s">
        <v>2705</v>
      </c>
      <c r="V116" s="5">
        <v>4.772591971E9</v>
      </c>
      <c r="W116" s="5" t="s">
        <v>1769</v>
      </c>
      <c r="X116" s="91">
        <v>43236.0</v>
      </c>
      <c r="Y116" s="5">
        <v>1.0</v>
      </c>
      <c r="Z116" s="5">
        <v>17.0</v>
      </c>
      <c r="AA116" s="5">
        <v>19.0</v>
      </c>
      <c r="AB116" s="5"/>
      <c r="AC116" s="5"/>
      <c r="AD116" s="5" t="s">
        <v>1770</v>
      </c>
      <c r="AE116" s="5" t="s">
        <v>1770</v>
      </c>
      <c r="AF116" s="5"/>
      <c r="AG116" s="5"/>
      <c r="AH116" s="5">
        <v>7.4947615303E10</v>
      </c>
      <c r="AI116" s="5">
        <v>23.0</v>
      </c>
      <c r="AJ116" s="5"/>
      <c r="AK116" s="5" t="s">
        <v>1773</v>
      </c>
      <c r="AL116" s="92">
        <v>0.0</v>
      </c>
      <c r="AM116" s="5" t="s">
        <v>1770</v>
      </c>
      <c r="AN116" s="5" t="s">
        <v>1830</v>
      </c>
      <c r="AO116" s="5"/>
      <c r="AP116" s="5"/>
      <c r="AQ116" s="5"/>
      <c r="AR116" s="5"/>
      <c r="AS116" s="5"/>
      <c r="AT116" s="5"/>
      <c r="AU116" s="5"/>
      <c r="AV116" s="5"/>
      <c r="AW116" s="5" t="s">
        <v>1770</v>
      </c>
      <c r="AX116" s="5"/>
      <c r="AY116" s="5"/>
      <c r="AZ116" s="5" t="s">
        <v>1770</v>
      </c>
      <c r="BA116" s="93">
        <v>0.0</v>
      </c>
      <c r="BB116" s="93">
        <v>0.0</v>
      </c>
      <c r="BC116" s="93">
        <v>0.0</v>
      </c>
      <c r="BD116" s="93">
        <v>0.0</v>
      </c>
      <c r="BE116" s="93">
        <v>0.0</v>
      </c>
      <c r="BF116" s="93">
        <v>0.0</v>
      </c>
      <c r="BG116" s="5"/>
      <c r="BH116" s="93">
        <v>0.0</v>
      </c>
      <c r="BI116" s="93">
        <v>0.0</v>
      </c>
      <c r="BJ116" s="93">
        <v>0.0</v>
      </c>
      <c r="BK116" s="93">
        <v>0.0</v>
      </c>
      <c r="BL116" s="93">
        <v>0.0</v>
      </c>
      <c r="BM116" s="93">
        <v>0.0</v>
      </c>
      <c r="BN116" s="93">
        <v>0.0</v>
      </c>
      <c r="BO116" s="5"/>
      <c r="BP116" s="5" t="s">
        <v>1770</v>
      </c>
      <c r="BQ116" s="5" t="s">
        <v>1789</v>
      </c>
      <c r="BR116" s="94">
        <v>43477.45685185185</v>
      </c>
      <c r="BS116" s="5">
        <v>1.0</v>
      </c>
      <c r="BT116" s="94">
        <v>45069.720347222225</v>
      </c>
      <c r="BU116" s="5">
        <v>211.0</v>
      </c>
      <c r="BV116" s="94">
        <v>45069.721180555556</v>
      </c>
      <c r="BW116" s="5">
        <v>211.0</v>
      </c>
    </row>
    <row r="117" ht="14.25" customHeight="1">
      <c r="A117" s="95">
        <v>116.0</v>
      </c>
      <c r="B117" s="95">
        <v>386.0</v>
      </c>
      <c r="C117" s="95" t="s">
        <v>2706</v>
      </c>
      <c r="D117" s="95" t="s">
        <v>1823</v>
      </c>
      <c r="E117" s="96" t="s">
        <v>2011</v>
      </c>
      <c r="F117" s="97" t="s">
        <v>2707</v>
      </c>
      <c r="G117" s="95" t="s">
        <v>2708</v>
      </c>
      <c r="H117" s="95" t="s">
        <v>1781</v>
      </c>
      <c r="I117" s="95" t="s">
        <v>1763</v>
      </c>
      <c r="J117" s="98">
        <v>26654.0</v>
      </c>
      <c r="K117" s="5">
        <v>999.0</v>
      </c>
      <c r="L117" s="5" t="s">
        <v>2709</v>
      </c>
      <c r="M117" s="5">
        <v>295.0</v>
      </c>
      <c r="N117" s="5" t="s">
        <v>2340</v>
      </c>
      <c r="O117" s="5">
        <v>53932.0</v>
      </c>
      <c r="P117" s="5" t="s">
        <v>2710</v>
      </c>
      <c r="Q117" s="5" t="s">
        <v>2041</v>
      </c>
      <c r="R117" s="5">
        <v>834.0</v>
      </c>
      <c r="S117" s="5">
        <v>4.431675109E9</v>
      </c>
      <c r="T117" s="5"/>
      <c r="U117" s="5" t="s">
        <v>1769</v>
      </c>
      <c r="V117" s="5">
        <v>4.431675109E9</v>
      </c>
      <c r="W117" s="5" t="s">
        <v>1769</v>
      </c>
      <c r="X117" s="91">
        <v>43242.0</v>
      </c>
      <c r="Y117" s="5">
        <v>4.0</v>
      </c>
      <c r="Z117" s="5">
        <v>17.0</v>
      </c>
      <c r="AA117" s="5">
        <v>18.0</v>
      </c>
      <c r="AB117" s="5" t="s">
        <v>2711</v>
      </c>
      <c r="AC117" s="5" t="s">
        <v>1800</v>
      </c>
      <c r="AD117" s="91">
        <v>43839.0</v>
      </c>
      <c r="AE117" s="91">
        <v>45300.0</v>
      </c>
      <c r="AF117" s="5"/>
      <c r="AG117" s="5"/>
      <c r="AH117" s="5">
        <v>2.187241365E9</v>
      </c>
      <c r="AI117" s="5">
        <v>75.0</v>
      </c>
      <c r="AJ117" s="5"/>
      <c r="AK117" s="5" t="s">
        <v>1773</v>
      </c>
      <c r="AL117" s="92">
        <v>0.0</v>
      </c>
      <c r="AM117" s="5" t="s">
        <v>1770</v>
      </c>
      <c r="AN117" s="5" t="s">
        <v>1774</v>
      </c>
      <c r="AO117" s="5"/>
      <c r="AP117" s="5"/>
      <c r="AQ117" s="5"/>
      <c r="AR117" s="5"/>
      <c r="AS117" s="5"/>
      <c r="AT117" s="5"/>
      <c r="AU117" s="5"/>
      <c r="AV117" s="5"/>
      <c r="AW117" s="5" t="s">
        <v>1770</v>
      </c>
      <c r="AX117" s="5"/>
      <c r="AY117" s="5"/>
      <c r="AZ117" s="5" t="s">
        <v>1770</v>
      </c>
      <c r="BA117" s="93">
        <v>0.0</v>
      </c>
      <c r="BB117" s="93">
        <v>0.0</v>
      </c>
      <c r="BC117" s="93">
        <v>0.0</v>
      </c>
      <c r="BD117" s="93">
        <v>0.0</v>
      </c>
      <c r="BE117" s="93">
        <v>0.0</v>
      </c>
      <c r="BF117" s="93">
        <v>0.0</v>
      </c>
      <c r="BG117" s="5"/>
      <c r="BH117" s="93">
        <v>0.0</v>
      </c>
      <c r="BI117" s="93">
        <v>0.0</v>
      </c>
      <c r="BJ117" s="93">
        <v>0.0</v>
      </c>
      <c r="BK117" s="93">
        <v>0.0</v>
      </c>
      <c r="BL117" s="93">
        <v>0.0</v>
      </c>
      <c r="BM117" s="93">
        <v>0.0</v>
      </c>
      <c r="BN117" s="93">
        <v>0.0</v>
      </c>
      <c r="BO117" s="5"/>
      <c r="BP117" s="5" t="s">
        <v>1770</v>
      </c>
      <c r="BQ117" s="5" t="s">
        <v>1789</v>
      </c>
      <c r="BR117" s="94">
        <v>43477.45685185185</v>
      </c>
      <c r="BS117" s="5">
        <v>1.0</v>
      </c>
      <c r="BT117" s="94">
        <v>44279.58862268519</v>
      </c>
      <c r="BU117" s="5">
        <v>40.0</v>
      </c>
      <c r="BV117" s="94">
        <v>44645.519224537034</v>
      </c>
      <c r="BW117" s="5">
        <v>167.0</v>
      </c>
    </row>
    <row r="118" ht="14.25" customHeight="1">
      <c r="A118" s="95">
        <v>117.0</v>
      </c>
      <c r="B118" s="95">
        <v>388.0</v>
      </c>
      <c r="C118" s="95" t="s">
        <v>2712</v>
      </c>
      <c r="D118" s="95" t="s">
        <v>2343</v>
      </c>
      <c r="E118" s="96" t="s">
        <v>2452</v>
      </c>
      <c r="F118" s="97" t="s">
        <v>2713</v>
      </c>
      <c r="G118" s="95" t="s">
        <v>2714</v>
      </c>
      <c r="H118" s="95" t="s">
        <v>1781</v>
      </c>
      <c r="I118" s="95" t="s">
        <v>1782</v>
      </c>
      <c r="J118" s="98">
        <v>32563.0</v>
      </c>
      <c r="K118" s="5">
        <v>424.0</v>
      </c>
      <c r="L118" s="5" t="s">
        <v>2386</v>
      </c>
      <c r="M118" s="5">
        <v>4.0</v>
      </c>
      <c r="N118" s="5"/>
      <c r="O118" s="5">
        <v>35919.0</v>
      </c>
      <c r="P118" s="5" t="s">
        <v>2430</v>
      </c>
      <c r="Q118" s="5" t="s">
        <v>2406</v>
      </c>
      <c r="R118" s="5">
        <v>424.0</v>
      </c>
      <c r="S118" s="5">
        <v>4.691087615E9</v>
      </c>
      <c r="T118" s="5"/>
      <c r="U118" s="5" t="s">
        <v>2595</v>
      </c>
      <c r="V118" s="5">
        <v>9.654785123E9</v>
      </c>
      <c r="W118" s="5" t="s">
        <v>2595</v>
      </c>
      <c r="X118" s="91">
        <v>43252.0</v>
      </c>
      <c r="Y118" s="5">
        <v>2.0</v>
      </c>
      <c r="Z118" s="5">
        <v>19.0</v>
      </c>
      <c r="AA118" s="5">
        <v>1.0</v>
      </c>
      <c r="AB118" s="5"/>
      <c r="AC118" s="5"/>
      <c r="AD118" s="5" t="s">
        <v>1770</v>
      </c>
      <c r="AE118" s="5" t="s">
        <v>1770</v>
      </c>
      <c r="AF118" s="5"/>
      <c r="AG118" s="5"/>
      <c r="AH118" s="5">
        <v>1.2128943334E10</v>
      </c>
      <c r="AI118" s="5"/>
      <c r="AJ118" s="5"/>
      <c r="AK118" s="5" t="s">
        <v>1773</v>
      </c>
      <c r="AL118" s="92">
        <v>0.0</v>
      </c>
      <c r="AM118" s="5" t="s">
        <v>1770</v>
      </c>
      <c r="AN118" s="5" t="s">
        <v>1830</v>
      </c>
      <c r="AO118" s="5"/>
      <c r="AP118" s="5"/>
      <c r="AQ118" s="5"/>
      <c r="AR118" s="5"/>
      <c r="AS118" s="5"/>
      <c r="AT118" s="5"/>
      <c r="AU118" s="5"/>
      <c r="AV118" s="5"/>
      <c r="AW118" s="5" t="s">
        <v>1770</v>
      </c>
      <c r="AX118" s="5"/>
      <c r="AY118" s="5"/>
      <c r="AZ118" s="5" t="s">
        <v>1770</v>
      </c>
      <c r="BA118" s="93">
        <v>0.0</v>
      </c>
      <c r="BB118" s="93">
        <v>0.0</v>
      </c>
      <c r="BC118" s="93">
        <v>0.0</v>
      </c>
      <c r="BD118" s="93">
        <v>0.0</v>
      </c>
      <c r="BE118" s="93">
        <v>0.0</v>
      </c>
      <c r="BF118" s="93">
        <v>0.0</v>
      </c>
      <c r="BG118" s="5"/>
      <c r="BH118" s="93">
        <v>0.0</v>
      </c>
      <c r="BI118" s="93">
        <v>0.0</v>
      </c>
      <c r="BJ118" s="93">
        <v>0.0</v>
      </c>
      <c r="BK118" s="93">
        <v>0.0</v>
      </c>
      <c r="BL118" s="93">
        <v>0.0</v>
      </c>
      <c r="BM118" s="93">
        <v>0.0</v>
      </c>
      <c r="BN118" s="93">
        <v>0.0</v>
      </c>
      <c r="BO118" s="5"/>
      <c r="BP118" s="5" t="s">
        <v>1770</v>
      </c>
      <c r="BQ118" s="5" t="s">
        <v>1789</v>
      </c>
      <c r="BR118" s="94">
        <v>43477.45685185185</v>
      </c>
      <c r="BS118" s="5">
        <v>1.0</v>
      </c>
      <c r="BT118" s="94">
        <v>43635.519641203704</v>
      </c>
      <c r="BU118" s="5">
        <v>40.0</v>
      </c>
      <c r="BV118" s="94">
        <v>44392.69997685185</v>
      </c>
      <c r="BW118" s="5">
        <v>40.0</v>
      </c>
    </row>
    <row r="119" ht="14.25" customHeight="1">
      <c r="A119" s="95">
        <v>118.0</v>
      </c>
      <c r="B119" s="95">
        <v>389.0</v>
      </c>
      <c r="C119" s="95" t="s">
        <v>2715</v>
      </c>
      <c r="D119" s="95" t="s">
        <v>1926</v>
      </c>
      <c r="E119" s="96" t="s">
        <v>2335</v>
      </c>
      <c r="F119" s="97" t="s">
        <v>2716</v>
      </c>
      <c r="G119" s="95" t="s">
        <v>2717</v>
      </c>
      <c r="H119" s="95" t="s">
        <v>1781</v>
      </c>
      <c r="I119" s="95" t="s">
        <v>1782</v>
      </c>
      <c r="J119" s="98">
        <v>27533.0</v>
      </c>
      <c r="K119" s="5">
        <v>889.0</v>
      </c>
      <c r="L119" s="5" t="s">
        <v>2718</v>
      </c>
      <c r="M119" s="5">
        <v>40.0</v>
      </c>
      <c r="N119" s="5"/>
      <c r="O119" s="5">
        <v>55177.0</v>
      </c>
      <c r="P119" s="5" t="s">
        <v>2719</v>
      </c>
      <c r="Q119" s="5" t="s">
        <v>234</v>
      </c>
      <c r="R119" s="5">
        <v>850.0</v>
      </c>
      <c r="S119" s="5">
        <v>3.525293447E9</v>
      </c>
      <c r="T119" s="5"/>
      <c r="U119" s="5" t="s">
        <v>1787</v>
      </c>
      <c r="V119" s="5">
        <v>2.547819545E9</v>
      </c>
      <c r="W119" s="5" t="s">
        <v>1787</v>
      </c>
      <c r="X119" s="91">
        <v>43252.0</v>
      </c>
      <c r="Y119" s="5">
        <v>3.0</v>
      </c>
      <c r="Z119" s="5">
        <v>19.0</v>
      </c>
      <c r="AA119" s="5">
        <v>1.0</v>
      </c>
      <c r="AB119" s="5"/>
      <c r="AC119" s="5"/>
      <c r="AD119" s="5" t="s">
        <v>1770</v>
      </c>
      <c r="AE119" s="5" t="s">
        <v>1770</v>
      </c>
      <c r="AF119" s="5"/>
      <c r="AG119" s="5"/>
      <c r="AH119" s="5">
        <v>5.399770085E10</v>
      </c>
      <c r="AI119" s="5">
        <v>77.0</v>
      </c>
      <c r="AJ119" s="5"/>
      <c r="AK119" s="5" t="s">
        <v>1773</v>
      </c>
      <c r="AL119" s="92">
        <v>0.0</v>
      </c>
      <c r="AM119" s="5" t="s">
        <v>1770</v>
      </c>
      <c r="AN119" s="5" t="s">
        <v>1774</v>
      </c>
      <c r="AO119" s="5"/>
      <c r="AP119" s="5"/>
      <c r="AQ119" s="5"/>
      <c r="AR119" s="5"/>
      <c r="AS119" s="5"/>
      <c r="AT119" s="5"/>
      <c r="AU119" s="5"/>
      <c r="AV119" s="5"/>
      <c r="AW119" s="5" t="s">
        <v>1770</v>
      </c>
      <c r="AX119" s="5"/>
      <c r="AY119" s="5"/>
      <c r="AZ119" s="5" t="s">
        <v>1770</v>
      </c>
      <c r="BA119" s="93">
        <v>0.0</v>
      </c>
      <c r="BB119" s="93">
        <v>0.0</v>
      </c>
      <c r="BC119" s="93">
        <v>0.0</v>
      </c>
      <c r="BD119" s="93">
        <v>0.0</v>
      </c>
      <c r="BE119" s="93">
        <v>0.0</v>
      </c>
      <c r="BF119" s="93">
        <v>0.0</v>
      </c>
      <c r="BG119" s="5"/>
      <c r="BH119" s="93">
        <v>0.0</v>
      </c>
      <c r="BI119" s="93">
        <v>0.0</v>
      </c>
      <c r="BJ119" s="93">
        <v>0.0</v>
      </c>
      <c r="BK119" s="93">
        <v>0.0</v>
      </c>
      <c r="BL119" s="93">
        <v>0.0</v>
      </c>
      <c r="BM119" s="93">
        <v>0.0</v>
      </c>
      <c r="BN119" s="93">
        <v>0.0</v>
      </c>
      <c r="BO119" s="5"/>
      <c r="BP119" s="5" t="s">
        <v>1770</v>
      </c>
      <c r="BQ119" s="5" t="s">
        <v>1789</v>
      </c>
      <c r="BR119" s="94">
        <v>43477.45685185185</v>
      </c>
      <c r="BS119" s="5">
        <v>1.0</v>
      </c>
      <c r="BT119" s="94">
        <v>43636.49304398148</v>
      </c>
      <c r="BU119" s="5">
        <v>13.0</v>
      </c>
      <c r="BV119" s="94">
        <v>44060.550578703704</v>
      </c>
      <c r="BW119" s="5">
        <v>83.0</v>
      </c>
    </row>
    <row r="120" ht="14.25" customHeight="1">
      <c r="A120" s="95">
        <v>119.0</v>
      </c>
      <c r="B120" s="95">
        <v>391.0</v>
      </c>
      <c r="C120" s="95" t="s">
        <v>2721</v>
      </c>
      <c r="D120" s="95" t="s">
        <v>2722</v>
      </c>
      <c r="E120" s="96" t="s">
        <v>2724</v>
      </c>
      <c r="F120" s="97" t="s">
        <v>2725</v>
      </c>
      <c r="G120" s="95" t="s">
        <v>2726</v>
      </c>
      <c r="H120" s="95" t="s">
        <v>1815</v>
      </c>
      <c r="I120" s="95" t="s">
        <v>1763</v>
      </c>
      <c r="J120" s="98">
        <v>34603.0</v>
      </c>
      <c r="K120" s="5">
        <v>358.0</v>
      </c>
      <c r="L120" s="5" t="s">
        <v>2727</v>
      </c>
      <c r="M120" s="5">
        <v>7.0</v>
      </c>
      <c r="N120" s="5"/>
      <c r="O120" s="5">
        <v>54052.0</v>
      </c>
      <c r="P120" s="5" t="s">
        <v>2728</v>
      </c>
      <c r="Q120" s="5" t="s">
        <v>2041</v>
      </c>
      <c r="R120" s="5">
        <v>834.0</v>
      </c>
      <c r="S120" s="5">
        <v>7.581090893E9</v>
      </c>
      <c r="T120" s="5"/>
      <c r="U120" s="5" t="s">
        <v>2595</v>
      </c>
      <c r="V120" s="5">
        <v>2.984512258E9</v>
      </c>
      <c r="W120" s="5" t="s">
        <v>2595</v>
      </c>
      <c r="X120" s="91">
        <v>43267.0</v>
      </c>
      <c r="Y120" s="5">
        <v>4.0</v>
      </c>
      <c r="Z120" s="5">
        <v>3.0</v>
      </c>
      <c r="AA120" s="5">
        <v>3.0</v>
      </c>
      <c r="AB120" s="5"/>
      <c r="AC120" s="5"/>
      <c r="AD120" s="5" t="s">
        <v>1770</v>
      </c>
      <c r="AE120" s="5" t="s">
        <v>1770</v>
      </c>
      <c r="AF120" s="5"/>
      <c r="AG120" s="5"/>
      <c r="AH120" s="5">
        <v>5.159469583E9</v>
      </c>
      <c r="AI120" s="5">
        <v>75.0</v>
      </c>
      <c r="AJ120" s="5"/>
      <c r="AK120" s="5" t="s">
        <v>1773</v>
      </c>
      <c r="AL120" s="92">
        <v>0.0</v>
      </c>
      <c r="AM120" s="5" t="s">
        <v>1770</v>
      </c>
      <c r="AN120" s="5" t="s">
        <v>1905</v>
      </c>
      <c r="AO120" s="5"/>
      <c r="AP120" s="5"/>
      <c r="AQ120" s="5"/>
      <c r="AR120" s="5"/>
      <c r="AS120" s="5"/>
      <c r="AT120" s="5"/>
      <c r="AU120" s="5"/>
      <c r="AV120" s="5"/>
      <c r="AW120" s="5" t="s">
        <v>1770</v>
      </c>
      <c r="AX120" s="5"/>
      <c r="AY120" s="5"/>
      <c r="AZ120" s="5" t="s">
        <v>1770</v>
      </c>
      <c r="BA120" s="93">
        <v>0.0</v>
      </c>
      <c r="BB120" s="93">
        <v>0.0</v>
      </c>
      <c r="BC120" s="93">
        <v>0.0</v>
      </c>
      <c r="BD120" s="93">
        <v>0.0</v>
      </c>
      <c r="BE120" s="93">
        <v>0.0</v>
      </c>
      <c r="BF120" s="93">
        <v>0.0</v>
      </c>
      <c r="BG120" s="5"/>
      <c r="BH120" s="93">
        <v>0.0</v>
      </c>
      <c r="BI120" s="93">
        <v>0.0</v>
      </c>
      <c r="BJ120" s="93">
        <v>0.0</v>
      </c>
      <c r="BK120" s="93">
        <v>0.0</v>
      </c>
      <c r="BL120" s="93">
        <v>0.0</v>
      </c>
      <c r="BM120" s="93">
        <v>0.0</v>
      </c>
      <c r="BN120" s="93">
        <v>0.0</v>
      </c>
      <c r="BO120" s="5"/>
      <c r="BP120" s="5" t="s">
        <v>1770</v>
      </c>
      <c r="BQ120" s="5" t="s">
        <v>1789</v>
      </c>
      <c r="BR120" s="94">
        <v>43477.45685185185</v>
      </c>
      <c r="BS120" s="5">
        <v>1.0</v>
      </c>
      <c r="BT120" s="94">
        <v>45316.52364583333</v>
      </c>
      <c r="BU120" s="5">
        <v>40.0</v>
      </c>
      <c r="BV120" s="94">
        <v>45532.66543981482</v>
      </c>
      <c r="BW120" s="5">
        <v>275.0</v>
      </c>
    </row>
    <row r="121" ht="14.25" customHeight="1">
      <c r="A121" s="95">
        <v>120.0</v>
      </c>
      <c r="B121" s="95">
        <v>392.0</v>
      </c>
      <c r="C121" s="95" t="s">
        <v>2729</v>
      </c>
      <c r="D121" s="95" t="s">
        <v>2512</v>
      </c>
      <c r="E121" s="96" t="s">
        <v>2005</v>
      </c>
      <c r="F121" s="97" t="s">
        <v>2730</v>
      </c>
      <c r="G121" s="95" t="s">
        <v>2731</v>
      </c>
      <c r="H121" s="95" t="s">
        <v>1972</v>
      </c>
      <c r="I121" s="95" t="s">
        <v>1782</v>
      </c>
      <c r="J121" s="98">
        <v>35156.0</v>
      </c>
      <c r="K121" s="5">
        <v>834.0</v>
      </c>
      <c r="L121" s="5" t="s">
        <v>2732</v>
      </c>
      <c r="M121" s="5">
        <v>46.0</v>
      </c>
      <c r="N121" s="5"/>
      <c r="O121" s="5">
        <v>53922.0</v>
      </c>
      <c r="P121" s="5" t="s">
        <v>2733</v>
      </c>
      <c r="Q121" s="5" t="s">
        <v>2041</v>
      </c>
      <c r="R121" s="5">
        <v>834.0</v>
      </c>
      <c r="S121" s="5">
        <v>4.333368651E9</v>
      </c>
      <c r="T121" s="5"/>
      <c r="U121" s="5" t="s">
        <v>2595</v>
      </c>
      <c r="V121" s="5">
        <v>1.234569856E9</v>
      </c>
      <c r="W121" s="5" t="s">
        <v>2595</v>
      </c>
      <c r="X121" s="91">
        <v>43276.0</v>
      </c>
      <c r="Y121" s="5">
        <v>4.0</v>
      </c>
      <c r="Z121" s="5">
        <v>4.0</v>
      </c>
      <c r="AA121" s="5">
        <v>39.0</v>
      </c>
      <c r="AB121" s="5"/>
      <c r="AC121" s="5" t="s">
        <v>2274</v>
      </c>
      <c r="AD121" s="91">
        <v>43361.0</v>
      </c>
      <c r="AE121" s="91">
        <v>45186.0</v>
      </c>
      <c r="AF121" s="5"/>
      <c r="AG121" s="5"/>
      <c r="AH121" s="5">
        <v>5.312960322E10</v>
      </c>
      <c r="AI121" s="5"/>
      <c r="AJ121" s="5"/>
      <c r="AK121" s="5" t="s">
        <v>1773</v>
      </c>
      <c r="AL121" s="92">
        <v>0.0</v>
      </c>
      <c r="AM121" s="5" t="s">
        <v>1770</v>
      </c>
      <c r="AN121" s="5" t="s">
        <v>1830</v>
      </c>
      <c r="AO121" s="5"/>
      <c r="AP121" s="5"/>
      <c r="AQ121" s="5"/>
      <c r="AR121" s="5"/>
      <c r="AS121" s="5"/>
      <c r="AT121" s="5"/>
      <c r="AU121" s="5"/>
      <c r="AV121" s="5"/>
      <c r="AW121" s="5" t="s">
        <v>1770</v>
      </c>
      <c r="AX121" s="5"/>
      <c r="AY121" s="5"/>
      <c r="AZ121" s="5" t="s">
        <v>1770</v>
      </c>
      <c r="BA121" s="93">
        <v>0.0</v>
      </c>
      <c r="BB121" s="93">
        <v>0.0</v>
      </c>
      <c r="BC121" s="93">
        <v>0.0</v>
      </c>
      <c r="BD121" s="93">
        <v>0.0</v>
      </c>
      <c r="BE121" s="93">
        <v>0.0</v>
      </c>
      <c r="BF121" s="93">
        <v>0.0</v>
      </c>
      <c r="BG121" s="5"/>
      <c r="BH121" s="93">
        <v>0.0</v>
      </c>
      <c r="BI121" s="93">
        <v>0.0</v>
      </c>
      <c r="BJ121" s="93">
        <v>0.0</v>
      </c>
      <c r="BK121" s="93">
        <v>0.0</v>
      </c>
      <c r="BL121" s="93">
        <v>0.0</v>
      </c>
      <c r="BM121" s="93">
        <v>0.0</v>
      </c>
      <c r="BN121" s="93">
        <v>0.0</v>
      </c>
      <c r="BO121" s="5"/>
      <c r="BP121" s="5" t="s">
        <v>1770</v>
      </c>
      <c r="BQ121" s="5" t="s">
        <v>1789</v>
      </c>
      <c r="BR121" s="94">
        <v>43477.45685185185</v>
      </c>
      <c r="BS121" s="5">
        <v>1.0</v>
      </c>
      <c r="BT121" s="94">
        <v>44494.467199074075</v>
      </c>
      <c r="BU121" s="5">
        <v>40.0</v>
      </c>
      <c r="BV121" s="94">
        <v>45118.7091087963</v>
      </c>
      <c r="BW121" s="5" t="s">
        <v>1770</v>
      </c>
    </row>
    <row r="122" ht="14.25" customHeight="1">
      <c r="A122" s="95">
        <v>121.0</v>
      </c>
      <c r="B122" s="95">
        <v>393.0</v>
      </c>
      <c r="C122" s="95" t="s">
        <v>2734</v>
      </c>
      <c r="D122" s="95" t="s">
        <v>2157</v>
      </c>
      <c r="E122" s="96" t="s">
        <v>2126</v>
      </c>
      <c r="F122" s="97" t="s">
        <v>2735</v>
      </c>
      <c r="G122" s="95" t="s">
        <v>2736</v>
      </c>
      <c r="H122" s="95" t="s">
        <v>1972</v>
      </c>
      <c r="I122" s="95" t="s">
        <v>1782</v>
      </c>
      <c r="J122" s="98">
        <v>36035.0</v>
      </c>
      <c r="K122" s="5">
        <v>834.0</v>
      </c>
      <c r="L122" s="5" t="s">
        <v>2737</v>
      </c>
      <c r="M122" s="5">
        <v>18.0</v>
      </c>
      <c r="N122" s="5"/>
      <c r="O122" s="5">
        <v>54135.0</v>
      </c>
      <c r="P122" s="5" t="s">
        <v>2468</v>
      </c>
      <c r="Q122" s="5" t="s">
        <v>2041</v>
      </c>
      <c r="R122" s="5">
        <v>834.0</v>
      </c>
      <c r="S122" s="5">
        <v>4.4354462E9</v>
      </c>
      <c r="T122" s="5"/>
      <c r="U122" s="5" t="s">
        <v>1965</v>
      </c>
      <c r="V122" s="5">
        <v>4.431258956E9</v>
      </c>
      <c r="W122" s="5" t="s">
        <v>2595</v>
      </c>
      <c r="X122" s="91">
        <v>43276.0</v>
      </c>
      <c r="Y122" s="5">
        <v>4.0</v>
      </c>
      <c r="Z122" s="5">
        <v>4.0</v>
      </c>
      <c r="AA122" s="5">
        <v>39.0</v>
      </c>
      <c r="AB122" s="5"/>
      <c r="AC122" s="5"/>
      <c r="AD122" s="5" t="s">
        <v>1770</v>
      </c>
      <c r="AE122" s="5" t="s">
        <v>1770</v>
      </c>
      <c r="AF122" s="5"/>
      <c r="AG122" s="5"/>
      <c r="AH122" s="5">
        <v>1.0139852809E10</v>
      </c>
      <c r="AI122" s="5">
        <v>84.0</v>
      </c>
      <c r="AJ122" s="5"/>
      <c r="AK122" s="5" t="s">
        <v>1773</v>
      </c>
      <c r="AL122" s="92">
        <v>0.0</v>
      </c>
      <c r="AM122" s="5" t="s">
        <v>1770</v>
      </c>
      <c r="AN122" s="5" t="s">
        <v>1774</v>
      </c>
      <c r="AO122" s="5"/>
      <c r="AP122" s="5"/>
      <c r="AQ122" s="5"/>
      <c r="AR122" s="5"/>
      <c r="AS122" s="5"/>
      <c r="AT122" s="5"/>
      <c r="AU122" s="5"/>
      <c r="AV122" s="5"/>
      <c r="AW122" s="5" t="s">
        <v>1770</v>
      </c>
      <c r="AX122" s="5"/>
      <c r="AY122" s="5"/>
      <c r="AZ122" s="5" t="s">
        <v>1770</v>
      </c>
      <c r="BA122" s="93">
        <v>0.0</v>
      </c>
      <c r="BB122" s="93">
        <v>0.0</v>
      </c>
      <c r="BC122" s="93">
        <v>0.0</v>
      </c>
      <c r="BD122" s="93">
        <v>0.0</v>
      </c>
      <c r="BE122" s="93">
        <v>0.0</v>
      </c>
      <c r="BF122" s="93">
        <v>0.0</v>
      </c>
      <c r="BG122" s="5"/>
      <c r="BH122" s="93">
        <v>0.0</v>
      </c>
      <c r="BI122" s="93">
        <v>0.0</v>
      </c>
      <c r="BJ122" s="93">
        <v>0.0</v>
      </c>
      <c r="BK122" s="93">
        <v>0.0</v>
      </c>
      <c r="BL122" s="93">
        <v>0.0</v>
      </c>
      <c r="BM122" s="93">
        <v>0.0</v>
      </c>
      <c r="BN122" s="93">
        <v>0.0</v>
      </c>
      <c r="BO122" s="5"/>
      <c r="BP122" s="5" t="s">
        <v>1770</v>
      </c>
      <c r="BQ122" s="5" t="s">
        <v>1789</v>
      </c>
      <c r="BR122" s="94">
        <v>43477.45685185185</v>
      </c>
      <c r="BS122" s="5">
        <v>1.0</v>
      </c>
      <c r="BT122" s="94">
        <v>43691.50743055555</v>
      </c>
      <c r="BU122" s="5">
        <v>40.0</v>
      </c>
      <c r="BV122" s="94">
        <v>44392.70582175926</v>
      </c>
      <c r="BW122" s="5">
        <v>40.0</v>
      </c>
    </row>
    <row r="123" ht="14.25" customHeight="1">
      <c r="A123" s="95">
        <v>122.0</v>
      </c>
      <c r="B123" s="95">
        <v>396.0</v>
      </c>
      <c r="C123" s="95" t="s">
        <v>2738</v>
      </c>
      <c r="D123" s="95" t="s">
        <v>2414</v>
      </c>
      <c r="E123" s="96" t="s">
        <v>2739</v>
      </c>
      <c r="F123" s="97" t="s">
        <v>2740</v>
      </c>
      <c r="G123" s="95" t="s">
        <v>2741</v>
      </c>
      <c r="H123" s="95" t="s">
        <v>1815</v>
      </c>
      <c r="I123" s="95" t="s">
        <v>1763</v>
      </c>
      <c r="J123" s="98">
        <v>33362.0</v>
      </c>
      <c r="K123" s="5">
        <v>549.0</v>
      </c>
      <c r="L123" s="5" t="s">
        <v>2742</v>
      </c>
      <c r="M123" s="5">
        <v>163.0</v>
      </c>
      <c r="N123" s="5"/>
      <c r="O123" s="5">
        <v>43882.0</v>
      </c>
      <c r="P123" s="5" t="s">
        <v>2743</v>
      </c>
      <c r="Q123" s="5" t="s">
        <v>1766</v>
      </c>
      <c r="R123" s="5">
        <v>549.0</v>
      </c>
      <c r="S123" s="5">
        <v>3.939363253E9</v>
      </c>
      <c r="T123" s="5"/>
      <c r="U123" s="5" t="s">
        <v>2744</v>
      </c>
      <c r="V123" s="5">
        <v>3.939367096E9</v>
      </c>
      <c r="W123" s="5" t="s">
        <v>1965</v>
      </c>
      <c r="X123" s="91">
        <v>43297.0</v>
      </c>
      <c r="Y123" s="5" t="s">
        <v>1770</v>
      </c>
      <c r="Z123" s="5">
        <v>17.0</v>
      </c>
      <c r="AA123" s="5">
        <v>60.0</v>
      </c>
      <c r="AB123" s="5"/>
      <c r="AC123" s="5"/>
      <c r="AD123" s="5" t="s">
        <v>1770</v>
      </c>
      <c r="AE123" s="5" t="s">
        <v>1770</v>
      </c>
      <c r="AF123" s="5"/>
      <c r="AG123" s="5"/>
      <c r="AH123" s="5">
        <v>8.16916794E9</v>
      </c>
      <c r="AI123" s="5">
        <v>23.0</v>
      </c>
      <c r="AJ123" s="5"/>
      <c r="AK123" s="5" t="s">
        <v>1773</v>
      </c>
      <c r="AL123" s="92">
        <v>0.0</v>
      </c>
      <c r="AM123" s="5" t="s">
        <v>1770</v>
      </c>
      <c r="AN123" s="5" t="s">
        <v>1830</v>
      </c>
      <c r="AO123" s="5" t="s">
        <v>2745</v>
      </c>
      <c r="AP123" s="5"/>
      <c r="AQ123" s="5"/>
      <c r="AR123" s="5"/>
      <c r="AS123" s="5"/>
      <c r="AT123" s="5" t="s">
        <v>2184</v>
      </c>
      <c r="AU123" s="5" t="s">
        <v>2746</v>
      </c>
      <c r="AV123" s="5" t="s">
        <v>1917</v>
      </c>
      <c r="AW123" s="91">
        <v>42328.0</v>
      </c>
      <c r="AX123" s="5" t="s">
        <v>2747</v>
      </c>
      <c r="AY123" s="5" t="s">
        <v>2748</v>
      </c>
      <c r="AZ123" s="91">
        <v>43212.0</v>
      </c>
      <c r="BA123" s="93">
        <v>0.0</v>
      </c>
      <c r="BB123" s="93">
        <v>0.0</v>
      </c>
      <c r="BC123" s="93">
        <v>0.0</v>
      </c>
      <c r="BD123" s="93">
        <v>0.0</v>
      </c>
      <c r="BE123" s="93">
        <v>0.0</v>
      </c>
      <c r="BF123" s="93">
        <v>0.0</v>
      </c>
      <c r="BG123" s="5"/>
      <c r="BH123" s="93">
        <v>0.0</v>
      </c>
      <c r="BI123" s="93">
        <v>0.0</v>
      </c>
      <c r="BJ123" s="93">
        <v>0.0</v>
      </c>
      <c r="BK123" s="93">
        <v>0.0</v>
      </c>
      <c r="BL123" s="93">
        <v>0.0</v>
      </c>
      <c r="BM123" s="93">
        <v>0.0</v>
      </c>
      <c r="BN123" s="93">
        <v>0.0</v>
      </c>
      <c r="BO123" s="5"/>
      <c r="BP123" s="5" t="s">
        <v>1770</v>
      </c>
      <c r="BQ123" s="5" t="s">
        <v>1789</v>
      </c>
      <c r="BR123" s="94">
        <v>43477.45685185185</v>
      </c>
      <c r="BS123" s="5">
        <v>1.0</v>
      </c>
      <c r="BT123" s="94">
        <v>44336.70893518518</v>
      </c>
      <c r="BU123" s="5">
        <v>13.0</v>
      </c>
      <c r="BV123" s="94">
        <v>44645.66179398148</v>
      </c>
      <c r="BW123" s="5" t="s">
        <v>1770</v>
      </c>
    </row>
    <row r="124" ht="14.25" customHeight="1">
      <c r="A124" s="95">
        <v>123.0</v>
      </c>
      <c r="B124" s="95">
        <v>397.0</v>
      </c>
      <c r="C124" s="95" t="s">
        <v>2749</v>
      </c>
      <c r="D124" s="95" t="s">
        <v>2750</v>
      </c>
      <c r="E124" s="96" t="s">
        <v>2551</v>
      </c>
      <c r="F124" s="97" t="s">
        <v>2751</v>
      </c>
      <c r="G124" s="95" t="s">
        <v>2752</v>
      </c>
      <c r="H124" s="95" t="s">
        <v>2671</v>
      </c>
      <c r="I124" s="95" t="s">
        <v>1782</v>
      </c>
      <c r="J124" s="98">
        <v>28358.0</v>
      </c>
      <c r="K124" s="5">
        <v>549.0</v>
      </c>
      <c r="L124" s="5" t="s">
        <v>2753</v>
      </c>
      <c r="M124" s="5">
        <v>415.0</v>
      </c>
      <c r="N124" s="5"/>
      <c r="O124" s="5">
        <v>43882.0</v>
      </c>
      <c r="P124" s="5" t="s">
        <v>2048</v>
      </c>
      <c r="Q124" s="5" t="s">
        <v>1766</v>
      </c>
      <c r="R124" s="5">
        <v>549.0</v>
      </c>
      <c r="S124" s="5">
        <v>3.931014036E9</v>
      </c>
      <c r="T124" s="5"/>
      <c r="U124" s="5" t="s">
        <v>1787</v>
      </c>
      <c r="V124" s="5">
        <v>3.931254456E9</v>
      </c>
      <c r="W124" s="5" t="s">
        <v>1787</v>
      </c>
      <c r="X124" s="91">
        <v>43304.0</v>
      </c>
      <c r="Y124" s="5">
        <v>1.0</v>
      </c>
      <c r="Z124" s="5">
        <v>1.0</v>
      </c>
      <c r="AA124" s="5">
        <v>26.0</v>
      </c>
      <c r="AB124" s="5"/>
      <c r="AC124" s="5"/>
      <c r="AD124" s="5" t="s">
        <v>1770</v>
      </c>
      <c r="AE124" s="5" t="s">
        <v>1770</v>
      </c>
      <c r="AF124" s="5"/>
      <c r="AG124" s="5"/>
      <c r="AH124" s="5">
        <v>4.127709394E9</v>
      </c>
      <c r="AI124" s="5">
        <v>23.0</v>
      </c>
      <c r="AJ124" s="5"/>
      <c r="AK124" s="5" t="s">
        <v>1773</v>
      </c>
      <c r="AL124" s="92">
        <v>0.0</v>
      </c>
      <c r="AM124" s="5" t="s">
        <v>1770</v>
      </c>
      <c r="AN124" s="5" t="s">
        <v>1905</v>
      </c>
      <c r="AO124" s="5"/>
      <c r="AP124" s="5"/>
      <c r="AQ124" s="5"/>
      <c r="AR124" s="5"/>
      <c r="AS124" s="5"/>
      <c r="AT124" s="5"/>
      <c r="AU124" s="5"/>
      <c r="AV124" s="5"/>
      <c r="AW124" s="5" t="s">
        <v>1770</v>
      </c>
      <c r="AX124" s="5"/>
      <c r="AY124" s="5"/>
      <c r="AZ124" s="5" t="s">
        <v>1770</v>
      </c>
      <c r="BA124" s="93">
        <v>0.0</v>
      </c>
      <c r="BB124" s="93">
        <v>0.0</v>
      </c>
      <c r="BC124" s="93">
        <v>0.0</v>
      </c>
      <c r="BD124" s="93">
        <v>0.0</v>
      </c>
      <c r="BE124" s="93">
        <v>0.0</v>
      </c>
      <c r="BF124" s="93">
        <v>0.0</v>
      </c>
      <c r="BG124" s="5"/>
      <c r="BH124" s="93">
        <v>0.0</v>
      </c>
      <c r="BI124" s="93">
        <v>0.0</v>
      </c>
      <c r="BJ124" s="93">
        <v>0.0</v>
      </c>
      <c r="BK124" s="93">
        <v>0.0</v>
      </c>
      <c r="BL124" s="93">
        <v>0.0</v>
      </c>
      <c r="BM124" s="93">
        <v>0.0</v>
      </c>
      <c r="BN124" s="93">
        <v>0.0</v>
      </c>
      <c r="BO124" s="5"/>
      <c r="BP124" s="5" t="s">
        <v>1770</v>
      </c>
      <c r="BQ124" s="5" t="s">
        <v>1789</v>
      </c>
      <c r="BR124" s="94">
        <v>43477.45685185185</v>
      </c>
      <c r="BS124" s="5">
        <v>1.0</v>
      </c>
      <c r="BT124" s="94">
        <v>43768.54582175926</v>
      </c>
      <c r="BU124" s="5">
        <v>40.0</v>
      </c>
      <c r="BV124" s="94">
        <v>44392.70414351852</v>
      </c>
      <c r="BW124" s="5">
        <v>40.0</v>
      </c>
    </row>
    <row r="125" ht="14.25" customHeight="1">
      <c r="A125" s="95">
        <v>124.0</v>
      </c>
      <c r="B125" s="95">
        <v>398.0</v>
      </c>
      <c r="C125" s="95" t="s">
        <v>2756</v>
      </c>
      <c r="D125" s="95" t="s">
        <v>2757</v>
      </c>
      <c r="E125" s="96" t="s">
        <v>2558</v>
      </c>
      <c r="F125" s="97" t="s">
        <v>2758</v>
      </c>
      <c r="G125" s="95" t="s">
        <v>2759</v>
      </c>
      <c r="H125" s="95" t="s">
        <v>1815</v>
      </c>
      <c r="I125" s="95" t="s">
        <v>1763</v>
      </c>
      <c r="J125" s="98">
        <v>31054.0</v>
      </c>
      <c r="K125" s="5">
        <v>893.0</v>
      </c>
      <c r="L125" s="5" t="s">
        <v>2760</v>
      </c>
      <c r="M125" s="5">
        <v>67.0</v>
      </c>
      <c r="N125" s="5"/>
      <c r="O125" s="5">
        <v>54139.0</v>
      </c>
      <c r="P125" s="5" t="s">
        <v>2761</v>
      </c>
      <c r="Q125" s="5" t="s">
        <v>2041</v>
      </c>
      <c r="R125" s="5">
        <v>834.0</v>
      </c>
      <c r="S125" s="5">
        <v>4.434206561E9</v>
      </c>
      <c r="T125" s="5" t="s">
        <v>2762</v>
      </c>
      <c r="U125" s="5" t="s">
        <v>2763</v>
      </c>
      <c r="V125" s="5">
        <v>4.431186569E9</v>
      </c>
      <c r="W125" s="5" t="s">
        <v>1808</v>
      </c>
      <c r="X125" s="91">
        <v>43304.0</v>
      </c>
      <c r="Y125" s="5">
        <v>4.0</v>
      </c>
      <c r="Z125" s="5">
        <v>1.0</v>
      </c>
      <c r="AA125" s="5">
        <v>79.0</v>
      </c>
      <c r="AB125" s="5" t="s">
        <v>2764</v>
      </c>
      <c r="AC125" s="5" t="s">
        <v>1772</v>
      </c>
      <c r="AD125" s="91">
        <v>45127.0</v>
      </c>
      <c r="AE125" s="91">
        <v>54989.0</v>
      </c>
      <c r="AF125" s="5"/>
      <c r="AG125" s="5"/>
      <c r="AH125" s="5">
        <v>5.3058527689E10</v>
      </c>
      <c r="AI125" s="5">
        <v>75.0</v>
      </c>
      <c r="AJ125" s="5"/>
      <c r="AK125" s="5" t="s">
        <v>1773</v>
      </c>
      <c r="AL125" s="92">
        <v>0.0</v>
      </c>
      <c r="AM125" s="5" t="s">
        <v>1770</v>
      </c>
      <c r="AN125" s="5" t="s">
        <v>1830</v>
      </c>
      <c r="AO125" s="5"/>
      <c r="AP125" s="5"/>
      <c r="AQ125" s="5"/>
      <c r="AR125" s="5"/>
      <c r="AS125" s="5"/>
      <c r="AT125" s="5"/>
      <c r="AU125" s="5"/>
      <c r="AV125" s="5"/>
      <c r="AW125" s="5" t="s">
        <v>1770</v>
      </c>
      <c r="AX125" s="5"/>
      <c r="AY125" s="5"/>
      <c r="AZ125" s="5" t="s">
        <v>1770</v>
      </c>
      <c r="BA125" s="93">
        <v>0.0</v>
      </c>
      <c r="BB125" s="93">
        <v>0.0</v>
      </c>
      <c r="BC125" s="93">
        <v>0.0</v>
      </c>
      <c r="BD125" s="93">
        <v>0.0</v>
      </c>
      <c r="BE125" s="93">
        <v>0.0</v>
      </c>
      <c r="BF125" s="93">
        <v>0.0</v>
      </c>
      <c r="BG125" s="5"/>
      <c r="BH125" s="93">
        <v>0.0</v>
      </c>
      <c r="BI125" s="93">
        <v>0.0</v>
      </c>
      <c r="BJ125" s="93">
        <v>0.0</v>
      </c>
      <c r="BK125" s="93">
        <v>0.0</v>
      </c>
      <c r="BL125" s="93">
        <v>0.0</v>
      </c>
      <c r="BM125" s="93">
        <v>0.0</v>
      </c>
      <c r="BN125" s="93">
        <v>0.0</v>
      </c>
      <c r="BO125" s="5"/>
      <c r="BP125" s="5"/>
      <c r="BQ125" s="5" t="s">
        <v>1775</v>
      </c>
      <c r="BR125" s="94">
        <v>43477.45685185185</v>
      </c>
      <c r="BS125" s="5">
        <v>1.0</v>
      </c>
      <c r="BT125" s="94">
        <v>46134.598761574074</v>
      </c>
      <c r="BU125" s="5" t="s">
        <v>1770</v>
      </c>
      <c r="BV125" s="5" t="s">
        <v>1770</v>
      </c>
      <c r="BW125" s="5" t="s">
        <v>1770</v>
      </c>
    </row>
    <row r="126" ht="14.25" customHeight="1">
      <c r="A126" s="95">
        <v>125.0</v>
      </c>
      <c r="B126" s="95">
        <v>399.0</v>
      </c>
      <c r="C126" s="95" t="s">
        <v>2582</v>
      </c>
      <c r="D126" s="95" t="s">
        <v>2765</v>
      </c>
      <c r="E126" s="96" t="s">
        <v>2766</v>
      </c>
      <c r="F126" s="97" t="s">
        <v>2767</v>
      </c>
      <c r="G126" s="95" t="s">
        <v>2768</v>
      </c>
      <c r="H126" s="95" t="s">
        <v>1781</v>
      </c>
      <c r="I126" s="95" t="s">
        <v>1782</v>
      </c>
      <c r="J126" s="98">
        <v>25359.0</v>
      </c>
      <c r="K126" s="5">
        <v>544.0</v>
      </c>
      <c r="L126" s="5" t="s">
        <v>2769</v>
      </c>
      <c r="M126" s="5">
        <v>36.0</v>
      </c>
      <c r="N126" s="5"/>
      <c r="O126" s="5">
        <v>43747.0</v>
      </c>
      <c r="P126" s="5" t="s">
        <v>2770</v>
      </c>
      <c r="Q126" s="5" t="s">
        <v>1850</v>
      </c>
      <c r="R126" s="5">
        <v>544.0</v>
      </c>
      <c r="S126" s="5">
        <v>3.911000522E9</v>
      </c>
      <c r="T126" s="5"/>
      <c r="U126" s="5" t="s">
        <v>1787</v>
      </c>
      <c r="V126" s="5">
        <v>3.214587796E9</v>
      </c>
      <c r="W126" s="5" t="s">
        <v>1787</v>
      </c>
      <c r="X126" s="91">
        <v>43305.0</v>
      </c>
      <c r="Y126" s="5">
        <v>1.0</v>
      </c>
      <c r="Z126" s="5">
        <v>3.0</v>
      </c>
      <c r="AA126" s="5">
        <v>42.0</v>
      </c>
      <c r="AB126" s="5"/>
      <c r="AC126" s="5"/>
      <c r="AD126" s="5" t="s">
        <v>1770</v>
      </c>
      <c r="AE126" s="5" t="s">
        <v>1770</v>
      </c>
      <c r="AF126" s="5"/>
      <c r="AG126" s="5"/>
      <c r="AH126" s="5">
        <v>5.4876957926E10</v>
      </c>
      <c r="AI126" s="5">
        <v>22.0</v>
      </c>
      <c r="AJ126" s="5"/>
      <c r="AK126" s="5" t="s">
        <v>1773</v>
      </c>
      <c r="AL126" s="92">
        <v>0.0</v>
      </c>
      <c r="AM126" s="5" t="s">
        <v>1770</v>
      </c>
      <c r="AN126" s="5" t="s">
        <v>1774</v>
      </c>
      <c r="AO126" s="5"/>
      <c r="AP126" s="5"/>
      <c r="AQ126" s="5"/>
      <c r="AR126" s="5"/>
      <c r="AS126" s="5"/>
      <c r="AT126" s="5"/>
      <c r="AU126" s="5"/>
      <c r="AV126" s="5"/>
      <c r="AW126" s="5" t="s">
        <v>1770</v>
      </c>
      <c r="AX126" s="5"/>
      <c r="AY126" s="5"/>
      <c r="AZ126" s="5" t="s">
        <v>1770</v>
      </c>
      <c r="BA126" s="93">
        <v>0.0</v>
      </c>
      <c r="BB126" s="93">
        <v>0.0</v>
      </c>
      <c r="BC126" s="93">
        <v>0.0</v>
      </c>
      <c r="BD126" s="93">
        <v>0.0</v>
      </c>
      <c r="BE126" s="93">
        <v>0.0</v>
      </c>
      <c r="BF126" s="93">
        <v>0.0</v>
      </c>
      <c r="BG126" s="5"/>
      <c r="BH126" s="93">
        <v>0.0</v>
      </c>
      <c r="BI126" s="93">
        <v>0.0</v>
      </c>
      <c r="BJ126" s="93">
        <v>0.0</v>
      </c>
      <c r="BK126" s="93">
        <v>0.0</v>
      </c>
      <c r="BL126" s="93">
        <v>0.0</v>
      </c>
      <c r="BM126" s="93">
        <v>0.0</v>
      </c>
      <c r="BN126" s="93">
        <v>0.0</v>
      </c>
      <c r="BO126" s="5"/>
      <c r="BP126" s="5" t="s">
        <v>1770</v>
      </c>
      <c r="BQ126" s="5" t="s">
        <v>1789</v>
      </c>
      <c r="BR126" s="94">
        <v>43477.45685185185</v>
      </c>
      <c r="BS126" s="5">
        <v>1.0</v>
      </c>
      <c r="BT126" s="94">
        <v>43768.5459375</v>
      </c>
      <c r="BU126" s="5">
        <v>40.0</v>
      </c>
      <c r="BV126" s="94">
        <v>44645.52306712963</v>
      </c>
      <c r="BW126" s="5">
        <v>167.0</v>
      </c>
    </row>
    <row r="127" ht="14.25" customHeight="1">
      <c r="A127" s="95">
        <v>126.0</v>
      </c>
      <c r="B127" s="95">
        <v>401.0</v>
      </c>
      <c r="C127" s="95" t="s">
        <v>2771</v>
      </c>
      <c r="D127" s="95" t="s">
        <v>1927</v>
      </c>
      <c r="E127" s="96" t="s">
        <v>1926</v>
      </c>
      <c r="F127" s="97" t="s">
        <v>2772</v>
      </c>
      <c r="G127" s="95" t="s">
        <v>2773</v>
      </c>
      <c r="H127" s="95" t="s">
        <v>1762</v>
      </c>
      <c r="I127" s="95" t="s">
        <v>1763</v>
      </c>
      <c r="J127" s="98">
        <v>26521.0</v>
      </c>
      <c r="K127" s="5">
        <v>1685.0</v>
      </c>
      <c r="L127" s="5" t="s">
        <v>2774</v>
      </c>
      <c r="M127" s="5">
        <v>14.0</v>
      </c>
      <c r="N127" s="5"/>
      <c r="O127" s="5">
        <v>43882.0</v>
      </c>
      <c r="P127" s="5" t="s">
        <v>2775</v>
      </c>
      <c r="Q127" s="5" t="s">
        <v>1766</v>
      </c>
      <c r="R127" s="5">
        <v>549.0</v>
      </c>
      <c r="S127" s="5">
        <v>3.931675137E9</v>
      </c>
      <c r="T127" s="5" t="s">
        <v>2776</v>
      </c>
      <c r="U127" s="5" t="s">
        <v>2778</v>
      </c>
      <c r="V127" s="5">
        <v>3.931504521E9</v>
      </c>
      <c r="W127" s="5" t="s">
        <v>2780</v>
      </c>
      <c r="X127" s="91">
        <v>43335.0</v>
      </c>
      <c r="Y127" s="5">
        <v>1.0</v>
      </c>
      <c r="Z127" s="5">
        <v>17.0</v>
      </c>
      <c r="AA127" s="5">
        <v>25.0</v>
      </c>
      <c r="AB127" s="5"/>
      <c r="AC127" s="5"/>
      <c r="AD127" s="5" t="s">
        <v>1770</v>
      </c>
      <c r="AE127" s="5" t="s">
        <v>1770</v>
      </c>
      <c r="AF127" s="5"/>
      <c r="AG127" s="5"/>
      <c r="AH127" s="5">
        <v>7.4957208783E10</v>
      </c>
      <c r="AI127" s="5"/>
      <c r="AJ127" s="5"/>
      <c r="AK127" s="5" t="s">
        <v>1773</v>
      </c>
      <c r="AL127" s="92">
        <v>0.0</v>
      </c>
      <c r="AM127" s="5" t="s">
        <v>1770</v>
      </c>
      <c r="AN127" s="5" t="s">
        <v>1774</v>
      </c>
      <c r="AO127" s="5"/>
      <c r="AP127" s="5"/>
      <c r="AQ127" s="5"/>
      <c r="AR127" s="5"/>
      <c r="AS127" s="5"/>
      <c r="AT127" s="5"/>
      <c r="AU127" s="5"/>
      <c r="AV127" s="5"/>
      <c r="AW127" s="5" t="s">
        <v>1770</v>
      </c>
      <c r="AX127" s="5"/>
      <c r="AY127" s="5"/>
      <c r="AZ127" s="5" t="s">
        <v>1770</v>
      </c>
      <c r="BA127" s="93">
        <v>0.0</v>
      </c>
      <c r="BB127" s="93">
        <v>0.0</v>
      </c>
      <c r="BC127" s="93">
        <v>0.0</v>
      </c>
      <c r="BD127" s="93">
        <v>0.0</v>
      </c>
      <c r="BE127" s="93">
        <v>0.0</v>
      </c>
      <c r="BF127" s="93">
        <v>0.0</v>
      </c>
      <c r="BG127" s="5"/>
      <c r="BH127" s="93">
        <v>0.0</v>
      </c>
      <c r="BI127" s="93">
        <v>0.0</v>
      </c>
      <c r="BJ127" s="93">
        <v>0.0</v>
      </c>
      <c r="BK127" s="93">
        <v>0.0</v>
      </c>
      <c r="BL127" s="93">
        <v>0.0</v>
      </c>
      <c r="BM127" s="93">
        <v>0.0</v>
      </c>
      <c r="BN127" s="93">
        <v>0.0</v>
      </c>
      <c r="BO127" s="5"/>
      <c r="BP127" s="5"/>
      <c r="BQ127" s="5" t="s">
        <v>1775</v>
      </c>
      <c r="BR127" s="94">
        <v>43477.45685185185</v>
      </c>
      <c r="BS127" s="5">
        <v>1.0</v>
      </c>
      <c r="BT127" s="94">
        <v>46134.44563657408</v>
      </c>
      <c r="BU127" s="5">
        <v>40.0</v>
      </c>
      <c r="BV127" s="5" t="s">
        <v>1770</v>
      </c>
      <c r="BW127" s="5" t="s">
        <v>1770</v>
      </c>
    </row>
    <row r="128" ht="14.25" customHeight="1">
      <c r="A128" s="95">
        <v>127.0</v>
      </c>
      <c r="B128" s="95">
        <v>402.0</v>
      </c>
      <c r="C128" s="95" t="s">
        <v>2612</v>
      </c>
      <c r="D128" s="95" t="s">
        <v>2005</v>
      </c>
      <c r="E128" s="96" t="s">
        <v>2757</v>
      </c>
      <c r="F128" s="97" t="s">
        <v>2782</v>
      </c>
      <c r="G128" s="95" t="s">
        <v>2783</v>
      </c>
      <c r="H128" s="95" t="s">
        <v>1972</v>
      </c>
      <c r="I128" s="95" t="s">
        <v>1782</v>
      </c>
      <c r="J128" s="98">
        <v>30688.0</v>
      </c>
      <c r="K128" s="5">
        <v>884.0</v>
      </c>
      <c r="L128" s="5" t="s">
        <v>2784</v>
      </c>
      <c r="M128" s="5">
        <v>35.0</v>
      </c>
      <c r="N128" s="5"/>
      <c r="O128" s="5">
        <v>54972.0</v>
      </c>
      <c r="P128" s="5" t="s">
        <v>2556</v>
      </c>
      <c r="Q128" s="5" t="s">
        <v>2785</v>
      </c>
      <c r="R128" s="5">
        <v>884.0</v>
      </c>
      <c r="S128" s="5">
        <v>3.53105391E9</v>
      </c>
      <c r="T128" s="5"/>
      <c r="U128" s="5" t="s">
        <v>2786</v>
      </c>
      <c r="V128" s="5">
        <v>3.51226987E9</v>
      </c>
      <c r="W128" s="5" t="s">
        <v>1808</v>
      </c>
      <c r="X128" s="91">
        <v>43344.0</v>
      </c>
      <c r="Y128" s="5">
        <v>1.0</v>
      </c>
      <c r="Z128" s="5">
        <v>3.0</v>
      </c>
      <c r="AA128" s="5">
        <v>43.0</v>
      </c>
      <c r="AB128" s="5"/>
      <c r="AC128" s="5"/>
      <c r="AD128" s="5" t="s">
        <v>1770</v>
      </c>
      <c r="AE128" s="5" t="s">
        <v>1770</v>
      </c>
      <c r="AF128" s="5"/>
      <c r="AG128" s="5"/>
      <c r="AH128" s="5">
        <v>4.08842701E9</v>
      </c>
      <c r="AI128" s="5"/>
      <c r="AJ128" s="5"/>
      <c r="AK128" s="5" t="s">
        <v>1773</v>
      </c>
      <c r="AL128" s="92">
        <v>0.0</v>
      </c>
      <c r="AM128" s="5" t="s">
        <v>1770</v>
      </c>
      <c r="AN128" s="5" t="s">
        <v>1905</v>
      </c>
      <c r="AO128" s="5"/>
      <c r="AP128" s="5"/>
      <c r="AQ128" s="5"/>
      <c r="AR128" s="5"/>
      <c r="AS128" s="5"/>
      <c r="AT128" s="5"/>
      <c r="AU128" s="5"/>
      <c r="AV128" s="5"/>
      <c r="AW128" s="5" t="s">
        <v>1770</v>
      </c>
      <c r="AX128" s="5"/>
      <c r="AY128" s="5"/>
      <c r="AZ128" s="5" t="s">
        <v>1770</v>
      </c>
      <c r="BA128" s="93">
        <v>0.0</v>
      </c>
      <c r="BB128" s="93">
        <v>0.0</v>
      </c>
      <c r="BC128" s="93">
        <v>0.0</v>
      </c>
      <c r="BD128" s="93">
        <v>0.0</v>
      </c>
      <c r="BE128" s="93">
        <v>0.0</v>
      </c>
      <c r="BF128" s="93">
        <v>0.0</v>
      </c>
      <c r="BG128" s="5"/>
      <c r="BH128" s="93">
        <v>0.0</v>
      </c>
      <c r="BI128" s="93">
        <v>0.0</v>
      </c>
      <c r="BJ128" s="93">
        <v>0.0</v>
      </c>
      <c r="BK128" s="93">
        <v>0.0</v>
      </c>
      <c r="BL128" s="93">
        <v>0.0</v>
      </c>
      <c r="BM128" s="93">
        <v>0.0</v>
      </c>
      <c r="BN128" s="93">
        <v>0.0</v>
      </c>
      <c r="BO128" s="5"/>
      <c r="BP128" s="5" t="s">
        <v>1770</v>
      </c>
      <c r="BQ128" s="5" t="s">
        <v>1789</v>
      </c>
      <c r="BR128" s="94">
        <v>43477.45685185185</v>
      </c>
      <c r="BS128" s="5">
        <v>1.0</v>
      </c>
      <c r="BT128" s="94">
        <v>44802.584548611114</v>
      </c>
      <c r="BU128" s="5">
        <v>57.0</v>
      </c>
      <c r="BV128" s="94">
        <v>44802.584756944445</v>
      </c>
      <c r="BW128" s="5">
        <v>57.0</v>
      </c>
    </row>
    <row r="129" ht="14.25" customHeight="1">
      <c r="A129" s="95">
        <v>128.0</v>
      </c>
      <c r="B129" s="95">
        <v>403.0</v>
      </c>
      <c r="C129" s="95" t="s">
        <v>2787</v>
      </c>
      <c r="D129" s="95" t="s">
        <v>2788</v>
      </c>
      <c r="E129" s="96" t="s">
        <v>2789</v>
      </c>
      <c r="F129" s="97" t="s">
        <v>2790</v>
      </c>
      <c r="G129" s="95" t="s">
        <v>2791</v>
      </c>
      <c r="H129" s="95" t="s">
        <v>1972</v>
      </c>
      <c r="I129" s="95" t="s">
        <v>1782</v>
      </c>
      <c r="J129" s="98">
        <v>34021.0</v>
      </c>
      <c r="K129" s="5">
        <v>594.0</v>
      </c>
      <c r="L129" s="5" t="s">
        <v>2792</v>
      </c>
      <c r="M129" s="5">
        <v>167.0</v>
      </c>
      <c r="N129" s="5"/>
      <c r="O129" s="5">
        <v>55002.0</v>
      </c>
      <c r="P129" s="5" t="s">
        <v>1797</v>
      </c>
      <c r="Q129" s="5" t="s">
        <v>1974</v>
      </c>
      <c r="R129" s="5">
        <v>886.0</v>
      </c>
      <c r="S129" s="5">
        <v>3.93120234E9</v>
      </c>
      <c r="T129" s="5"/>
      <c r="U129" s="5" t="s">
        <v>2793</v>
      </c>
      <c r="V129" s="5">
        <v>3.214567891E9</v>
      </c>
      <c r="W129" s="5" t="s">
        <v>2794</v>
      </c>
      <c r="X129" s="91">
        <v>43346.0</v>
      </c>
      <c r="Y129" s="5">
        <v>1.0</v>
      </c>
      <c r="Z129" s="5">
        <v>18.0</v>
      </c>
      <c r="AA129" s="5">
        <v>1.0</v>
      </c>
      <c r="AB129" s="5"/>
      <c r="AC129" s="5"/>
      <c r="AD129" s="5" t="s">
        <v>1770</v>
      </c>
      <c r="AE129" s="5" t="s">
        <v>1770</v>
      </c>
      <c r="AF129" s="5"/>
      <c r="AG129" s="5"/>
      <c r="AH129" s="5">
        <v>1.169382643E9</v>
      </c>
      <c r="AI129" s="5">
        <v>23.0</v>
      </c>
      <c r="AJ129" s="5"/>
      <c r="AK129" s="5" t="s">
        <v>1773</v>
      </c>
      <c r="AL129" s="92">
        <v>0.0</v>
      </c>
      <c r="AM129" s="5" t="s">
        <v>1770</v>
      </c>
      <c r="AN129" s="5" t="s">
        <v>1774</v>
      </c>
      <c r="AO129" s="5"/>
      <c r="AP129" s="5"/>
      <c r="AQ129" s="5"/>
      <c r="AR129" s="5"/>
      <c r="AS129" s="5"/>
      <c r="AT129" s="5"/>
      <c r="AU129" s="5"/>
      <c r="AV129" s="5"/>
      <c r="AW129" s="5" t="s">
        <v>1770</v>
      </c>
      <c r="AX129" s="5"/>
      <c r="AY129" s="5"/>
      <c r="AZ129" s="5" t="s">
        <v>1770</v>
      </c>
      <c r="BA129" s="93">
        <v>0.0</v>
      </c>
      <c r="BB129" s="93">
        <v>0.0</v>
      </c>
      <c r="BC129" s="93">
        <v>0.0</v>
      </c>
      <c r="BD129" s="93">
        <v>0.0</v>
      </c>
      <c r="BE129" s="93">
        <v>0.0</v>
      </c>
      <c r="BF129" s="93">
        <v>0.0</v>
      </c>
      <c r="BG129" s="5"/>
      <c r="BH129" s="93">
        <v>0.0</v>
      </c>
      <c r="BI129" s="93">
        <v>0.0</v>
      </c>
      <c r="BJ129" s="93">
        <v>0.0</v>
      </c>
      <c r="BK129" s="93">
        <v>0.0</v>
      </c>
      <c r="BL129" s="93">
        <v>0.0</v>
      </c>
      <c r="BM129" s="93">
        <v>0.0</v>
      </c>
      <c r="BN129" s="93">
        <v>0.0</v>
      </c>
      <c r="BO129" s="5"/>
      <c r="BP129" s="5" t="s">
        <v>1770</v>
      </c>
      <c r="BQ129" s="5" t="s">
        <v>1789</v>
      </c>
      <c r="BR129" s="94">
        <v>43477.45685185185</v>
      </c>
      <c r="BS129" s="5">
        <v>1.0</v>
      </c>
      <c r="BT129" s="94">
        <v>43768.545902777776</v>
      </c>
      <c r="BU129" s="5">
        <v>40.0</v>
      </c>
      <c r="BV129" s="94">
        <v>44060.554618055554</v>
      </c>
      <c r="BW129" s="5">
        <v>83.0</v>
      </c>
    </row>
    <row r="130" ht="14.25" customHeight="1">
      <c r="A130" s="95">
        <v>129.0</v>
      </c>
      <c r="B130" s="95">
        <v>404.0</v>
      </c>
      <c r="C130" s="95" t="s">
        <v>2795</v>
      </c>
      <c r="D130" s="99" t="s">
        <v>2527</v>
      </c>
      <c r="E130" s="96" t="s">
        <v>1926</v>
      </c>
      <c r="F130" s="97" t="s">
        <v>2796</v>
      </c>
      <c r="G130" s="95" t="s">
        <v>2797</v>
      </c>
      <c r="H130" s="95" t="s">
        <v>2798</v>
      </c>
      <c r="I130" s="95" t="s">
        <v>1782</v>
      </c>
      <c r="J130" s="98">
        <v>34929.0</v>
      </c>
      <c r="K130" s="5">
        <v>886.0</v>
      </c>
      <c r="L130" s="5" t="s">
        <v>2799</v>
      </c>
      <c r="M130" s="5">
        <v>41.0</v>
      </c>
      <c r="N130" s="5"/>
      <c r="O130" s="5">
        <v>55002.0</v>
      </c>
      <c r="P130" s="5" t="s">
        <v>2556</v>
      </c>
      <c r="Q130" s="100" t="s">
        <v>2800</v>
      </c>
      <c r="R130" s="5">
        <v>886.0</v>
      </c>
      <c r="S130" s="5">
        <v>3.323432874E9</v>
      </c>
      <c r="T130" s="5"/>
      <c r="U130" s="100" t="s">
        <v>2801</v>
      </c>
      <c r="V130" s="5">
        <v>3.542145687E9</v>
      </c>
      <c r="W130" s="5" t="s">
        <v>1965</v>
      </c>
      <c r="X130" s="91">
        <v>43349.0</v>
      </c>
      <c r="Y130" s="5">
        <v>1.0</v>
      </c>
      <c r="Z130" s="5">
        <v>1.0</v>
      </c>
      <c r="AA130" s="5">
        <v>1.0</v>
      </c>
      <c r="AB130" s="5" t="s">
        <v>2802</v>
      </c>
      <c r="AC130" s="5" t="s">
        <v>1800</v>
      </c>
      <c r="AD130" s="91">
        <v>43712.0</v>
      </c>
      <c r="AE130" s="91">
        <v>45173.0</v>
      </c>
      <c r="AF130" s="5"/>
      <c r="AG130" s="5"/>
      <c r="AH130" s="5">
        <v>1.7189516911E10</v>
      </c>
      <c r="AI130" s="5">
        <v>23.0</v>
      </c>
      <c r="AJ130" s="5"/>
      <c r="AK130" s="5" t="s">
        <v>1773</v>
      </c>
      <c r="AL130" s="92">
        <v>0.0</v>
      </c>
      <c r="AM130" s="5" t="s">
        <v>1770</v>
      </c>
      <c r="AN130" s="5" t="s">
        <v>1774</v>
      </c>
      <c r="AO130" s="5"/>
      <c r="AP130" s="5"/>
      <c r="AQ130" s="5"/>
      <c r="AR130" s="5"/>
      <c r="AS130" s="5"/>
      <c r="AT130" s="5"/>
      <c r="AU130" s="5"/>
      <c r="AV130" s="5"/>
      <c r="AW130" s="5" t="s">
        <v>1770</v>
      </c>
      <c r="AX130" s="5"/>
      <c r="AY130" s="5"/>
      <c r="AZ130" s="5" t="s">
        <v>1770</v>
      </c>
      <c r="BA130" s="93">
        <v>0.0</v>
      </c>
      <c r="BB130" s="93">
        <v>0.0</v>
      </c>
      <c r="BC130" s="93">
        <v>0.0</v>
      </c>
      <c r="BD130" s="93">
        <v>0.0</v>
      </c>
      <c r="BE130" s="93">
        <v>0.0</v>
      </c>
      <c r="BF130" s="93">
        <v>0.0</v>
      </c>
      <c r="BG130" s="5"/>
      <c r="BH130" s="93">
        <v>0.0</v>
      </c>
      <c r="BI130" s="93">
        <v>0.0</v>
      </c>
      <c r="BJ130" s="93">
        <v>0.0</v>
      </c>
      <c r="BK130" s="93">
        <v>0.0</v>
      </c>
      <c r="BL130" s="93">
        <v>0.0</v>
      </c>
      <c r="BM130" s="93">
        <v>0.0</v>
      </c>
      <c r="BN130" s="93">
        <v>0.0</v>
      </c>
      <c r="BO130" s="5"/>
      <c r="BP130" s="5" t="s">
        <v>1770</v>
      </c>
      <c r="BQ130" s="5" t="s">
        <v>1789</v>
      </c>
      <c r="BR130" s="94">
        <v>43477.45685185185</v>
      </c>
      <c r="BS130" s="5">
        <v>1.0</v>
      </c>
      <c r="BT130" s="94">
        <v>44279.429189814815</v>
      </c>
      <c r="BU130" s="5">
        <v>40.0</v>
      </c>
      <c r="BV130" s="94">
        <v>44980.44671296296</v>
      </c>
      <c r="BW130" s="5">
        <v>40.0</v>
      </c>
    </row>
    <row r="131" ht="14.25" customHeight="1">
      <c r="A131" s="95">
        <v>130.0</v>
      </c>
      <c r="B131" s="95">
        <v>405.0</v>
      </c>
      <c r="C131" s="95" t="s">
        <v>2803</v>
      </c>
      <c r="D131" s="95" t="s">
        <v>2789</v>
      </c>
      <c r="E131" s="96" t="s">
        <v>2804</v>
      </c>
      <c r="F131" s="97" t="s">
        <v>2805</v>
      </c>
      <c r="G131" s="95" t="s">
        <v>2806</v>
      </c>
      <c r="H131" s="95" t="s">
        <v>1972</v>
      </c>
      <c r="I131" s="95" t="s">
        <v>1782</v>
      </c>
      <c r="J131" s="98">
        <v>36299.0</v>
      </c>
      <c r="K131" s="5">
        <v>418.0</v>
      </c>
      <c r="L131" s="5" t="s">
        <v>2807</v>
      </c>
      <c r="M131" s="5">
        <v>36.0</v>
      </c>
      <c r="N131" s="5"/>
      <c r="O131" s="5">
        <v>35872.0</v>
      </c>
      <c r="P131" s="5" t="s">
        <v>2808</v>
      </c>
      <c r="Q131" s="5" t="s">
        <v>2406</v>
      </c>
      <c r="R131" s="5">
        <v>424.0</v>
      </c>
      <c r="S131" s="5">
        <v>4.691170279E9</v>
      </c>
      <c r="T131" s="5"/>
      <c r="U131" s="5" t="s">
        <v>2809</v>
      </c>
      <c r="V131" s="5">
        <v>2.365987415E9</v>
      </c>
      <c r="W131" s="5" t="s">
        <v>1965</v>
      </c>
      <c r="X131" s="91">
        <v>43353.0</v>
      </c>
      <c r="Y131" s="5">
        <v>2.0</v>
      </c>
      <c r="Z131" s="5">
        <v>4.0</v>
      </c>
      <c r="AA131" s="5">
        <v>39.0</v>
      </c>
      <c r="AB131" s="5" t="s">
        <v>2810</v>
      </c>
      <c r="AC131" s="5" t="s">
        <v>1800</v>
      </c>
      <c r="AD131" s="91">
        <v>43980.0</v>
      </c>
      <c r="AE131" s="91">
        <v>45806.0</v>
      </c>
      <c r="AF131" s="5"/>
      <c r="AG131" s="5"/>
      <c r="AH131" s="5">
        <v>6.9169955072E10</v>
      </c>
      <c r="AI131" s="5">
        <v>9.0</v>
      </c>
      <c r="AJ131" s="5"/>
      <c r="AK131" s="5" t="s">
        <v>1773</v>
      </c>
      <c r="AL131" s="92">
        <v>0.0</v>
      </c>
      <c r="AM131" s="5" t="s">
        <v>1770</v>
      </c>
      <c r="AN131" s="5" t="s">
        <v>1774</v>
      </c>
      <c r="AO131" s="5"/>
      <c r="AP131" s="5"/>
      <c r="AQ131" s="5"/>
      <c r="AR131" s="5"/>
      <c r="AS131" s="5"/>
      <c r="AT131" s="5"/>
      <c r="AU131" s="5"/>
      <c r="AV131" s="5"/>
      <c r="AW131" s="5" t="s">
        <v>1770</v>
      </c>
      <c r="AX131" s="5"/>
      <c r="AY131" s="5"/>
      <c r="AZ131" s="5" t="s">
        <v>1770</v>
      </c>
      <c r="BA131" s="93">
        <v>0.0</v>
      </c>
      <c r="BB131" s="93">
        <v>0.0</v>
      </c>
      <c r="BC131" s="93">
        <v>0.0</v>
      </c>
      <c r="BD131" s="93">
        <v>0.0</v>
      </c>
      <c r="BE131" s="93">
        <v>0.0</v>
      </c>
      <c r="BF131" s="93">
        <v>0.0</v>
      </c>
      <c r="BG131" s="5"/>
      <c r="BH131" s="93">
        <v>0.0</v>
      </c>
      <c r="BI131" s="93">
        <v>0.0</v>
      </c>
      <c r="BJ131" s="93">
        <v>0.0</v>
      </c>
      <c r="BK131" s="93">
        <v>0.0</v>
      </c>
      <c r="BL131" s="93">
        <v>0.0</v>
      </c>
      <c r="BM131" s="93">
        <v>0.0</v>
      </c>
      <c r="BN131" s="93">
        <v>0.0</v>
      </c>
      <c r="BO131" s="5"/>
      <c r="BP131" s="5" t="s">
        <v>1770</v>
      </c>
      <c r="BQ131" s="5" t="s">
        <v>1789</v>
      </c>
      <c r="BR131" s="94">
        <v>43477.45685185185</v>
      </c>
      <c r="BS131" s="5">
        <v>1.0</v>
      </c>
      <c r="BT131" s="94">
        <v>44278.74847222222</v>
      </c>
      <c r="BU131" s="5" t="s">
        <v>1770</v>
      </c>
      <c r="BV131" s="94">
        <v>44785.54966435185</v>
      </c>
      <c r="BW131" s="5">
        <v>167.0</v>
      </c>
    </row>
    <row r="132" ht="14.25" customHeight="1">
      <c r="A132" s="95">
        <v>131.0</v>
      </c>
      <c r="B132" s="95">
        <v>406.0</v>
      </c>
      <c r="C132" s="95" t="s">
        <v>2811</v>
      </c>
      <c r="D132" s="95" t="s">
        <v>2812</v>
      </c>
      <c r="E132" s="96" t="s">
        <v>2813</v>
      </c>
      <c r="F132" s="97" t="s">
        <v>2814</v>
      </c>
      <c r="G132" s="95" t="s">
        <v>2815</v>
      </c>
      <c r="H132" s="95" t="s">
        <v>1815</v>
      </c>
      <c r="I132" s="95" t="s">
        <v>1763</v>
      </c>
      <c r="J132" s="98">
        <v>34862.0</v>
      </c>
      <c r="K132" s="5">
        <v>272.0</v>
      </c>
      <c r="L132" s="5" t="s">
        <v>2816</v>
      </c>
      <c r="M132" s="5">
        <v>22.0</v>
      </c>
      <c r="N132" s="5"/>
      <c r="O132" s="5">
        <v>35873.0</v>
      </c>
      <c r="P132" s="5" t="s">
        <v>2817</v>
      </c>
      <c r="Q132" s="5" t="s">
        <v>2406</v>
      </c>
      <c r="R132" s="5">
        <v>424.0</v>
      </c>
      <c r="S132" s="5">
        <v>4.731641131E9</v>
      </c>
      <c r="T132" s="5"/>
      <c r="U132" s="5" t="s">
        <v>2818</v>
      </c>
      <c r="V132" s="5">
        <v>6.547891235E9</v>
      </c>
      <c r="W132" s="5" t="s">
        <v>1965</v>
      </c>
      <c r="X132" s="91">
        <v>43360.0</v>
      </c>
      <c r="Y132" s="5">
        <v>2.0</v>
      </c>
      <c r="Z132" s="5">
        <v>3.0</v>
      </c>
      <c r="AA132" s="5">
        <v>3.0</v>
      </c>
      <c r="AB132" s="5"/>
      <c r="AC132" s="5"/>
      <c r="AD132" s="5" t="s">
        <v>1770</v>
      </c>
      <c r="AE132" s="5" t="s">
        <v>1770</v>
      </c>
      <c r="AF132" s="5"/>
      <c r="AG132" s="5"/>
      <c r="AH132" s="5">
        <v>6.916958596E10</v>
      </c>
      <c r="AI132" s="5"/>
      <c r="AJ132" s="5"/>
      <c r="AK132" s="5" t="s">
        <v>1773</v>
      </c>
      <c r="AL132" s="92">
        <v>0.0</v>
      </c>
      <c r="AM132" s="5" t="s">
        <v>1770</v>
      </c>
      <c r="AN132" s="5" t="s">
        <v>1830</v>
      </c>
      <c r="AO132" s="5"/>
      <c r="AP132" s="5"/>
      <c r="AQ132" s="5"/>
      <c r="AR132" s="5"/>
      <c r="AS132" s="5"/>
      <c r="AT132" s="5"/>
      <c r="AU132" s="5"/>
      <c r="AV132" s="5"/>
      <c r="AW132" s="5" t="s">
        <v>1770</v>
      </c>
      <c r="AX132" s="5"/>
      <c r="AY132" s="5"/>
      <c r="AZ132" s="5" t="s">
        <v>1770</v>
      </c>
      <c r="BA132" s="93">
        <v>0.0</v>
      </c>
      <c r="BB132" s="93">
        <v>0.0</v>
      </c>
      <c r="BC132" s="93">
        <v>0.0</v>
      </c>
      <c r="BD132" s="93">
        <v>0.0</v>
      </c>
      <c r="BE132" s="93">
        <v>0.0</v>
      </c>
      <c r="BF132" s="93">
        <v>0.0</v>
      </c>
      <c r="BG132" s="5"/>
      <c r="BH132" s="93">
        <v>0.0</v>
      </c>
      <c r="BI132" s="93">
        <v>0.0</v>
      </c>
      <c r="BJ132" s="93">
        <v>0.0</v>
      </c>
      <c r="BK132" s="93">
        <v>0.0</v>
      </c>
      <c r="BL132" s="93">
        <v>0.0</v>
      </c>
      <c r="BM132" s="93">
        <v>0.0</v>
      </c>
      <c r="BN132" s="93">
        <v>0.0</v>
      </c>
      <c r="BO132" s="5"/>
      <c r="BP132" s="5" t="s">
        <v>1770</v>
      </c>
      <c r="BQ132" s="5" t="s">
        <v>1789</v>
      </c>
      <c r="BR132" s="94">
        <v>43477.45685185185</v>
      </c>
      <c r="BS132" s="5">
        <v>1.0</v>
      </c>
      <c r="BT132" s="94">
        <v>43768.54570601852</v>
      </c>
      <c r="BU132" s="5">
        <v>40.0</v>
      </c>
      <c r="BV132" s="94">
        <v>44060.55180555556</v>
      </c>
      <c r="BW132" s="5">
        <v>83.0</v>
      </c>
    </row>
    <row r="133" ht="14.25" customHeight="1">
      <c r="A133" s="95">
        <v>132.0</v>
      </c>
      <c r="B133" s="95">
        <v>409.0</v>
      </c>
      <c r="C133" s="95" t="s">
        <v>2819</v>
      </c>
      <c r="D133" s="95" t="s">
        <v>1950</v>
      </c>
      <c r="E133" s="96" t="s">
        <v>2820</v>
      </c>
      <c r="F133" s="97" t="s">
        <v>2821</v>
      </c>
      <c r="G133" s="95" t="s">
        <v>2822</v>
      </c>
      <c r="H133" s="95" t="s">
        <v>1781</v>
      </c>
      <c r="I133" s="95" t="s">
        <v>1782</v>
      </c>
      <c r="J133" s="98">
        <v>35140.0</v>
      </c>
      <c r="K133" s="5">
        <v>549.0</v>
      </c>
      <c r="L133" s="5" t="s">
        <v>2823</v>
      </c>
      <c r="M133" s="5">
        <v>118.0</v>
      </c>
      <c r="N133" s="5"/>
      <c r="O133" s="5">
        <v>41937.0</v>
      </c>
      <c r="P133" s="5" t="s">
        <v>1797</v>
      </c>
      <c r="Q133" s="5" t="s">
        <v>2824</v>
      </c>
      <c r="R133" s="5">
        <v>597.0</v>
      </c>
      <c r="S133" s="5">
        <v>3.921315349E9</v>
      </c>
      <c r="T133" s="5"/>
      <c r="U133" s="5" t="s">
        <v>2825</v>
      </c>
      <c r="V133" s="5">
        <v>2.365874196E9</v>
      </c>
      <c r="W133" s="5" t="s">
        <v>1965</v>
      </c>
      <c r="X133" s="91">
        <v>43375.0</v>
      </c>
      <c r="Y133" s="5">
        <v>5.0</v>
      </c>
      <c r="Z133" s="5">
        <v>18.0</v>
      </c>
      <c r="AA133" s="5">
        <v>1.0</v>
      </c>
      <c r="AB133" s="5"/>
      <c r="AC133" s="5"/>
      <c r="AD133" s="5" t="s">
        <v>1770</v>
      </c>
      <c r="AE133" s="5" t="s">
        <v>1770</v>
      </c>
      <c r="AF133" s="5"/>
      <c r="AG133" s="5"/>
      <c r="AH133" s="5">
        <v>9.169609956E9</v>
      </c>
      <c r="AI133" s="5">
        <v>169.0</v>
      </c>
      <c r="AJ133" s="5"/>
      <c r="AK133" s="5" t="s">
        <v>1773</v>
      </c>
      <c r="AL133" s="92">
        <v>0.0</v>
      </c>
      <c r="AM133" s="5" t="s">
        <v>1770</v>
      </c>
      <c r="AN133" s="5" t="s">
        <v>1905</v>
      </c>
      <c r="AO133" s="5"/>
      <c r="AP133" s="5"/>
      <c r="AQ133" s="5"/>
      <c r="AR133" s="5"/>
      <c r="AS133" s="5"/>
      <c r="AT133" s="5"/>
      <c r="AU133" s="5"/>
      <c r="AV133" s="5"/>
      <c r="AW133" s="5" t="s">
        <v>1770</v>
      </c>
      <c r="AX133" s="5"/>
      <c r="AY133" s="5"/>
      <c r="AZ133" s="5" t="s">
        <v>1770</v>
      </c>
      <c r="BA133" s="93">
        <v>0.0</v>
      </c>
      <c r="BB133" s="93">
        <v>0.0</v>
      </c>
      <c r="BC133" s="93">
        <v>0.0</v>
      </c>
      <c r="BD133" s="93">
        <v>0.0</v>
      </c>
      <c r="BE133" s="93">
        <v>0.0</v>
      </c>
      <c r="BF133" s="93">
        <v>0.0</v>
      </c>
      <c r="BG133" s="5"/>
      <c r="BH133" s="93">
        <v>0.0</v>
      </c>
      <c r="BI133" s="93">
        <v>0.0</v>
      </c>
      <c r="BJ133" s="93">
        <v>0.0</v>
      </c>
      <c r="BK133" s="93">
        <v>0.0</v>
      </c>
      <c r="BL133" s="93">
        <v>0.0</v>
      </c>
      <c r="BM133" s="93">
        <v>0.0</v>
      </c>
      <c r="BN133" s="93">
        <v>0.0</v>
      </c>
      <c r="BO133" s="5"/>
      <c r="BP133" s="5" t="s">
        <v>1770</v>
      </c>
      <c r="BQ133" s="5" t="s">
        <v>1789</v>
      </c>
      <c r="BR133" s="94">
        <v>43477.45685185185</v>
      </c>
      <c r="BS133" s="5">
        <v>1.0</v>
      </c>
      <c r="BT133" s="94">
        <v>43635.57912037037</v>
      </c>
      <c r="BU133" s="5">
        <v>40.0</v>
      </c>
      <c r="BV133" s="94">
        <v>44060.55112268519</v>
      </c>
      <c r="BW133" s="5">
        <v>83.0</v>
      </c>
    </row>
    <row r="134" ht="14.25" customHeight="1">
      <c r="A134" s="95">
        <v>133.0</v>
      </c>
      <c r="B134" s="95">
        <v>410.0</v>
      </c>
      <c r="C134" s="95" t="s">
        <v>2826</v>
      </c>
      <c r="D134" s="95" t="s">
        <v>2827</v>
      </c>
      <c r="E134" s="96" t="s">
        <v>2828</v>
      </c>
      <c r="F134" s="97" t="s">
        <v>2829</v>
      </c>
      <c r="G134" s="95" t="s">
        <v>2830</v>
      </c>
      <c r="H134" s="95" t="s">
        <v>1972</v>
      </c>
      <c r="I134" s="95" t="s">
        <v>1782</v>
      </c>
      <c r="J134" s="98">
        <v>31204.0</v>
      </c>
      <c r="K134" s="5">
        <v>834.0</v>
      </c>
      <c r="L134" s="5" t="s">
        <v>2831</v>
      </c>
      <c r="M134" s="5">
        <v>72.0</v>
      </c>
      <c r="N134" s="5">
        <v>4.0</v>
      </c>
      <c r="O134" s="5">
        <v>53990.0</v>
      </c>
      <c r="P134" s="5" t="s">
        <v>1797</v>
      </c>
      <c r="Q134" s="5" t="s">
        <v>2041</v>
      </c>
      <c r="R134" s="5">
        <v>834.0</v>
      </c>
      <c r="S134" s="5">
        <v>4.43337355E9</v>
      </c>
      <c r="T134" s="5"/>
      <c r="U134" s="5" t="s">
        <v>2832</v>
      </c>
      <c r="V134" s="5">
        <v>2.589631478E9</v>
      </c>
      <c r="W134" s="5" t="s">
        <v>1965</v>
      </c>
      <c r="X134" s="91">
        <v>43378.0</v>
      </c>
      <c r="Y134" s="5">
        <v>4.0</v>
      </c>
      <c r="Z134" s="5">
        <v>3.0</v>
      </c>
      <c r="AA134" s="5">
        <v>2.0</v>
      </c>
      <c r="AB134" s="5"/>
      <c r="AC134" s="5"/>
      <c r="AD134" s="5" t="s">
        <v>1770</v>
      </c>
      <c r="AE134" s="5" t="s">
        <v>1770</v>
      </c>
      <c r="AF134" s="5"/>
      <c r="AG134" s="5"/>
      <c r="AH134" s="5">
        <v>5.304853943E10</v>
      </c>
      <c r="AI134" s="5">
        <v>75.0</v>
      </c>
      <c r="AJ134" s="5"/>
      <c r="AK134" s="5" t="s">
        <v>1773</v>
      </c>
      <c r="AL134" s="92">
        <v>0.0</v>
      </c>
      <c r="AM134" s="5" t="s">
        <v>1770</v>
      </c>
      <c r="AN134" s="5" t="s">
        <v>1774</v>
      </c>
      <c r="AO134" s="5"/>
      <c r="AP134" s="5"/>
      <c r="AQ134" s="5"/>
      <c r="AR134" s="5"/>
      <c r="AS134" s="5"/>
      <c r="AT134" s="5"/>
      <c r="AU134" s="5"/>
      <c r="AV134" s="5"/>
      <c r="AW134" s="5" t="s">
        <v>1770</v>
      </c>
      <c r="AX134" s="5"/>
      <c r="AY134" s="5"/>
      <c r="AZ134" s="5" t="s">
        <v>1770</v>
      </c>
      <c r="BA134" s="93">
        <v>0.0</v>
      </c>
      <c r="BB134" s="93">
        <v>0.0</v>
      </c>
      <c r="BC134" s="93">
        <v>0.0</v>
      </c>
      <c r="BD134" s="93">
        <v>0.0</v>
      </c>
      <c r="BE134" s="93">
        <v>0.0</v>
      </c>
      <c r="BF134" s="93">
        <v>0.0</v>
      </c>
      <c r="BG134" s="5"/>
      <c r="BH134" s="93">
        <v>0.0</v>
      </c>
      <c r="BI134" s="93">
        <v>0.0</v>
      </c>
      <c r="BJ134" s="93">
        <v>0.0</v>
      </c>
      <c r="BK134" s="93">
        <v>0.0</v>
      </c>
      <c r="BL134" s="93">
        <v>0.0</v>
      </c>
      <c r="BM134" s="93">
        <v>0.0</v>
      </c>
      <c r="BN134" s="93">
        <v>0.0</v>
      </c>
      <c r="BO134" s="5"/>
      <c r="BP134" s="5" t="s">
        <v>1770</v>
      </c>
      <c r="BQ134" s="5" t="s">
        <v>1789</v>
      </c>
      <c r="BR134" s="94">
        <v>43477.45685185185</v>
      </c>
      <c r="BS134" s="5">
        <v>1.0</v>
      </c>
      <c r="BT134" s="94">
        <v>43635.60061342592</v>
      </c>
      <c r="BU134" s="5">
        <v>40.0</v>
      </c>
      <c r="BV134" s="94">
        <v>44060.55199074074</v>
      </c>
      <c r="BW134" s="5">
        <v>83.0</v>
      </c>
    </row>
    <row r="135" ht="14.25" customHeight="1">
      <c r="A135" s="95">
        <v>134.0</v>
      </c>
      <c r="B135" s="95">
        <v>413.0</v>
      </c>
      <c r="C135" s="95" t="s">
        <v>2833</v>
      </c>
      <c r="D135" s="95" t="s">
        <v>1879</v>
      </c>
      <c r="E135" s="96" t="s">
        <v>2834</v>
      </c>
      <c r="F135" s="97" t="s">
        <v>2835</v>
      </c>
      <c r="G135" s="95" t="s">
        <v>2836</v>
      </c>
      <c r="H135" s="95" t="s">
        <v>1972</v>
      </c>
      <c r="I135" s="95" t="s">
        <v>1782</v>
      </c>
      <c r="J135" s="98">
        <v>36583.0</v>
      </c>
      <c r="K135" s="5">
        <v>570.0</v>
      </c>
      <c r="L135" s="5" t="s">
        <v>2837</v>
      </c>
      <c r="M135" s="5">
        <v>15.0</v>
      </c>
      <c r="N135" s="5"/>
      <c r="O135" s="5">
        <v>43882.0</v>
      </c>
      <c r="P135" s="5" t="s">
        <v>2556</v>
      </c>
      <c r="Q135" s="5" t="s">
        <v>1883</v>
      </c>
      <c r="R135" s="5">
        <v>549.0</v>
      </c>
      <c r="S135" s="5">
        <v>3.931201688E9</v>
      </c>
      <c r="T135" s="5" t="s">
        <v>2838</v>
      </c>
      <c r="U135" s="5" t="s">
        <v>2839</v>
      </c>
      <c r="V135" s="5">
        <v>3.93107048E9</v>
      </c>
      <c r="W135" s="5" t="s">
        <v>1965</v>
      </c>
      <c r="X135" s="91">
        <v>43389.0</v>
      </c>
      <c r="Y135" s="5">
        <v>1.0</v>
      </c>
      <c r="Z135" s="5">
        <v>3.0</v>
      </c>
      <c r="AA135" s="5">
        <v>4.0</v>
      </c>
      <c r="AB135" s="5" t="s">
        <v>2840</v>
      </c>
      <c r="AC135" s="5" t="s">
        <v>1800</v>
      </c>
      <c r="AD135" s="91">
        <v>45012.0</v>
      </c>
      <c r="AE135" s="91">
        <v>46473.0</v>
      </c>
      <c r="AF135" s="5"/>
      <c r="AG135" s="5"/>
      <c r="AH135" s="5">
        <v>5.130066128E9</v>
      </c>
      <c r="AI135" s="5">
        <v>23.0</v>
      </c>
      <c r="AJ135" s="5"/>
      <c r="AK135" s="5" t="s">
        <v>1773</v>
      </c>
      <c r="AL135" s="92">
        <v>0.0</v>
      </c>
      <c r="AM135" s="5" t="s">
        <v>1770</v>
      </c>
      <c r="AN135" s="5" t="s">
        <v>1830</v>
      </c>
      <c r="AO135" s="5"/>
      <c r="AP135" s="5"/>
      <c r="AQ135" s="5"/>
      <c r="AR135" s="5"/>
      <c r="AS135" s="5"/>
      <c r="AT135" s="5"/>
      <c r="AU135" s="5"/>
      <c r="AV135" s="5"/>
      <c r="AW135" s="5" t="s">
        <v>1770</v>
      </c>
      <c r="AX135" s="5"/>
      <c r="AY135" s="5"/>
      <c r="AZ135" s="5" t="s">
        <v>1770</v>
      </c>
      <c r="BA135" s="93">
        <v>0.0</v>
      </c>
      <c r="BB135" s="93">
        <v>0.0</v>
      </c>
      <c r="BC135" s="93">
        <v>0.0</v>
      </c>
      <c r="BD135" s="93">
        <v>0.0</v>
      </c>
      <c r="BE135" s="93">
        <v>0.0</v>
      </c>
      <c r="BF135" s="93">
        <v>0.0</v>
      </c>
      <c r="BG135" s="5"/>
      <c r="BH135" s="93">
        <v>0.0</v>
      </c>
      <c r="BI135" s="93">
        <v>0.0</v>
      </c>
      <c r="BJ135" s="93">
        <v>0.0</v>
      </c>
      <c r="BK135" s="93">
        <v>0.0</v>
      </c>
      <c r="BL135" s="93">
        <v>0.0</v>
      </c>
      <c r="BM135" s="93">
        <v>0.0</v>
      </c>
      <c r="BN135" s="93">
        <v>0.0</v>
      </c>
      <c r="BO135" s="5"/>
      <c r="BP135" s="5"/>
      <c r="BQ135" s="5" t="s">
        <v>1775</v>
      </c>
      <c r="BR135" s="94">
        <v>43477.45685185185</v>
      </c>
      <c r="BS135" s="5">
        <v>1.0</v>
      </c>
      <c r="BT135" s="94">
        <v>46134.71324074074</v>
      </c>
      <c r="BU135" s="5">
        <v>40.0</v>
      </c>
      <c r="BV135" s="5" t="s">
        <v>1770</v>
      </c>
      <c r="BW135" s="5" t="s">
        <v>1770</v>
      </c>
    </row>
    <row r="136" ht="14.25" customHeight="1">
      <c r="A136" s="131">
        <v>135.0</v>
      </c>
      <c r="B136" s="131">
        <v>414.0</v>
      </c>
      <c r="C136" s="131" t="s">
        <v>2841</v>
      </c>
      <c r="D136" s="131" t="s">
        <v>2551</v>
      </c>
      <c r="E136" s="132" t="s">
        <v>2842</v>
      </c>
      <c r="F136" s="133" t="s">
        <v>2843</v>
      </c>
      <c r="G136" s="131" t="s">
        <v>2844</v>
      </c>
      <c r="H136" s="131" t="s">
        <v>1972</v>
      </c>
      <c r="I136" s="131" t="s">
        <v>1782</v>
      </c>
      <c r="J136" s="134">
        <v>33263.0</v>
      </c>
      <c r="K136" s="5">
        <v>850.0</v>
      </c>
      <c r="L136" s="5" t="s">
        <v>2845</v>
      </c>
      <c r="M136" s="5">
        <v>181.0</v>
      </c>
      <c r="N136" s="5"/>
      <c r="O136" s="5">
        <v>53982.0</v>
      </c>
      <c r="P136" s="5" t="s">
        <v>2846</v>
      </c>
      <c r="Q136" s="5" t="s">
        <v>2041</v>
      </c>
      <c r="R136" s="5">
        <v>834.0</v>
      </c>
      <c r="S136" s="5">
        <v>4.433383827E9</v>
      </c>
      <c r="T136" s="5"/>
      <c r="U136" s="5" t="s">
        <v>2847</v>
      </c>
      <c r="V136" s="5">
        <v>8.529631598E9</v>
      </c>
      <c r="W136" s="5" t="s">
        <v>1808</v>
      </c>
      <c r="X136" s="91">
        <v>43395.0</v>
      </c>
      <c r="Y136" s="5">
        <v>4.0</v>
      </c>
      <c r="Z136" s="5">
        <v>18.0</v>
      </c>
      <c r="AA136" s="5">
        <v>1.0</v>
      </c>
      <c r="AB136" s="5" t="s">
        <v>2848</v>
      </c>
      <c r="AC136" s="5" t="s">
        <v>1800</v>
      </c>
      <c r="AD136" s="91">
        <v>43595.0</v>
      </c>
      <c r="AE136" s="91">
        <v>46883.0</v>
      </c>
      <c r="AF136" s="5"/>
      <c r="AG136" s="5"/>
      <c r="AH136" s="5">
        <v>6.4169183015E10</v>
      </c>
      <c r="AI136" s="5">
        <v>80.0</v>
      </c>
      <c r="AJ136" s="5"/>
      <c r="AK136" s="5" t="s">
        <v>1773</v>
      </c>
      <c r="AL136" s="92">
        <v>0.0</v>
      </c>
      <c r="AM136" s="5" t="s">
        <v>1770</v>
      </c>
      <c r="AN136" s="5" t="s">
        <v>1774</v>
      </c>
      <c r="AO136" s="5"/>
      <c r="AP136" s="5"/>
      <c r="AQ136" s="5"/>
      <c r="AR136" s="5"/>
      <c r="AS136" s="5"/>
      <c r="AT136" s="5"/>
      <c r="AU136" s="5"/>
      <c r="AV136" s="5"/>
      <c r="AW136" s="5" t="s">
        <v>1770</v>
      </c>
      <c r="AX136" s="5"/>
      <c r="AY136" s="5"/>
      <c r="AZ136" s="5" t="s">
        <v>1770</v>
      </c>
      <c r="BA136" s="93">
        <v>0.0</v>
      </c>
      <c r="BB136" s="93">
        <v>0.0</v>
      </c>
      <c r="BC136" s="93">
        <v>0.0</v>
      </c>
      <c r="BD136" s="93">
        <v>0.0</v>
      </c>
      <c r="BE136" s="93">
        <v>0.0</v>
      </c>
      <c r="BF136" s="93">
        <v>0.0</v>
      </c>
      <c r="BG136" s="5"/>
      <c r="BH136" s="93">
        <v>0.0</v>
      </c>
      <c r="BI136" s="93">
        <v>0.0</v>
      </c>
      <c r="BJ136" s="93">
        <v>0.0</v>
      </c>
      <c r="BK136" s="93">
        <v>0.0</v>
      </c>
      <c r="BL136" s="93">
        <v>0.0</v>
      </c>
      <c r="BM136" s="93">
        <v>0.0</v>
      </c>
      <c r="BN136" s="93">
        <v>0.0</v>
      </c>
      <c r="BO136" s="5"/>
      <c r="BP136" s="5" t="s">
        <v>1770</v>
      </c>
      <c r="BQ136" s="5" t="s">
        <v>1789</v>
      </c>
      <c r="BR136" s="94">
        <v>43477.45685185185</v>
      </c>
      <c r="BS136" s="5">
        <v>1.0</v>
      </c>
      <c r="BT136" s="94">
        <v>44279.59483796296</v>
      </c>
      <c r="BU136" s="5">
        <v>40.0</v>
      </c>
      <c r="BV136" s="94">
        <v>44770.56214120371</v>
      </c>
      <c r="BW136" s="5">
        <v>40.0</v>
      </c>
    </row>
    <row r="137" ht="14.25" customHeight="1">
      <c r="A137" s="135">
        <v>136.0</v>
      </c>
      <c r="B137" s="135">
        <v>418.0</v>
      </c>
      <c r="C137" s="135" t="s">
        <v>2849</v>
      </c>
      <c r="D137" s="135" t="s">
        <v>2850</v>
      </c>
      <c r="E137" s="136" t="s">
        <v>2851</v>
      </c>
      <c r="F137" s="137" t="s">
        <v>2852</v>
      </c>
      <c r="G137" s="135" t="s">
        <v>2853</v>
      </c>
      <c r="H137" s="135" t="s">
        <v>1972</v>
      </c>
      <c r="I137" s="135" t="s">
        <v>1782</v>
      </c>
      <c r="J137" s="138">
        <v>33805.0</v>
      </c>
      <c r="K137" s="5">
        <v>570.0</v>
      </c>
      <c r="L137" s="5" t="s">
        <v>2854</v>
      </c>
      <c r="M137" s="5">
        <v>284.0</v>
      </c>
      <c r="N137" s="5"/>
      <c r="O137" s="5">
        <v>43801.0</v>
      </c>
      <c r="P137" s="5" t="s">
        <v>2855</v>
      </c>
      <c r="Q137" s="5" t="s">
        <v>2179</v>
      </c>
      <c r="R137" s="5">
        <v>594.0</v>
      </c>
      <c r="S137" s="5">
        <v>3.317580819E9</v>
      </c>
      <c r="T137" s="5"/>
      <c r="U137" s="5" t="s">
        <v>2856</v>
      </c>
      <c r="V137" s="5">
        <v>8.956321478E9</v>
      </c>
      <c r="W137" s="5" t="s">
        <v>1965</v>
      </c>
      <c r="X137" s="91">
        <v>43405.0</v>
      </c>
      <c r="Y137" s="5">
        <v>5.0</v>
      </c>
      <c r="Z137" s="5">
        <v>4.0</v>
      </c>
      <c r="AA137" s="5">
        <v>40.0</v>
      </c>
      <c r="AB137" s="5" t="s">
        <v>2857</v>
      </c>
      <c r="AC137" s="5" t="s">
        <v>1800</v>
      </c>
      <c r="AD137" s="91">
        <v>44819.0</v>
      </c>
      <c r="AE137" s="91">
        <v>46280.0</v>
      </c>
      <c r="AF137" s="5"/>
      <c r="AG137" s="5"/>
      <c r="AH137" s="5">
        <v>4.07922954E9</v>
      </c>
      <c r="AI137" s="5"/>
      <c r="AJ137" s="5"/>
      <c r="AK137" s="5" t="s">
        <v>1773</v>
      </c>
      <c r="AL137" s="92">
        <v>0.0</v>
      </c>
      <c r="AM137" s="5" t="s">
        <v>1770</v>
      </c>
      <c r="AN137" s="5" t="s">
        <v>1935</v>
      </c>
      <c r="AO137" s="5"/>
      <c r="AP137" s="5"/>
      <c r="AQ137" s="5"/>
      <c r="AR137" s="5"/>
      <c r="AS137" s="5"/>
      <c r="AT137" s="5"/>
      <c r="AU137" s="5"/>
      <c r="AV137" s="5"/>
      <c r="AW137" s="5" t="s">
        <v>1770</v>
      </c>
      <c r="AX137" s="5"/>
      <c r="AY137" s="5"/>
      <c r="AZ137" s="5" t="s">
        <v>1770</v>
      </c>
      <c r="BA137" s="93">
        <v>0.0</v>
      </c>
      <c r="BB137" s="93">
        <v>0.0</v>
      </c>
      <c r="BC137" s="93">
        <v>0.0</v>
      </c>
      <c r="BD137" s="93">
        <v>0.0</v>
      </c>
      <c r="BE137" s="93">
        <v>0.0</v>
      </c>
      <c r="BF137" s="93">
        <v>0.0</v>
      </c>
      <c r="BG137" s="5"/>
      <c r="BH137" s="93">
        <v>0.0</v>
      </c>
      <c r="BI137" s="93">
        <v>0.0</v>
      </c>
      <c r="BJ137" s="93">
        <v>0.0</v>
      </c>
      <c r="BK137" s="93">
        <v>0.0</v>
      </c>
      <c r="BL137" s="93">
        <v>0.0</v>
      </c>
      <c r="BM137" s="93">
        <v>0.0</v>
      </c>
      <c r="BN137" s="93">
        <v>0.0</v>
      </c>
      <c r="BO137" s="5"/>
      <c r="BP137" s="5" t="s">
        <v>1770</v>
      </c>
      <c r="BQ137" s="5" t="s">
        <v>1789</v>
      </c>
      <c r="BR137" s="94">
        <v>43477.45685185185</v>
      </c>
      <c r="BS137" s="5">
        <v>1.0</v>
      </c>
      <c r="BT137" s="94">
        <v>45407.391689814816</v>
      </c>
      <c r="BU137" s="5">
        <v>40.0</v>
      </c>
      <c r="BV137" s="94">
        <v>45763.38251157408</v>
      </c>
      <c r="BW137" s="5" t="s">
        <v>1770</v>
      </c>
    </row>
    <row r="138" ht="14.25" customHeight="1">
      <c r="A138" s="95">
        <v>137.0</v>
      </c>
      <c r="B138" s="95">
        <v>419.0</v>
      </c>
      <c r="C138" s="95" t="s">
        <v>2858</v>
      </c>
      <c r="D138" s="95" t="s">
        <v>2859</v>
      </c>
      <c r="E138" s="96" t="s">
        <v>1792</v>
      </c>
      <c r="F138" s="97" t="s">
        <v>2860</v>
      </c>
      <c r="G138" s="95" t="s">
        <v>2861</v>
      </c>
      <c r="H138" s="95" t="s">
        <v>1815</v>
      </c>
      <c r="I138" s="95" t="s">
        <v>1763</v>
      </c>
      <c r="J138" s="98">
        <v>34596.0</v>
      </c>
      <c r="K138" s="5">
        <v>549.0</v>
      </c>
      <c r="L138" s="5" t="s">
        <v>2862</v>
      </c>
      <c r="M138" s="5">
        <v>2.0</v>
      </c>
      <c r="N138" s="5"/>
      <c r="O138" s="5">
        <v>43882.0</v>
      </c>
      <c r="P138" s="5" t="s">
        <v>2556</v>
      </c>
      <c r="Q138" s="5" t="s">
        <v>2863</v>
      </c>
      <c r="R138" s="5">
        <v>549.0</v>
      </c>
      <c r="S138" s="5">
        <v>3.939357552E9</v>
      </c>
      <c r="T138" s="5"/>
      <c r="U138" s="5" t="s">
        <v>2864</v>
      </c>
      <c r="V138" s="5">
        <v>3.939357552E9</v>
      </c>
      <c r="W138" s="5" t="s">
        <v>1965</v>
      </c>
      <c r="X138" s="91">
        <v>43405.0</v>
      </c>
      <c r="Y138" s="5">
        <v>1.0</v>
      </c>
      <c r="Z138" s="5">
        <v>4.0</v>
      </c>
      <c r="AA138" s="5">
        <v>17.0</v>
      </c>
      <c r="AB138" s="5"/>
      <c r="AC138" s="5"/>
      <c r="AD138" s="5" t="s">
        <v>1770</v>
      </c>
      <c r="AE138" s="5" t="s">
        <v>1770</v>
      </c>
      <c r="AF138" s="5"/>
      <c r="AG138" s="5"/>
      <c r="AH138" s="5">
        <v>7.5139462727E10</v>
      </c>
      <c r="AI138" s="5">
        <v>23.0</v>
      </c>
      <c r="AJ138" s="5"/>
      <c r="AK138" s="5" t="s">
        <v>1773</v>
      </c>
      <c r="AL138" s="92">
        <v>0.0</v>
      </c>
      <c r="AM138" s="5" t="s">
        <v>1770</v>
      </c>
      <c r="AN138" s="5" t="s">
        <v>1774</v>
      </c>
      <c r="AO138" s="5"/>
      <c r="AP138" s="5"/>
      <c r="AQ138" s="5"/>
      <c r="AR138" s="5"/>
      <c r="AS138" s="5"/>
      <c r="AT138" s="5"/>
      <c r="AU138" s="5"/>
      <c r="AV138" s="5"/>
      <c r="AW138" s="5" t="s">
        <v>1770</v>
      </c>
      <c r="AX138" s="5"/>
      <c r="AY138" s="5"/>
      <c r="AZ138" s="5" t="s">
        <v>1770</v>
      </c>
      <c r="BA138" s="93">
        <v>0.0</v>
      </c>
      <c r="BB138" s="93">
        <v>0.0</v>
      </c>
      <c r="BC138" s="93">
        <v>0.0</v>
      </c>
      <c r="BD138" s="93">
        <v>0.0</v>
      </c>
      <c r="BE138" s="93">
        <v>0.0</v>
      </c>
      <c r="BF138" s="93">
        <v>0.0</v>
      </c>
      <c r="BG138" s="5"/>
      <c r="BH138" s="93">
        <v>0.0</v>
      </c>
      <c r="BI138" s="93">
        <v>0.0</v>
      </c>
      <c r="BJ138" s="93">
        <v>0.0</v>
      </c>
      <c r="BK138" s="93">
        <v>0.0</v>
      </c>
      <c r="BL138" s="93">
        <v>0.0</v>
      </c>
      <c r="BM138" s="93">
        <v>0.0</v>
      </c>
      <c r="BN138" s="93">
        <v>0.0</v>
      </c>
      <c r="BO138" s="5"/>
      <c r="BP138" s="5" t="s">
        <v>1770</v>
      </c>
      <c r="BQ138" s="5" t="s">
        <v>1789</v>
      </c>
      <c r="BR138" s="94">
        <v>43477.45685185185</v>
      </c>
      <c r="BS138" s="5">
        <v>1.0</v>
      </c>
      <c r="BT138" s="94">
        <v>44779.57744212963</v>
      </c>
      <c r="BU138" s="5">
        <v>167.0</v>
      </c>
      <c r="BV138" s="94">
        <v>45555.505219907405</v>
      </c>
      <c r="BW138" s="5">
        <v>40.0</v>
      </c>
    </row>
    <row r="139" ht="14.25" customHeight="1">
      <c r="A139" s="95">
        <v>138.0</v>
      </c>
      <c r="B139" s="95">
        <v>420.0</v>
      </c>
      <c r="C139" s="95" t="s">
        <v>2865</v>
      </c>
      <c r="D139" s="95" t="s">
        <v>2195</v>
      </c>
      <c r="E139" s="96" t="s">
        <v>1926</v>
      </c>
      <c r="F139" s="97" t="s">
        <v>2866</v>
      </c>
      <c r="G139" s="95" t="s">
        <v>2867</v>
      </c>
      <c r="H139" s="95" t="s">
        <v>1815</v>
      </c>
      <c r="I139" s="95" t="s">
        <v>1763</v>
      </c>
      <c r="J139" s="98">
        <v>34800.0</v>
      </c>
      <c r="K139" s="5">
        <v>424.0</v>
      </c>
      <c r="L139" s="5" t="s">
        <v>2868</v>
      </c>
      <c r="M139" s="5">
        <v>118.0</v>
      </c>
      <c r="N139" s="5"/>
      <c r="O139" s="5">
        <v>35873.0</v>
      </c>
      <c r="P139" s="5" t="s">
        <v>1797</v>
      </c>
      <c r="Q139" s="5" t="s">
        <v>2406</v>
      </c>
      <c r="R139" s="5">
        <v>424.0</v>
      </c>
      <c r="S139" s="5">
        <v>4.696925188E9</v>
      </c>
      <c r="T139" s="5"/>
      <c r="U139" s="5" t="s">
        <v>2869</v>
      </c>
      <c r="V139" s="5">
        <v>4.696925188E9</v>
      </c>
      <c r="W139" s="5" t="s">
        <v>1808</v>
      </c>
      <c r="X139" s="91">
        <v>43444.0</v>
      </c>
      <c r="Y139" s="5">
        <v>2.0</v>
      </c>
      <c r="Z139" s="5">
        <v>19.0</v>
      </c>
      <c r="AA139" s="5">
        <v>9.0</v>
      </c>
      <c r="AB139" s="5"/>
      <c r="AC139" s="5"/>
      <c r="AD139" s="5" t="s">
        <v>1770</v>
      </c>
      <c r="AE139" s="5" t="s">
        <v>1770</v>
      </c>
      <c r="AF139" s="5"/>
      <c r="AG139" s="5"/>
      <c r="AH139" s="5">
        <v>7.3169592174E10</v>
      </c>
      <c r="AI139" s="5">
        <v>9.0</v>
      </c>
      <c r="AJ139" s="5"/>
      <c r="AK139" s="5" t="s">
        <v>1773</v>
      </c>
      <c r="AL139" s="92">
        <v>0.0</v>
      </c>
      <c r="AM139" s="5" t="s">
        <v>1770</v>
      </c>
      <c r="AN139" s="5" t="s">
        <v>1830</v>
      </c>
      <c r="AO139" s="5"/>
      <c r="AP139" s="5"/>
      <c r="AQ139" s="5"/>
      <c r="AR139" s="5"/>
      <c r="AS139" s="5"/>
      <c r="AT139" s="5"/>
      <c r="AU139" s="5"/>
      <c r="AV139" s="5"/>
      <c r="AW139" s="5" t="s">
        <v>1770</v>
      </c>
      <c r="AX139" s="5"/>
      <c r="AY139" s="5"/>
      <c r="AZ139" s="5" t="s">
        <v>1770</v>
      </c>
      <c r="BA139" s="93">
        <v>0.0</v>
      </c>
      <c r="BB139" s="93">
        <v>0.0</v>
      </c>
      <c r="BC139" s="93">
        <v>0.0</v>
      </c>
      <c r="BD139" s="93">
        <v>0.0</v>
      </c>
      <c r="BE139" s="93">
        <v>0.0</v>
      </c>
      <c r="BF139" s="93">
        <v>0.0</v>
      </c>
      <c r="BG139" s="5"/>
      <c r="BH139" s="93">
        <v>0.0</v>
      </c>
      <c r="BI139" s="93">
        <v>0.0</v>
      </c>
      <c r="BJ139" s="93">
        <v>0.0</v>
      </c>
      <c r="BK139" s="93">
        <v>0.0</v>
      </c>
      <c r="BL139" s="93">
        <v>0.0</v>
      </c>
      <c r="BM139" s="93">
        <v>0.0</v>
      </c>
      <c r="BN139" s="93">
        <v>0.0</v>
      </c>
      <c r="BO139" s="5"/>
      <c r="BP139" s="5" t="s">
        <v>1770</v>
      </c>
      <c r="BQ139" s="5" t="s">
        <v>1789</v>
      </c>
      <c r="BR139" s="94">
        <v>43477.45685185185</v>
      </c>
      <c r="BS139" s="5">
        <v>1.0</v>
      </c>
      <c r="BT139" s="94">
        <v>43635.61378472222</v>
      </c>
      <c r="BU139" s="5">
        <v>40.0</v>
      </c>
      <c r="BV139" s="94">
        <v>45707.52259259259</v>
      </c>
      <c r="BW139" s="5">
        <v>40.0</v>
      </c>
    </row>
    <row r="140" ht="14.25" customHeight="1">
      <c r="A140" s="95">
        <v>139.0</v>
      </c>
      <c r="B140" s="95">
        <v>421.0</v>
      </c>
      <c r="C140" s="95" t="s">
        <v>2870</v>
      </c>
      <c r="D140" s="95" t="s">
        <v>2105</v>
      </c>
      <c r="E140" s="96" t="s">
        <v>2871</v>
      </c>
      <c r="F140" s="97" t="s">
        <v>2872</v>
      </c>
      <c r="G140" s="95" t="s">
        <v>2873</v>
      </c>
      <c r="H140" s="95" t="s">
        <v>2671</v>
      </c>
      <c r="I140" s="95" t="s">
        <v>1763</v>
      </c>
      <c r="J140" s="98">
        <v>35783.0</v>
      </c>
      <c r="K140" s="5">
        <v>834.0</v>
      </c>
      <c r="L140" s="5" t="s">
        <v>2874</v>
      </c>
      <c r="M140" s="5">
        <v>0.0</v>
      </c>
      <c r="N140" s="5"/>
      <c r="O140" s="5">
        <v>54685.0</v>
      </c>
      <c r="P140" s="5" t="s">
        <v>2556</v>
      </c>
      <c r="Q140" s="5" t="s">
        <v>2875</v>
      </c>
      <c r="R140" s="5">
        <v>869.0</v>
      </c>
      <c r="S140" s="5">
        <v>4.434103273E9</v>
      </c>
      <c r="T140" s="5"/>
      <c r="U140" s="5" t="s">
        <v>2876</v>
      </c>
      <c r="V140" s="5">
        <v>3.265147895E9</v>
      </c>
      <c r="W140" s="5" t="s">
        <v>1808</v>
      </c>
      <c r="X140" s="91">
        <v>43454.0</v>
      </c>
      <c r="Y140" s="5">
        <v>4.0</v>
      </c>
      <c r="Z140" s="5">
        <v>17.0</v>
      </c>
      <c r="AA140" s="5">
        <v>25.0</v>
      </c>
      <c r="AB140" s="5"/>
      <c r="AC140" s="5"/>
      <c r="AD140" s="5" t="s">
        <v>1770</v>
      </c>
      <c r="AE140" s="5" t="s">
        <v>1770</v>
      </c>
      <c r="AF140" s="5"/>
      <c r="AG140" s="5"/>
      <c r="AH140" s="5">
        <v>1.9189778046E10</v>
      </c>
      <c r="AI140" s="5"/>
      <c r="AJ140" s="5"/>
      <c r="AK140" s="5" t="s">
        <v>1773</v>
      </c>
      <c r="AL140" s="92">
        <v>0.0</v>
      </c>
      <c r="AM140" s="5" t="s">
        <v>1770</v>
      </c>
      <c r="AN140" s="5" t="s">
        <v>1774</v>
      </c>
      <c r="AO140" s="5"/>
      <c r="AP140" s="5"/>
      <c r="AQ140" s="5"/>
      <c r="AR140" s="5"/>
      <c r="AS140" s="5"/>
      <c r="AT140" s="5"/>
      <c r="AU140" s="5"/>
      <c r="AV140" s="5"/>
      <c r="AW140" s="5" t="s">
        <v>1770</v>
      </c>
      <c r="AX140" s="5"/>
      <c r="AY140" s="5"/>
      <c r="AZ140" s="5" t="s">
        <v>1770</v>
      </c>
      <c r="BA140" s="93">
        <v>0.0</v>
      </c>
      <c r="BB140" s="93">
        <v>0.0</v>
      </c>
      <c r="BC140" s="93">
        <v>0.0</v>
      </c>
      <c r="BD140" s="93">
        <v>0.0</v>
      </c>
      <c r="BE140" s="93">
        <v>0.0</v>
      </c>
      <c r="BF140" s="93">
        <v>0.0</v>
      </c>
      <c r="BG140" s="5"/>
      <c r="BH140" s="93">
        <v>0.0</v>
      </c>
      <c r="BI140" s="93">
        <v>0.0</v>
      </c>
      <c r="BJ140" s="93">
        <v>0.0</v>
      </c>
      <c r="BK140" s="93">
        <v>0.0</v>
      </c>
      <c r="BL140" s="93">
        <v>0.0</v>
      </c>
      <c r="BM140" s="93">
        <v>0.0</v>
      </c>
      <c r="BN140" s="93">
        <v>0.0</v>
      </c>
      <c r="BO140" s="5"/>
      <c r="BP140" s="5" t="s">
        <v>1770</v>
      </c>
      <c r="BQ140" s="5" t="s">
        <v>1789</v>
      </c>
      <c r="BR140" s="94">
        <v>43477.45685185185</v>
      </c>
      <c r="BS140" s="5">
        <v>1.0</v>
      </c>
      <c r="BT140" s="94">
        <v>43630.53986111111</v>
      </c>
      <c r="BU140" s="5">
        <v>40.0</v>
      </c>
      <c r="BV140" s="94">
        <v>44392.69731481482</v>
      </c>
      <c r="BW140" s="5">
        <v>40.0</v>
      </c>
    </row>
    <row r="141" ht="14.25" customHeight="1">
      <c r="A141" s="95">
        <v>140.0</v>
      </c>
      <c r="B141" s="95">
        <v>416.0</v>
      </c>
      <c r="C141" s="95" t="s">
        <v>2877</v>
      </c>
      <c r="D141" s="95" t="s">
        <v>1946</v>
      </c>
      <c r="E141" s="96" t="s">
        <v>2878</v>
      </c>
      <c r="F141" s="97" t="s">
        <v>2879</v>
      </c>
      <c r="G141" s="95" t="s">
        <v>2880</v>
      </c>
      <c r="H141" s="95" t="s">
        <v>1781</v>
      </c>
      <c r="I141" s="95" t="s">
        <v>1782</v>
      </c>
      <c r="J141" s="98">
        <v>27792.0</v>
      </c>
      <c r="K141" s="5">
        <v>549.0</v>
      </c>
      <c r="L141" s="5" t="s">
        <v>2881</v>
      </c>
      <c r="M141" s="5">
        <v>212.0</v>
      </c>
      <c r="N141" s="5"/>
      <c r="O141" s="5">
        <v>43882.0</v>
      </c>
      <c r="P141" s="5" t="s">
        <v>2048</v>
      </c>
      <c r="Q141" s="5" t="s">
        <v>1766</v>
      </c>
      <c r="R141" s="5">
        <v>549.0</v>
      </c>
      <c r="S141" s="5">
        <v>5.987456321E9</v>
      </c>
      <c r="T141" s="5"/>
      <c r="U141" s="5" t="s">
        <v>1787</v>
      </c>
      <c r="V141" s="5">
        <v>7.896541258E9</v>
      </c>
      <c r="W141" s="5" t="s">
        <v>1787</v>
      </c>
      <c r="X141" s="91">
        <v>43395.0</v>
      </c>
      <c r="Y141" s="5">
        <v>1.0</v>
      </c>
      <c r="Z141" s="5">
        <v>19.0</v>
      </c>
      <c r="AA141" s="5">
        <v>26.0</v>
      </c>
      <c r="AB141" s="5"/>
      <c r="AC141" s="5"/>
      <c r="AD141" s="5" t="s">
        <v>1770</v>
      </c>
      <c r="AE141" s="5" t="s">
        <v>1770</v>
      </c>
      <c r="AF141" s="5"/>
      <c r="AG141" s="5"/>
      <c r="AH141" s="5">
        <v>7.4977610752E10</v>
      </c>
      <c r="AI141" s="5"/>
      <c r="AJ141" s="5"/>
      <c r="AK141" s="5" t="s">
        <v>1773</v>
      </c>
      <c r="AL141" s="92">
        <v>0.0</v>
      </c>
      <c r="AM141" s="5" t="s">
        <v>1770</v>
      </c>
      <c r="AN141" s="5" t="s">
        <v>1830</v>
      </c>
      <c r="AO141" s="5"/>
      <c r="AP141" s="5"/>
      <c r="AQ141" s="5"/>
      <c r="AR141" s="5"/>
      <c r="AS141" s="5"/>
      <c r="AT141" s="5"/>
      <c r="AU141" s="5"/>
      <c r="AV141" s="5"/>
      <c r="AW141" s="5" t="s">
        <v>1770</v>
      </c>
      <c r="AX141" s="5"/>
      <c r="AY141" s="5"/>
      <c r="AZ141" s="5" t="s">
        <v>1770</v>
      </c>
      <c r="BA141" s="93">
        <v>0.0</v>
      </c>
      <c r="BB141" s="93">
        <v>0.0</v>
      </c>
      <c r="BC141" s="93">
        <v>0.0</v>
      </c>
      <c r="BD141" s="93">
        <v>0.0</v>
      </c>
      <c r="BE141" s="93">
        <v>0.0</v>
      </c>
      <c r="BF141" s="93">
        <v>0.0</v>
      </c>
      <c r="BG141" s="5"/>
      <c r="BH141" s="93">
        <v>0.0</v>
      </c>
      <c r="BI141" s="93">
        <v>0.0</v>
      </c>
      <c r="BJ141" s="93">
        <v>0.0</v>
      </c>
      <c r="BK141" s="93">
        <v>0.0</v>
      </c>
      <c r="BL141" s="93">
        <v>0.0</v>
      </c>
      <c r="BM141" s="93">
        <v>0.0</v>
      </c>
      <c r="BN141" s="93">
        <v>0.0</v>
      </c>
      <c r="BO141" s="5"/>
      <c r="BP141" s="5" t="s">
        <v>1770</v>
      </c>
      <c r="BQ141" s="5" t="s">
        <v>1789</v>
      </c>
      <c r="BR141" s="94">
        <v>43477.45685185185</v>
      </c>
      <c r="BS141" s="5">
        <v>1.0</v>
      </c>
      <c r="BT141" s="94">
        <v>43635.59337962963</v>
      </c>
      <c r="BU141" s="5">
        <v>40.0</v>
      </c>
      <c r="BV141" s="94">
        <v>44392.702511574076</v>
      </c>
      <c r="BW141" s="5">
        <v>40.0</v>
      </c>
    </row>
    <row r="142" ht="14.25" customHeight="1">
      <c r="A142" s="95">
        <v>141.0</v>
      </c>
      <c r="B142" s="95">
        <v>417.0</v>
      </c>
      <c r="C142" s="95" t="s">
        <v>2882</v>
      </c>
      <c r="D142" s="95" t="s">
        <v>2883</v>
      </c>
      <c r="E142" s="96" t="s">
        <v>2884</v>
      </c>
      <c r="F142" s="97" t="s">
        <v>2885</v>
      </c>
      <c r="G142" s="95" t="s">
        <v>2886</v>
      </c>
      <c r="H142" s="95" t="s">
        <v>1781</v>
      </c>
      <c r="I142" s="95" t="s">
        <v>1782</v>
      </c>
      <c r="J142" s="98">
        <v>24617.0</v>
      </c>
      <c r="K142" s="5">
        <v>834.0</v>
      </c>
      <c r="L142" s="5" t="s">
        <v>2887</v>
      </c>
      <c r="M142" s="5">
        <v>179.0</v>
      </c>
      <c r="N142" s="5"/>
      <c r="O142" s="5">
        <v>53892.0</v>
      </c>
      <c r="P142" s="5" t="s">
        <v>2888</v>
      </c>
      <c r="Q142" s="5" t="s">
        <v>2041</v>
      </c>
      <c r="R142" s="5">
        <v>834.0</v>
      </c>
      <c r="S142" s="5">
        <v>4.434594452E9</v>
      </c>
      <c r="T142" s="5"/>
      <c r="U142" s="5" t="s">
        <v>1787</v>
      </c>
      <c r="V142" s="5">
        <v>9.876542314E9</v>
      </c>
      <c r="W142" s="5" t="s">
        <v>1787</v>
      </c>
      <c r="X142" s="91">
        <v>43402.0</v>
      </c>
      <c r="Y142" s="5">
        <v>4.0</v>
      </c>
      <c r="Z142" s="5">
        <v>17.0</v>
      </c>
      <c r="AA142" s="5">
        <v>6.0</v>
      </c>
      <c r="AB142" s="5"/>
      <c r="AC142" s="5"/>
      <c r="AD142" s="5" t="s">
        <v>1770</v>
      </c>
      <c r="AE142" s="5" t="s">
        <v>1770</v>
      </c>
      <c r="AF142" s="5"/>
      <c r="AG142" s="5"/>
      <c r="AH142" s="5">
        <v>5.3906707806E10</v>
      </c>
      <c r="AI142" s="5"/>
      <c r="AJ142" s="5"/>
      <c r="AK142" s="5" t="s">
        <v>1773</v>
      </c>
      <c r="AL142" s="92">
        <v>0.0</v>
      </c>
      <c r="AM142" s="5" t="s">
        <v>1770</v>
      </c>
      <c r="AN142" s="5" t="s">
        <v>1774</v>
      </c>
      <c r="AO142" s="5"/>
      <c r="AP142" s="5"/>
      <c r="AQ142" s="5"/>
      <c r="AR142" s="5"/>
      <c r="AS142" s="5"/>
      <c r="AT142" s="5"/>
      <c r="AU142" s="5"/>
      <c r="AV142" s="5"/>
      <c r="AW142" s="5" t="s">
        <v>1770</v>
      </c>
      <c r="AX142" s="5"/>
      <c r="AY142" s="5"/>
      <c r="AZ142" s="5" t="s">
        <v>1770</v>
      </c>
      <c r="BA142" s="93">
        <v>0.0</v>
      </c>
      <c r="BB142" s="93">
        <v>0.0</v>
      </c>
      <c r="BC142" s="93">
        <v>0.0</v>
      </c>
      <c r="BD142" s="93">
        <v>0.0</v>
      </c>
      <c r="BE142" s="93">
        <v>0.0</v>
      </c>
      <c r="BF142" s="93">
        <v>0.0</v>
      </c>
      <c r="BG142" s="5"/>
      <c r="BH142" s="93">
        <v>0.0</v>
      </c>
      <c r="BI142" s="93">
        <v>0.0</v>
      </c>
      <c r="BJ142" s="93">
        <v>0.0</v>
      </c>
      <c r="BK142" s="93">
        <v>0.0</v>
      </c>
      <c r="BL142" s="93">
        <v>0.0</v>
      </c>
      <c r="BM142" s="93">
        <v>0.0</v>
      </c>
      <c r="BN142" s="93">
        <v>0.0</v>
      </c>
      <c r="BO142" s="5"/>
      <c r="BP142" s="5" t="s">
        <v>1770</v>
      </c>
      <c r="BQ142" s="5" t="s">
        <v>1789</v>
      </c>
      <c r="BR142" s="94">
        <v>43477.45685185185</v>
      </c>
      <c r="BS142" s="5">
        <v>1.0</v>
      </c>
      <c r="BT142" s="94">
        <v>43635.6099537037</v>
      </c>
      <c r="BU142" s="5">
        <v>40.0</v>
      </c>
      <c r="BV142" s="94">
        <v>44060.552615740744</v>
      </c>
      <c r="BW142" s="5">
        <v>83.0</v>
      </c>
    </row>
    <row r="143" ht="14.25" customHeight="1">
      <c r="A143" s="95">
        <v>142.0</v>
      </c>
      <c r="B143" s="95">
        <v>415.0</v>
      </c>
      <c r="C143" s="95" t="s">
        <v>2889</v>
      </c>
      <c r="D143" s="95" t="s">
        <v>1792</v>
      </c>
      <c r="E143" s="96" t="s">
        <v>1758</v>
      </c>
      <c r="F143" s="97" t="s">
        <v>2890</v>
      </c>
      <c r="G143" s="95" t="s">
        <v>2891</v>
      </c>
      <c r="H143" s="95" t="s">
        <v>1781</v>
      </c>
      <c r="I143" s="95" t="s">
        <v>1782</v>
      </c>
      <c r="J143" s="98">
        <v>43783.0</v>
      </c>
      <c r="K143" s="5">
        <v>274.0</v>
      </c>
      <c r="L143" s="5" t="s">
        <v>2892</v>
      </c>
      <c r="M143" s="5">
        <v>42.0</v>
      </c>
      <c r="N143" s="5"/>
      <c r="O143" s="5">
        <v>43882.0</v>
      </c>
      <c r="P143" s="5" t="s">
        <v>2048</v>
      </c>
      <c r="Q143" s="5" t="s">
        <v>1766</v>
      </c>
      <c r="R143" s="5">
        <v>549.0</v>
      </c>
      <c r="S143" s="5">
        <v>3.939335758E9</v>
      </c>
      <c r="T143" s="5"/>
      <c r="U143" s="5" t="s">
        <v>1787</v>
      </c>
      <c r="V143" s="5">
        <v>1.236985478E9</v>
      </c>
      <c r="W143" s="5" t="s">
        <v>1787</v>
      </c>
      <c r="X143" s="91">
        <v>43395.0</v>
      </c>
      <c r="Y143" s="5">
        <v>1.0</v>
      </c>
      <c r="Z143" s="5">
        <v>19.0</v>
      </c>
      <c r="AA143" s="5">
        <v>35.0</v>
      </c>
      <c r="AB143" s="5"/>
      <c r="AC143" s="5"/>
      <c r="AD143" s="5" t="s">
        <v>1770</v>
      </c>
      <c r="AE143" s="5" t="s">
        <v>1770</v>
      </c>
      <c r="AF143" s="5"/>
      <c r="AG143" s="5"/>
      <c r="AH143" s="5">
        <v>1.876920669E9</v>
      </c>
      <c r="AI143" s="5">
        <v>23.0</v>
      </c>
      <c r="AJ143" s="5"/>
      <c r="AK143" s="5" t="s">
        <v>1773</v>
      </c>
      <c r="AL143" s="92">
        <v>0.0</v>
      </c>
      <c r="AM143" s="5" t="s">
        <v>1770</v>
      </c>
      <c r="AN143" s="5" t="s">
        <v>1774</v>
      </c>
      <c r="AO143" s="5"/>
      <c r="AP143" s="5"/>
      <c r="AQ143" s="5"/>
      <c r="AR143" s="5"/>
      <c r="AS143" s="5"/>
      <c r="AT143" s="5"/>
      <c r="AU143" s="5"/>
      <c r="AV143" s="5"/>
      <c r="AW143" s="5" t="s">
        <v>1770</v>
      </c>
      <c r="AX143" s="5"/>
      <c r="AY143" s="5"/>
      <c r="AZ143" s="5" t="s">
        <v>1770</v>
      </c>
      <c r="BA143" s="93">
        <v>0.0</v>
      </c>
      <c r="BB143" s="93">
        <v>0.0</v>
      </c>
      <c r="BC143" s="93">
        <v>0.0</v>
      </c>
      <c r="BD143" s="93">
        <v>0.0</v>
      </c>
      <c r="BE143" s="93">
        <v>0.0</v>
      </c>
      <c r="BF143" s="93">
        <v>0.0</v>
      </c>
      <c r="BG143" s="5"/>
      <c r="BH143" s="93">
        <v>0.0</v>
      </c>
      <c r="BI143" s="93">
        <v>0.0</v>
      </c>
      <c r="BJ143" s="93">
        <v>0.0</v>
      </c>
      <c r="BK143" s="93">
        <v>0.0</v>
      </c>
      <c r="BL143" s="93">
        <v>0.0</v>
      </c>
      <c r="BM143" s="93">
        <v>0.0</v>
      </c>
      <c r="BN143" s="93">
        <v>0.0</v>
      </c>
      <c r="BO143" s="5"/>
      <c r="BP143" s="5" t="s">
        <v>1770</v>
      </c>
      <c r="BQ143" s="5" t="s">
        <v>1789</v>
      </c>
      <c r="BR143" s="94">
        <v>43477.45685185185</v>
      </c>
      <c r="BS143" s="5">
        <v>1.0</v>
      </c>
      <c r="BT143" s="94">
        <v>43635.533101851855</v>
      </c>
      <c r="BU143" s="5">
        <v>40.0</v>
      </c>
      <c r="BV143" s="94">
        <v>44392.70045138889</v>
      </c>
      <c r="BW143" s="5">
        <v>40.0</v>
      </c>
    </row>
    <row r="144" ht="14.25" customHeight="1">
      <c r="A144" s="95">
        <v>143.0</v>
      </c>
      <c r="B144" s="95">
        <v>422.0</v>
      </c>
      <c r="C144" s="95" t="s">
        <v>2533</v>
      </c>
      <c r="D144" s="95" t="s">
        <v>2144</v>
      </c>
      <c r="E144" s="96" t="s">
        <v>1759</v>
      </c>
      <c r="F144" s="97" t="s">
        <v>2893</v>
      </c>
      <c r="G144" s="95" t="s">
        <v>2894</v>
      </c>
      <c r="H144" s="95" t="s">
        <v>1972</v>
      </c>
      <c r="I144" s="95" t="s">
        <v>1782</v>
      </c>
      <c r="J144" s="98">
        <v>34562.0</v>
      </c>
      <c r="K144" s="5">
        <v>850.0</v>
      </c>
      <c r="L144" s="5" t="s">
        <v>2895</v>
      </c>
      <c r="M144" s="5">
        <v>3.0</v>
      </c>
      <c r="N144" s="5"/>
      <c r="O144" s="5">
        <v>55238.0</v>
      </c>
      <c r="P144" s="5" t="s">
        <v>2556</v>
      </c>
      <c r="Q144" s="5" t="s">
        <v>2896</v>
      </c>
      <c r="R144" s="5">
        <v>841.0</v>
      </c>
      <c r="S144" s="5">
        <v>8.44102921E9</v>
      </c>
      <c r="T144" s="5" t="s">
        <v>2897</v>
      </c>
      <c r="U144" s="5" t="s">
        <v>2898</v>
      </c>
      <c r="V144" s="5">
        <v>3.521131541E9</v>
      </c>
      <c r="W144" s="5" t="s">
        <v>1808</v>
      </c>
      <c r="X144" s="91">
        <v>44503.0</v>
      </c>
      <c r="Y144" s="5">
        <v>2.0</v>
      </c>
      <c r="Z144" s="5">
        <v>1.0</v>
      </c>
      <c r="AA144" s="5">
        <v>1.0</v>
      </c>
      <c r="AB144" s="5">
        <v>6.47009763E8</v>
      </c>
      <c r="AC144" s="5" t="s">
        <v>1772</v>
      </c>
      <c r="AD144" s="91">
        <v>44172.0</v>
      </c>
      <c r="AE144" s="91">
        <v>44902.0</v>
      </c>
      <c r="AF144" s="5">
        <v>5.256782909645593E15</v>
      </c>
      <c r="AG144" s="5"/>
      <c r="AH144" s="5">
        <v>7.4169474769E10</v>
      </c>
      <c r="AI144" s="5">
        <v>77.0</v>
      </c>
      <c r="AJ144" s="5"/>
      <c r="AK144" s="5" t="s">
        <v>1773</v>
      </c>
      <c r="AL144" s="92">
        <v>0.0</v>
      </c>
      <c r="AM144" s="5" t="s">
        <v>1770</v>
      </c>
      <c r="AN144" s="5" t="s">
        <v>1774</v>
      </c>
      <c r="AO144" s="5"/>
      <c r="AP144" s="5"/>
      <c r="AQ144" s="5"/>
      <c r="AR144" s="5"/>
      <c r="AS144" s="5"/>
      <c r="AT144" s="5"/>
      <c r="AU144" s="5"/>
      <c r="AV144" s="5"/>
      <c r="AW144" s="5" t="s">
        <v>1770</v>
      </c>
      <c r="AX144" s="5"/>
      <c r="AY144" s="5"/>
      <c r="AZ144" s="5" t="s">
        <v>1770</v>
      </c>
      <c r="BA144" s="93">
        <v>0.0</v>
      </c>
      <c r="BB144" s="93">
        <v>0.0</v>
      </c>
      <c r="BC144" s="93">
        <v>0.0</v>
      </c>
      <c r="BD144" s="93">
        <v>0.0</v>
      </c>
      <c r="BE144" s="93">
        <v>0.0</v>
      </c>
      <c r="BF144" s="93">
        <v>0.0</v>
      </c>
      <c r="BG144" s="5"/>
      <c r="BH144" s="93">
        <v>0.0</v>
      </c>
      <c r="BI144" s="93">
        <v>0.0</v>
      </c>
      <c r="BJ144" s="93">
        <v>0.0</v>
      </c>
      <c r="BK144" s="93">
        <v>0.0</v>
      </c>
      <c r="BL144" s="93">
        <v>0.0</v>
      </c>
      <c r="BM144" s="93">
        <v>0.0</v>
      </c>
      <c r="BN144" s="93">
        <v>0.0</v>
      </c>
      <c r="BO144" s="5"/>
      <c r="BP144" s="5" t="s">
        <v>1770</v>
      </c>
      <c r="BQ144" s="5" t="s">
        <v>1789</v>
      </c>
      <c r="BR144" s="94">
        <v>43483.4969212963</v>
      </c>
      <c r="BS144" s="5">
        <v>40.0</v>
      </c>
      <c r="BT144" s="94">
        <v>44503.591840277775</v>
      </c>
      <c r="BU144" s="5">
        <v>40.0</v>
      </c>
      <c r="BV144" s="94">
        <v>45252.6603125</v>
      </c>
      <c r="BW144" s="5">
        <v>40.0</v>
      </c>
    </row>
    <row r="145" ht="14.25" customHeight="1">
      <c r="A145" s="95">
        <v>144.0</v>
      </c>
      <c r="B145" s="95">
        <v>423.0</v>
      </c>
      <c r="C145" s="95" t="s">
        <v>2596</v>
      </c>
      <c r="D145" s="95" t="s">
        <v>2859</v>
      </c>
      <c r="E145" s="96" t="s">
        <v>2899</v>
      </c>
      <c r="F145" s="97" t="s">
        <v>2900</v>
      </c>
      <c r="G145" s="95" t="s">
        <v>2901</v>
      </c>
      <c r="H145" s="95" t="s">
        <v>1781</v>
      </c>
      <c r="I145" s="95" t="s">
        <v>1782</v>
      </c>
      <c r="J145" s="98">
        <v>27453.0</v>
      </c>
      <c r="K145" s="5">
        <v>549.0</v>
      </c>
      <c r="L145" s="5" t="s">
        <v>2902</v>
      </c>
      <c r="M145" s="5">
        <v>89.0</v>
      </c>
      <c r="N145" s="5"/>
      <c r="O145" s="5">
        <v>43882.0</v>
      </c>
      <c r="P145" s="5" t="s">
        <v>2903</v>
      </c>
      <c r="Q145" s="5" t="s">
        <v>1766</v>
      </c>
      <c r="R145" s="5">
        <v>549.0</v>
      </c>
      <c r="S145" s="5">
        <v>3.93120227E9</v>
      </c>
      <c r="T145" s="5" t="s">
        <v>2904</v>
      </c>
      <c r="U145" s="5" t="s">
        <v>2905</v>
      </c>
      <c r="V145" s="5">
        <v>3.93124085E9</v>
      </c>
      <c r="W145" s="5" t="s">
        <v>1787</v>
      </c>
      <c r="X145" s="91">
        <v>43472.0</v>
      </c>
      <c r="Y145" s="5" t="s">
        <v>1770</v>
      </c>
      <c r="Z145" s="5">
        <v>17.0</v>
      </c>
      <c r="AA145" s="5">
        <v>114.0</v>
      </c>
      <c r="AB145" s="5" t="s">
        <v>2906</v>
      </c>
      <c r="AC145" s="5" t="s">
        <v>1772</v>
      </c>
      <c r="AD145" s="91">
        <v>45448.0</v>
      </c>
      <c r="AE145" s="91">
        <v>46909.0</v>
      </c>
      <c r="AF145" s="5">
        <v>1.518980147E9</v>
      </c>
      <c r="AG145" s="5"/>
      <c r="AH145" s="5">
        <v>4.937526046E9</v>
      </c>
      <c r="AI145" s="5">
        <v>23.0</v>
      </c>
      <c r="AJ145" s="5">
        <v>1.414474664E9</v>
      </c>
      <c r="AK145" s="5" t="s">
        <v>2907</v>
      </c>
      <c r="AL145" s="139">
        <v>1427.78</v>
      </c>
      <c r="AM145" s="91">
        <v>43472.0</v>
      </c>
      <c r="AN145" s="5" t="s">
        <v>1830</v>
      </c>
      <c r="AO145" s="5"/>
      <c r="AP145" s="5"/>
      <c r="AQ145" s="5"/>
      <c r="AR145" s="5"/>
      <c r="AS145" s="5"/>
      <c r="AT145" s="5"/>
      <c r="AU145" s="5"/>
      <c r="AV145" s="5"/>
      <c r="AW145" s="5" t="s">
        <v>1770</v>
      </c>
      <c r="AX145" s="5"/>
      <c r="AY145" s="5"/>
      <c r="AZ145" s="5" t="s">
        <v>1770</v>
      </c>
      <c r="BA145" s="93">
        <v>0.0</v>
      </c>
      <c r="BB145" s="93">
        <v>0.0</v>
      </c>
      <c r="BC145" s="93">
        <v>0.0</v>
      </c>
      <c r="BD145" s="93">
        <v>0.0</v>
      </c>
      <c r="BE145" s="93">
        <v>0.0</v>
      </c>
      <c r="BF145" s="93">
        <v>0.0</v>
      </c>
      <c r="BG145" s="5"/>
      <c r="BH145" s="93">
        <v>0.0</v>
      </c>
      <c r="BI145" s="93">
        <v>0.0</v>
      </c>
      <c r="BJ145" s="93">
        <v>0.0</v>
      </c>
      <c r="BK145" s="93">
        <v>0.0</v>
      </c>
      <c r="BL145" s="93">
        <v>0.0</v>
      </c>
      <c r="BM145" s="93">
        <v>0.0</v>
      </c>
      <c r="BN145" s="93">
        <v>0.0</v>
      </c>
      <c r="BO145" s="5"/>
      <c r="BP145" s="5"/>
      <c r="BQ145" s="5" t="s">
        <v>1775</v>
      </c>
      <c r="BR145" s="94">
        <v>43483.501493055555</v>
      </c>
      <c r="BS145" s="5">
        <v>40.0</v>
      </c>
      <c r="BT145" s="94">
        <v>46135.4178125</v>
      </c>
      <c r="BU145" s="5" t="s">
        <v>1770</v>
      </c>
      <c r="BV145" s="5" t="s">
        <v>1770</v>
      </c>
      <c r="BW145" s="5" t="s">
        <v>1770</v>
      </c>
    </row>
    <row r="146" ht="14.25" customHeight="1">
      <c r="A146" s="95">
        <v>145.0</v>
      </c>
      <c r="B146" s="95">
        <v>424.0</v>
      </c>
      <c r="C146" s="95" t="s">
        <v>2908</v>
      </c>
      <c r="D146" s="95" t="s">
        <v>2909</v>
      </c>
      <c r="E146" s="96" t="s">
        <v>2104</v>
      </c>
      <c r="F146" s="97" t="s">
        <v>2910</v>
      </c>
      <c r="G146" s="95" t="s">
        <v>2911</v>
      </c>
      <c r="H146" s="95" t="s">
        <v>1815</v>
      </c>
      <c r="I146" s="95" t="s">
        <v>1763</v>
      </c>
      <c r="J146" s="98">
        <v>35094.0</v>
      </c>
      <c r="K146" s="5">
        <v>850.0</v>
      </c>
      <c r="L146" s="5" t="s">
        <v>2912</v>
      </c>
      <c r="M146" s="5" t="s">
        <v>2913</v>
      </c>
      <c r="N146" s="5"/>
      <c r="O146" s="5">
        <v>35919.0</v>
      </c>
      <c r="P146" s="5" t="s">
        <v>2556</v>
      </c>
      <c r="Q146" s="5" t="s">
        <v>2914</v>
      </c>
      <c r="R146" s="5">
        <v>424.0</v>
      </c>
      <c r="S146" s="5">
        <v>4.69115313E9</v>
      </c>
      <c r="T146" s="5" t="s">
        <v>2915</v>
      </c>
      <c r="U146" s="5" t="s">
        <v>2916</v>
      </c>
      <c r="V146" s="5">
        <v>1.234569874E9</v>
      </c>
      <c r="W146" s="5" t="s">
        <v>1965</v>
      </c>
      <c r="X146" s="91">
        <v>43472.0</v>
      </c>
      <c r="Y146" s="5">
        <v>2.0</v>
      </c>
      <c r="Z146" s="5">
        <v>4.0</v>
      </c>
      <c r="AA146" s="5">
        <v>9.0</v>
      </c>
      <c r="AB146" s="5"/>
      <c r="AC146" s="5"/>
      <c r="AD146" s="5" t="s">
        <v>1770</v>
      </c>
      <c r="AE146" s="5" t="s">
        <v>1770</v>
      </c>
      <c r="AF146" s="5">
        <v>5.256788150416493E15</v>
      </c>
      <c r="AG146" s="5"/>
      <c r="AH146" s="5">
        <v>6.6169608412E10</v>
      </c>
      <c r="AI146" s="5">
        <v>9.0</v>
      </c>
      <c r="AJ146" s="5"/>
      <c r="AK146" s="5" t="s">
        <v>1773</v>
      </c>
      <c r="AL146" s="92">
        <v>0.0</v>
      </c>
      <c r="AM146" s="5" t="s">
        <v>1770</v>
      </c>
      <c r="AN146" s="5" t="s">
        <v>1774</v>
      </c>
      <c r="AO146" s="5"/>
      <c r="AP146" s="5"/>
      <c r="AQ146" s="5"/>
      <c r="AR146" s="5"/>
      <c r="AS146" s="5"/>
      <c r="AT146" s="5"/>
      <c r="AU146" s="5"/>
      <c r="AV146" s="5"/>
      <c r="AW146" s="5" t="s">
        <v>1770</v>
      </c>
      <c r="AX146" s="5"/>
      <c r="AY146" s="5"/>
      <c r="AZ146" s="5" t="s">
        <v>1770</v>
      </c>
      <c r="BA146" s="93">
        <v>0.0</v>
      </c>
      <c r="BB146" s="93">
        <v>0.0</v>
      </c>
      <c r="BC146" s="93">
        <v>0.0</v>
      </c>
      <c r="BD146" s="93">
        <v>0.0</v>
      </c>
      <c r="BE146" s="93">
        <v>0.0</v>
      </c>
      <c r="BF146" s="93">
        <v>0.0</v>
      </c>
      <c r="BG146" s="5"/>
      <c r="BH146" s="93">
        <v>0.0</v>
      </c>
      <c r="BI146" s="93">
        <v>0.0</v>
      </c>
      <c r="BJ146" s="93">
        <v>0.0</v>
      </c>
      <c r="BK146" s="93">
        <v>0.0</v>
      </c>
      <c r="BL146" s="93">
        <v>0.0</v>
      </c>
      <c r="BM146" s="93">
        <v>0.0</v>
      </c>
      <c r="BN146" s="93">
        <v>0.0</v>
      </c>
      <c r="BO146" s="5"/>
      <c r="BP146" s="5" t="s">
        <v>1770</v>
      </c>
      <c r="BQ146" s="5" t="s">
        <v>1789</v>
      </c>
      <c r="BR146" s="94">
        <v>43483.50753472222</v>
      </c>
      <c r="BS146" s="5">
        <v>40.0</v>
      </c>
      <c r="BT146" s="94">
        <v>43706.49550925926</v>
      </c>
      <c r="BU146" s="5">
        <v>40.0</v>
      </c>
      <c r="BV146" s="94">
        <v>44060.54650462963</v>
      </c>
      <c r="BW146" s="5">
        <v>83.0</v>
      </c>
    </row>
    <row r="147" ht="14.25" customHeight="1">
      <c r="A147" s="95">
        <v>146.0</v>
      </c>
      <c r="B147" s="95">
        <v>425.0</v>
      </c>
      <c r="C147" s="95" t="s">
        <v>2917</v>
      </c>
      <c r="D147" s="95" t="s">
        <v>1792</v>
      </c>
      <c r="E147" s="96" t="s">
        <v>2918</v>
      </c>
      <c r="F147" s="97" t="s">
        <v>2919</v>
      </c>
      <c r="G147" s="95" t="s">
        <v>2920</v>
      </c>
      <c r="H147" s="95" t="s">
        <v>1815</v>
      </c>
      <c r="I147" s="95" t="s">
        <v>1763</v>
      </c>
      <c r="J147" s="98">
        <v>36523.0</v>
      </c>
      <c r="K147" s="5">
        <v>549.0</v>
      </c>
      <c r="L147" s="5" t="s">
        <v>2921</v>
      </c>
      <c r="M147" s="5">
        <v>547.0</v>
      </c>
      <c r="N147" s="5"/>
      <c r="O147" s="5">
        <v>43882.0</v>
      </c>
      <c r="P147" s="5" t="s">
        <v>2743</v>
      </c>
      <c r="Q147" s="5" t="s">
        <v>1766</v>
      </c>
      <c r="R147" s="5">
        <v>549.0</v>
      </c>
      <c r="S147" s="5">
        <v>3.931097326E9</v>
      </c>
      <c r="T147" s="5" t="s">
        <v>2922</v>
      </c>
      <c r="U147" s="5" t="s">
        <v>2923</v>
      </c>
      <c r="V147" s="5">
        <v>3.931005004E9</v>
      </c>
      <c r="W147" s="5" t="s">
        <v>1808</v>
      </c>
      <c r="X147" s="91">
        <v>43474.0</v>
      </c>
      <c r="Y147" s="5">
        <v>1.0</v>
      </c>
      <c r="Z147" s="5">
        <v>19.0</v>
      </c>
      <c r="AA147" s="5">
        <v>31.0</v>
      </c>
      <c r="AB147" s="5"/>
      <c r="AC147" s="5"/>
      <c r="AD147" s="5" t="s">
        <v>1770</v>
      </c>
      <c r="AE147" s="5" t="s">
        <v>1770</v>
      </c>
      <c r="AF147" s="5">
        <v>1.501625767E9</v>
      </c>
      <c r="AG147" s="5"/>
      <c r="AH147" s="5">
        <v>8.6169976916E10</v>
      </c>
      <c r="AI147" s="5">
        <v>23.0</v>
      </c>
      <c r="AJ147" s="5"/>
      <c r="AK147" s="5" t="s">
        <v>1773</v>
      </c>
      <c r="AL147" s="92">
        <v>0.0</v>
      </c>
      <c r="AM147" s="5" t="s">
        <v>1770</v>
      </c>
      <c r="AN147" s="5" t="s">
        <v>2052</v>
      </c>
      <c r="AO147" s="5"/>
      <c r="AP147" s="5"/>
      <c r="AQ147" s="5"/>
      <c r="AR147" s="5"/>
      <c r="AS147" s="5"/>
      <c r="AT147" s="5"/>
      <c r="AU147" s="5"/>
      <c r="AV147" s="5"/>
      <c r="AW147" s="5" t="s">
        <v>1770</v>
      </c>
      <c r="AX147" s="5"/>
      <c r="AY147" s="5"/>
      <c r="AZ147" s="5" t="s">
        <v>1770</v>
      </c>
      <c r="BA147" s="93">
        <v>0.0</v>
      </c>
      <c r="BB147" s="93">
        <v>0.0</v>
      </c>
      <c r="BC147" s="93">
        <v>0.0</v>
      </c>
      <c r="BD147" s="93">
        <v>0.0</v>
      </c>
      <c r="BE147" s="93">
        <v>0.0</v>
      </c>
      <c r="BF147" s="93">
        <v>0.0</v>
      </c>
      <c r="BG147" s="5"/>
      <c r="BH147" s="93">
        <v>0.0</v>
      </c>
      <c r="BI147" s="93">
        <v>0.0</v>
      </c>
      <c r="BJ147" s="93">
        <v>0.0</v>
      </c>
      <c r="BK147" s="93">
        <v>0.0</v>
      </c>
      <c r="BL147" s="93">
        <v>0.0</v>
      </c>
      <c r="BM147" s="93">
        <v>0.0</v>
      </c>
      <c r="BN147" s="93">
        <v>0.0</v>
      </c>
      <c r="BO147" s="5"/>
      <c r="BP147" s="5" t="s">
        <v>1770</v>
      </c>
      <c r="BQ147" s="5" t="s">
        <v>1789</v>
      </c>
      <c r="BR147" s="94">
        <v>43483.51101851852</v>
      </c>
      <c r="BS147" s="5">
        <v>40.0</v>
      </c>
      <c r="BT147" s="94">
        <v>45892.55892361111</v>
      </c>
      <c r="BU147" s="5">
        <v>40.0</v>
      </c>
      <c r="BV147" s="94">
        <v>45950.714050925926</v>
      </c>
      <c r="BW147" s="5">
        <v>40.0</v>
      </c>
    </row>
    <row r="148" ht="14.25" customHeight="1">
      <c r="A148" s="95">
        <v>147.0</v>
      </c>
      <c r="B148" s="95">
        <v>426.0</v>
      </c>
      <c r="C148" s="95" t="s">
        <v>2924</v>
      </c>
      <c r="D148" s="99" t="s">
        <v>2527</v>
      </c>
      <c r="E148" s="96" t="s">
        <v>2925</v>
      </c>
      <c r="F148" s="97" t="s">
        <v>2926</v>
      </c>
      <c r="G148" s="95" t="s">
        <v>2927</v>
      </c>
      <c r="H148" s="95" t="s">
        <v>1972</v>
      </c>
      <c r="I148" s="95" t="s">
        <v>1782</v>
      </c>
      <c r="J148" s="98">
        <v>35237.0</v>
      </c>
      <c r="K148" s="5">
        <v>549.0</v>
      </c>
      <c r="L148" s="5" t="s">
        <v>2928</v>
      </c>
      <c r="M148" s="5">
        <v>15.0</v>
      </c>
      <c r="N148" s="5"/>
      <c r="O148" s="5">
        <v>43884.0</v>
      </c>
      <c r="P148" s="5" t="s">
        <v>2929</v>
      </c>
      <c r="Q148" s="5" t="s">
        <v>1766</v>
      </c>
      <c r="R148" s="5">
        <v>549.0</v>
      </c>
      <c r="S148" s="5">
        <v>3.931094543E9</v>
      </c>
      <c r="T148" s="5" t="s">
        <v>2930</v>
      </c>
      <c r="U148" s="100" t="s">
        <v>2931</v>
      </c>
      <c r="V148" s="5">
        <v>3.931091533E9</v>
      </c>
      <c r="W148" s="5" t="s">
        <v>1965</v>
      </c>
      <c r="X148" s="91">
        <v>43475.0</v>
      </c>
      <c r="Y148" s="5">
        <v>1.0</v>
      </c>
      <c r="Z148" s="5">
        <v>1.0</v>
      </c>
      <c r="AA148" s="5">
        <v>1.0</v>
      </c>
      <c r="AB148" s="5" t="s">
        <v>2932</v>
      </c>
      <c r="AC148" s="5" t="s">
        <v>1772</v>
      </c>
      <c r="AD148" s="91">
        <v>43461.0</v>
      </c>
      <c r="AE148" s="91">
        <v>44922.0</v>
      </c>
      <c r="AF148" s="5">
        <v>1.519247128E9</v>
      </c>
      <c r="AG148" s="5"/>
      <c r="AH148" s="5">
        <v>7.169668121E9</v>
      </c>
      <c r="AI148" s="5">
        <v>23.0</v>
      </c>
      <c r="AJ148" s="5"/>
      <c r="AK148" s="5" t="s">
        <v>1773</v>
      </c>
      <c r="AL148" s="92">
        <v>0.0</v>
      </c>
      <c r="AM148" s="5" t="s">
        <v>1770</v>
      </c>
      <c r="AN148" s="5" t="s">
        <v>2052</v>
      </c>
      <c r="AO148" s="5"/>
      <c r="AP148" s="5"/>
      <c r="AQ148" s="5"/>
      <c r="AR148" s="5"/>
      <c r="AS148" s="5"/>
      <c r="AT148" s="5"/>
      <c r="AU148" s="5"/>
      <c r="AV148" s="5"/>
      <c r="AW148" s="5" t="s">
        <v>1770</v>
      </c>
      <c r="AX148" s="5"/>
      <c r="AY148" s="5"/>
      <c r="AZ148" s="5" t="s">
        <v>1770</v>
      </c>
      <c r="BA148" s="93">
        <v>0.0</v>
      </c>
      <c r="BB148" s="93">
        <v>0.0</v>
      </c>
      <c r="BC148" s="93">
        <v>0.0</v>
      </c>
      <c r="BD148" s="93">
        <v>0.0</v>
      </c>
      <c r="BE148" s="93">
        <v>0.0</v>
      </c>
      <c r="BF148" s="93">
        <v>0.0</v>
      </c>
      <c r="BG148" s="5"/>
      <c r="BH148" s="93">
        <v>0.0</v>
      </c>
      <c r="BI148" s="93">
        <v>0.0</v>
      </c>
      <c r="BJ148" s="93">
        <v>0.0</v>
      </c>
      <c r="BK148" s="93">
        <v>0.0</v>
      </c>
      <c r="BL148" s="93">
        <v>0.0</v>
      </c>
      <c r="BM148" s="93">
        <v>0.0</v>
      </c>
      <c r="BN148" s="93">
        <v>0.0</v>
      </c>
      <c r="BO148" s="5"/>
      <c r="BP148" s="5" t="s">
        <v>1770</v>
      </c>
      <c r="BQ148" s="5" t="s">
        <v>1789</v>
      </c>
      <c r="BR148" s="94">
        <v>43483.516168981485</v>
      </c>
      <c r="BS148" s="5">
        <v>40.0</v>
      </c>
      <c r="BT148" s="5" t="s">
        <v>1770</v>
      </c>
      <c r="BU148" s="5" t="s">
        <v>1770</v>
      </c>
      <c r="BV148" s="94">
        <v>43609.66506944445</v>
      </c>
      <c r="BW148" s="5">
        <v>40.0</v>
      </c>
    </row>
    <row r="149" ht="14.25" customHeight="1">
      <c r="A149" s="95">
        <v>148.0</v>
      </c>
      <c r="B149" s="95">
        <v>427.0</v>
      </c>
      <c r="C149" s="95" t="s">
        <v>2933</v>
      </c>
      <c r="D149" s="95" t="s">
        <v>1778</v>
      </c>
      <c r="E149" s="96" t="s">
        <v>2934</v>
      </c>
      <c r="F149" s="97" t="s">
        <v>2935</v>
      </c>
      <c r="G149" s="95" t="s">
        <v>2936</v>
      </c>
      <c r="H149" s="95" t="s">
        <v>1781</v>
      </c>
      <c r="I149" s="95" t="s">
        <v>1782</v>
      </c>
      <c r="J149" s="98">
        <v>31454.0</v>
      </c>
      <c r="K149" s="5">
        <v>889.0</v>
      </c>
      <c r="L149" s="5" t="s">
        <v>2696</v>
      </c>
      <c r="M149" s="5">
        <v>13.0</v>
      </c>
      <c r="N149" s="5"/>
      <c r="O149" s="5">
        <v>43885.0</v>
      </c>
      <c r="P149" s="5" t="s">
        <v>1931</v>
      </c>
      <c r="Q149" s="5" t="s">
        <v>1766</v>
      </c>
      <c r="R149" s="5">
        <v>549.0</v>
      </c>
      <c r="S149" s="5">
        <v>3.939364942E9</v>
      </c>
      <c r="T149" s="5" t="s">
        <v>2937</v>
      </c>
      <c r="U149" s="100" t="s">
        <v>2938</v>
      </c>
      <c r="V149" s="5">
        <v>3.922720516E9</v>
      </c>
      <c r="W149" s="5" t="s">
        <v>1787</v>
      </c>
      <c r="X149" s="91">
        <v>43476.0</v>
      </c>
      <c r="Y149" s="5">
        <v>1.0</v>
      </c>
      <c r="Z149" s="5">
        <v>1.0</v>
      </c>
      <c r="AA149" s="5">
        <v>94.0</v>
      </c>
      <c r="AB149" s="5" t="s">
        <v>2939</v>
      </c>
      <c r="AC149" s="5" t="s">
        <v>1800</v>
      </c>
      <c r="AD149" s="91">
        <v>45713.0</v>
      </c>
      <c r="AE149" s="91">
        <v>47174.0</v>
      </c>
      <c r="AF149" s="5">
        <v>1.51946343E9</v>
      </c>
      <c r="AG149" s="5"/>
      <c r="AH149" s="5">
        <v>4.068652397E9</v>
      </c>
      <c r="AI149" s="5">
        <v>23.0</v>
      </c>
      <c r="AJ149" s="5"/>
      <c r="AK149" s="5" t="s">
        <v>1773</v>
      </c>
      <c r="AL149" s="92">
        <v>0.0</v>
      </c>
      <c r="AM149" s="5" t="s">
        <v>1770</v>
      </c>
      <c r="AN149" s="5" t="s">
        <v>1809</v>
      </c>
      <c r="AO149" s="5" t="s">
        <v>2940</v>
      </c>
      <c r="AP149" s="5"/>
      <c r="AQ149" s="5"/>
      <c r="AR149" s="5"/>
      <c r="AS149" s="5"/>
      <c r="AT149" s="5" t="s">
        <v>2184</v>
      </c>
      <c r="AU149" s="5" t="s">
        <v>2941</v>
      </c>
      <c r="AV149" s="5" t="s">
        <v>1917</v>
      </c>
      <c r="AW149" s="91">
        <v>41459.0</v>
      </c>
      <c r="AX149" s="5"/>
      <c r="AY149" s="5"/>
      <c r="AZ149" s="5" t="s">
        <v>1770</v>
      </c>
      <c r="BA149" s="103">
        <v>60.0</v>
      </c>
      <c r="BB149" s="103">
        <v>65.0</v>
      </c>
      <c r="BC149" s="103">
        <v>40.0</v>
      </c>
      <c r="BD149" s="103">
        <v>15.0</v>
      </c>
      <c r="BE149" s="103">
        <v>20.0</v>
      </c>
      <c r="BF149" s="103">
        <v>10.0</v>
      </c>
      <c r="BG149" s="5"/>
      <c r="BH149" s="93">
        <v>0.0</v>
      </c>
      <c r="BI149" s="93">
        <v>0.0</v>
      </c>
      <c r="BJ149" s="93">
        <v>0.0</v>
      </c>
      <c r="BK149" s="103">
        <v>80.0</v>
      </c>
      <c r="BL149" s="103">
        <v>90.0</v>
      </c>
      <c r="BM149" s="103">
        <v>90.0</v>
      </c>
      <c r="BN149" s="103">
        <v>70.0</v>
      </c>
      <c r="BO149" s="5" t="s">
        <v>2942</v>
      </c>
      <c r="BP149" s="5"/>
      <c r="BQ149" s="5" t="s">
        <v>1775</v>
      </c>
      <c r="BR149" s="94">
        <v>43483.52377314815</v>
      </c>
      <c r="BS149" s="5">
        <v>40.0</v>
      </c>
      <c r="BT149" s="94">
        <v>46134.536469907405</v>
      </c>
      <c r="BU149" s="5" t="s">
        <v>1770</v>
      </c>
      <c r="BV149" s="5" t="s">
        <v>1770</v>
      </c>
      <c r="BW149" s="5" t="s">
        <v>1770</v>
      </c>
    </row>
    <row r="150" ht="14.25" customHeight="1">
      <c r="A150" s="95">
        <v>149.0</v>
      </c>
      <c r="B150" s="95">
        <v>428.0</v>
      </c>
      <c r="C150" s="95" t="s">
        <v>2632</v>
      </c>
      <c r="D150" s="95" t="s">
        <v>1777</v>
      </c>
      <c r="E150" s="96" t="s">
        <v>2943</v>
      </c>
      <c r="F150" s="97" t="s">
        <v>2944</v>
      </c>
      <c r="G150" s="95" t="s">
        <v>2945</v>
      </c>
      <c r="H150" s="95" t="s">
        <v>1972</v>
      </c>
      <c r="I150" s="95" t="s">
        <v>1782</v>
      </c>
      <c r="J150" s="98">
        <v>35569.0</v>
      </c>
      <c r="K150" s="5">
        <v>792.0</v>
      </c>
      <c r="L150" s="5" t="s">
        <v>2636</v>
      </c>
      <c r="M150" s="5">
        <v>32.0</v>
      </c>
      <c r="N150" s="5"/>
      <c r="O150" s="5">
        <v>54922.0</v>
      </c>
      <c r="P150" s="5" t="s">
        <v>2556</v>
      </c>
      <c r="Q150" s="5" t="s">
        <v>2946</v>
      </c>
      <c r="R150" s="5">
        <v>792.0</v>
      </c>
      <c r="S150" s="5">
        <v>3.931320505E9</v>
      </c>
      <c r="T150" s="5"/>
      <c r="U150" s="5" t="s">
        <v>2947</v>
      </c>
      <c r="V150" s="5">
        <v>3.316098501E9</v>
      </c>
      <c r="W150" s="5" t="s">
        <v>1965</v>
      </c>
      <c r="X150" s="91">
        <v>43472.0</v>
      </c>
      <c r="Y150" s="5">
        <v>1.0</v>
      </c>
      <c r="Z150" s="5">
        <v>17.0</v>
      </c>
      <c r="AA150" s="5">
        <v>61.0</v>
      </c>
      <c r="AB150" s="5"/>
      <c r="AC150" s="5"/>
      <c r="AD150" s="5" t="s">
        <v>1770</v>
      </c>
      <c r="AE150" s="5" t="s">
        <v>1770</v>
      </c>
      <c r="AF150" s="5">
        <v>1.520096426E9</v>
      </c>
      <c r="AG150" s="5"/>
      <c r="AH150" s="5">
        <v>2.199719721E9</v>
      </c>
      <c r="AI150" s="5">
        <v>23.0</v>
      </c>
      <c r="AJ150" s="5"/>
      <c r="AK150" s="5" t="s">
        <v>1773</v>
      </c>
      <c r="AL150" s="92">
        <v>0.0</v>
      </c>
      <c r="AM150" s="5" t="s">
        <v>1770</v>
      </c>
      <c r="AN150" s="5" t="s">
        <v>1774</v>
      </c>
      <c r="AO150" s="5"/>
      <c r="AP150" s="5"/>
      <c r="AQ150" s="5"/>
      <c r="AR150" s="5"/>
      <c r="AS150" s="5"/>
      <c r="AT150" s="5"/>
      <c r="AU150" s="5"/>
      <c r="AV150" s="5"/>
      <c r="AW150" s="5" t="s">
        <v>1770</v>
      </c>
      <c r="AX150" s="5"/>
      <c r="AY150" s="5"/>
      <c r="AZ150" s="5" t="s">
        <v>1770</v>
      </c>
      <c r="BA150" s="93">
        <v>0.0</v>
      </c>
      <c r="BB150" s="93">
        <v>0.0</v>
      </c>
      <c r="BC150" s="93">
        <v>0.0</v>
      </c>
      <c r="BD150" s="93">
        <v>0.0</v>
      </c>
      <c r="BE150" s="93">
        <v>0.0</v>
      </c>
      <c r="BF150" s="93">
        <v>0.0</v>
      </c>
      <c r="BG150" s="5"/>
      <c r="BH150" s="93">
        <v>0.0</v>
      </c>
      <c r="BI150" s="93">
        <v>0.0</v>
      </c>
      <c r="BJ150" s="93">
        <v>0.0</v>
      </c>
      <c r="BK150" s="93">
        <v>0.0</v>
      </c>
      <c r="BL150" s="93">
        <v>0.0</v>
      </c>
      <c r="BM150" s="93">
        <v>0.0</v>
      </c>
      <c r="BN150" s="93">
        <v>0.0</v>
      </c>
      <c r="BO150" s="5"/>
      <c r="BP150" s="5" t="s">
        <v>1770</v>
      </c>
      <c r="BQ150" s="5" t="s">
        <v>1789</v>
      </c>
      <c r="BR150" s="94">
        <v>43483.52878472222</v>
      </c>
      <c r="BS150" s="5">
        <v>40.0</v>
      </c>
      <c r="BT150" s="94">
        <v>43644.46965277778</v>
      </c>
      <c r="BU150" s="5">
        <v>40.0</v>
      </c>
      <c r="BV150" s="94">
        <v>44392.700949074075</v>
      </c>
      <c r="BW150" s="5">
        <v>40.0</v>
      </c>
    </row>
    <row r="151" ht="14.25" customHeight="1">
      <c r="A151" s="95">
        <v>150.0</v>
      </c>
      <c r="B151" s="95">
        <v>429.0</v>
      </c>
      <c r="C151" s="95" t="s">
        <v>2948</v>
      </c>
      <c r="D151" s="99" t="s">
        <v>2949</v>
      </c>
      <c r="E151" s="96" t="s">
        <v>2603</v>
      </c>
      <c r="F151" s="97" t="s">
        <v>2950</v>
      </c>
      <c r="G151" s="95" t="s">
        <v>2951</v>
      </c>
      <c r="H151" s="95" t="s">
        <v>1815</v>
      </c>
      <c r="I151" s="95" t="s">
        <v>1763</v>
      </c>
      <c r="J151" s="98">
        <v>35136.0</v>
      </c>
      <c r="K151" s="5">
        <v>549.0</v>
      </c>
      <c r="L151" s="5" t="s">
        <v>2952</v>
      </c>
      <c r="M151" s="5">
        <v>129.0</v>
      </c>
      <c r="N151" s="5" t="s">
        <v>2340</v>
      </c>
      <c r="O151" s="5">
        <v>43882.0</v>
      </c>
      <c r="P151" s="5" t="s">
        <v>1797</v>
      </c>
      <c r="Q151" s="5" t="s">
        <v>1766</v>
      </c>
      <c r="R151" s="5">
        <v>549.0</v>
      </c>
      <c r="S151" s="5">
        <v>3.921591379E9</v>
      </c>
      <c r="T151" s="5" t="s">
        <v>2953</v>
      </c>
      <c r="U151" s="100" t="s">
        <v>2954</v>
      </c>
      <c r="V151" s="5">
        <v>3.939385975E9</v>
      </c>
      <c r="W151" s="5" t="s">
        <v>1965</v>
      </c>
      <c r="X151" s="91">
        <v>43477.0</v>
      </c>
      <c r="Y151" s="5">
        <v>1.0</v>
      </c>
      <c r="Z151" s="5">
        <v>4.0</v>
      </c>
      <c r="AA151" s="5">
        <v>9.0</v>
      </c>
      <c r="AB151" s="5"/>
      <c r="AC151" s="5"/>
      <c r="AD151" s="5" t="s">
        <v>1770</v>
      </c>
      <c r="AE151" s="5" t="s">
        <v>1770</v>
      </c>
      <c r="AF151" s="5"/>
      <c r="AG151" s="5"/>
      <c r="AH151" s="5">
        <v>9.169630952E9</v>
      </c>
      <c r="AI151" s="5">
        <v>23.0</v>
      </c>
      <c r="AJ151" s="5"/>
      <c r="AK151" s="5" t="s">
        <v>1773</v>
      </c>
      <c r="AL151" s="92">
        <v>0.0</v>
      </c>
      <c r="AM151" s="5" t="s">
        <v>1770</v>
      </c>
      <c r="AN151" s="5" t="s">
        <v>2183</v>
      </c>
      <c r="AO151" s="5"/>
      <c r="AP151" s="5"/>
      <c r="AQ151" s="5"/>
      <c r="AR151" s="5"/>
      <c r="AS151" s="5"/>
      <c r="AT151" s="5"/>
      <c r="AU151" s="5"/>
      <c r="AV151" s="5"/>
      <c r="AW151" s="5" t="s">
        <v>1770</v>
      </c>
      <c r="AX151" s="5"/>
      <c r="AY151" s="5"/>
      <c r="AZ151" s="5" t="s">
        <v>1770</v>
      </c>
      <c r="BA151" s="93">
        <v>0.0</v>
      </c>
      <c r="BB151" s="93">
        <v>0.0</v>
      </c>
      <c r="BC151" s="93">
        <v>0.0</v>
      </c>
      <c r="BD151" s="93">
        <v>0.0</v>
      </c>
      <c r="BE151" s="93">
        <v>0.0</v>
      </c>
      <c r="BF151" s="93">
        <v>0.0</v>
      </c>
      <c r="BG151" s="5"/>
      <c r="BH151" s="93">
        <v>0.0</v>
      </c>
      <c r="BI151" s="93">
        <v>0.0</v>
      </c>
      <c r="BJ151" s="93">
        <v>0.0</v>
      </c>
      <c r="BK151" s="93">
        <v>0.0</v>
      </c>
      <c r="BL151" s="93">
        <v>0.0</v>
      </c>
      <c r="BM151" s="93">
        <v>0.0</v>
      </c>
      <c r="BN151" s="93">
        <v>0.0</v>
      </c>
      <c r="BO151" s="5"/>
      <c r="BP151" s="5" t="s">
        <v>1770</v>
      </c>
      <c r="BQ151" s="5" t="s">
        <v>1789</v>
      </c>
      <c r="BR151" s="94">
        <v>43483.55310185185</v>
      </c>
      <c r="BS151" s="5">
        <v>40.0</v>
      </c>
      <c r="BT151" s="94">
        <v>43635.6075462963</v>
      </c>
      <c r="BU151" s="5">
        <v>40.0</v>
      </c>
      <c r="BV151" s="94">
        <v>44392.70334490741</v>
      </c>
      <c r="BW151" s="5">
        <v>40.0</v>
      </c>
    </row>
    <row r="152" ht="14.25" customHeight="1">
      <c r="A152" s="95">
        <v>151.0</v>
      </c>
      <c r="B152" s="95">
        <v>430.0</v>
      </c>
      <c r="C152" s="95" t="s">
        <v>2955</v>
      </c>
      <c r="D152" s="95" t="s">
        <v>1950</v>
      </c>
      <c r="E152" s="96" t="s">
        <v>2382</v>
      </c>
      <c r="F152" s="97" t="s">
        <v>2956</v>
      </c>
      <c r="G152" s="95" t="s">
        <v>2957</v>
      </c>
      <c r="H152" s="95" t="s">
        <v>1972</v>
      </c>
      <c r="I152" s="95" t="s">
        <v>1782</v>
      </c>
      <c r="J152" s="98">
        <v>32951.0</v>
      </c>
      <c r="K152" s="5">
        <v>549.0</v>
      </c>
      <c r="L152" s="5" t="s">
        <v>2653</v>
      </c>
      <c r="M152" s="5">
        <v>9.0</v>
      </c>
      <c r="N152" s="5"/>
      <c r="O152" s="5">
        <v>43882.0</v>
      </c>
      <c r="P152" s="5" t="s">
        <v>2654</v>
      </c>
      <c r="Q152" s="5" t="s">
        <v>1766</v>
      </c>
      <c r="R152" s="5">
        <v>549.0</v>
      </c>
      <c r="S152" s="5">
        <v>3.411382615E9</v>
      </c>
      <c r="T152" s="5"/>
      <c r="U152" s="5" t="s">
        <v>2958</v>
      </c>
      <c r="V152" s="5">
        <v>3.931180196E9</v>
      </c>
      <c r="W152" s="5" t="s">
        <v>1819</v>
      </c>
      <c r="X152" s="91">
        <v>43482.0</v>
      </c>
      <c r="Y152" s="5">
        <v>1.0</v>
      </c>
      <c r="Z152" s="5">
        <v>19.0</v>
      </c>
      <c r="AA152" s="5">
        <v>45.0</v>
      </c>
      <c r="AB152" s="5" t="s">
        <v>2959</v>
      </c>
      <c r="AC152" s="5" t="s">
        <v>1800</v>
      </c>
      <c r="AD152" s="91">
        <v>42243.0</v>
      </c>
      <c r="AE152" s="91">
        <v>44070.0</v>
      </c>
      <c r="AF152" s="5">
        <v>1.520741658E9</v>
      </c>
      <c r="AG152" s="5">
        <v>1.2361015207416588E16</v>
      </c>
      <c r="AH152" s="5">
        <v>4.139039509E9</v>
      </c>
      <c r="AI152" s="5">
        <v>23.0</v>
      </c>
      <c r="AJ152" s="5"/>
      <c r="AK152" s="5" t="s">
        <v>1773</v>
      </c>
      <c r="AL152" s="92">
        <v>0.0</v>
      </c>
      <c r="AM152" s="5" t="s">
        <v>1770</v>
      </c>
      <c r="AN152" s="5" t="s">
        <v>1830</v>
      </c>
      <c r="AO152" s="5"/>
      <c r="AP152" s="5"/>
      <c r="AQ152" s="5"/>
      <c r="AR152" s="5"/>
      <c r="AS152" s="5"/>
      <c r="AT152" s="5"/>
      <c r="AU152" s="5"/>
      <c r="AV152" s="5"/>
      <c r="AW152" s="5" t="s">
        <v>1770</v>
      </c>
      <c r="AX152" s="5"/>
      <c r="AY152" s="5"/>
      <c r="AZ152" s="5" t="s">
        <v>1770</v>
      </c>
      <c r="BA152" s="93">
        <v>0.0</v>
      </c>
      <c r="BB152" s="93">
        <v>0.0</v>
      </c>
      <c r="BC152" s="93">
        <v>0.0</v>
      </c>
      <c r="BD152" s="93">
        <v>0.0</v>
      </c>
      <c r="BE152" s="93">
        <v>0.0</v>
      </c>
      <c r="BF152" s="93">
        <v>0.0</v>
      </c>
      <c r="BG152" s="5"/>
      <c r="BH152" s="93">
        <v>0.0</v>
      </c>
      <c r="BI152" s="93">
        <v>0.0</v>
      </c>
      <c r="BJ152" s="93">
        <v>0.0</v>
      </c>
      <c r="BK152" s="93">
        <v>0.0</v>
      </c>
      <c r="BL152" s="93">
        <v>0.0</v>
      </c>
      <c r="BM152" s="93">
        <v>0.0</v>
      </c>
      <c r="BN152" s="93">
        <v>0.0</v>
      </c>
      <c r="BO152" s="5"/>
      <c r="BP152" s="5" t="s">
        <v>1770</v>
      </c>
      <c r="BQ152" s="5" t="s">
        <v>1789</v>
      </c>
      <c r="BR152" s="94">
        <v>43483.712905092594</v>
      </c>
      <c r="BS152" s="5">
        <v>40.0</v>
      </c>
      <c r="BT152" s="94">
        <v>43706.473125</v>
      </c>
      <c r="BU152" s="5">
        <v>40.0</v>
      </c>
      <c r="BV152" s="94">
        <v>44392.70174768518</v>
      </c>
      <c r="BW152" s="5">
        <v>40.0</v>
      </c>
    </row>
    <row r="153" ht="14.25" customHeight="1">
      <c r="A153" s="95">
        <v>152.0</v>
      </c>
      <c r="B153" s="95">
        <v>287.0</v>
      </c>
      <c r="C153" s="95" t="s">
        <v>2960</v>
      </c>
      <c r="D153" s="95" t="s">
        <v>2813</v>
      </c>
      <c r="E153" s="140" t="s">
        <v>2235</v>
      </c>
      <c r="F153" s="141" t="s">
        <v>2961</v>
      </c>
      <c r="G153" s="95" t="s">
        <v>2962</v>
      </c>
      <c r="H153" s="95" t="s">
        <v>1762</v>
      </c>
      <c r="I153" s="95" t="s">
        <v>1763</v>
      </c>
      <c r="J153" s="142">
        <v>34309.0</v>
      </c>
      <c r="K153" s="5">
        <v>597.0</v>
      </c>
      <c r="L153" s="5" t="s">
        <v>2963</v>
      </c>
      <c r="M153" s="5">
        <v>123.0</v>
      </c>
      <c r="N153" s="5"/>
      <c r="O153" s="5">
        <v>43832.0</v>
      </c>
      <c r="P153" s="5" t="s">
        <v>2556</v>
      </c>
      <c r="Q153" s="5"/>
      <c r="R153" s="5">
        <v>597.0</v>
      </c>
      <c r="S153" s="5">
        <v>1.256987412E9</v>
      </c>
      <c r="T153" s="5"/>
      <c r="U153" s="5" t="s">
        <v>1769</v>
      </c>
      <c r="V153" s="5">
        <v>8.596321478E9</v>
      </c>
      <c r="W153" s="5" t="s">
        <v>1769</v>
      </c>
      <c r="X153" s="91">
        <v>43335.0</v>
      </c>
      <c r="Y153" s="5">
        <v>5.0</v>
      </c>
      <c r="Z153" s="5">
        <v>17.0</v>
      </c>
      <c r="AA153" s="5">
        <v>18.0</v>
      </c>
      <c r="AB153" s="5"/>
      <c r="AC153" s="5"/>
      <c r="AD153" s="5" t="s">
        <v>1770</v>
      </c>
      <c r="AE153" s="5" t="s">
        <v>1770</v>
      </c>
      <c r="AF153" s="5"/>
      <c r="AG153" s="5"/>
      <c r="AH153" s="5">
        <v>7.5129396513E10</v>
      </c>
      <c r="AI153" s="5"/>
      <c r="AJ153" s="5"/>
      <c r="AK153" s="5" t="s">
        <v>1773</v>
      </c>
      <c r="AL153" s="92">
        <v>0.0</v>
      </c>
      <c r="AM153" s="5" t="s">
        <v>1770</v>
      </c>
      <c r="AN153" s="5" t="s">
        <v>1774</v>
      </c>
      <c r="AO153" s="5"/>
      <c r="AP153" s="5"/>
      <c r="AQ153" s="5"/>
      <c r="AR153" s="5"/>
      <c r="AS153" s="5"/>
      <c r="AT153" s="5"/>
      <c r="AU153" s="5"/>
      <c r="AV153" s="5"/>
      <c r="AW153" s="5" t="s">
        <v>1770</v>
      </c>
      <c r="AX153" s="5"/>
      <c r="AY153" s="5"/>
      <c r="AZ153" s="5" t="s">
        <v>1770</v>
      </c>
      <c r="BA153" s="93">
        <v>0.0</v>
      </c>
      <c r="BB153" s="93">
        <v>0.0</v>
      </c>
      <c r="BC153" s="93">
        <v>0.0</v>
      </c>
      <c r="BD153" s="93">
        <v>0.0</v>
      </c>
      <c r="BE153" s="93">
        <v>0.0</v>
      </c>
      <c r="BF153" s="93">
        <v>0.0</v>
      </c>
      <c r="BG153" s="5"/>
      <c r="BH153" s="93">
        <v>0.0</v>
      </c>
      <c r="BI153" s="93">
        <v>0.0</v>
      </c>
      <c r="BJ153" s="93">
        <v>0.0</v>
      </c>
      <c r="BK153" s="93">
        <v>0.0</v>
      </c>
      <c r="BL153" s="93">
        <v>0.0</v>
      </c>
      <c r="BM153" s="93">
        <v>0.0</v>
      </c>
      <c r="BN153" s="93">
        <v>0.0</v>
      </c>
      <c r="BO153" s="5"/>
      <c r="BP153" s="5" t="s">
        <v>1770</v>
      </c>
      <c r="BQ153" s="5" t="s">
        <v>1789</v>
      </c>
      <c r="BR153" s="94">
        <v>43487.673310185186</v>
      </c>
      <c r="BS153" s="5">
        <v>40.0</v>
      </c>
      <c r="BT153" s="94">
        <v>44964.44248842593</v>
      </c>
      <c r="BU153" s="5">
        <v>211.0</v>
      </c>
      <c r="BV153" s="94">
        <v>44964.44261574074</v>
      </c>
      <c r="BW153" s="5">
        <v>211.0</v>
      </c>
    </row>
    <row r="154" ht="14.25" customHeight="1">
      <c r="A154" s="95">
        <v>153.0</v>
      </c>
      <c r="B154" s="95">
        <v>431.0</v>
      </c>
      <c r="C154" s="95" t="s">
        <v>2964</v>
      </c>
      <c r="D154" s="95" t="s">
        <v>2399</v>
      </c>
      <c r="E154" s="140" t="s">
        <v>2965</v>
      </c>
      <c r="F154" s="141" t="s">
        <v>2966</v>
      </c>
      <c r="G154" s="95" t="s">
        <v>2967</v>
      </c>
      <c r="H154" s="95" t="s">
        <v>2671</v>
      </c>
      <c r="I154" s="95" t="s">
        <v>1763</v>
      </c>
      <c r="J154" s="142">
        <v>32684.0</v>
      </c>
      <c r="K154" s="5">
        <v>570.0</v>
      </c>
      <c r="L154" s="5" t="s">
        <v>2968</v>
      </c>
      <c r="M154" s="5">
        <v>98.0</v>
      </c>
      <c r="N154" s="5"/>
      <c r="O154" s="5">
        <v>43832.0</v>
      </c>
      <c r="P154" s="5" t="s">
        <v>2969</v>
      </c>
      <c r="Q154" s="5"/>
      <c r="R154" s="5">
        <v>594.0</v>
      </c>
      <c r="S154" s="5">
        <v>3.921093261E9</v>
      </c>
      <c r="T154" s="5" t="s">
        <v>2970</v>
      </c>
      <c r="U154" s="5" t="s">
        <v>2971</v>
      </c>
      <c r="V154" s="5">
        <v>3.921263374E9</v>
      </c>
      <c r="W154" s="5" t="s">
        <v>1808</v>
      </c>
      <c r="X154" s="91">
        <v>43486.0</v>
      </c>
      <c r="Y154" s="5">
        <v>5.0</v>
      </c>
      <c r="Z154" s="5">
        <v>4.0</v>
      </c>
      <c r="AA154" s="5">
        <v>73.0</v>
      </c>
      <c r="AB154" s="5"/>
      <c r="AC154" s="5"/>
      <c r="AD154" s="5" t="s">
        <v>1770</v>
      </c>
      <c r="AE154" s="5" t="s">
        <v>1770</v>
      </c>
      <c r="AF154" s="5">
        <v>1.520542817E9</v>
      </c>
      <c r="AG154" s="5">
        <v>1.2370015205428174E16</v>
      </c>
      <c r="AH154" s="5">
        <v>4.138952546E9</v>
      </c>
      <c r="AI154" s="5">
        <v>169.0</v>
      </c>
      <c r="AJ154" s="5"/>
      <c r="AK154" s="5" t="s">
        <v>1773</v>
      </c>
      <c r="AL154" s="92">
        <v>0.0</v>
      </c>
      <c r="AM154" s="5" t="s">
        <v>1770</v>
      </c>
      <c r="AN154" s="5" t="s">
        <v>1830</v>
      </c>
      <c r="AO154" s="5"/>
      <c r="AP154" s="5"/>
      <c r="AQ154" s="5"/>
      <c r="AR154" s="5"/>
      <c r="AS154" s="5"/>
      <c r="AT154" s="5"/>
      <c r="AU154" s="5"/>
      <c r="AV154" s="5"/>
      <c r="AW154" s="5" t="s">
        <v>1770</v>
      </c>
      <c r="AX154" s="5"/>
      <c r="AY154" s="5"/>
      <c r="AZ154" s="5" t="s">
        <v>1770</v>
      </c>
      <c r="BA154" s="93">
        <v>0.0</v>
      </c>
      <c r="BB154" s="93">
        <v>0.0</v>
      </c>
      <c r="BC154" s="93">
        <v>0.0</v>
      </c>
      <c r="BD154" s="93">
        <v>0.0</v>
      </c>
      <c r="BE154" s="93">
        <v>0.0</v>
      </c>
      <c r="BF154" s="93">
        <v>0.0</v>
      </c>
      <c r="BG154" s="5"/>
      <c r="BH154" s="93">
        <v>0.0</v>
      </c>
      <c r="BI154" s="93">
        <v>0.0</v>
      </c>
      <c r="BJ154" s="93">
        <v>0.0</v>
      </c>
      <c r="BK154" s="93">
        <v>0.0</v>
      </c>
      <c r="BL154" s="93">
        <v>0.0</v>
      </c>
      <c r="BM154" s="93">
        <v>0.0</v>
      </c>
      <c r="BN154" s="93">
        <v>0.0</v>
      </c>
      <c r="BO154" s="5"/>
      <c r="BP154" s="5"/>
      <c r="BQ154" s="5" t="s">
        <v>1775</v>
      </c>
      <c r="BR154" s="94">
        <v>43490.43115740741</v>
      </c>
      <c r="BS154" s="5">
        <v>40.0</v>
      </c>
      <c r="BT154" s="94">
        <v>46134.54346064815</v>
      </c>
      <c r="BU154" s="5" t="s">
        <v>1770</v>
      </c>
      <c r="BV154" s="5" t="s">
        <v>1770</v>
      </c>
      <c r="BW154" s="5" t="s">
        <v>1770</v>
      </c>
    </row>
    <row r="155" ht="14.25" customHeight="1">
      <c r="A155" s="95">
        <v>154.0</v>
      </c>
      <c r="B155" s="95">
        <v>343.0</v>
      </c>
      <c r="C155" s="95" t="s">
        <v>2612</v>
      </c>
      <c r="D155" s="95" t="s">
        <v>1792</v>
      </c>
      <c r="E155" s="140" t="s">
        <v>2972</v>
      </c>
      <c r="F155" s="141" t="s">
        <v>2973</v>
      </c>
      <c r="G155" s="95" t="s">
        <v>2974</v>
      </c>
      <c r="H155" s="95" t="s">
        <v>1781</v>
      </c>
      <c r="I155" s="95" t="s">
        <v>1782</v>
      </c>
      <c r="J155" s="142">
        <v>28796.0</v>
      </c>
      <c r="K155" s="5">
        <v>594.0</v>
      </c>
      <c r="L155" s="5" t="s">
        <v>2975</v>
      </c>
      <c r="M155" s="5">
        <v>26.0</v>
      </c>
      <c r="N155" s="5"/>
      <c r="O155" s="5">
        <v>43882.0</v>
      </c>
      <c r="P155" s="5" t="s">
        <v>1827</v>
      </c>
      <c r="Q155" s="5" t="s">
        <v>1766</v>
      </c>
      <c r="R155" s="5">
        <v>549.0</v>
      </c>
      <c r="S155" s="5">
        <v>3.329582446E9</v>
      </c>
      <c r="T155" s="5" t="s">
        <v>2976</v>
      </c>
      <c r="U155" s="5" t="s">
        <v>2977</v>
      </c>
      <c r="V155" s="5">
        <v>3.939354401E9</v>
      </c>
      <c r="W155" s="5" t="s">
        <v>1787</v>
      </c>
      <c r="X155" s="91">
        <v>42979.0</v>
      </c>
      <c r="Y155" s="5" t="s">
        <v>1770</v>
      </c>
      <c r="Z155" s="5">
        <v>17.0</v>
      </c>
      <c r="AA155" s="5">
        <v>53.0</v>
      </c>
      <c r="AB155" s="5" t="s">
        <v>2978</v>
      </c>
      <c r="AC155" s="5" t="s">
        <v>1800</v>
      </c>
      <c r="AD155" s="91">
        <v>45688.0</v>
      </c>
      <c r="AE155" s="91">
        <v>47149.0</v>
      </c>
      <c r="AF155" s="5">
        <v>1.53942001E9</v>
      </c>
      <c r="AG155" s="5">
        <v>1.2180015394200104E16</v>
      </c>
      <c r="AH155" s="5">
        <v>4.037804848E9</v>
      </c>
      <c r="AI155" s="5">
        <v>23.0</v>
      </c>
      <c r="AJ155" s="5"/>
      <c r="AK155" s="5" t="s">
        <v>1773</v>
      </c>
      <c r="AL155" s="92">
        <v>0.0</v>
      </c>
      <c r="AM155" s="5" t="s">
        <v>1770</v>
      </c>
      <c r="AN155" s="5" t="s">
        <v>1774</v>
      </c>
      <c r="AO155" s="5"/>
      <c r="AP155" s="5"/>
      <c r="AQ155" s="5"/>
      <c r="AR155" s="5"/>
      <c r="AS155" s="5"/>
      <c r="AT155" s="5"/>
      <c r="AU155" s="5"/>
      <c r="AV155" s="5"/>
      <c r="AW155" s="5" t="s">
        <v>1770</v>
      </c>
      <c r="AX155" s="5"/>
      <c r="AY155" s="5"/>
      <c r="AZ155" s="5" t="s">
        <v>1770</v>
      </c>
      <c r="BA155" s="93">
        <v>0.0</v>
      </c>
      <c r="BB155" s="93">
        <v>0.0</v>
      </c>
      <c r="BC155" s="93">
        <v>0.0</v>
      </c>
      <c r="BD155" s="93">
        <v>0.0</v>
      </c>
      <c r="BE155" s="93">
        <v>0.0</v>
      </c>
      <c r="BF155" s="93">
        <v>0.0</v>
      </c>
      <c r="BG155" s="5"/>
      <c r="BH155" s="93">
        <v>0.0</v>
      </c>
      <c r="BI155" s="93">
        <v>0.0</v>
      </c>
      <c r="BJ155" s="93">
        <v>0.0</v>
      </c>
      <c r="BK155" s="93">
        <v>0.0</v>
      </c>
      <c r="BL155" s="93">
        <v>0.0</v>
      </c>
      <c r="BM155" s="93">
        <v>0.0</v>
      </c>
      <c r="BN155" s="93">
        <v>0.0</v>
      </c>
      <c r="BO155" s="5"/>
      <c r="BP155" s="5"/>
      <c r="BQ155" s="5" t="s">
        <v>1775</v>
      </c>
      <c r="BR155" s="94">
        <v>43490.5165625</v>
      </c>
      <c r="BS155" s="5">
        <v>40.0</v>
      </c>
      <c r="BT155" s="94">
        <v>46133.46208333333</v>
      </c>
      <c r="BU155" s="5">
        <v>40.0</v>
      </c>
      <c r="BV155" s="5" t="s">
        <v>1770</v>
      </c>
      <c r="BW155" s="5" t="s">
        <v>1770</v>
      </c>
    </row>
    <row r="156" ht="14.25" customHeight="1">
      <c r="A156" s="95">
        <v>155.0</v>
      </c>
      <c r="B156" s="95">
        <v>36.0</v>
      </c>
      <c r="C156" s="95" t="s">
        <v>2612</v>
      </c>
      <c r="D156" s="95" t="s">
        <v>1926</v>
      </c>
      <c r="E156" s="140" t="s">
        <v>2534</v>
      </c>
      <c r="F156" s="141" t="s">
        <v>2979</v>
      </c>
      <c r="G156" s="95" t="s">
        <v>2980</v>
      </c>
      <c r="H156" s="95" t="s">
        <v>1972</v>
      </c>
      <c r="I156" s="95" t="s">
        <v>1782</v>
      </c>
      <c r="J156" s="142">
        <v>15981.0</v>
      </c>
      <c r="K156" s="5">
        <v>549.0</v>
      </c>
      <c r="L156" s="5" t="s">
        <v>2430</v>
      </c>
      <c r="M156" s="5">
        <v>1.0</v>
      </c>
      <c r="N156" s="5"/>
      <c r="O156" s="5">
        <v>43890.0</v>
      </c>
      <c r="P156" s="5" t="s">
        <v>2654</v>
      </c>
      <c r="Q156" s="5" t="s">
        <v>2654</v>
      </c>
      <c r="R156" s="5">
        <v>549.0</v>
      </c>
      <c r="S156" s="5">
        <v>3.931040951E9</v>
      </c>
      <c r="T156" s="5"/>
      <c r="U156" s="5" t="s">
        <v>2981</v>
      </c>
      <c r="V156" s="5">
        <v>3.93104095E9</v>
      </c>
      <c r="W156" s="5" t="s">
        <v>2610</v>
      </c>
      <c r="X156" s="91">
        <v>39596.0</v>
      </c>
      <c r="Y156" s="5">
        <v>1.0</v>
      </c>
      <c r="Z156" s="5">
        <v>17.0</v>
      </c>
      <c r="AA156" s="5">
        <v>32.0</v>
      </c>
      <c r="AB156" s="5"/>
      <c r="AC156" s="5"/>
      <c r="AD156" s="5" t="s">
        <v>1770</v>
      </c>
      <c r="AE156" s="5" t="s">
        <v>1770</v>
      </c>
      <c r="AF156" s="5">
        <v>2.662844249E9</v>
      </c>
      <c r="AG156" s="5">
        <v>1.2361026628442492E16</v>
      </c>
      <c r="AH156" s="5">
        <v>4.084300559E9</v>
      </c>
      <c r="AI156" s="5">
        <v>23.0</v>
      </c>
      <c r="AJ156" s="5"/>
      <c r="AK156" s="5" t="s">
        <v>1773</v>
      </c>
      <c r="AL156" s="92">
        <v>0.0</v>
      </c>
      <c r="AM156" s="5" t="s">
        <v>1770</v>
      </c>
      <c r="AN156" s="5" t="s">
        <v>1774</v>
      </c>
      <c r="AO156" s="5"/>
      <c r="AP156" s="5"/>
      <c r="AQ156" s="5"/>
      <c r="AR156" s="5"/>
      <c r="AS156" s="5"/>
      <c r="AT156" s="5"/>
      <c r="AU156" s="5"/>
      <c r="AV156" s="5"/>
      <c r="AW156" s="5" t="s">
        <v>1770</v>
      </c>
      <c r="AX156" s="5"/>
      <c r="AY156" s="5"/>
      <c r="AZ156" s="5" t="s">
        <v>1770</v>
      </c>
      <c r="BA156" s="93">
        <v>0.0</v>
      </c>
      <c r="BB156" s="93">
        <v>0.0</v>
      </c>
      <c r="BC156" s="93">
        <v>0.0</v>
      </c>
      <c r="BD156" s="93">
        <v>0.0</v>
      </c>
      <c r="BE156" s="93">
        <v>0.0</v>
      </c>
      <c r="BF156" s="93">
        <v>0.0</v>
      </c>
      <c r="BG156" s="5"/>
      <c r="BH156" s="93">
        <v>0.0</v>
      </c>
      <c r="BI156" s="93">
        <v>0.0</v>
      </c>
      <c r="BJ156" s="93">
        <v>0.0</v>
      </c>
      <c r="BK156" s="93">
        <v>0.0</v>
      </c>
      <c r="BL156" s="93">
        <v>0.0</v>
      </c>
      <c r="BM156" s="93">
        <v>0.0</v>
      </c>
      <c r="BN156" s="93">
        <v>0.0</v>
      </c>
      <c r="BO156" s="5"/>
      <c r="BP156" s="5" t="s">
        <v>1770</v>
      </c>
      <c r="BQ156" s="5" t="s">
        <v>1789</v>
      </c>
      <c r="BR156" s="94">
        <v>43490.522511574076</v>
      </c>
      <c r="BS156" s="5">
        <v>40.0</v>
      </c>
      <c r="BT156" s="94">
        <v>43635.551041666666</v>
      </c>
      <c r="BU156" s="5">
        <v>40.0</v>
      </c>
      <c r="BV156" s="94">
        <v>45244.65777777778</v>
      </c>
      <c r="BW156" s="5">
        <v>40.0</v>
      </c>
    </row>
    <row r="157" ht="14.25" customHeight="1">
      <c r="A157" s="95">
        <v>156.0</v>
      </c>
      <c r="B157" s="95">
        <v>37.0</v>
      </c>
      <c r="C157" s="95" t="s">
        <v>2982</v>
      </c>
      <c r="D157" s="95" t="s">
        <v>1926</v>
      </c>
      <c r="E157" s="140" t="s">
        <v>2534</v>
      </c>
      <c r="F157" s="141" t="s">
        <v>2983</v>
      </c>
      <c r="G157" s="95" t="s">
        <v>2984</v>
      </c>
      <c r="H157" s="95" t="s">
        <v>1972</v>
      </c>
      <c r="I157" s="95" t="s">
        <v>1782</v>
      </c>
      <c r="J157" s="142">
        <v>15981.0</v>
      </c>
      <c r="K157" s="5">
        <v>549.0</v>
      </c>
      <c r="L157" s="5" t="s">
        <v>2430</v>
      </c>
      <c r="M157" s="5">
        <v>1.0</v>
      </c>
      <c r="N157" s="5"/>
      <c r="O157" s="5">
        <v>43890.0</v>
      </c>
      <c r="P157" s="5" t="s">
        <v>2654</v>
      </c>
      <c r="Q157" s="5" t="s">
        <v>2654</v>
      </c>
      <c r="R157" s="5">
        <v>549.0</v>
      </c>
      <c r="S157" s="5">
        <v>3.93104095E9</v>
      </c>
      <c r="T157" s="5"/>
      <c r="U157" s="5" t="s">
        <v>2985</v>
      </c>
      <c r="V157" s="5">
        <v>3.931040951E9</v>
      </c>
      <c r="W157" s="5" t="s">
        <v>2610</v>
      </c>
      <c r="X157" s="91">
        <v>39596.0</v>
      </c>
      <c r="Y157" s="5">
        <v>1.0</v>
      </c>
      <c r="Z157" s="5">
        <v>17.0</v>
      </c>
      <c r="AA157" s="5">
        <v>32.0</v>
      </c>
      <c r="AB157" s="5" t="s">
        <v>2986</v>
      </c>
      <c r="AC157" s="5" t="s">
        <v>1772</v>
      </c>
      <c r="AD157" s="91">
        <v>41870.0</v>
      </c>
      <c r="AE157" s="91">
        <v>43331.0</v>
      </c>
      <c r="AF157" s="5">
        <v>2.662844141E9</v>
      </c>
      <c r="AG157" s="5">
        <v>1.236102662844142E16</v>
      </c>
      <c r="AH157" s="5">
        <v>5.4854302566E10</v>
      </c>
      <c r="AI157" s="5">
        <v>23.0</v>
      </c>
      <c r="AJ157" s="5"/>
      <c r="AK157" s="5" t="s">
        <v>1773</v>
      </c>
      <c r="AL157" s="92">
        <v>0.0</v>
      </c>
      <c r="AM157" s="5" t="s">
        <v>1770</v>
      </c>
      <c r="AN157" s="5" t="s">
        <v>1830</v>
      </c>
      <c r="AO157" s="5"/>
      <c r="AP157" s="5"/>
      <c r="AQ157" s="5"/>
      <c r="AR157" s="5"/>
      <c r="AS157" s="5"/>
      <c r="AT157" s="5"/>
      <c r="AU157" s="5"/>
      <c r="AV157" s="5"/>
      <c r="AW157" s="5" t="s">
        <v>1770</v>
      </c>
      <c r="AX157" s="5"/>
      <c r="AY157" s="5"/>
      <c r="AZ157" s="5" t="s">
        <v>1770</v>
      </c>
      <c r="BA157" s="93">
        <v>0.0</v>
      </c>
      <c r="BB157" s="93">
        <v>0.0</v>
      </c>
      <c r="BC157" s="93">
        <v>0.0</v>
      </c>
      <c r="BD157" s="93">
        <v>0.0</v>
      </c>
      <c r="BE157" s="93">
        <v>0.0</v>
      </c>
      <c r="BF157" s="93">
        <v>0.0</v>
      </c>
      <c r="BG157" s="5"/>
      <c r="BH157" s="93">
        <v>0.0</v>
      </c>
      <c r="BI157" s="93">
        <v>0.0</v>
      </c>
      <c r="BJ157" s="93">
        <v>0.0</v>
      </c>
      <c r="BK157" s="93">
        <v>0.0</v>
      </c>
      <c r="BL157" s="93">
        <v>0.0</v>
      </c>
      <c r="BM157" s="93">
        <v>0.0</v>
      </c>
      <c r="BN157" s="93">
        <v>0.0</v>
      </c>
      <c r="BO157" s="5"/>
      <c r="BP157" s="5" t="s">
        <v>1770</v>
      </c>
      <c r="BQ157" s="5" t="s">
        <v>1789</v>
      </c>
      <c r="BR157" s="94">
        <v>43490.53331018519</v>
      </c>
      <c r="BS157" s="5">
        <v>40.0</v>
      </c>
      <c r="BT157" s="94">
        <v>43635.55045138889</v>
      </c>
      <c r="BU157" s="5">
        <v>40.0</v>
      </c>
      <c r="BV157" s="94">
        <v>45244.65793981482</v>
      </c>
      <c r="BW157" s="5">
        <v>40.0</v>
      </c>
    </row>
    <row r="158" ht="14.25" customHeight="1">
      <c r="A158" s="95">
        <v>157.0</v>
      </c>
      <c r="B158" s="95">
        <v>432.0</v>
      </c>
      <c r="C158" s="95" t="s">
        <v>2987</v>
      </c>
      <c r="D158" s="95" t="s">
        <v>2988</v>
      </c>
      <c r="E158" s="140" t="s">
        <v>1792</v>
      </c>
      <c r="F158" s="141" t="s">
        <v>2989</v>
      </c>
      <c r="G158" s="95" t="s">
        <v>2990</v>
      </c>
      <c r="H158" s="95" t="s">
        <v>1781</v>
      </c>
      <c r="I158" s="95" t="s">
        <v>1782</v>
      </c>
      <c r="J158" s="142">
        <v>23577.0</v>
      </c>
      <c r="K158" s="5">
        <v>549.0</v>
      </c>
      <c r="L158" s="5" t="s">
        <v>2991</v>
      </c>
      <c r="M158" s="5">
        <v>79.0</v>
      </c>
      <c r="N158" s="5"/>
      <c r="O158" s="5">
        <v>43882.0</v>
      </c>
      <c r="P158" s="5" t="s">
        <v>2992</v>
      </c>
      <c r="Q158" s="5" t="s">
        <v>1766</v>
      </c>
      <c r="R158" s="5">
        <v>549.0</v>
      </c>
      <c r="S158" s="5">
        <v>3.939369245E9</v>
      </c>
      <c r="T158" s="5" t="s">
        <v>2993</v>
      </c>
      <c r="U158" s="5" t="s">
        <v>2994</v>
      </c>
      <c r="V158" s="5">
        <v>3.931095018E9</v>
      </c>
      <c r="W158" s="5" t="s">
        <v>1787</v>
      </c>
      <c r="X158" s="91">
        <v>43493.0</v>
      </c>
      <c r="Y158" s="5" t="s">
        <v>1770</v>
      </c>
      <c r="Z158" s="5">
        <v>17.0</v>
      </c>
      <c r="AA158" s="5">
        <v>113.0</v>
      </c>
      <c r="AB158" s="5" t="s">
        <v>2995</v>
      </c>
      <c r="AC158" s="5" t="s">
        <v>1772</v>
      </c>
      <c r="AD158" s="91">
        <v>45329.0</v>
      </c>
      <c r="AE158" s="91">
        <v>46790.0</v>
      </c>
      <c r="AF158" s="5">
        <v>1.522699136E9</v>
      </c>
      <c r="AG158" s="5">
        <v>1.2361015226991368E16</v>
      </c>
      <c r="AH158" s="5">
        <v>5.4816428939E10</v>
      </c>
      <c r="AI158" s="5">
        <v>23.0</v>
      </c>
      <c r="AJ158" s="5"/>
      <c r="AK158" s="5" t="s">
        <v>1773</v>
      </c>
      <c r="AL158" s="92">
        <v>0.0</v>
      </c>
      <c r="AM158" s="5" t="s">
        <v>1770</v>
      </c>
      <c r="AN158" s="5" t="s">
        <v>1774</v>
      </c>
      <c r="AO158" s="5"/>
      <c r="AP158" s="5"/>
      <c r="AQ158" s="5"/>
      <c r="AR158" s="5"/>
      <c r="AS158" s="5"/>
      <c r="AT158" s="5" t="s">
        <v>2996</v>
      </c>
      <c r="AU158" s="5"/>
      <c r="AV158" s="5"/>
      <c r="AW158" s="5" t="s">
        <v>1770</v>
      </c>
      <c r="AX158" s="5"/>
      <c r="AY158" s="5"/>
      <c r="AZ158" s="5" t="s">
        <v>1770</v>
      </c>
      <c r="BA158" s="93">
        <v>0.0</v>
      </c>
      <c r="BB158" s="93">
        <v>0.0</v>
      </c>
      <c r="BC158" s="93">
        <v>0.0</v>
      </c>
      <c r="BD158" s="93">
        <v>0.0</v>
      </c>
      <c r="BE158" s="93">
        <v>0.0</v>
      </c>
      <c r="BF158" s="93">
        <v>0.0</v>
      </c>
      <c r="BG158" s="5"/>
      <c r="BH158" s="93">
        <v>0.0</v>
      </c>
      <c r="BI158" s="93">
        <v>0.0</v>
      </c>
      <c r="BJ158" s="93">
        <v>0.0</v>
      </c>
      <c r="BK158" s="93">
        <v>0.0</v>
      </c>
      <c r="BL158" s="93">
        <v>0.0</v>
      </c>
      <c r="BM158" s="93">
        <v>0.0</v>
      </c>
      <c r="BN158" s="93">
        <v>0.0</v>
      </c>
      <c r="BO158" s="5"/>
      <c r="BP158" s="5"/>
      <c r="BQ158" s="5" t="s">
        <v>1775</v>
      </c>
      <c r="BR158" s="94">
        <v>43497.45096064815</v>
      </c>
      <c r="BS158" s="5">
        <v>40.0</v>
      </c>
      <c r="BT158" s="94">
        <v>46135.66670138889</v>
      </c>
      <c r="BU158" s="5" t="s">
        <v>1770</v>
      </c>
      <c r="BV158" s="5" t="s">
        <v>1770</v>
      </c>
      <c r="BW158" s="5" t="s">
        <v>1770</v>
      </c>
    </row>
    <row r="159" ht="14.25" customHeight="1">
      <c r="A159" s="95">
        <v>158.0</v>
      </c>
      <c r="B159" s="95">
        <v>433.0</v>
      </c>
      <c r="C159" s="95" t="s">
        <v>2997</v>
      </c>
      <c r="D159" s="95" t="s">
        <v>2005</v>
      </c>
      <c r="E159" s="140" t="s">
        <v>2132</v>
      </c>
      <c r="F159" s="143" t="s">
        <v>2998</v>
      </c>
      <c r="G159" s="95" t="s">
        <v>2999</v>
      </c>
      <c r="H159" s="95" t="s">
        <v>1781</v>
      </c>
      <c r="I159" s="95" t="s">
        <v>1782</v>
      </c>
      <c r="J159" s="98">
        <v>34476.0</v>
      </c>
      <c r="K159" s="5">
        <v>889.0</v>
      </c>
      <c r="L159" s="5" t="s">
        <v>2784</v>
      </c>
      <c r="M159" s="5">
        <v>27.0</v>
      </c>
      <c r="N159" s="5"/>
      <c r="O159" s="5">
        <v>55232.0</v>
      </c>
      <c r="P159" s="5" t="s">
        <v>2139</v>
      </c>
      <c r="Q159" s="5" t="s">
        <v>3000</v>
      </c>
      <c r="R159" s="5">
        <v>841.0</v>
      </c>
      <c r="S159" s="5">
        <v>3.52106076E9</v>
      </c>
      <c r="T159" s="5" t="s">
        <v>3001</v>
      </c>
      <c r="U159" s="5" t="s">
        <v>3002</v>
      </c>
      <c r="V159" s="5">
        <v>3.521064648E9</v>
      </c>
      <c r="W159" s="5" t="s">
        <v>1808</v>
      </c>
      <c r="X159" s="91">
        <v>43494.0</v>
      </c>
      <c r="Y159" s="5">
        <v>3.0</v>
      </c>
      <c r="Z159" s="5">
        <v>3.0</v>
      </c>
      <c r="AA159" s="5">
        <v>58.0</v>
      </c>
      <c r="AB159" s="5" t="s">
        <v>3003</v>
      </c>
      <c r="AC159" s="5" t="s">
        <v>1800</v>
      </c>
      <c r="AD159" s="91">
        <v>45714.0</v>
      </c>
      <c r="AE159" s="91">
        <v>47540.0</v>
      </c>
      <c r="AF159" s="5">
        <v>1.522516376E9</v>
      </c>
      <c r="AG159" s="5">
        <v>1.2496015225163762E16</v>
      </c>
      <c r="AH159" s="5">
        <v>3.5159441985E10</v>
      </c>
      <c r="AI159" s="5">
        <v>77.0</v>
      </c>
      <c r="AJ159" s="5"/>
      <c r="AK159" s="5" t="s">
        <v>1773</v>
      </c>
      <c r="AL159" s="92">
        <v>0.0</v>
      </c>
      <c r="AM159" s="5" t="s">
        <v>1770</v>
      </c>
      <c r="AN159" s="5" t="s">
        <v>1830</v>
      </c>
      <c r="AO159" s="5"/>
      <c r="AP159" s="5"/>
      <c r="AQ159" s="5"/>
      <c r="AR159" s="5"/>
      <c r="AS159" s="5"/>
      <c r="AT159" s="5" t="s">
        <v>3004</v>
      </c>
      <c r="AU159" s="5"/>
      <c r="AV159" s="5"/>
      <c r="AW159" s="5" t="s">
        <v>1770</v>
      </c>
      <c r="AX159" s="5"/>
      <c r="AY159" s="5"/>
      <c r="AZ159" s="5" t="s">
        <v>1770</v>
      </c>
      <c r="BA159" s="93">
        <v>0.0</v>
      </c>
      <c r="BB159" s="93">
        <v>0.0</v>
      </c>
      <c r="BC159" s="93">
        <v>0.0</v>
      </c>
      <c r="BD159" s="93">
        <v>0.0</v>
      </c>
      <c r="BE159" s="93">
        <v>0.0</v>
      </c>
      <c r="BF159" s="93">
        <v>0.0</v>
      </c>
      <c r="BG159" s="5"/>
      <c r="BH159" s="93">
        <v>0.0</v>
      </c>
      <c r="BI159" s="93">
        <v>0.0</v>
      </c>
      <c r="BJ159" s="93">
        <v>0.0</v>
      </c>
      <c r="BK159" s="93">
        <v>0.0</v>
      </c>
      <c r="BL159" s="93">
        <v>0.0</v>
      </c>
      <c r="BM159" s="93">
        <v>0.0</v>
      </c>
      <c r="BN159" s="93">
        <v>0.0</v>
      </c>
      <c r="BO159" s="5"/>
      <c r="BP159" s="5"/>
      <c r="BQ159" s="5" t="s">
        <v>1775</v>
      </c>
      <c r="BR159" s="94">
        <v>43497.456087962964</v>
      </c>
      <c r="BS159" s="5">
        <v>40.0</v>
      </c>
      <c r="BT159" s="94">
        <v>46134.61357638889</v>
      </c>
      <c r="BU159" s="5" t="s">
        <v>1770</v>
      </c>
      <c r="BV159" s="5" t="s">
        <v>1770</v>
      </c>
      <c r="BW159" s="5" t="s">
        <v>1770</v>
      </c>
    </row>
    <row r="160" ht="14.25" customHeight="1">
      <c r="A160" s="95">
        <v>159.0</v>
      </c>
      <c r="B160" s="95">
        <v>434.0</v>
      </c>
      <c r="C160" s="95" t="s">
        <v>3005</v>
      </c>
      <c r="D160" s="95" t="s">
        <v>1778</v>
      </c>
      <c r="E160" s="140" t="s">
        <v>2834</v>
      </c>
      <c r="F160" s="143" t="s">
        <v>3006</v>
      </c>
      <c r="G160" s="95" t="s">
        <v>3007</v>
      </c>
      <c r="H160" s="95" t="s">
        <v>1972</v>
      </c>
      <c r="I160" s="95" t="s">
        <v>1782</v>
      </c>
      <c r="J160" s="98">
        <v>34170.0</v>
      </c>
      <c r="K160" s="5">
        <v>886.0</v>
      </c>
      <c r="L160" s="5" t="s">
        <v>3008</v>
      </c>
      <c r="M160" s="5">
        <v>462.0</v>
      </c>
      <c r="N160" s="5"/>
      <c r="O160" s="5">
        <v>43882.0</v>
      </c>
      <c r="P160" s="5" t="s">
        <v>1797</v>
      </c>
      <c r="Q160" s="5" t="s">
        <v>1766</v>
      </c>
      <c r="R160" s="5">
        <v>549.0</v>
      </c>
      <c r="S160" s="5">
        <v>3.931006644E9</v>
      </c>
      <c r="T160" s="5" t="s">
        <v>3009</v>
      </c>
      <c r="U160" s="5" t="s">
        <v>3010</v>
      </c>
      <c r="V160" s="5">
        <v>3.939352996E9</v>
      </c>
      <c r="W160" s="5" t="s">
        <v>3011</v>
      </c>
      <c r="X160" s="91">
        <v>43497.0</v>
      </c>
      <c r="Y160" s="5">
        <v>1.0</v>
      </c>
      <c r="Z160" s="5">
        <v>18.0</v>
      </c>
      <c r="AA160" s="5">
        <v>57.0</v>
      </c>
      <c r="AB160" s="5"/>
      <c r="AC160" s="5"/>
      <c r="AD160" s="5" t="s">
        <v>1770</v>
      </c>
      <c r="AE160" s="5" t="s">
        <v>1770</v>
      </c>
      <c r="AF160" s="5">
        <v>1.523199871E9</v>
      </c>
      <c r="AG160" s="5">
        <v>1.2180015231998716E16</v>
      </c>
      <c r="AH160" s="5">
        <v>6.6169331452E10</v>
      </c>
      <c r="AI160" s="5">
        <v>23.0</v>
      </c>
      <c r="AJ160" s="5"/>
      <c r="AK160" s="5" t="s">
        <v>1773</v>
      </c>
      <c r="AL160" s="92">
        <v>0.0</v>
      </c>
      <c r="AM160" s="5" t="s">
        <v>1770</v>
      </c>
      <c r="AN160" s="5" t="s">
        <v>3012</v>
      </c>
      <c r="AO160" s="5" t="s">
        <v>3013</v>
      </c>
      <c r="AP160" s="5"/>
      <c r="AQ160" s="5"/>
      <c r="AR160" s="5"/>
      <c r="AS160" s="5"/>
      <c r="AT160" s="5" t="s">
        <v>2184</v>
      </c>
      <c r="AU160" s="5" t="s">
        <v>3014</v>
      </c>
      <c r="AV160" s="5" t="s">
        <v>3015</v>
      </c>
      <c r="AW160" s="91">
        <v>43385.0</v>
      </c>
      <c r="AX160" s="5"/>
      <c r="AY160" s="5"/>
      <c r="AZ160" s="5" t="s">
        <v>1770</v>
      </c>
      <c r="BA160" s="93">
        <v>0.0</v>
      </c>
      <c r="BB160" s="93">
        <v>0.0</v>
      </c>
      <c r="BC160" s="93">
        <v>0.0</v>
      </c>
      <c r="BD160" s="93">
        <v>0.0</v>
      </c>
      <c r="BE160" s="93">
        <v>0.0</v>
      </c>
      <c r="BF160" s="93">
        <v>0.0</v>
      </c>
      <c r="BG160" s="5"/>
      <c r="BH160" s="93">
        <v>0.0</v>
      </c>
      <c r="BI160" s="93">
        <v>0.0</v>
      </c>
      <c r="BJ160" s="93">
        <v>0.0</v>
      </c>
      <c r="BK160" s="103">
        <v>50.0</v>
      </c>
      <c r="BL160" s="103">
        <v>80.0</v>
      </c>
      <c r="BM160" s="93">
        <v>0.0</v>
      </c>
      <c r="BN160" s="93">
        <v>0.0</v>
      </c>
      <c r="BO160" s="5" t="s">
        <v>3016</v>
      </c>
      <c r="BP160" s="5" t="s">
        <v>1770</v>
      </c>
      <c r="BQ160" s="5" t="s">
        <v>1775</v>
      </c>
      <c r="BR160" s="94">
        <v>43497.46184027778</v>
      </c>
      <c r="BS160" s="5">
        <v>40.0</v>
      </c>
      <c r="BT160" s="94">
        <v>43635.58966435185</v>
      </c>
      <c r="BU160" s="5">
        <v>40.0</v>
      </c>
      <c r="BV160" s="5" t="s">
        <v>1770</v>
      </c>
      <c r="BW160" s="5" t="s">
        <v>1770</v>
      </c>
    </row>
    <row r="161" ht="14.25" customHeight="1">
      <c r="A161" s="95">
        <v>160.0</v>
      </c>
      <c r="B161" s="95">
        <v>435.0</v>
      </c>
      <c r="C161" s="95" t="s">
        <v>3017</v>
      </c>
      <c r="D161" s="95" t="s">
        <v>1969</v>
      </c>
      <c r="E161" s="140" t="s">
        <v>3018</v>
      </c>
      <c r="F161" s="143" t="s">
        <v>3019</v>
      </c>
      <c r="G161" s="95" t="s">
        <v>3020</v>
      </c>
      <c r="H161" s="95" t="s">
        <v>1781</v>
      </c>
      <c r="I161" s="95" t="s">
        <v>1782</v>
      </c>
      <c r="J161" s="98">
        <v>34581.0</v>
      </c>
      <c r="K161" s="5">
        <v>850.0</v>
      </c>
      <c r="L161" s="5" t="s">
        <v>3021</v>
      </c>
      <c r="M161" s="5">
        <v>48.0</v>
      </c>
      <c r="N161" s="5"/>
      <c r="O161" s="5">
        <v>55132.0</v>
      </c>
      <c r="P161" s="5" t="s">
        <v>3022</v>
      </c>
      <c r="Q161" s="5" t="s">
        <v>234</v>
      </c>
      <c r="R161" s="5">
        <v>850.0</v>
      </c>
      <c r="S161" s="5">
        <v>3.521171973E9</v>
      </c>
      <c r="T161" s="5" t="s">
        <v>3023</v>
      </c>
      <c r="U161" s="5" t="s">
        <v>3024</v>
      </c>
      <c r="V161" s="5">
        <v>3.52592547E9</v>
      </c>
      <c r="W161" s="5" t="s">
        <v>1965</v>
      </c>
      <c r="X161" s="91">
        <v>43497.0</v>
      </c>
      <c r="Y161" s="5">
        <v>3.0</v>
      </c>
      <c r="Z161" s="5">
        <v>18.0</v>
      </c>
      <c r="AA161" s="5">
        <v>1.0</v>
      </c>
      <c r="AB161" s="5" t="s">
        <v>3025</v>
      </c>
      <c r="AC161" s="5" t="s">
        <v>1772</v>
      </c>
      <c r="AD161" s="91">
        <v>42913.0</v>
      </c>
      <c r="AE161" s="91">
        <v>44374.0</v>
      </c>
      <c r="AF161" s="5">
        <v>1.52293707E9</v>
      </c>
      <c r="AG161" s="5">
        <v>1.24960152293707E16</v>
      </c>
      <c r="AH161" s="5">
        <v>5.3139430283E10</v>
      </c>
      <c r="AI161" s="5">
        <v>77.0</v>
      </c>
      <c r="AJ161" s="5"/>
      <c r="AK161" s="5" t="s">
        <v>1773</v>
      </c>
      <c r="AL161" s="92">
        <v>0.0</v>
      </c>
      <c r="AM161" s="5" t="s">
        <v>1770</v>
      </c>
      <c r="AN161" s="5" t="s">
        <v>1830</v>
      </c>
      <c r="AO161" s="5" t="s">
        <v>3013</v>
      </c>
      <c r="AP161" s="5"/>
      <c r="AQ161" s="5"/>
      <c r="AR161" s="5"/>
      <c r="AS161" s="5"/>
      <c r="AT161" s="5" t="s">
        <v>3026</v>
      </c>
      <c r="AU161" s="5" t="s">
        <v>3027</v>
      </c>
      <c r="AV161" s="5" t="s">
        <v>1917</v>
      </c>
      <c r="AW161" s="91">
        <v>43305.0</v>
      </c>
      <c r="AX161" s="5"/>
      <c r="AY161" s="5"/>
      <c r="AZ161" s="5" t="s">
        <v>1770</v>
      </c>
      <c r="BA161" s="93">
        <v>0.0</v>
      </c>
      <c r="BB161" s="93">
        <v>0.0</v>
      </c>
      <c r="BC161" s="93">
        <v>0.0</v>
      </c>
      <c r="BD161" s="93">
        <v>0.0</v>
      </c>
      <c r="BE161" s="93">
        <v>0.0</v>
      </c>
      <c r="BF161" s="93">
        <v>0.0</v>
      </c>
      <c r="BG161" s="5"/>
      <c r="BH161" s="93">
        <v>0.0</v>
      </c>
      <c r="BI161" s="93">
        <v>0.0</v>
      </c>
      <c r="BJ161" s="93">
        <v>0.0</v>
      </c>
      <c r="BK161" s="93">
        <v>0.0</v>
      </c>
      <c r="BL161" s="93">
        <v>0.0</v>
      </c>
      <c r="BM161" s="93">
        <v>0.0</v>
      </c>
      <c r="BN161" s="93">
        <v>0.0</v>
      </c>
      <c r="BO161" s="5" t="s">
        <v>3028</v>
      </c>
      <c r="BP161" s="5" t="s">
        <v>1770</v>
      </c>
      <c r="BQ161" s="5" t="s">
        <v>1789</v>
      </c>
      <c r="BR161" s="94">
        <v>43497.472280092596</v>
      </c>
      <c r="BS161" s="5">
        <v>40.0</v>
      </c>
      <c r="BT161" s="94">
        <v>43686.67123842592</v>
      </c>
      <c r="BU161" s="5">
        <v>40.0</v>
      </c>
      <c r="BV161" s="94">
        <v>44392.70505787037</v>
      </c>
      <c r="BW161" s="5">
        <v>40.0</v>
      </c>
    </row>
    <row r="162" ht="14.25" customHeight="1">
      <c r="A162" s="95">
        <v>161.0</v>
      </c>
      <c r="B162" s="95">
        <v>436.0</v>
      </c>
      <c r="C162" s="95" t="s">
        <v>3029</v>
      </c>
      <c r="D162" s="95" t="s">
        <v>3030</v>
      </c>
      <c r="E162" s="140" t="s">
        <v>1984</v>
      </c>
      <c r="F162" s="143" t="s">
        <v>3031</v>
      </c>
      <c r="G162" s="95" t="s">
        <v>3032</v>
      </c>
      <c r="H162" s="95" t="s">
        <v>1781</v>
      </c>
      <c r="I162" s="95" t="s">
        <v>1782</v>
      </c>
      <c r="J162" s="98">
        <v>33502.0</v>
      </c>
      <c r="K162" s="5">
        <v>418.0</v>
      </c>
      <c r="L162" s="5" t="s">
        <v>3033</v>
      </c>
      <c r="M162" s="5">
        <v>101.0</v>
      </c>
      <c r="N162" s="5"/>
      <c r="O162" s="5">
        <v>35932.0</v>
      </c>
      <c r="P162" s="5" t="s">
        <v>1797</v>
      </c>
      <c r="Q162" s="5" t="s">
        <v>3034</v>
      </c>
      <c r="R162" s="5">
        <v>413.0</v>
      </c>
      <c r="S162" s="5">
        <v>4.291116416E9</v>
      </c>
      <c r="T162" s="5" t="s">
        <v>3035</v>
      </c>
      <c r="U162" s="5" t="s">
        <v>3036</v>
      </c>
      <c r="V162" s="5">
        <v>4.291267712E9</v>
      </c>
      <c r="W162" s="5" t="s">
        <v>1787</v>
      </c>
      <c r="X162" s="91">
        <v>43497.0</v>
      </c>
      <c r="Y162" s="5">
        <v>2.0</v>
      </c>
      <c r="Z162" s="5">
        <v>18.0</v>
      </c>
      <c r="AA162" s="5">
        <v>1.0</v>
      </c>
      <c r="AB162" s="5">
        <v>2655387.0</v>
      </c>
      <c r="AC162" s="5" t="s">
        <v>1772</v>
      </c>
      <c r="AD162" s="91">
        <v>43495.0</v>
      </c>
      <c r="AE162" s="91">
        <v>45321.0</v>
      </c>
      <c r="AF162" s="5">
        <v>5.25678291928859E15</v>
      </c>
      <c r="AG162" s="5">
        <v>2.219904117469241E15</v>
      </c>
      <c r="AH162" s="5">
        <v>6.4169176712E10</v>
      </c>
      <c r="AI162" s="5">
        <v>9.0</v>
      </c>
      <c r="AJ162" s="5"/>
      <c r="AK162" s="5" t="s">
        <v>1773</v>
      </c>
      <c r="AL162" s="92">
        <v>0.0</v>
      </c>
      <c r="AM162" s="5" t="s">
        <v>1770</v>
      </c>
      <c r="AN162" s="5" t="s">
        <v>1830</v>
      </c>
      <c r="AO162" s="5" t="s">
        <v>3013</v>
      </c>
      <c r="AP162" s="5"/>
      <c r="AQ162" s="5"/>
      <c r="AR162" s="5"/>
      <c r="AS162" s="5"/>
      <c r="AT162" s="5" t="s">
        <v>3026</v>
      </c>
      <c r="AU162" s="5" t="s">
        <v>3037</v>
      </c>
      <c r="AV162" s="5" t="s">
        <v>3038</v>
      </c>
      <c r="AW162" s="91">
        <v>42920.0</v>
      </c>
      <c r="AX162" s="5"/>
      <c r="AY162" s="5"/>
      <c r="AZ162" s="5" t="s">
        <v>1770</v>
      </c>
      <c r="BA162" s="103">
        <v>25.0</v>
      </c>
      <c r="BB162" s="93">
        <v>0.0</v>
      </c>
      <c r="BC162" s="93">
        <v>0.0</v>
      </c>
      <c r="BD162" s="93">
        <v>0.0</v>
      </c>
      <c r="BE162" s="93">
        <v>0.0</v>
      </c>
      <c r="BF162" s="93">
        <v>0.0</v>
      </c>
      <c r="BG162" s="5"/>
      <c r="BH162" s="93">
        <v>0.0</v>
      </c>
      <c r="BI162" s="93">
        <v>0.0</v>
      </c>
      <c r="BJ162" s="93">
        <v>0.0</v>
      </c>
      <c r="BK162" s="93">
        <v>0.0</v>
      </c>
      <c r="BL162" s="93">
        <v>0.0</v>
      </c>
      <c r="BM162" s="93">
        <v>0.0</v>
      </c>
      <c r="BN162" s="93">
        <v>0.0</v>
      </c>
      <c r="BO162" s="5" t="s">
        <v>3039</v>
      </c>
      <c r="BP162" s="5" t="s">
        <v>1770</v>
      </c>
      <c r="BQ162" s="5" t="s">
        <v>1789</v>
      </c>
      <c r="BR162" s="94">
        <v>43497.47891203704</v>
      </c>
      <c r="BS162" s="5">
        <v>40.0</v>
      </c>
      <c r="BT162" s="94">
        <v>43498.50666666667</v>
      </c>
      <c r="BU162" s="5">
        <v>40.0</v>
      </c>
      <c r="BV162" s="94">
        <v>44392.71013888889</v>
      </c>
      <c r="BW162" s="5">
        <v>40.0</v>
      </c>
    </row>
    <row r="163" ht="14.25" customHeight="1">
      <c r="A163" s="95">
        <v>162.0</v>
      </c>
      <c r="B163" s="95">
        <v>1001.0</v>
      </c>
      <c r="C163" s="95" t="s">
        <v>3040</v>
      </c>
      <c r="D163" s="95" t="s">
        <v>3041</v>
      </c>
      <c r="E163" s="140" t="s">
        <v>3042</v>
      </c>
      <c r="F163" s="143" t="s">
        <v>3043</v>
      </c>
      <c r="G163" s="95"/>
      <c r="H163" s="95"/>
      <c r="I163" s="95" t="s">
        <v>1782</v>
      </c>
      <c r="J163" s="102" t="s">
        <v>1770</v>
      </c>
      <c r="K163" s="5" t="s">
        <v>1770</v>
      </c>
      <c r="L163" s="5">
        <v>123.0</v>
      </c>
      <c r="M163" s="5">
        <v>75.0</v>
      </c>
      <c r="N163" s="5"/>
      <c r="O163" s="5">
        <v>43882.0</v>
      </c>
      <c r="P163" s="5" t="s">
        <v>1797</v>
      </c>
      <c r="Q163" s="5"/>
      <c r="R163" s="5">
        <v>549.0</v>
      </c>
      <c r="S163" s="5">
        <v>1.236985478E9</v>
      </c>
      <c r="T163" s="5"/>
      <c r="U163" s="5" t="s">
        <v>3044</v>
      </c>
      <c r="V163" s="5">
        <v>3.939380294E9</v>
      </c>
      <c r="W163" s="5" t="s">
        <v>1819</v>
      </c>
      <c r="X163" s="91">
        <v>43466.0</v>
      </c>
      <c r="Y163" s="5">
        <v>1.0</v>
      </c>
      <c r="Z163" s="5">
        <v>17.0</v>
      </c>
      <c r="AA163" s="5">
        <v>56.0</v>
      </c>
      <c r="AB163" s="5"/>
      <c r="AC163" s="5"/>
      <c r="AD163" s="5" t="s">
        <v>1770</v>
      </c>
      <c r="AE163" s="5" t="s">
        <v>1770</v>
      </c>
      <c r="AF163" s="5"/>
      <c r="AG163" s="5"/>
      <c r="AH163" s="5">
        <v>1.5986321547E10</v>
      </c>
      <c r="AI163" s="5"/>
      <c r="AJ163" s="5"/>
      <c r="AK163" s="5" t="s">
        <v>1773</v>
      </c>
      <c r="AL163" s="92">
        <v>0.0</v>
      </c>
      <c r="AM163" s="5" t="s">
        <v>1770</v>
      </c>
      <c r="AN163" s="5" t="s">
        <v>1774</v>
      </c>
      <c r="AO163" s="5"/>
      <c r="AP163" s="5"/>
      <c r="AQ163" s="5"/>
      <c r="AR163" s="5"/>
      <c r="AS163" s="5"/>
      <c r="AT163" s="5"/>
      <c r="AU163" s="5"/>
      <c r="AV163" s="5"/>
      <c r="AW163" s="5" t="s">
        <v>1770</v>
      </c>
      <c r="AX163" s="5"/>
      <c r="AY163" s="5"/>
      <c r="AZ163" s="5" t="s">
        <v>1770</v>
      </c>
      <c r="BA163" s="93">
        <v>0.0</v>
      </c>
      <c r="BB163" s="93">
        <v>0.0</v>
      </c>
      <c r="BC163" s="93">
        <v>0.0</v>
      </c>
      <c r="BD163" s="93">
        <v>0.0</v>
      </c>
      <c r="BE163" s="93">
        <v>0.0</v>
      </c>
      <c r="BF163" s="93">
        <v>0.0</v>
      </c>
      <c r="BG163" s="5"/>
      <c r="BH163" s="93">
        <v>0.0</v>
      </c>
      <c r="BI163" s="93">
        <v>0.0</v>
      </c>
      <c r="BJ163" s="93">
        <v>0.0</v>
      </c>
      <c r="BK163" s="93">
        <v>0.0</v>
      </c>
      <c r="BL163" s="93">
        <v>0.0</v>
      </c>
      <c r="BM163" s="93">
        <v>0.0</v>
      </c>
      <c r="BN163" s="93">
        <v>0.0</v>
      </c>
      <c r="BO163" s="5"/>
      <c r="BP163" s="5" t="s">
        <v>1770</v>
      </c>
      <c r="BQ163" s="5" t="s">
        <v>1775</v>
      </c>
      <c r="BR163" s="94">
        <v>43500.56487268519</v>
      </c>
      <c r="BS163" s="5">
        <v>40.0</v>
      </c>
      <c r="BT163" s="5" t="s">
        <v>1770</v>
      </c>
      <c r="BU163" s="5" t="s">
        <v>1770</v>
      </c>
      <c r="BV163" s="5" t="s">
        <v>1770</v>
      </c>
      <c r="BW163" s="5" t="s">
        <v>1770</v>
      </c>
    </row>
    <row r="164" ht="14.25" customHeight="1">
      <c r="A164" s="95">
        <v>163.0</v>
      </c>
      <c r="B164" s="95">
        <v>299.0</v>
      </c>
      <c r="C164" s="95" t="s">
        <v>3045</v>
      </c>
      <c r="D164" s="95" t="s">
        <v>2603</v>
      </c>
      <c r="E164" s="140" t="s">
        <v>1759</v>
      </c>
      <c r="F164" s="143" t="s">
        <v>3046</v>
      </c>
      <c r="G164" s="95" t="s">
        <v>3047</v>
      </c>
      <c r="H164" s="95" t="s">
        <v>1781</v>
      </c>
      <c r="I164" s="95" t="s">
        <v>1782</v>
      </c>
      <c r="J164" s="98">
        <v>31279.0</v>
      </c>
      <c r="K164" s="5">
        <v>549.0</v>
      </c>
      <c r="L164" s="5" t="s">
        <v>2868</v>
      </c>
      <c r="M164" s="5">
        <v>29.0</v>
      </c>
      <c r="N164" s="5"/>
      <c r="O164" s="5">
        <v>43886.0</v>
      </c>
      <c r="P164" s="5" t="s">
        <v>1883</v>
      </c>
      <c r="Q164" s="5" t="s">
        <v>1883</v>
      </c>
      <c r="R164" s="5">
        <v>549.0</v>
      </c>
      <c r="S164" s="5">
        <v>1.236958478E9</v>
      </c>
      <c r="T164" s="5" t="s">
        <v>3048</v>
      </c>
      <c r="U164" s="5" t="s">
        <v>3049</v>
      </c>
      <c r="V164" s="5">
        <v>3.931672526E9</v>
      </c>
      <c r="W164" s="5" t="s">
        <v>1787</v>
      </c>
      <c r="X164" s="91">
        <v>42655.0</v>
      </c>
      <c r="Y164" s="5">
        <v>1.0</v>
      </c>
      <c r="Z164" s="5">
        <v>19.0</v>
      </c>
      <c r="AA164" s="5">
        <v>45.0</v>
      </c>
      <c r="AB164" s="5" t="s">
        <v>3050</v>
      </c>
      <c r="AC164" s="5" t="s">
        <v>1800</v>
      </c>
      <c r="AD164" s="91">
        <v>45492.0</v>
      </c>
      <c r="AE164" s="91">
        <v>46953.0</v>
      </c>
      <c r="AF164" s="5"/>
      <c r="AG164" s="5"/>
      <c r="AH164" s="5">
        <v>4.138518479E9</v>
      </c>
      <c r="AI164" s="5">
        <v>23.0</v>
      </c>
      <c r="AJ164" s="5"/>
      <c r="AK164" s="5" t="s">
        <v>1773</v>
      </c>
      <c r="AL164" s="92">
        <v>0.0</v>
      </c>
      <c r="AM164" s="5" t="s">
        <v>1770</v>
      </c>
      <c r="AN164" s="5" t="s">
        <v>1830</v>
      </c>
      <c r="AO164" s="5"/>
      <c r="AP164" s="5"/>
      <c r="AQ164" s="5"/>
      <c r="AR164" s="5"/>
      <c r="AS164" s="5"/>
      <c r="AT164" s="5"/>
      <c r="AU164" s="5"/>
      <c r="AV164" s="5"/>
      <c r="AW164" s="5" t="s">
        <v>1770</v>
      </c>
      <c r="AX164" s="5"/>
      <c r="AY164" s="5"/>
      <c r="AZ164" s="5" t="s">
        <v>1770</v>
      </c>
      <c r="BA164" s="93">
        <v>0.0</v>
      </c>
      <c r="BB164" s="93">
        <v>0.0</v>
      </c>
      <c r="BC164" s="93">
        <v>0.0</v>
      </c>
      <c r="BD164" s="93">
        <v>0.0</v>
      </c>
      <c r="BE164" s="93">
        <v>0.0</v>
      </c>
      <c r="BF164" s="93">
        <v>0.0</v>
      </c>
      <c r="BG164" s="5"/>
      <c r="BH164" s="93">
        <v>0.0</v>
      </c>
      <c r="BI164" s="93">
        <v>0.0</v>
      </c>
      <c r="BJ164" s="93">
        <v>0.0</v>
      </c>
      <c r="BK164" s="93">
        <v>0.0</v>
      </c>
      <c r="BL164" s="93">
        <v>0.0</v>
      </c>
      <c r="BM164" s="93">
        <v>0.0</v>
      </c>
      <c r="BN164" s="93">
        <v>0.0</v>
      </c>
      <c r="BO164" s="5"/>
      <c r="BP164" s="5"/>
      <c r="BQ164" s="5" t="s">
        <v>1775</v>
      </c>
      <c r="BR164" s="94">
        <v>43502.75037037037</v>
      </c>
      <c r="BS164" s="5">
        <v>40.0</v>
      </c>
      <c r="BT164" s="94">
        <v>46135.40295138889</v>
      </c>
      <c r="BU164" s="5" t="s">
        <v>1770</v>
      </c>
      <c r="BV164" s="5" t="s">
        <v>1770</v>
      </c>
      <c r="BW164" s="5" t="s">
        <v>1770</v>
      </c>
    </row>
    <row r="165" ht="14.25" customHeight="1">
      <c r="A165" s="95">
        <v>164.0</v>
      </c>
      <c r="B165" s="95">
        <v>1002.0</v>
      </c>
      <c r="C165" s="95" t="s">
        <v>3051</v>
      </c>
      <c r="D165" s="95" t="s">
        <v>3052</v>
      </c>
      <c r="E165" s="140" t="s">
        <v>1758</v>
      </c>
      <c r="F165" s="143" t="s">
        <v>3053</v>
      </c>
      <c r="G165" s="95" t="s">
        <v>3054</v>
      </c>
      <c r="H165" s="95" t="s">
        <v>1781</v>
      </c>
      <c r="I165" s="95" t="s">
        <v>1782</v>
      </c>
      <c r="J165" s="98">
        <v>28398.0</v>
      </c>
      <c r="K165" s="5">
        <v>544.0</v>
      </c>
      <c r="L165" s="5">
        <v>1.0</v>
      </c>
      <c r="M165" s="5">
        <v>3.0</v>
      </c>
      <c r="N165" s="5"/>
      <c r="O165" s="5">
        <v>43882.0</v>
      </c>
      <c r="P165" s="5">
        <v>2.0</v>
      </c>
      <c r="Q165" s="5"/>
      <c r="R165" s="5">
        <v>544.0</v>
      </c>
      <c r="S165" s="5">
        <v>3.698521478E9</v>
      </c>
      <c r="T165" s="5"/>
      <c r="U165" s="5">
        <v>1.0</v>
      </c>
      <c r="V165" s="5">
        <v>2.269584712E9</v>
      </c>
      <c r="W165" s="5">
        <v>3.0</v>
      </c>
      <c r="X165" s="91">
        <v>43101.0</v>
      </c>
      <c r="Y165" s="5">
        <v>1.0</v>
      </c>
      <c r="Z165" s="5">
        <v>19.0</v>
      </c>
      <c r="AA165" s="5">
        <v>1.0</v>
      </c>
      <c r="AB165" s="5"/>
      <c r="AC165" s="5"/>
      <c r="AD165" s="5" t="s">
        <v>1770</v>
      </c>
      <c r="AE165" s="5" t="s">
        <v>1770</v>
      </c>
      <c r="AF165" s="5"/>
      <c r="AG165" s="5"/>
      <c r="AH165" s="5">
        <v>5.3017717884E10</v>
      </c>
      <c r="AI165" s="5">
        <v>22.0</v>
      </c>
      <c r="AJ165" s="5"/>
      <c r="AK165" s="5" t="s">
        <v>1773</v>
      </c>
      <c r="AL165" s="92">
        <v>0.0</v>
      </c>
      <c r="AM165" s="5" t="s">
        <v>1770</v>
      </c>
      <c r="AN165" s="5" t="s">
        <v>1774</v>
      </c>
      <c r="AO165" s="5"/>
      <c r="AP165" s="5"/>
      <c r="AQ165" s="5"/>
      <c r="AR165" s="5">
        <v>0.0</v>
      </c>
      <c r="AS165" s="5"/>
      <c r="AT165" s="5"/>
      <c r="AU165" s="5"/>
      <c r="AV165" s="5"/>
      <c r="AW165" s="5" t="s">
        <v>1770</v>
      </c>
      <c r="AX165" s="5"/>
      <c r="AY165" s="5"/>
      <c r="AZ165" s="5" t="s">
        <v>1770</v>
      </c>
      <c r="BA165" s="93">
        <v>0.0</v>
      </c>
      <c r="BB165" s="93">
        <v>0.0</v>
      </c>
      <c r="BC165" s="93">
        <v>0.0</v>
      </c>
      <c r="BD165" s="93">
        <v>0.0</v>
      </c>
      <c r="BE165" s="93">
        <v>0.0</v>
      </c>
      <c r="BF165" s="93">
        <v>0.0</v>
      </c>
      <c r="BG165" s="5"/>
      <c r="BH165" s="93">
        <v>0.0</v>
      </c>
      <c r="BI165" s="93">
        <v>0.0</v>
      </c>
      <c r="BJ165" s="93">
        <v>0.0</v>
      </c>
      <c r="BK165" s="93">
        <v>0.0</v>
      </c>
      <c r="BL165" s="93">
        <v>0.0</v>
      </c>
      <c r="BM165" s="93">
        <v>0.0</v>
      </c>
      <c r="BN165" s="93">
        <v>0.0</v>
      </c>
      <c r="BO165" s="5"/>
      <c r="BP165" s="5" t="s">
        <v>1770</v>
      </c>
      <c r="BQ165" s="5" t="s">
        <v>1789</v>
      </c>
      <c r="BR165" s="94">
        <v>43509.72157407407</v>
      </c>
      <c r="BS165" s="5">
        <v>40.0</v>
      </c>
      <c r="BT165" s="5" t="s">
        <v>1770</v>
      </c>
      <c r="BU165" s="5" t="s">
        <v>1770</v>
      </c>
      <c r="BV165" s="94">
        <v>44645.52127314815</v>
      </c>
      <c r="BW165" s="5">
        <v>167.0</v>
      </c>
    </row>
    <row r="166" ht="14.25" customHeight="1">
      <c r="A166" s="95">
        <v>165.0</v>
      </c>
      <c r="B166" s="95">
        <v>437.0</v>
      </c>
      <c r="C166" s="95" t="s">
        <v>3055</v>
      </c>
      <c r="D166" s="95" t="s">
        <v>3056</v>
      </c>
      <c r="E166" s="140" t="s">
        <v>3057</v>
      </c>
      <c r="F166" s="143" t="s">
        <v>3058</v>
      </c>
      <c r="G166" s="95" t="s">
        <v>3059</v>
      </c>
      <c r="H166" s="95" t="s">
        <v>1972</v>
      </c>
      <c r="I166" s="95" t="s">
        <v>1782</v>
      </c>
      <c r="J166" s="98">
        <v>34656.0</v>
      </c>
      <c r="K166" s="5">
        <v>594.0</v>
      </c>
      <c r="L166" s="5" t="s">
        <v>3060</v>
      </c>
      <c r="M166" s="5">
        <v>240.0</v>
      </c>
      <c r="N166" s="5"/>
      <c r="O166" s="5">
        <v>41922.0</v>
      </c>
      <c r="P166" s="5" t="s">
        <v>1797</v>
      </c>
      <c r="Q166" s="5" t="s">
        <v>2349</v>
      </c>
      <c r="R166" s="5">
        <v>597.0</v>
      </c>
      <c r="S166" s="5">
        <v>3.313441836E9</v>
      </c>
      <c r="T166" s="5" t="s">
        <v>3061</v>
      </c>
      <c r="U166" s="5" t="s">
        <v>3062</v>
      </c>
      <c r="V166" s="5">
        <v>3.334589568E9</v>
      </c>
      <c r="W166" s="5" t="s">
        <v>1819</v>
      </c>
      <c r="X166" s="91">
        <v>43502.0</v>
      </c>
      <c r="Y166" s="5">
        <v>5.0</v>
      </c>
      <c r="Z166" s="5">
        <v>3.0</v>
      </c>
      <c r="AA166" s="5">
        <v>1.0</v>
      </c>
      <c r="AB166" s="5"/>
      <c r="AC166" s="5"/>
      <c r="AD166" s="5" t="s">
        <v>1770</v>
      </c>
      <c r="AE166" s="5" t="s">
        <v>1770</v>
      </c>
      <c r="AF166" s="5">
        <v>1.524430207E9</v>
      </c>
      <c r="AG166" s="5">
        <v>1.2180015244302072E16</v>
      </c>
      <c r="AH166" s="5">
        <v>7.5129401479E10</v>
      </c>
      <c r="AI166" s="5">
        <v>95.0</v>
      </c>
      <c r="AJ166" s="5"/>
      <c r="AK166" s="5" t="s">
        <v>1773</v>
      </c>
      <c r="AL166" s="92">
        <v>0.0</v>
      </c>
      <c r="AM166" s="5" t="s">
        <v>1770</v>
      </c>
      <c r="AN166" s="5" t="s">
        <v>1830</v>
      </c>
      <c r="AO166" s="5"/>
      <c r="AP166" s="5"/>
      <c r="AQ166" s="5"/>
      <c r="AR166" s="5"/>
      <c r="AS166" s="5"/>
      <c r="AT166" s="5" t="s">
        <v>2184</v>
      </c>
      <c r="AU166" s="5" t="s">
        <v>3063</v>
      </c>
      <c r="AV166" s="5" t="s">
        <v>1917</v>
      </c>
      <c r="AW166" s="91">
        <v>43449.0</v>
      </c>
      <c r="AX166" s="5"/>
      <c r="AY166" s="5"/>
      <c r="AZ166" s="5" t="s">
        <v>1770</v>
      </c>
      <c r="BA166" s="93">
        <v>0.0</v>
      </c>
      <c r="BB166" s="93">
        <v>0.0</v>
      </c>
      <c r="BC166" s="93">
        <v>0.0</v>
      </c>
      <c r="BD166" s="93">
        <v>0.0</v>
      </c>
      <c r="BE166" s="93">
        <v>0.0</v>
      </c>
      <c r="BF166" s="93">
        <v>0.0</v>
      </c>
      <c r="BG166" s="5"/>
      <c r="BH166" s="93">
        <v>0.0</v>
      </c>
      <c r="BI166" s="93">
        <v>0.0</v>
      </c>
      <c r="BJ166" s="93">
        <v>0.0</v>
      </c>
      <c r="BK166" s="93">
        <v>0.0</v>
      </c>
      <c r="BL166" s="93">
        <v>0.0</v>
      </c>
      <c r="BM166" s="93">
        <v>0.0</v>
      </c>
      <c r="BN166" s="93">
        <v>0.0</v>
      </c>
      <c r="BO166" s="5"/>
      <c r="BP166" s="5" t="s">
        <v>1770</v>
      </c>
      <c r="BQ166" s="5" t="s">
        <v>1789</v>
      </c>
      <c r="BR166" s="94">
        <v>43515.58076388889</v>
      </c>
      <c r="BS166" s="5">
        <v>40.0</v>
      </c>
      <c r="BT166" s="94">
        <v>43768.54446759259</v>
      </c>
      <c r="BU166" s="5">
        <v>40.0</v>
      </c>
      <c r="BV166" s="94">
        <v>44060.54761574074</v>
      </c>
      <c r="BW166" s="5">
        <v>83.0</v>
      </c>
    </row>
    <row r="167" ht="14.25" customHeight="1">
      <c r="A167" s="95">
        <v>166.0</v>
      </c>
      <c r="B167" s="95">
        <v>438.0</v>
      </c>
      <c r="C167" s="95" t="s">
        <v>3064</v>
      </c>
      <c r="D167" s="95" t="s">
        <v>3065</v>
      </c>
      <c r="E167" s="140" t="s">
        <v>2464</v>
      </c>
      <c r="F167" s="143" t="s">
        <v>3066</v>
      </c>
      <c r="G167" s="95" t="s">
        <v>3067</v>
      </c>
      <c r="H167" s="95" t="s">
        <v>1972</v>
      </c>
      <c r="I167" s="95" t="s">
        <v>1782</v>
      </c>
      <c r="J167" s="98">
        <v>34510.0</v>
      </c>
      <c r="K167" s="5">
        <v>792.0</v>
      </c>
      <c r="L167" s="5" t="s">
        <v>3068</v>
      </c>
      <c r="M167" s="5">
        <v>75.0</v>
      </c>
      <c r="N167" s="5"/>
      <c r="O167" s="5">
        <v>54922.0</v>
      </c>
      <c r="P167" s="5" t="s">
        <v>1797</v>
      </c>
      <c r="Q167" s="100" t="s">
        <v>2592</v>
      </c>
      <c r="R167" s="5">
        <v>792.0</v>
      </c>
      <c r="S167" s="5">
        <v>3.939352465E9</v>
      </c>
      <c r="T167" s="5"/>
      <c r="U167" s="5" t="s">
        <v>3069</v>
      </c>
      <c r="V167" s="5">
        <v>3.939352465E9</v>
      </c>
      <c r="W167" s="5" t="s">
        <v>1808</v>
      </c>
      <c r="X167" s="91">
        <v>43508.0</v>
      </c>
      <c r="Y167" s="5">
        <v>5.0</v>
      </c>
      <c r="Z167" s="5">
        <v>4.0</v>
      </c>
      <c r="AA167" s="5">
        <v>39.0</v>
      </c>
      <c r="AB167" s="5"/>
      <c r="AC167" s="5"/>
      <c r="AD167" s="5" t="s">
        <v>1770</v>
      </c>
      <c r="AE167" s="5" t="s">
        <v>1770</v>
      </c>
      <c r="AF167" s="5">
        <v>1.524926504E9</v>
      </c>
      <c r="AG167" s="5">
        <v>1.2361015249265044E16</v>
      </c>
      <c r="AH167" s="5">
        <v>1.1169443444E10</v>
      </c>
      <c r="AI167" s="5">
        <v>23.0</v>
      </c>
      <c r="AJ167" s="5"/>
      <c r="AK167" s="5" t="s">
        <v>1773</v>
      </c>
      <c r="AL167" s="92">
        <v>0.0</v>
      </c>
      <c r="AM167" s="5" t="s">
        <v>1770</v>
      </c>
      <c r="AN167" s="5" t="s">
        <v>1788</v>
      </c>
      <c r="AO167" s="5"/>
      <c r="AP167" s="5"/>
      <c r="AQ167" s="5"/>
      <c r="AR167" s="5"/>
      <c r="AS167" s="5"/>
      <c r="AT167" s="5"/>
      <c r="AU167" s="5"/>
      <c r="AV167" s="5"/>
      <c r="AW167" s="5" t="s">
        <v>1770</v>
      </c>
      <c r="AX167" s="5"/>
      <c r="AY167" s="5"/>
      <c r="AZ167" s="5" t="s">
        <v>1770</v>
      </c>
      <c r="BA167" s="93">
        <v>0.0</v>
      </c>
      <c r="BB167" s="93">
        <v>0.0</v>
      </c>
      <c r="BC167" s="93">
        <v>0.0</v>
      </c>
      <c r="BD167" s="93">
        <v>0.0</v>
      </c>
      <c r="BE167" s="93">
        <v>0.0</v>
      </c>
      <c r="BF167" s="93">
        <v>0.0</v>
      </c>
      <c r="BG167" s="5"/>
      <c r="BH167" s="93">
        <v>0.0</v>
      </c>
      <c r="BI167" s="93">
        <v>0.0</v>
      </c>
      <c r="BJ167" s="93">
        <v>0.0</v>
      </c>
      <c r="BK167" s="93">
        <v>0.0</v>
      </c>
      <c r="BL167" s="93">
        <v>0.0</v>
      </c>
      <c r="BM167" s="93">
        <v>0.0</v>
      </c>
      <c r="BN167" s="93">
        <v>0.0</v>
      </c>
      <c r="BO167" s="5"/>
      <c r="BP167" s="5" t="s">
        <v>1770</v>
      </c>
      <c r="BQ167" s="5" t="s">
        <v>1789</v>
      </c>
      <c r="BR167" s="94">
        <v>43515.587222222224</v>
      </c>
      <c r="BS167" s="5">
        <v>40.0</v>
      </c>
      <c r="BT167" s="94">
        <v>43686.733310185184</v>
      </c>
      <c r="BU167" s="5">
        <v>40.0</v>
      </c>
      <c r="BV167" s="94">
        <v>44392.70521990741</v>
      </c>
      <c r="BW167" s="5">
        <v>40.0</v>
      </c>
    </row>
    <row r="168" ht="14.25" customHeight="1">
      <c r="A168" s="95">
        <v>167.0</v>
      </c>
      <c r="B168" s="95">
        <v>370.0</v>
      </c>
      <c r="C168" s="95" t="s">
        <v>2125</v>
      </c>
      <c r="D168" s="95" t="s">
        <v>1926</v>
      </c>
      <c r="E168" s="140" t="s">
        <v>3070</v>
      </c>
      <c r="F168" s="143" t="s">
        <v>3071</v>
      </c>
      <c r="G168" s="95" t="s">
        <v>3072</v>
      </c>
      <c r="H168" s="95" t="s">
        <v>1781</v>
      </c>
      <c r="I168" s="95" t="s">
        <v>1782</v>
      </c>
      <c r="J168" s="98">
        <v>27585.0</v>
      </c>
      <c r="K168" s="5">
        <v>549.0</v>
      </c>
      <c r="L168" s="5" t="s">
        <v>3073</v>
      </c>
      <c r="M168" s="5">
        <v>108.0</v>
      </c>
      <c r="N168" s="5"/>
      <c r="O168" s="5">
        <v>43884.0</v>
      </c>
      <c r="P168" s="5" t="s">
        <v>2032</v>
      </c>
      <c r="Q168" s="5" t="s">
        <v>1766</v>
      </c>
      <c r="R168" s="5">
        <v>549.0</v>
      </c>
      <c r="S168" s="5">
        <v>3.931041968E9</v>
      </c>
      <c r="T168" s="5"/>
      <c r="U168" s="100" t="s">
        <v>3074</v>
      </c>
      <c r="V168" s="5">
        <v>3.931241022E9</v>
      </c>
      <c r="W168" s="5" t="s">
        <v>1787</v>
      </c>
      <c r="X168" s="91">
        <v>43171.0</v>
      </c>
      <c r="Y168" s="5">
        <v>1.0</v>
      </c>
      <c r="Z168" s="5">
        <v>17.0</v>
      </c>
      <c r="AA168" s="5">
        <v>56.0</v>
      </c>
      <c r="AB168" s="5"/>
      <c r="AC168" s="5"/>
      <c r="AD168" s="5" t="s">
        <v>1770</v>
      </c>
      <c r="AE168" s="5" t="s">
        <v>1770</v>
      </c>
      <c r="AF168" s="5"/>
      <c r="AG168" s="5"/>
      <c r="AH168" s="5">
        <v>4.047501608E9</v>
      </c>
      <c r="AI168" s="5">
        <v>23.0</v>
      </c>
      <c r="AJ168" s="5"/>
      <c r="AK168" s="5" t="s">
        <v>1773</v>
      </c>
      <c r="AL168" s="92">
        <v>0.0</v>
      </c>
      <c r="AM168" s="5" t="s">
        <v>1770</v>
      </c>
      <c r="AN168" s="5" t="s">
        <v>3012</v>
      </c>
      <c r="AO168" s="5"/>
      <c r="AP168" s="5"/>
      <c r="AQ168" s="5"/>
      <c r="AR168" s="5"/>
      <c r="AS168" s="5"/>
      <c r="AT168" s="5"/>
      <c r="AU168" s="5"/>
      <c r="AV168" s="5"/>
      <c r="AW168" s="5" t="s">
        <v>1770</v>
      </c>
      <c r="AX168" s="5"/>
      <c r="AY168" s="5"/>
      <c r="AZ168" s="5" t="s">
        <v>1770</v>
      </c>
      <c r="BA168" s="93">
        <v>0.0</v>
      </c>
      <c r="BB168" s="93">
        <v>0.0</v>
      </c>
      <c r="BC168" s="93">
        <v>0.0</v>
      </c>
      <c r="BD168" s="93">
        <v>0.0</v>
      </c>
      <c r="BE168" s="93">
        <v>0.0</v>
      </c>
      <c r="BF168" s="93">
        <v>0.0</v>
      </c>
      <c r="BG168" s="5"/>
      <c r="BH168" s="93">
        <v>0.0</v>
      </c>
      <c r="BI168" s="93">
        <v>0.0</v>
      </c>
      <c r="BJ168" s="93">
        <v>0.0</v>
      </c>
      <c r="BK168" s="93">
        <v>0.0</v>
      </c>
      <c r="BL168" s="93">
        <v>0.0</v>
      </c>
      <c r="BM168" s="93">
        <v>0.0</v>
      </c>
      <c r="BN168" s="93">
        <v>0.0</v>
      </c>
      <c r="BO168" s="5"/>
      <c r="BP168" s="5" t="s">
        <v>1770</v>
      </c>
      <c r="BQ168" s="5" t="s">
        <v>1789</v>
      </c>
      <c r="BR168" s="94">
        <v>43539.48106481481</v>
      </c>
      <c r="BS168" s="5">
        <v>40.0</v>
      </c>
      <c r="BT168" s="94">
        <v>44649.90692129629</v>
      </c>
      <c r="BU168" s="5">
        <v>184.0</v>
      </c>
      <c r="BV168" s="94">
        <v>44742.62857638889</v>
      </c>
      <c r="BW168" s="5">
        <v>167.0</v>
      </c>
    </row>
    <row r="169" ht="14.25" customHeight="1">
      <c r="A169" s="95">
        <v>168.0</v>
      </c>
      <c r="B169" s="95">
        <v>10002.0</v>
      </c>
      <c r="C169" s="95" t="s">
        <v>2685</v>
      </c>
      <c r="D169" s="95" t="s">
        <v>1872</v>
      </c>
      <c r="E169" s="140" t="s">
        <v>1873</v>
      </c>
      <c r="F169" s="143" t="s">
        <v>3075</v>
      </c>
      <c r="G169" s="95"/>
      <c r="H169" s="95" t="s">
        <v>1781</v>
      </c>
      <c r="I169" s="95" t="s">
        <v>1782</v>
      </c>
      <c r="J169" s="98">
        <v>25553.0</v>
      </c>
      <c r="K169" s="5">
        <v>544.0</v>
      </c>
      <c r="L169" s="5">
        <v>1.0</v>
      </c>
      <c r="M169" s="5">
        <v>2.0</v>
      </c>
      <c r="N169" s="5"/>
      <c r="O169" s="5">
        <v>43882.0</v>
      </c>
      <c r="P169" s="5">
        <v>2.0</v>
      </c>
      <c r="Q169" s="5" t="s">
        <v>1766</v>
      </c>
      <c r="R169" s="5">
        <v>549.0</v>
      </c>
      <c r="S169" s="5">
        <v>1.236958478E9</v>
      </c>
      <c r="T169" s="5"/>
      <c r="U169" s="5">
        <v>1.0</v>
      </c>
      <c r="V169" s="5">
        <v>1.269584735E9</v>
      </c>
      <c r="W169" s="5" t="s">
        <v>3076</v>
      </c>
      <c r="X169" s="91">
        <v>43551.0</v>
      </c>
      <c r="Y169" s="5" t="s">
        <v>1770</v>
      </c>
      <c r="Z169" s="5">
        <v>17.0</v>
      </c>
      <c r="AA169" s="5">
        <v>106.0</v>
      </c>
      <c r="AB169" s="5"/>
      <c r="AC169" s="5"/>
      <c r="AD169" s="5" t="s">
        <v>1770</v>
      </c>
      <c r="AE169" s="5" t="s">
        <v>1770</v>
      </c>
      <c r="AF169" s="5"/>
      <c r="AG169" s="5"/>
      <c r="AH169" s="5">
        <v>1.4596871254E10</v>
      </c>
      <c r="AI169" s="5">
        <v>23.0</v>
      </c>
      <c r="AJ169" s="5"/>
      <c r="AK169" s="5" t="s">
        <v>1773</v>
      </c>
      <c r="AL169" s="92">
        <v>0.0</v>
      </c>
      <c r="AM169" s="5" t="s">
        <v>1770</v>
      </c>
      <c r="AN169" s="5" t="s">
        <v>3077</v>
      </c>
      <c r="AO169" s="5"/>
      <c r="AP169" s="5"/>
      <c r="AQ169" s="5"/>
      <c r="AR169" s="5"/>
      <c r="AS169" s="5"/>
      <c r="AT169" s="5"/>
      <c r="AU169" s="5"/>
      <c r="AV169" s="5"/>
      <c r="AW169" s="5" t="s">
        <v>1770</v>
      </c>
      <c r="AX169" s="5"/>
      <c r="AY169" s="5"/>
      <c r="AZ169" s="5" t="s">
        <v>1770</v>
      </c>
      <c r="BA169" s="93">
        <v>0.0</v>
      </c>
      <c r="BB169" s="93">
        <v>0.0</v>
      </c>
      <c r="BC169" s="93">
        <v>0.0</v>
      </c>
      <c r="BD169" s="93">
        <v>0.0</v>
      </c>
      <c r="BE169" s="93">
        <v>0.0</v>
      </c>
      <c r="BF169" s="93">
        <v>0.0</v>
      </c>
      <c r="BG169" s="5"/>
      <c r="BH169" s="93">
        <v>0.0</v>
      </c>
      <c r="BI169" s="93">
        <v>0.0</v>
      </c>
      <c r="BJ169" s="93">
        <v>0.0</v>
      </c>
      <c r="BK169" s="93">
        <v>0.0</v>
      </c>
      <c r="BL169" s="93">
        <v>0.0</v>
      </c>
      <c r="BM169" s="93">
        <v>0.0</v>
      </c>
      <c r="BN169" s="93">
        <v>0.0</v>
      </c>
      <c r="BO169" s="5"/>
      <c r="BP169" s="5" t="s">
        <v>1770</v>
      </c>
      <c r="BQ169" s="5" t="s">
        <v>1775</v>
      </c>
      <c r="BR169" s="94">
        <v>43551.50201388889</v>
      </c>
      <c r="BS169" s="5">
        <v>40.0</v>
      </c>
      <c r="BT169" s="94">
        <v>45892.584074074075</v>
      </c>
      <c r="BU169" s="5">
        <v>40.0</v>
      </c>
      <c r="BV169" s="5" t="s">
        <v>1770</v>
      </c>
      <c r="BW169" s="5" t="s">
        <v>1770</v>
      </c>
    </row>
    <row r="170" ht="14.25" customHeight="1">
      <c r="A170" s="95">
        <v>169.0</v>
      </c>
      <c r="B170" s="95">
        <v>443.0</v>
      </c>
      <c r="C170" s="95" t="s">
        <v>3078</v>
      </c>
      <c r="D170" s="95" t="s">
        <v>2259</v>
      </c>
      <c r="E170" s="140" t="s">
        <v>2534</v>
      </c>
      <c r="F170" s="143" t="s">
        <v>3079</v>
      </c>
      <c r="G170" s="95" t="s">
        <v>3080</v>
      </c>
      <c r="H170" s="95" t="s">
        <v>2671</v>
      </c>
      <c r="I170" s="95" t="s">
        <v>1763</v>
      </c>
      <c r="J170" s="98">
        <v>33973.0</v>
      </c>
      <c r="K170" s="5">
        <v>857.0</v>
      </c>
      <c r="L170" s="5" t="s">
        <v>3081</v>
      </c>
      <c r="M170" s="5">
        <v>18.0</v>
      </c>
      <c r="N170" s="5"/>
      <c r="O170" s="5">
        <v>54922.0</v>
      </c>
      <c r="P170" s="5" t="s">
        <v>1797</v>
      </c>
      <c r="Q170" s="5"/>
      <c r="R170" s="5">
        <v>792.0</v>
      </c>
      <c r="S170" s="5">
        <v>3.931073161E9</v>
      </c>
      <c r="T170" s="5" t="s">
        <v>3082</v>
      </c>
      <c r="U170" s="5" t="s">
        <v>3083</v>
      </c>
      <c r="V170" s="5">
        <v>3.93935398E9</v>
      </c>
      <c r="W170" s="5" t="s">
        <v>1769</v>
      </c>
      <c r="X170" s="91">
        <v>43556.0</v>
      </c>
      <c r="Y170" s="5">
        <v>1.0</v>
      </c>
      <c r="Z170" s="5">
        <v>18.0</v>
      </c>
      <c r="AA170" s="5">
        <v>1.0</v>
      </c>
      <c r="AB170" s="5" t="s">
        <v>3084</v>
      </c>
      <c r="AC170" s="5" t="s">
        <v>1772</v>
      </c>
      <c r="AD170" s="91">
        <v>43544.0</v>
      </c>
      <c r="AE170" s="91">
        <v>45005.0</v>
      </c>
      <c r="AF170" s="5">
        <v>1.531337869E9</v>
      </c>
      <c r="AG170" s="5">
        <v>1.2361015313378692E16</v>
      </c>
      <c r="AH170" s="5">
        <v>1.169354469E9</v>
      </c>
      <c r="AI170" s="5">
        <v>23.0</v>
      </c>
      <c r="AJ170" s="5"/>
      <c r="AK170" s="5" t="s">
        <v>1773</v>
      </c>
      <c r="AL170" s="92">
        <v>0.0</v>
      </c>
      <c r="AM170" s="5" t="s">
        <v>1770</v>
      </c>
      <c r="AN170" s="5" t="s">
        <v>1774</v>
      </c>
      <c r="AO170" s="5"/>
      <c r="AP170" s="5"/>
      <c r="AQ170" s="5"/>
      <c r="AR170" s="5"/>
      <c r="AS170" s="5"/>
      <c r="AT170" s="5" t="s">
        <v>2184</v>
      </c>
      <c r="AU170" s="5" t="s">
        <v>3085</v>
      </c>
      <c r="AV170" s="5" t="s">
        <v>3086</v>
      </c>
      <c r="AW170" s="91">
        <v>43286.0</v>
      </c>
      <c r="AX170" s="5"/>
      <c r="AY170" s="5"/>
      <c r="AZ170" s="5" t="s">
        <v>1770</v>
      </c>
      <c r="BA170" s="93">
        <v>0.0</v>
      </c>
      <c r="BB170" s="93">
        <v>0.0</v>
      </c>
      <c r="BC170" s="93">
        <v>0.0</v>
      </c>
      <c r="BD170" s="93">
        <v>0.0</v>
      </c>
      <c r="BE170" s="93">
        <v>0.0</v>
      </c>
      <c r="BF170" s="93">
        <v>0.0</v>
      </c>
      <c r="BG170" s="5"/>
      <c r="BH170" s="93">
        <v>0.0</v>
      </c>
      <c r="BI170" s="93">
        <v>0.0</v>
      </c>
      <c r="BJ170" s="93">
        <v>0.0</v>
      </c>
      <c r="BK170" s="93">
        <v>0.0</v>
      </c>
      <c r="BL170" s="93">
        <v>0.0</v>
      </c>
      <c r="BM170" s="93">
        <v>0.0</v>
      </c>
      <c r="BN170" s="93">
        <v>0.0</v>
      </c>
      <c r="BO170" s="5"/>
      <c r="BP170" s="5" t="s">
        <v>1770</v>
      </c>
      <c r="BQ170" s="5" t="s">
        <v>1789</v>
      </c>
      <c r="BR170" s="94">
        <v>43564.68431712963</v>
      </c>
      <c r="BS170" s="5">
        <v>40.0</v>
      </c>
      <c r="BT170" s="94">
        <v>43768.54460648148</v>
      </c>
      <c r="BU170" s="5">
        <v>40.0</v>
      </c>
      <c r="BV170" s="94">
        <v>44060.54800925926</v>
      </c>
      <c r="BW170" s="5">
        <v>83.0</v>
      </c>
    </row>
    <row r="171" ht="14.25" customHeight="1">
      <c r="A171" s="95">
        <v>170.0</v>
      </c>
      <c r="B171" s="95">
        <v>444.0</v>
      </c>
      <c r="C171" s="95" t="s">
        <v>3087</v>
      </c>
      <c r="D171" s="95" t="s">
        <v>3088</v>
      </c>
      <c r="E171" s="140" t="s">
        <v>2307</v>
      </c>
      <c r="F171" s="144" t="s">
        <v>3089</v>
      </c>
      <c r="G171" s="95" t="s">
        <v>3090</v>
      </c>
      <c r="H171" s="95" t="s">
        <v>1972</v>
      </c>
      <c r="I171" s="95" t="s">
        <v>1782</v>
      </c>
      <c r="J171" s="98">
        <v>34991.0</v>
      </c>
      <c r="K171" s="5">
        <v>549.0</v>
      </c>
      <c r="L171" s="5" t="s">
        <v>3091</v>
      </c>
      <c r="M171" s="5">
        <v>14.0</v>
      </c>
      <c r="N171" s="5"/>
      <c r="O171" s="5">
        <v>43702.0</v>
      </c>
      <c r="P171" s="5" t="s">
        <v>1797</v>
      </c>
      <c r="Q171" s="5" t="s">
        <v>3092</v>
      </c>
      <c r="R171" s="5">
        <v>636.0</v>
      </c>
      <c r="S171" s="5">
        <v>3.317716635E9</v>
      </c>
      <c r="T171" s="5" t="s">
        <v>3093</v>
      </c>
      <c r="U171" s="5" t="s">
        <v>3094</v>
      </c>
      <c r="V171" s="5">
        <v>3.312925826E9</v>
      </c>
      <c r="W171" s="5" t="s">
        <v>2610</v>
      </c>
      <c r="X171" s="91">
        <v>43556.0</v>
      </c>
      <c r="Y171" s="5">
        <v>5.0</v>
      </c>
      <c r="Z171" s="5">
        <v>19.0</v>
      </c>
      <c r="AA171" s="5">
        <v>1.0</v>
      </c>
      <c r="AB171" s="5" t="s">
        <v>3095</v>
      </c>
      <c r="AC171" s="5" t="s">
        <v>1772</v>
      </c>
      <c r="AD171" s="91">
        <v>43543.0</v>
      </c>
      <c r="AE171" s="91">
        <v>45004.0</v>
      </c>
      <c r="AF171" s="5">
        <v>1.527512465E9</v>
      </c>
      <c r="AG171" s="5">
        <v>1.2180015275124656E16</v>
      </c>
      <c r="AH171" s="5">
        <v>4.169549732E9</v>
      </c>
      <c r="AI171" s="5">
        <v>67.0</v>
      </c>
      <c r="AJ171" s="5"/>
      <c r="AK171" s="5" t="s">
        <v>1773</v>
      </c>
      <c r="AL171" s="92">
        <v>0.0</v>
      </c>
      <c r="AM171" s="5" t="s">
        <v>1770</v>
      </c>
      <c r="AN171" s="5" t="s">
        <v>1774</v>
      </c>
      <c r="AO171" s="5"/>
      <c r="AP171" s="5"/>
      <c r="AQ171" s="5"/>
      <c r="AR171" s="5"/>
      <c r="AS171" s="5"/>
      <c r="AT171" s="5" t="s">
        <v>2184</v>
      </c>
      <c r="AU171" s="5" t="s">
        <v>3096</v>
      </c>
      <c r="AV171" s="5" t="s">
        <v>3086</v>
      </c>
      <c r="AW171" s="91">
        <v>43442.0</v>
      </c>
      <c r="AX171" s="5"/>
      <c r="AY171" s="5"/>
      <c r="AZ171" s="5" t="s">
        <v>1770</v>
      </c>
      <c r="BA171" s="93">
        <v>0.0</v>
      </c>
      <c r="BB171" s="93">
        <v>0.0</v>
      </c>
      <c r="BC171" s="93">
        <v>0.0</v>
      </c>
      <c r="BD171" s="93">
        <v>0.0</v>
      </c>
      <c r="BE171" s="93">
        <v>0.0</v>
      </c>
      <c r="BF171" s="93">
        <v>0.0</v>
      </c>
      <c r="BG171" s="5"/>
      <c r="BH171" s="93">
        <v>0.0</v>
      </c>
      <c r="BI171" s="93">
        <v>0.0</v>
      </c>
      <c r="BJ171" s="93">
        <v>0.0</v>
      </c>
      <c r="BK171" s="93">
        <v>0.0</v>
      </c>
      <c r="BL171" s="93">
        <v>0.0</v>
      </c>
      <c r="BM171" s="93">
        <v>0.0</v>
      </c>
      <c r="BN171" s="93">
        <v>0.0</v>
      </c>
      <c r="BO171" s="5"/>
      <c r="BP171" s="5" t="s">
        <v>1770</v>
      </c>
      <c r="BQ171" s="5" t="s">
        <v>1789</v>
      </c>
      <c r="BR171" s="94">
        <v>43564.690671296295</v>
      </c>
      <c r="BS171" s="5">
        <v>40.0</v>
      </c>
      <c r="BT171" s="94">
        <v>43637.74778935185</v>
      </c>
      <c r="BU171" s="5">
        <v>13.0</v>
      </c>
      <c r="BV171" s="94">
        <v>44060.546273148146</v>
      </c>
      <c r="BW171" s="5">
        <v>83.0</v>
      </c>
    </row>
    <row r="172" ht="14.25" customHeight="1">
      <c r="A172" s="95">
        <v>171.0</v>
      </c>
      <c r="B172" s="95">
        <v>445.0</v>
      </c>
      <c r="C172" s="95" t="s">
        <v>3097</v>
      </c>
      <c r="D172" s="95" t="s">
        <v>2001</v>
      </c>
      <c r="E172" s="140" t="s">
        <v>3098</v>
      </c>
      <c r="F172" s="144" t="s">
        <v>3099</v>
      </c>
      <c r="G172" s="95" t="s">
        <v>3100</v>
      </c>
      <c r="H172" s="95" t="s">
        <v>1781</v>
      </c>
      <c r="I172" s="95" t="s">
        <v>1782</v>
      </c>
      <c r="J172" s="142">
        <v>33382.0</v>
      </c>
      <c r="K172" s="5">
        <v>850.0</v>
      </c>
      <c r="L172" s="5" t="s">
        <v>3101</v>
      </c>
      <c r="M172" s="5">
        <v>503.0</v>
      </c>
      <c r="N172" s="5"/>
      <c r="O172" s="5">
        <v>55102.0</v>
      </c>
      <c r="P172" s="5" t="s">
        <v>1797</v>
      </c>
      <c r="Q172" s="5" t="s">
        <v>234</v>
      </c>
      <c r="R172" s="5">
        <v>850.0</v>
      </c>
      <c r="S172" s="5">
        <v>3.525579083E9</v>
      </c>
      <c r="T172" s="5" t="s">
        <v>3102</v>
      </c>
      <c r="U172" s="5" t="s">
        <v>3103</v>
      </c>
      <c r="V172" s="5">
        <v>3.521445268E9</v>
      </c>
      <c r="W172" s="5" t="s">
        <v>1924</v>
      </c>
      <c r="X172" s="91">
        <v>43586.0</v>
      </c>
      <c r="Y172" s="5">
        <v>3.0</v>
      </c>
      <c r="Z172" s="5">
        <v>19.0</v>
      </c>
      <c r="AA172" s="5">
        <v>45.0</v>
      </c>
      <c r="AB172" s="5" t="s">
        <v>3104</v>
      </c>
      <c r="AC172" s="5" t="s">
        <v>1800</v>
      </c>
      <c r="AD172" s="91">
        <v>43439.0</v>
      </c>
      <c r="AE172" s="91">
        <v>44900.0</v>
      </c>
      <c r="AF172" s="5"/>
      <c r="AG172" s="5"/>
      <c r="AH172" s="5">
        <v>5.3079114665E10</v>
      </c>
      <c r="AI172" s="5">
        <v>77.0</v>
      </c>
      <c r="AJ172" s="5"/>
      <c r="AK172" s="5" t="s">
        <v>1773</v>
      </c>
      <c r="AL172" s="92">
        <v>0.0</v>
      </c>
      <c r="AM172" s="5" t="s">
        <v>1770</v>
      </c>
      <c r="AN172" s="5" t="s">
        <v>1830</v>
      </c>
      <c r="AO172" s="5"/>
      <c r="AP172" s="5"/>
      <c r="AQ172" s="5"/>
      <c r="AR172" s="5"/>
      <c r="AS172" s="5"/>
      <c r="AT172" s="5"/>
      <c r="AU172" s="5"/>
      <c r="AV172" s="5"/>
      <c r="AW172" s="5" t="s">
        <v>1770</v>
      </c>
      <c r="AX172" s="5"/>
      <c r="AY172" s="5"/>
      <c r="AZ172" s="5" t="s">
        <v>1770</v>
      </c>
      <c r="BA172" s="93">
        <v>0.0</v>
      </c>
      <c r="BB172" s="93">
        <v>0.0</v>
      </c>
      <c r="BC172" s="93">
        <v>0.0</v>
      </c>
      <c r="BD172" s="93">
        <v>0.0</v>
      </c>
      <c r="BE172" s="93">
        <v>0.0</v>
      </c>
      <c r="BF172" s="93">
        <v>0.0</v>
      </c>
      <c r="BG172" s="5"/>
      <c r="BH172" s="93">
        <v>0.0</v>
      </c>
      <c r="BI172" s="93">
        <v>0.0</v>
      </c>
      <c r="BJ172" s="93">
        <v>0.0</v>
      </c>
      <c r="BK172" s="93">
        <v>0.0</v>
      </c>
      <c r="BL172" s="93">
        <v>0.0</v>
      </c>
      <c r="BM172" s="93">
        <v>0.0</v>
      </c>
      <c r="BN172" s="93">
        <v>0.0</v>
      </c>
      <c r="BO172" s="5"/>
      <c r="BP172" s="5" t="s">
        <v>1770</v>
      </c>
      <c r="BQ172" s="5" t="s">
        <v>1789</v>
      </c>
      <c r="BR172" s="94">
        <v>43599.45476851852</v>
      </c>
      <c r="BS172" s="5">
        <v>40.0</v>
      </c>
      <c r="BT172" s="94">
        <v>43635.6015625</v>
      </c>
      <c r="BU172" s="5">
        <v>40.0</v>
      </c>
      <c r="BV172" s="94">
        <v>44392.70290509259</v>
      </c>
      <c r="BW172" s="5">
        <v>40.0</v>
      </c>
    </row>
    <row r="173" ht="14.25" customHeight="1">
      <c r="A173" s="5">
        <v>172.0</v>
      </c>
      <c r="B173" s="5">
        <v>448.0</v>
      </c>
      <c r="C173" s="5" t="s">
        <v>1897</v>
      </c>
      <c r="D173" s="5" t="s">
        <v>2132</v>
      </c>
      <c r="E173" s="5" t="s">
        <v>2399</v>
      </c>
      <c r="F173" s="5" t="s">
        <v>3105</v>
      </c>
      <c r="G173" s="5" t="s">
        <v>3106</v>
      </c>
      <c r="H173" s="5" t="s">
        <v>1781</v>
      </c>
      <c r="I173" s="5" t="s">
        <v>1782</v>
      </c>
      <c r="J173" s="91">
        <v>30557.0</v>
      </c>
      <c r="K173" s="5">
        <v>850.0</v>
      </c>
      <c r="L173" s="5" t="s">
        <v>3107</v>
      </c>
      <c r="M173" s="5">
        <v>77.0</v>
      </c>
      <c r="N173" s="5"/>
      <c r="O173" s="5">
        <v>55162.0</v>
      </c>
      <c r="P173" s="5" t="s">
        <v>3108</v>
      </c>
      <c r="Q173" s="5" t="s">
        <v>234</v>
      </c>
      <c r="R173" s="5">
        <v>850.0</v>
      </c>
      <c r="S173" s="5">
        <v>3.521370445E9</v>
      </c>
      <c r="T173" s="5" t="s">
        <v>3109</v>
      </c>
      <c r="U173" s="100" t="s">
        <v>3110</v>
      </c>
      <c r="V173" s="5">
        <v>3.521224936E9</v>
      </c>
      <c r="W173" s="5" t="s">
        <v>1787</v>
      </c>
      <c r="X173" s="91">
        <v>43594.0</v>
      </c>
      <c r="Y173" s="5">
        <v>3.0</v>
      </c>
      <c r="Z173" s="5">
        <v>4.0</v>
      </c>
      <c r="AA173" s="5">
        <v>12.0</v>
      </c>
      <c r="AB173" s="5"/>
      <c r="AC173" s="5"/>
      <c r="AD173" s="5" t="s">
        <v>1770</v>
      </c>
      <c r="AE173" s="5" t="s">
        <v>1770</v>
      </c>
      <c r="AF173" s="5"/>
      <c r="AG173" s="5"/>
      <c r="AH173" s="5">
        <v>5.3988307251E10</v>
      </c>
      <c r="AI173" s="5">
        <v>77.0</v>
      </c>
      <c r="AJ173" s="5"/>
      <c r="AK173" s="5" t="s">
        <v>1773</v>
      </c>
      <c r="AL173" s="92">
        <v>0.0</v>
      </c>
      <c r="AM173" s="5" t="s">
        <v>1770</v>
      </c>
      <c r="AN173" s="5" t="s">
        <v>1774</v>
      </c>
      <c r="AO173" s="5" t="s">
        <v>3111</v>
      </c>
      <c r="AP173" s="5"/>
      <c r="AQ173" s="5">
        <v>27.0</v>
      </c>
      <c r="AR173" s="5"/>
      <c r="AS173" s="5"/>
      <c r="AT173" s="5"/>
      <c r="AU173" s="5"/>
      <c r="AV173" s="5"/>
      <c r="AW173" s="5" t="s">
        <v>1770</v>
      </c>
      <c r="AX173" s="5"/>
      <c r="AY173" s="5"/>
      <c r="AZ173" s="5" t="s">
        <v>1770</v>
      </c>
      <c r="BA173" s="93">
        <v>0.0</v>
      </c>
      <c r="BB173" s="93">
        <v>0.0</v>
      </c>
      <c r="BC173" s="93">
        <v>0.0</v>
      </c>
      <c r="BD173" s="93">
        <v>0.0</v>
      </c>
      <c r="BE173" s="93">
        <v>0.0</v>
      </c>
      <c r="BF173" s="93">
        <v>0.0</v>
      </c>
      <c r="BG173" s="5"/>
      <c r="BH173" s="93">
        <v>0.0</v>
      </c>
      <c r="BI173" s="93">
        <v>0.0</v>
      </c>
      <c r="BJ173" s="93">
        <v>0.0</v>
      </c>
      <c r="BK173" s="93">
        <v>0.0</v>
      </c>
      <c r="BL173" s="93">
        <v>0.0</v>
      </c>
      <c r="BM173" s="93">
        <v>0.0</v>
      </c>
      <c r="BN173" s="93">
        <v>0.0</v>
      </c>
      <c r="BO173" s="5"/>
      <c r="BP173" s="5"/>
      <c r="BQ173" s="5" t="s">
        <v>1775</v>
      </c>
      <c r="BR173" s="94">
        <v>43603.568715277775</v>
      </c>
      <c r="BS173" s="5">
        <v>40.0</v>
      </c>
      <c r="BT173" s="94">
        <v>46135.38744212963</v>
      </c>
      <c r="BU173" s="5">
        <v>339.0</v>
      </c>
      <c r="BV173" s="5" t="s">
        <v>1770</v>
      </c>
      <c r="BW173" s="5" t="s">
        <v>1770</v>
      </c>
    </row>
    <row r="174" ht="14.25" customHeight="1">
      <c r="A174" s="5">
        <v>173.0</v>
      </c>
      <c r="B174" s="5">
        <v>450.0</v>
      </c>
      <c r="C174" s="5" t="s">
        <v>3112</v>
      </c>
      <c r="D174" s="5" t="s">
        <v>2382</v>
      </c>
      <c r="E174" s="5" t="s">
        <v>1758</v>
      </c>
      <c r="F174" s="5" t="s">
        <v>3113</v>
      </c>
      <c r="G174" s="5" t="s">
        <v>3114</v>
      </c>
      <c r="H174" s="5" t="s">
        <v>1815</v>
      </c>
      <c r="I174" s="5" t="s">
        <v>1763</v>
      </c>
      <c r="J174" s="91">
        <v>35008.0</v>
      </c>
      <c r="K174" s="5">
        <v>549.0</v>
      </c>
      <c r="L174" s="5" t="s">
        <v>3115</v>
      </c>
      <c r="M174" s="5">
        <v>185.0</v>
      </c>
      <c r="N174" s="5"/>
      <c r="O174" s="5">
        <v>55002.0</v>
      </c>
      <c r="P174" s="5" t="s">
        <v>1797</v>
      </c>
      <c r="Q174" s="5" t="s">
        <v>1974</v>
      </c>
      <c r="R174" s="5">
        <v>886.0</v>
      </c>
      <c r="S174" s="5">
        <v>3.93120024E9</v>
      </c>
      <c r="T174" s="5" t="s">
        <v>3116</v>
      </c>
      <c r="U174" s="5" t="s">
        <v>3117</v>
      </c>
      <c r="V174" s="5">
        <v>3.285243173E9</v>
      </c>
      <c r="W174" s="5" t="s">
        <v>1808</v>
      </c>
      <c r="X174" s="91">
        <v>43606.0</v>
      </c>
      <c r="Y174" s="5">
        <v>1.0</v>
      </c>
      <c r="Z174" s="5">
        <v>18.0</v>
      </c>
      <c r="AA174" s="5">
        <v>1.0</v>
      </c>
      <c r="AB174" s="5">
        <v>1.701834496E9</v>
      </c>
      <c r="AC174" s="5" t="s">
        <v>1800</v>
      </c>
      <c r="AD174" s="91">
        <v>44524.0</v>
      </c>
      <c r="AE174" s="91">
        <v>47811.0</v>
      </c>
      <c r="AF174" s="5"/>
      <c r="AG174" s="5"/>
      <c r="AH174" s="5">
        <v>5.139597461E9</v>
      </c>
      <c r="AI174" s="5">
        <v>23.0</v>
      </c>
      <c r="AJ174" s="5"/>
      <c r="AK174" s="5" t="s">
        <v>1773</v>
      </c>
      <c r="AL174" s="92">
        <v>0.0</v>
      </c>
      <c r="AM174" s="5" t="s">
        <v>1770</v>
      </c>
      <c r="AN174" s="5" t="s">
        <v>3012</v>
      </c>
      <c r="AO174" s="5"/>
      <c r="AP174" s="5"/>
      <c r="AQ174" s="5"/>
      <c r="AR174" s="5"/>
      <c r="AS174" s="5"/>
      <c r="AT174" s="5" t="s">
        <v>2184</v>
      </c>
      <c r="AU174" s="5" t="s">
        <v>3118</v>
      </c>
      <c r="AV174" s="5" t="s">
        <v>1917</v>
      </c>
      <c r="AW174" s="91">
        <v>43449.0</v>
      </c>
      <c r="AX174" s="5"/>
      <c r="AY174" s="5"/>
      <c r="AZ174" s="5" t="s">
        <v>1770</v>
      </c>
      <c r="BA174" s="103">
        <v>70.0</v>
      </c>
      <c r="BB174" s="103">
        <v>50.0</v>
      </c>
      <c r="BC174" s="103">
        <v>70.0</v>
      </c>
      <c r="BD174" s="93">
        <v>0.0</v>
      </c>
      <c r="BE174" s="93">
        <v>0.0</v>
      </c>
      <c r="BF174" s="93">
        <v>0.0</v>
      </c>
      <c r="BG174" s="5"/>
      <c r="BH174" s="93">
        <v>0.0</v>
      </c>
      <c r="BI174" s="93">
        <v>0.0</v>
      </c>
      <c r="BJ174" s="93">
        <v>0.0</v>
      </c>
      <c r="BK174" s="103">
        <v>60.0</v>
      </c>
      <c r="BL174" s="103">
        <v>90.0</v>
      </c>
      <c r="BM174" s="103">
        <v>90.0</v>
      </c>
      <c r="BN174" s="93">
        <v>0.0</v>
      </c>
      <c r="BO174" s="5"/>
      <c r="BP174" s="5" t="s">
        <v>1770</v>
      </c>
      <c r="BQ174" s="5" t="s">
        <v>1789</v>
      </c>
      <c r="BR174" s="94">
        <v>43606.57591435185</v>
      </c>
      <c r="BS174" s="5">
        <v>40.0</v>
      </c>
      <c r="BT174" s="94">
        <v>44677.44907407407</v>
      </c>
      <c r="BU174" s="5">
        <v>167.0</v>
      </c>
      <c r="BV174" s="94">
        <v>44705.55517361111</v>
      </c>
      <c r="BW174" s="5">
        <v>196.0</v>
      </c>
    </row>
    <row r="175" ht="14.25" customHeight="1">
      <c r="A175" s="5">
        <v>174.0</v>
      </c>
      <c r="B175" s="5">
        <v>439.0</v>
      </c>
      <c r="C175" s="5" t="s">
        <v>3119</v>
      </c>
      <c r="D175" s="5" t="s">
        <v>3120</v>
      </c>
      <c r="E175" s="5" t="s">
        <v>3121</v>
      </c>
      <c r="F175" s="5" t="s">
        <v>3122</v>
      </c>
      <c r="G175" s="5" t="s">
        <v>3123</v>
      </c>
      <c r="H175" s="5" t="s">
        <v>1815</v>
      </c>
      <c r="I175" s="5" t="s">
        <v>1763</v>
      </c>
      <c r="J175" s="91">
        <v>34400.0</v>
      </c>
      <c r="K175" s="5">
        <v>834.0</v>
      </c>
      <c r="L175" s="5" t="s">
        <v>3124</v>
      </c>
      <c r="M175" s="5">
        <v>243.0</v>
      </c>
      <c r="N175" s="5"/>
      <c r="O175" s="5">
        <v>54682.0</v>
      </c>
      <c r="P175" s="5" t="s">
        <v>3125</v>
      </c>
      <c r="Q175" s="5" t="s">
        <v>2342</v>
      </c>
      <c r="R175" s="5">
        <v>869.0</v>
      </c>
      <c r="S175" s="5">
        <v>4.433482003E9</v>
      </c>
      <c r="T175" s="5" t="s">
        <v>3126</v>
      </c>
      <c r="U175" s="5" t="s">
        <v>1924</v>
      </c>
      <c r="V175" s="5">
        <v>1.478523695E9</v>
      </c>
      <c r="W175" s="5" t="s">
        <v>1924</v>
      </c>
      <c r="X175" s="91">
        <v>43525.0</v>
      </c>
      <c r="Y175" s="5">
        <v>4.0</v>
      </c>
      <c r="Z175" s="5">
        <v>17.0</v>
      </c>
      <c r="AA175" s="5">
        <v>5.0</v>
      </c>
      <c r="AB175" s="5"/>
      <c r="AC175" s="5"/>
      <c r="AD175" s="5" t="s">
        <v>1770</v>
      </c>
      <c r="AE175" s="5" t="s">
        <v>1770</v>
      </c>
      <c r="AF175" s="5"/>
      <c r="AG175" s="5"/>
      <c r="AH175" s="5">
        <v>5.3109404763E10</v>
      </c>
      <c r="AI175" s="5">
        <v>80.0</v>
      </c>
      <c r="AJ175" s="5"/>
      <c r="AK175" s="5" t="s">
        <v>1773</v>
      </c>
      <c r="AL175" s="92">
        <v>0.0</v>
      </c>
      <c r="AM175" s="5" t="s">
        <v>1770</v>
      </c>
      <c r="AN175" s="5" t="s">
        <v>1774</v>
      </c>
      <c r="AO175" s="5"/>
      <c r="AP175" s="5"/>
      <c r="AQ175" s="5"/>
      <c r="AR175" s="5"/>
      <c r="AS175" s="5"/>
      <c r="AT175" s="5"/>
      <c r="AU175" s="5"/>
      <c r="AV175" s="5"/>
      <c r="AW175" s="5" t="s">
        <v>1770</v>
      </c>
      <c r="AX175" s="5"/>
      <c r="AY175" s="5"/>
      <c r="AZ175" s="5" t="s">
        <v>1770</v>
      </c>
      <c r="BA175" s="93">
        <v>0.0</v>
      </c>
      <c r="BB175" s="93">
        <v>0.0</v>
      </c>
      <c r="BC175" s="93">
        <v>0.0</v>
      </c>
      <c r="BD175" s="93">
        <v>0.0</v>
      </c>
      <c r="BE175" s="93">
        <v>0.0</v>
      </c>
      <c r="BF175" s="93">
        <v>0.0</v>
      </c>
      <c r="BG175" s="5"/>
      <c r="BH175" s="93">
        <v>0.0</v>
      </c>
      <c r="BI175" s="93">
        <v>0.0</v>
      </c>
      <c r="BJ175" s="93">
        <v>0.0</v>
      </c>
      <c r="BK175" s="93">
        <v>0.0</v>
      </c>
      <c r="BL175" s="93">
        <v>0.0</v>
      </c>
      <c r="BM175" s="93">
        <v>0.0</v>
      </c>
      <c r="BN175" s="93">
        <v>0.0</v>
      </c>
      <c r="BO175" s="5"/>
      <c r="BP175" s="5" t="s">
        <v>1770</v>
      </c>
      <c r="BQ175" s="5" t="s">
        <v>1789</v>
      </c>
      <c r="BR175" s="94">
        <v>43607.72010416666</v>
      </c>
      <c r="BS175" s="5">
        <v>40.0</v>
      </c>
      <c r="BT175" s="94">
        <v>43630.69347222222</v>
      </c>
      <c r="BU175" s="5">
        <v>40.0</v>
      </c>
      <c r="BV175" s="94">
        <v>44705.55457175926</v>
      </c>
      <c r="BW175" s="5">
        <v>196.0</v>
      </c>
    </row>
    <row r="176" ht="14.25" customHeight="1">
      <c r="A176" s="5">
        <v>175.0</v>
      </c>
      <c r="B176" s="5">
        <v>440.0</v>
      </c>
      <c r="C176" s="5" t="s">
        <v>3127</v>
      </c>
      <c r="D176" s="5" t="s">
        <v>2011</v>
      </c>
      <c r="E176" s="5" t="s">
        <v>3128</v>
      </c>
      <c r="F176" s="5" t="s">
        <v>3129</v>
      </c>
      <c r="G176" s="5" t="s">
        <v>3130</v>
      </c>
      <c r="H176" s="5" t="s">
        <v>1972</v>
      </c>
      <c r="I176" s="5" t="s">
        <v>1782</v>
      </c>
      <c r="J176" s="91">
        <v>32899.0</v>
      </c>
      <c r="K176" s="5">
        <v>570.0</v>
      </c>
      <c r="L176" s="5" t="s">
        <v>3131</v>
      </c>
      <c r="M176" s="5">
        <v>46.0</v>
      </c>
      <c r="N176" s="5" t="s">
        <v>2340</v>
      </c>
      <c r="O176" s="5">
        <v>43882.0</v>
      </c>
      <c r="P176" s="5" t="s">
        <v>1797</v>
      </c>
      <c r="Q176" s="5" t="s">
        <v>1766</v>
      </c>
      <c r="R176" s="5">
        <v>549.0</v>
      </c>
      <c r="S176" s="5">
        <v>3.939386076E9</v>
      </c>
      <c r="T176" s="5"/>
      <c r="U176" s="5" t="s">
        <v>3132</v>
      </c>
      <c r="V176" s="5">
        <v>2.589631487E9</v>
      </c>
      <c r="W176" s="5" t="s">
        <v>2675</v>
      </c>
      <c r="X176" s="91">
        <v>43540.0</v>
      </c>
      <c r="Y176" s="5" t="s">
        <v>1770</v>
      </c>
      <c r="Z176" s="5">
        <v>6.0</v>
      </c>
      <c r="AA176" s="5">
        <v>66.0</v>
      </c>
      <c r="AB176" s="5"/>
      <c r="AC176" s="5"/>
      <c r="AD176" s="5" t="s">
        <v>1770</v>
      </c>
      <c r="AE176" s="5" t="s">
        <v>1770</v>
      </c>
      <c r="AF176" s="5"/>
      <c r="AG176" s="5"/>
      <c r="AH176" s="5">
        <v>4.079042588E9</v>
      </c>
      <c r="AI176" s="5">
        <v>23.0</v>
      </c>
      <c r="AJ176" s="5"/>
      <c r="AK176" s="5" t="s">
        <v>1773</v>
      </c>
      <c r="AL176" s="92">
        <v>0.0</v>
      </c>
      <c r="AM176" s="5" t="s">
        <v>1770</v>
      </c>
      <c r="AN176" s="5" t="s">
        <v>1905</v>
      </c>
      <c r="AO176" s="5"/>
      <c r="AP176" s="5"/>
      <c r="AQ176" s="5"/>
      <c r="AR176" s="5"/>
      <c r="AS176" s="5"/>
      <c r="AT176" s="5"/>
      <c r="AU176" s="5"/>
      <c r="AV176" s="5"/>
      <c r="AW176" s="5" t="s">
        <v>1770</v>
      </c>
      <c r="AX176" s="5"/>
      <c r="AY176" s="5"/>
      <c r="AZ176" s="5" t="s">
        <v>1770</v>
      </c>
      <c r="BA176" s="93">
        <v>0.0</v>
      </c>
      <c r="BB176" s="93">
        <v>0.0</v>
      </c>
      <c r="BC176" s="93">
        <v>0.0</v>
      </c>
      <c r="BD176" s="93">
        <v>0.0</v>
      </c>
      <c r="BE176" s="93">
        <v>0.0</v>
      </c>
      <c r="BF176" s="93">
        <v>0.0</v>
      </c>
      <c r="BG176" s="5"/>
      <c r="BH176" s="93">
        <v>0.0</v>
      </c>
      <c r="BI176" s="93">
        <v>0.0</v>
      </c>
      <c r="BJ176" s="93">
        <v>0.0</v>
      </c>
      <c r="BK176" s="93">
        <v>0.0</v>
      </c>
      <c r="BL176" s="93">
        <v>0.0</v>
      </c>
      <c r="BM176" s="93">
        <v>0.0</v>
      </c>
      <c r="BN176" s="93">
        <v>0.0</v>
      </c>
      <c r="BO176" s="5"/>
      <c r="BP176" s="5" t="s">
        <v>1770</v>
      </c>
      <c r="BQ176" s="5" t="s">
        <v>1789</v>
      </c>
      <c r="BR176" s="94">
        <v>43607.731469907405</v>
      </c>
      <c r="BS176" s="5">
        <v>40.0</v>
      </c>
      <c r="BT176" s="94">
        <v>43710.73221064815</v>
      </c>
      <c r="BU176" s="5">
        <v>40.0</v>
      </c>
      <c r="BV176" s="94">
        <v>45176.50381944444</v>
      </c>
      <c r="BW176" s="5">
        <v>40.0</v>
      </c>
    </row>
    <row r="177" ht="14.25" customHeight="1">
      <c r="A177" s="5">
        <v>176.0</v>
      </c>
      <c r="B177" s="5">
        <v>441.0</v>
      </c>
      <c r="C177" s="5" t="s">
        <v>3133</v>
      </c>
      <c r="D177" s="5" t="s">
        <v>3134</v>
      </c>
      <c r="E177" s="5" t="s">
        <v>3135</v>
      </c>
      <c r="F177" s="5" t="s">
        <v>3136</v>
      </c>
      <c r="G177" s="5" t="s">
        <v>3137</v>
      </c>
      <c r="H177" s="5" t="s">
        <v>1762</v>
      </c>
      <c r="I177" s="5" t="s">
        <v>1763</v>
      </c>
      <c r="J177" s="91">
        <v>35035.0</v>
      </c>
      <c r="K177" s="5">
        <v>418.0</v>
      </c>
      <c r="L177" s="5" t="s">
        <v>3138</v>
      </c>
      <c r="M177" s="5" t="s">
        <v>2913</v>
      </c>
      <c r="N177" s="5"/>
      <c r="O177" s="5">
        <v>35922.0</v>
      </c>
      <c r="P177" s="5" t="s">
        <v>3139</v>
      </c>
      <c r="Q177" s="5" t="s">
        <v>3140</v>
      </c>
      <c r="R177" s="5">
        <v>424.0</v>
      </c>
      <c r="S177" s="5">
        <v>4.691260947E9</v>
      </c>
      <c r="T177" s="5"/>
      <c r="U177" s="5" t="s">
        <v>1769</v>
      </c>
      <c r="V177" s="5">
        <v>4.563217896E9</v>
      </c>
      <c r="W177" s="5" t="s">
        <v>1769</v>
      </c>
      <c r="X177" s="91">
        <v>43549.0</v>
      </c>
      <c r="Y177" s="5">
        <v>2.0</v>
      </c>
      <c r="Z177" s="5">
        <v>4.0</v>
      </c>
      <c r="AA177" s="5">
        <v>37.0</v>
      </c>
      <c r="AB177" s="5"/>
      <c r="AC177" s="5"/>
      <c r="AD177" s="5" t="s">
        <v>1770</v>
      </c>
      <c r="AE177" s="5" t="s">
        <v>1770</v>
      </c>
      <c r="AF177" s="5"/>
      <c r="AG177" s="5"/>
      <c r="AH177" s="5">
        <v>1.9179594502E10</v>
      </c>
      <c r="AI177" s="5">
        <v>9.0</v>
      </c>
      <c r="AJ177" s="5"/>
      <c r="AK177" s="5" t="s">
        <v>1773</v>
      </c>
      <c r="AL177" s="92">
        <v>0.0</v>
      </c>
      <c r="AM177" s="5" t="s">
        <v>1770</v>
      </c>
      <c r="AN177" s="5" t="s">
        <v>1830</v>
      </c>
      <c r="AO177" s="5"/>
      <c r="AP177" s="5"/>
      <c r="AQ177" s="5"/>
      <c r="AR177" s="5"/>
      <c r="AS177" s="5"/>
      <c r="AT177" s="5"/>
      <c r="AU177" s="5"/>
      <c r="AV177" s="5"/>
      <c r="AW177" s="5" t="s">
        <v>1770</v>
      </c>
      <c r="AX177" s="5"/>
      <c r="AY177" s="5"/>
      <c r="AZ177" s="5" t="s">
        <v>1770</v>
      </c>
      <c r="BA177" s="93">
        <v>0.0</v>
      </c>
      <c r="BB177" s="93">
        <v>0.0</v>
      </c>
      <c r="BC177" s="93">
        <v>0.0</v>
      </c>
      <c r="BD177" s="93">
        <v>0.0</v>
      </c>
      <c r="BE177" s="93">
        <v>0.0</v>
      </c>
      <c r="BF177" s="93">
        <v>0.0</v>
      </c>
      <c r="BG177" s="5"/>
      <c r="BH177" s="93">
        <v>0.0</v>
      </c>
      <c r="BI177" s="93">
        <v>0.0</v>
      </c>
      <c r="BJ177" s="93">
        <v>0.0</v>
      </c>
      <c r="BK177" s="93">
        <v>0.0</v>
      </c>
      <c r="BL177" s="93">
        <v>0.0</v>
      </c>
      <c r="BM177" s="93">
        <v>0.0</v>
      </c>
      <c r="BN177" s="93">
        <v>0.0</v>
      </c>
      <c r="BO177" s="5"/>
      <c r="BP177" s="5" t="s">
        <v>1770</v>
      </c>
      <c r="BQ177" s="5" t="s">
        <v>1789</v>
      </c>
      <c r="BR177" s="94">
        <v>43607.74009259259</v>
      </c>
      <c r="BS177" s="5">
        <v>40.0</v>
      </c>
      <c r="BT177" s="5" t="s">
        <v>1770</v>
      </c>
      <c r="BU177" s="5" t="s">
        <v>1770</v>
      </c>
      <c r="BV177" s="94">
        <v>44392.714537037034</v>
      </c>
      <c r="BW177" s="5">
        <v>40.0</v>
      </c>
    </row>
    <row r="178" ht="14.25" customHeight="1">
      <c r="A178" s="5">
        <v>177.0</v>
      </c>
      <c r="B178" s="5">
        <v>447.0</v>
      </c>
      <c r="C178" s="5" t="s">
        <v>2626</v>
      </c>
      <c r="D178" s="5" t="s">
        <v>3141</v>
      </c>
      <c r="E178" s="5" t="s">
        <v>2005</v>
      </c>
      <c r="F178" s="5" t="s">
        <v>3142</v>
      </c>
      <c r="G178" s="5" t="s">
        <v>3143</v>
      </c>
      <c r="H178" s="5" t="s">
        <v>1781</v>
      </c>
      <c r="I178" s="5" t="s">
        <v>1782</v>
      </c>
      <c r="J178" s="91">
        <v>33982.0</v>
      </c>
      <c r="K178" s="5">
        <v>549.0</v>
      </c>
      <c r="L178" s="5" t="s">
        <v>3144</v>
      </c>
      <c r="M178" s="5">
        <v>38.0</v>
      </c>
      <c r="N178" s="5"/>
      <c r="O178" s="5">
        <v>43897.0</v>
      </c>
      <c r="P178" s="5" t="s">
        <v>2516</v>
      </c>
      <c r="Q178" s="5" t="s">
        <v>1766</v>
      </c>
      <c r="R178" s="5">
        <v>549.0</v>
      </c>
      <c r="S178" s="5">
        <v>3.931318157E9</v>
      </c>
      <c r="T178" s="5"/>
      <c r="U178" s="5" t="s">
        <v>3145</v>
      </c>
      <c r="V178" s="5">
        <v>1.236547895E9</v>
      </c>
      <c r="W178" s="5" t="s">
        <v>1787</v>
      </c>
      <c r="X178" s="91">
        <v>43592.0</v>
      </c>
      <c r="Y178" s="5">
        <v>1.0</v>
      </c>
      <c r="Z178" s="5">
        <v>17.0</v>
      </c>
      <c r="AA178" s="5">
        <v>33.0</v>
      </c>
      <c r="AB178" s="5"/>
      <c r="AC178" s="5"/>
      <c r="AD178" s="5" t="s">
        <v>1770</v>
      </c>
      <c r="AE178" s="5" t="s">
        <v>1770</v>
      </c>
      <c r="AF178" s="5"/>
      <c r="AG178" s="5"/>
      <c r="AH178" s="5">
        <v>4.109346967E9</v>
      </c>
      <c r="AI178" s="5">
        <v>23.0</v>
      </c>
      <c r="AJ178" s="5"/>
      <c r="AK178" s="5" t="s">
        <v>1773</v>
      </c>
      <c r="AL178" s="92">
        <v>0.0</v>
      </c>
      <c r="AM178" s="5" t="s">
        <v>1770</v>
      </c>
      <c r="AN178" s="5" t="s">
        <v>1774</v>
      </c>
      <c r="AO178" s="5"/>
      <c r="AP178" s="5"/>
      <c r="AQ178" s="5"/>
      <c r="AR178" s="5"/>
      <c r="AS178" s="5"/>
      <c r="AT178" s="5"/>
      <c r="AU178" s="5"/>
      <c r="AV178" s="5"/>
      <c r="AW178" s="5" t="s">
        <v>1770</v>
      </c>
      <c r="AX178" s="5"/>
      <c r="AY178" s="5"/>
      <c r="AZ178" s="5" t="s">
        <v>1770</v>
      </c>
      <c r="BA178" s="93">
        <v>0.0</v>
      </c>
      <c r="BB178" s="93">
        <v>0.0</v>
      </c>
      <c r="BC178" s="93">
        <v>0.0</v>
      </c>
      <c r="BD178" s="93">
        <v>0.0</v>
      </c>
      <c r="BE178" s="93">
        <v>0.0</v>
      </c>
      <c r="BF178" s="93">
        <v>0.0</v>
      </c>
      <c r="BG178" s="5"/>
      <c r="BH178" s="93">
        <v>0.0</v>
      </c>
      <c r="BI178" s="93">
        <v>0.0</v>
      </c>
      <c r="BJ178" s="93">
        <v>0.0</v>
      </c>
      <c r="BK178" s="93">
        <v>0.0</v>
      </c>
      <c r="BL178" s="93">
        <v>0.0</v>
      </c>
      <c r="BM178" s="93">
        <v>0.0</v>
      </c>
      <c r="BN178" s="93">
        <v>0.0</v>
      </c>
      <c r="BO178" s="5"/>
      <c r="BP178" s="5" t="s">
        <v>1770</v>
      </c>
      <c r="BQ178" s="5" t="s">
        <v>1789</v>
      </c>
      <c r="BR178" s="94">
        <v>43615.73268518518</v>
      </c>
      <c r="BS178" s="5">
        <v>40.0</v>
      </c>
      <c r="BT178" s="94">
        <v>43635.59837962963</v>
      </c>
      <c r="BU178" s="5">
        <v>40.0</v>
      </c>
      <c r="BV178" s="94">
        <v>44392.70263888889</v>
      </c>
      <c r="BW178" s="5">
        <v>40.0</v>
      </c>
    </row>
    <row r="179" ht="14.25" customHeight="1">
      <c r="A179" s="5">
        <v>178.0</v>
      </c>
      <c r="B179" s="5">
        <v>380.0</v>
      </c>
      <c r="C179" s="5" t="s">
        <v>3146</v>
      </c>
      <c r="D179" s="5" t="s">
        <v>2551</v>
      </c>
      <c r="E179" s="5" t="s">
        <v>2573</v>
      </c>
      <c r="F179" s="5" t="s">
        <v>3147</v>
      </c>
      <c r="G179" s="5" t="s">
        <v>3148</v>
      </c>
      <c r="H179" s="5" t="s">
        <v>1781</v>
      </c>
      <c r="I179" s="5" t="s">
        <v>1782</v>
      </c>
      <c r="J179" s="91">
        <v>18071.0</v>
      </c>
      <c r="K179" s="5">
        <v>834.0</v>
      </c>
      <c r="L179" s="5" t="s">
        <v>3149</v>
      </c>
      <c r="M179" s="5">
        <v>44.0</v>
      </c>
      <c r="N179" s="5"/>
      <c r="O179" s="5">
        <v>53917.0</v>
      </c>
      <c r="P179" s="5" t="s">
        <v>3150</v>
      </c>
      <c r="Q179" s="5" t="s">
        <v>2041</v>
      </c>
      <c r="R179" s="5">
        <v>834.0</v>
      </c>
      <c r="S179" s="5">
        <v>4.433111111E9</v>
      </c>
      <c r="T179" s="5"/>
      <c r="U179" s="5" t="s">
        <v>1787</v>
      </c>
      <c r="V179" s="5">
        <v>1.478523695E9</v>
      </c>
      <c r="W179" s="5" t="s">
        <v>1787</v>
      </c>
      <c r="X179" s="91">
        <v>43222.0</v>
      </c>
      <c r="Y179" s="5">
        <v>4.0</v>
      </c>
      <c r="Z179" s="5">
        <v>17.0</v>
      </c>
      <c r="AA179" s="5">
        <v>61.0</v>
      </c>
      <c r="AB179" s="5"/>
      <c r="AC179" s="5"/>
      <c r="AD179" s="5" t="s">
        <v>1770</v>
      </c>
      <c r="AE179" s="5" t="s">
        <v>1770</v>
      </c>
      <c r="AF179" s="5"/>
      <c r="AG179" s="5"/>
      <c r="AH179" s="5">
        <v>5.3714902508E10</v>
      </c>
      <c r="AI179" s="5"/>
      <c r="AJ179" s="5"/>
      <c r="AK179" s="5" t="s">
        <v>1773</v>
      </c>
      <c r="AL179" s="92">
        <v>0.0</v>
      </c>
      <c r="AM179" s="5" t="s">
        <v>1770</v>
      </c>
      <c r="AN179" s="5" t="s">
        <v>1774</v>
      </c>
      <c r="AO179" s="5"/>
      <c r="AP179" s="5"/>
      <c r="AQ179" s="5"/>
      <c r="AR179" s="5"/>
      <c r="AS179" s="5"/>
      <c r="AT179" s="5"/>
      <c r="AU179" s="5"/>
      <c r="AV179" s="5"/>
      <c r="AW179" s="5" t="s">
        <v>1770</v>
      </c>
      <c r="AX179" s="5"/>
      <c r="AY179" s="5"/>
      <c r="AZ179" s="5" t="s">
        <v>1770</v>
      </c>
      <c r="BA179" s="93">
        <v>0.0</v>
      </c>
      <c r="BB179" s="93">
        <v>0.0</v>
      </c>
      <c r="BC179" s="93">
        <v>0.0</v>
      </c>
      <c r="BD179" s="93">
        <v>0.0</v>
      </c>
      <c r="BE179" s="93">
        <v>0.0</v>
      </c>
      <c r="BF179" s="93">
        <v>0.0</v>
      </c>
      <c r="BG179" s="5"/>
      <c r="BH179" s="93">
        <v>0.0</v>
      </c>
      <c r="BI179" s="93">
        <v>0.0</v>
      </c>
      <c r="BJ179" s="93">
        <v>0.0</v>
      </c>
      <c r="BK179" s="93">
        <v>0.0</v>
      </c>
      <c r="BL179" s="93">
        <v>0.0</v>
      </c>
      <c r="BM179" s="93">
        <v>0.0</v>
      </c>
      <c r="BN179" s="93">
        <v>0.0</v>
      </c>
      <c r="BO179" s="5"/>
      <c r="BP179" s="5" t="s">
        <v>1770</v>
      </c>
      <c r="BQ179" s="5" t="s">
        <v>1789</v>
      </c>
      <c r="BR179" s="94">
        <v>43616.52353009259</v>
      </c>
      <c r="BS179" s="5">
        <v>40.0</v>
      </c>
      <c r="BT179" s="94">
        <v>44681.56045138889</v>
      </c>
      <c r="BU179" s="5">
        <v>167.0</v>
      </c>
      <c r="BV179" s="94">
        <v>44681.56078703704</v>
      </c>
      <c r="BW179" s="5">
        <v>167.0</v>
      </c>
    </row>
    <row r="180" ht="14.25" customHeight="1">
      <c r="A180" s="5">
        <v>179.0</v>
      </c>
      <c r="B180" s="5">
        <v>451.0</v>
      </c>
      <c r="C180" s="5" t="s">
        <v>3151</v>
      </c>
      <c r="D180" s="5" t="s">
        <v>3152</v>
      </c>
      <c r="E180" s="5" t="s">
        <v>2335</v>
      </c>
      <c r="F180" s="5" t="s">
        <v>3153</v>
      </c>
      <c r="G180" s="5" t="s">
        <v>3154</v>
      </c>
      <c r="H180" s="5" t="s">
        <v>1781</v>
      </c>
      <c r="I180" s="5" t="s">
        <v>1782</v>
      </c>
      <c r="J180" s="91">
        <v>33020.0</v>
      </c>
      <c r="K180" s="5">
        <v>13.0</v>
      </c>
      <c r="L180" s="5" t="s">
        <v>3155</v>
      </c>
      <c r="M180" s="5">
        <v>451.0</v>
      </c>
      <c r="N180" s="5"/>
      <c r="O180" s="5">
        <v>43882.0</v>
      </c>
      <c r="P180" s="5" t="s">
        <v>2048</v>
      </c>
      <c r="Q180" s="5" t="s">
        <v>1766</v>
      </c>
      <c r="R180" s="5">
        <v>549.0</v>
      </c>
      <c r="S180" s="5">
        <v>3.931171717E9</v>
      </c>
      <c r="T180" s="5" t="s">
        <v>3156</v>
      </c>
      <c r="U180" s="5" t="s">
        <v>3157</v>
      </c>
      <c r="V180" s="5">
        <v>3.939360202E9</v>
      </c>
      <c r="W180" s="5" t="s">
        <v>1924</v>
      </c>
      <c r="X180" s="91">
        <v>43608.0</v>
      </c>
      <c r="Y180" s="5">
        <v>1.0</v>
      </c>
      <c r="Z180" s="5">
        <v>19.0</v>
      </c>
      <c r="AA180" s="5">
        <v>45.0</v>
      </c>
      <c r="AB180" s="5" t="s">
        <v>3158</v>
      </c>
      <c r="AC180" s="5" t="s">
        <v>1800</v>
      </c>
      <c r="AD180" s="91">
        <v>43353.0</v>
      </c>
      <c r="AE180" s="91">
        <v>44084.0</v>
      </c>
      <c r="AF180" s="5"/>
      <c r="AG180" s="5"/>
      <c r="AH180" s="5">
        <v>4.10906791E9</v>
      </c>
      <c r="AI180" s="5">
        <v>23.0</v>
      </c>
      <c r="AJ180" s="5"/>
      <c r="AK180" s="5" t="s">
        <v>1773</v>
      </c>
      <c r="AL180" s="92">
        <v>0.0</v>
      </c>
      <c r="AM180" s="5" t="s">
        <v>1770</v>
      </c>
      <c r="AN180" s="5" t="s">
        <v>1830</v>
      </c>
      <c r="AO180" s="5"/>
      <c r="AP180" s="5"/>
      <c r="AQ180" s="5"/>
      <c r="AR180" s="5"/>
      <c r="AS180" s="5"/>
      <c r="AT180" s="5"/>
      <c r="AU180" s="5"/>
      <c r="AV180" s="5"/>
      <c r="AW180" s="5" t="s">
        <v>1770</v>
      </c>
      <c r="AX180" s="5"/>
      <c r="AY180" s="5"/>
      <c r="AZ180" s="5" t="s">
        <v>1770</v>
      </c>
      <c r="BA180" s="93">
        <v>0.0</v>
      </c>
      <c r="BB180" s="93">
        <v>0.0</v>
      </c>
      <c r="BC180" s="93">
        <v>0.0</v>
      </c>
      <c r="BD180" s="93">
        <v>0.0</v>
      </c>
      <c r="BE180" s="93">
        <v>0.0</v>
      </c>
      <c r="BF180" s="93">
        <v>0.0</v>
      </c>
      <c r="BG180" s="5"/>
      <c r="BH180" s="93">
        <v>0.0</v>
      </c>
      <c r="BI180" s="93">
        <v>0.0</v>
      </c>
      <c r="BJ180" s="93">
        <v>0.0</v>
      </c>
      <c r="BK180" s="93">
        <v>0.0</v>
      </c>
      <c r="BL180" s="93">
        <v>0.0</v>
      </c>
      <c r="BM180" s="93">
        <v>0.0</v>
      </c>
      <c r="BN180" s="93">
        <v>0.0</v>
      </c>
      <c r="BO180" s="5"/>
      <c r="BP180" s="5" t="s">
        <v>1770</v>
      </c>
      <c r="BQ180" s="5" t="s">
        <v>1789</v>
      </c>
      <c r="BR180" s="94">
        <v>43616.54277777778</v>
      </c>
      <c r="BS180" s="5">
        <v>40.0</v>
      </c>
      <c r="BT180" s="94">
        <v>43644.48966435185</v>
      </c>
      <c r="BU180" s="5">
        <v>40.0</v>
      </c>
      <c r="BV180" s="94">
        <v>44392.70556712963</v>
      </c>
      <c r="BW180" s="5">
        <v>40.0</v>
      </c>
    </row>
    <row r="181" ht="14.25" customHeight="1">
      <c r="A181" s="5">
        <v>180.0</v>
      </c>
      <c r="B181" s="5">
        <v>446.0</v>
      </c>
      <c r="C181" s="5" t="s">
        <v>3159</v>
      </c>
      <c r="D181" s="5" t="s">
        <v>3160</v>
      </c>
      <c r="E181" s="5" t="s">
        <v>1759</v>
      </c>
      <c r="F181" s="5" t="s">
        <v>3161</v>
      </c>
      <c r="G181" s="5" t="s">
        <v>3162</v>
      </c>
      <c r="H181" s="5" t="s">
        <v>1815</v>
      </c>
      <c r="I181" s="5" t="s">
        <v>1763</v>
      </c>
      <c r="J181" s="91">
        <v>32525.0</v>
      </c>
      <c r="K181" s="5">
        <v>901.0</v>
      </c>
      <c r="L181" s="5" t="s">
        <v>3163</v>
      </c>
      <c r="M181" s="5">
        <v>137.0</v>
      </c>
      <c r="N181" s="5"/>
      <c r="O181" s="5">
        <v>35873.0</v>
      </c>
      <c r="P181" s="5" t="s">
        <v>2636</v>
      </c>
      <c r="Q181" s="5" t="s">
        <v>2406</v>
      </c>
      <c r="R181" s="5">
        <v>424.0</v>
      </c>
      <c r="S181" s="5">
        <v>4.491191036E9</v>
      </c>
      <c r="T181" s="5"/>
      <c r="U181" s="5" t="s">
        <v>2595</v>
      </c>
      <c r="V181" s="5">
        <v>1.236547895E9</v>
      </c>
      <c r="W181" s="5" t="s">
        <v>2595</v>
      </c>
      <c r="X181" s="91">
        <v>43586.0</v>
      </c>
      <c r="Y181" s="5">
        <v>2.0</v>
      </c>
      <c r="Z181" s="5">
        <v>3.0</v>
      </c>
      <c r="AA181" s="5">
        <v>3.0</v>
      </c>
      <c r="AB181" s="5"/>
      <c r="AC181" s="5"/>
      <c r="AD181" s="5" t="s">
        <v>1770</v>
      </c>
      <c r="AE181" s="5" t="s">
        <v>1770</v>
      </c>
      <c r="AF181" s="5"/>
      <c r="AG181" s="5"/>
      <c r="AH181" s="5">
        <v>2.7148950358E10</v>
      </c>
      <c r="AI181" s="5">
        <v>9.0</v>
      </c>
      <c r="AJ181" s="5"/>
      <c r="AK181" s="5" t="s">
        <v>1773</v>
      </c>
      <c r="AL181" s="92">
        <v>0.0</v>
      </c>
      <c r="AM181" s="5" t="s">
        <v>1770</v>
      </c>
      <c r="AN181" s="5" t="s">
        <v>1774</v>
      </c>
      <c r="AO181" s="5"/>
      <c r="AP181" s="5"/>
      <c r="AQ181" s="5"/>
      <c r="AR181" s="5"/>
      <c r="AS181" s="5"/>
      <c r="AT181" s="5"/>
      <c r="AU181" s="5"/>
      <c r="AV181" s="5"/>
      <c r="AW181" s="5" t="s">
        <v>1770</v>
      </c>
      <c r="AX181" s="5"/>
      <c r="AY181" s="5"/>
      <c r="AZ181" s="5" t="s">
        <v>1770</v>
      </c>
      <c r="BA181" s="93">
        <v>0.0</v>
      </c>
      <c r="BB181" s="93">
        <v>0.0</v>
      </c>
      <c r="BC181" s="93">
        <v>0.0</v>
      </c>
      <c r="BD181" s="93">
        <v>0.0</v>
      </c>
      <c r="BE181" s="93">
        <v>0.0</v>
      </c>
      <c r="BF181" s="93">
        <v>0.0</v>
      </c>
      <c r="BG181" s="5"/>
      <c r="BH181" s="93">
        <v>0.0</v>
      </c>
      <c r="BI181" s="93">
        <v>0.0</v>
      </c>
      <c r="BJ181" s="93">
        <v>0.0</v>
      </c>
      <c r="BK181" s="93">
        <v>0.0</v>
      </c>
      <c r="BL181" s="93">
        <v>0.0</v>
      </c>
      <c r="BM181" s="93">
        <v>0.0</v>
      </c>
      <c r="BN181" s="93">
        <v>0.0</v>
      </c>
      <c r="BO181" s="5"/>
      <c r="BP181" s="5" t="s">
        <v>1770</v>
      </c>
      <c r="BQ181" s="5" t="s">
        <v>1789</v>
      </c>
      <c r="BR181" s="94">
        <v>43620.588842592595</v>
      </c>
      <c r="BS181" s="5">
        <v>40.0</v>
      </c>
      <c r="BT181" s="94">
        <v>43635.578252314815</v>
      </c>
      <c r="BU181" s="5">
        <v>40.0</v>
      </c>
      <c r="BV181" s="94">
        <v>44060.55099537037</v>
      </c>
      <c r="BW181" s="5">
        <v>83.0</v>
      </c>
    </row>
    <row r="182" ht="14.25" customHeight="1">
      <c r="A182" s="5">
        <v>181.0</v>
      </c>
      <c r="B182" s="5">
        <v>449.0</v>
      </c>
      <c r="C182" s="5" t="s">
        <v>3164</v>
      </c>
      <c r="D182" s="5" t="s">
        <v>1778</v>
      </c>
      <c r="E182" s="5" t="s">
        <v>2494</v>
      </c>
      <c r="F182" s="5" t="s">
        <v>3165</v>
      </c>
      <c r="G182" s="5" t="s">
        <v>3166</v>
      </c>
      <c r="H182" s="5" t="s">
        <v>1972</v>
      </c>
      <c r="I182" s="5" t="s">
        <v>1782</v>
      </c>
      <c r="J182" s="91">
        <v>37017.0</v>
      </c>
      <c r="K182" s="5">
        <v>651.0</v>
      </c>
      <c r="L182" s="5" t="s">
        <v>2137</v>
      </c>
      <c r="M182" s="5">
        <v>59.0</v>
      </c>
      <c r="N182" s="5"/>
      <c r="O182" s="5">
        <v>43890.0</v>
      </c>
      <c r="P182" s="5" t="s">
        <v>3139</v>
      </c>
      <c r="Q182" s="5" t="s">
        <v>3167</v>
      </c>
      <c r="R182" s="5">
        <v>549.0</v>
      </c>
      <c r="S182" s="5">
        <v>3.931201162E9</v>
      </c>
      <c r="T182" s="5"/>
      <c r="U182" s="5" t="s">
        <v>3168</v>
      </c>
      <c r="V182" s="5">
        <v>1.478523695E9</v>
      </c>
      <c r="W182" s="5" t="s">
        <v>1808</v>
      </c>
      <c r="X182" s="91">
        <v>43586.0</v>
      </c>
      <c r="Y182" s="5">
        <v>1.0</v>
      </c>
      <c r="Z182" s="5">
        <v>4.0</v>
      </c>
      <c r="AA182" s="5">
        <v>39.0</v>
      </c>
      <c r="AB182" s="5"/>
      <c r="AC182" s="5"/>
      <c r="AD182" s="5" t="s">
        <v>1770</v>
      </c>
      <c r="AE182" s="5" t="s">
        <v>1770</v>
      </c>
      <c r="AF182" s="5"/>
      <c r="AG182" s="5"/>
      <c r="AH182" s="5">
        <v>3.150148231E9</v>
      </c>
      <c r="AI182" s="5">
        <v>23.0</v>
      </c>
      <c r="AJ182" s="5"/>
      <c r="AK182" s="5" t="s">
        <v>1773</v>
      </c>
      <c r="AL182" s="92">
        <v>0.0</v>
      </c>
      <c r="AM182" s="5" t="s">
        <v>1770</v>
      </c>
      <c r="AN182" s="5" t="s">
        <v>1774</v>
      </c>
      <c r="AO182" s="5"/>
      <c r="AP182" s="5"/>
      <c r="AQ182" s="5"/>
      <c r="AR182" s="5"/>
      <c r="AS182" s="5"/>
      <c r="AT182" s="5"/>
      <c r="AU182" s="5"/>
      <c r="AV182" s="5"/>
      <c r="AW182" s="5" t="s">
        <v>1770</v>
      </c>
      <c r="AX182" s="5"/>
      <c r="AY182" s="5"/>
      <c r="AZ182" s="5" t="s">
        <v>1770</v>
      </c>
      <c r="BA182" s="93">
        <v>0.0</v>
      </c>
      <c r="BB182" s="93">
        <v>0.0</v>
      </c>
      <c r="BC182" s="93">
        <v>0.0</v>
      </c>
      <c r="BD182" s="93">
        <v>0.0</v>
      </c>
      <c r="BE182" s="93">
        <v>0.0</v>
      </c>
      <c r="BF182" s="93">
        <v>0.0</v>
      </c>
      <c r="BG182" s="5"/>
      <c r="BH182" s="93">
        <v>0.0</v>
      </c>
      <c r="BI182" s="93">
        <v>0.0</v>
      </c>
      <c r="BJ182" s="93">
        <v>0.0</v>
      </c>
      <c r="BK182" s="93">
        <v>0.0</v>
      </c>
      <c r="BL182" s="93">
        <v>0.0</v>
      </c>
      <c r="BM182" s="93">
        <v>0.0</v>
      </c>
      <c r="BN182" s="93">
        <v>0.0</v>
      </c>
      <c r="BO182" s="5"/>
      <c r="BP182" s="5" t="s">
        <v>1770</v>
      </c>
      <c r="BQ182" s="5" t="s">
        <v>1789</v>
      </c>
      <c r="BR182" s="94">
        <v>43631.563101851854</v>
      </c>
      <c r="BS182" s="5">
        <v>40.0</v>
      </c>
      <c r="BT182" s="94">
        <v>43644.473275462966</v>
      </c>
      <c r="BU182" s="5">
        <v>40.0</v>
      </c>
      <c r="BV182" s="94">
        <v>44392.70224537037</v>
      </c>
      <c r="BW182" s="5">
        <v>40.0</v>
      </c>
    </row>
    <row r="183" ht="14.25" customHeight="1">
      <c r="A183" s="5">
        <v>182.0</v>
      </c>
      <c r="B183" s="5">
        <v>454.0</v>
      </c>
      <c r="C183" s="5" t="s">
        <v>3169</v>
      </c>
      <c r="D183" s="5" t="s">
        <v>1873</v>
      </c>
      <c r="E183" s="5" t="s">
        <v>2399</v>
      </c>
      <c r="F183" s="5" t="s">
        <v>3170</v>
      </c>
      <c r="G183" s="5" t="s">
        <v>3171</v>
      </c>
      <c r="H183" s="5" t="s">
        <v>1972</v>
      </c>
      <c r="I183" s="5" t="s">
        <v>1782</v>
      </c>
      <c r="J183" s="91">
        <v>33985.0</v>
      </c>
      <c r="K183" s="5">
        <v>570.0</v>
      </c>
      <c r="L183" s="5" t="s">
        <v>3172</v>
      </c>
      <c r="M183" s="5" t="s">
        <v>2913</v>
      </c>
      <c r="N183" s="5"/>
      <c r="O183" s="5">
        <v>43722.0</v>
      </c>
      <c r="P183" s="5" t="s">
        <v>3173</v>
      </c>
      <c r="Q183" s="5" t="s">
        <v>1785</v>
      </c>
      <c r="R183" s="5">
        <v>544.0</v>
      </c>
      <c r="S183" s="5">
        <v>3.331876576E9</v>
      </c>
      <c r="T183" s="5" t="s">
        <v>3174</v>
      </c>
      <c r="U183" s="5" t="s">
        <v>3175</v>
      </c>
      <c r="V183" s="5">
        <v>3.911013189E9</v>
      </c>
      <c r="W183" s="5" t="s">
        <v>1965</v>
      </c>
      <c r="X183" s="91">
        <v>43617.0</v>
      </c>
      <c r="Y183" s="5">
        <v>1.0</v>
      </c>
      <c r="Z183" s="5">
        <v>18.0</v>
      </c>
      <c r="AA183" s="5">
        <v>1.0</v>
      </c>
      <c r="AB183" s="5" t="s">
        <v>3176</v>
      </c>
      <c r="AC183" s="5" t="s">
        <v>1800</v>
      </c>
      <c r="AD183" s="91">
        <v>42811.0</v>
      </c>
      <c r="AE183" s="91">
        <v>44272.0</v>
      </c>
      <c r="AF183" s="5"/>
      <c r="AG183" s="5"/>
      <c r="AH183" s="5">
        <v>1.169351986E9</v>
      </c>
      <c r="AI183" s="5">
        <v>22.0</v>
      </c>
      <c r="AJ183" s="5"/>
      <c r="AK183" s="5" t="s">
        <v>1773</v>
      </c>
      <c r="AL183" s="92">
        <v>0.0</v>
      </c>
      <c r="AM183" s="5" t="s">
        <v>1770</v>
      </c>
      <c r="AN183" s="5" t="s">
        <v>1774</v>
      </c>
      <c r="AO183" s="5"/>
      <c r="AP183" s="5"/>
      <c r="AQ183" s="5"/>
      <c r="AR183" s="5"/>
      <c r="AS183" s="5"/>
      <c r="AT183" s="5" t="s">
        <v>3177</v>
      </c>
      <c r="AU183" s="5" t="s">
        <v>3178</v>
      </c>
      <c r="AV183" s="5" t="s">
        <v>1917</v>
      </c>
      <c r="AW183" s="91">
        <v>42705.0</v>
      </c>
      <c r="AX183" s="5"/>
      <c r="AY183" s="5"/>
      <c r="AZ183" s="5" t="s">
        <v>1770</v>
      </c>
      <c r="BA183" s="93">
        <v>0.0</v>
      </c>
      <c r="BB183" s="93">
        <v>0.0</v>
      </c>
      <c r="BC183" s="93">
        <v>0.0</v>
      </c>
      <c r="BD183" s="93">
        <v>0.0</v>
      </c>
      <c r="BE183" s="93">
        <v>0.0</v>
      </c>
      <c r="BF183" s="93">
        <v>0.0</v>
      </c>
      <c r="BG183" s="5"/>
      <c r="BH183" s="93">
        <v>0.0</v>
      </c>
      <c r="BI183" s="93">
        <v>0.0</v>
      </c>
      <c r="BJ183" s="93">
        <v>0.0</v>
      </c>
      <c r="BK183" s="93">
        <v>0.0</v>
      </c>
      <c r="BL183" s="93">
        <v>0.0</v>
      </c>
      <c r="BM183" s="93">
        <v>0.0</v>
      </c>
      <c r="BN183" s="93">
        <v>0.0</v>
      </c>
      <c r="BO183" s="5"/>
      <c r="BP183" s="5" t="s">
        <v>1770</v>
      </c>
      <c r="BQ183" s="5" t="s">
        <v>1789</v>
      </c>
      <c r="BR183" s="94">
        <v>43634.58546296296</v>
      </c>
      <c r="BS183" s="5">
        <v>40.0</v>
      </c>
      <c r="BT183" s="94">
        <v>43644.446493055555</v>
      </c>
      <c r="BU183" s="5">
        <v>40.0</v>
      </c>
      <c r="BV183" s="94">
        <v>44060.54754629629</v>
      </c>
      <c r="BW183" s="5">
        <v>83.0</v>
      </c>
    </row>
    <row r="184" ht="14.25" customHeight="1">
      <c r="A184" s="5">
        <v>183.0</v>
      </c>
      <c r="B184" s="5">
        <v>452.0</v>
      </c>
      <c r="C184" s="5" t="s">
        <v>3179</v>
      </c>
      <c r="D184" s="5" t="s">
        <v>2552</v>
      </c>
      <c r="E184" s="5" t="s">
        <v>2164</v>
      </c>
      <c r="F184" s="5" t="s">
        <v>3180</v>
      </c>
      <c r="G184" s="5" t="s">
        <v>3181</v>
      </c>
      <c r="H184" s="5" t="s">
        <v>1972</v>
      </c>
      <c r="I184" s="5" t="s">
        <v>1782</v>
      </c>
      <c r="J184" s="91">
        <v>35686.0</v>
      </c>
      <c r="K184" s="5">
        <v>594.0</v>
      </c>
      <c r="L184" s="5" t="s">
        <v>3182</v>
      </c>
      <c r="M184" s="5">
        <v>102.0</v>
      </c>
      <c r="N184" s="5"/>
      <c r="O184" s="5">
        <v>93589.0</v>
      </c>
      <c r="P184" s="5" t="s">
        <v>3183</v>
      </c>
      <c r="Q184" s="5" t="s">
        <v>2179</v>
      </c>
      <c r="R184" s="5">
        <v>594.0</v>
      </c>
      <c r="S184" s="5">
        <v>3.921060117E9</v>
      </c>
      <c r="T184" s="5" t="s">
        <v>3184</v>
      </c>
      <c r="U184" s="5" t="s">
        <v>3185</v>
      </c>
      <c r="V184" s="5">
        <v>3.921226548E9</v>
      </c>
      <c r="W184" s="5" t="s">
        <v>1965</v>
      </c>
      <c r="X184" s="91">
        <v>43619.0</v>
      </c>
      <c r="Y184" s="5">
        <v>5.0</v>
      </c>
      <c r="Z184" s="5">
        <v>4.0</v>
      </c>
      <c r="AA184" s="5">
        <v>39.0</v>
      </c>
      <c r="AB184" s="5"/>
      <c r="AC184" s="5"/>
      <c r="AD184" s="5" t="s">
        <v>1770</v>
      </c>
      <c r="AE184" s="5" t="s">
        <v>1770</v>
      </c>
      <c r="AF184" s="5"/>
      <c r="AG184" s="5"/>
      <c r="AH184" s="5">
        <v>2.2169782269E10</v>
      </c>
      <c r="AI184" s="5">
        <v>169.0</v>
      </c>
      <c r="AJ184" s="5"/>
      <c r="AK184" s="5" t="s">
        <v>1773</v>
      </c>
      <c r="AL184" s="92">
        <v>0.0</v>
      </c>
      <c r="AM184" s="5" t="s">
        <v>1770</v>
      </c>
      <c r="AN184" s="5" t="s">
        <v>1830</v>
      </c>
      <c r="AO184" s="5"/>
      <c r="AP184" s="5"/>
      <c r="AQ184" s="5"/>
      <c r="AR184" s="5"/>
      <c r="AS184" s="5"/>
      <c r="AT184" s="5" t="s">
        <v>3186</v>
      </c>
      <c r="AU184" s="5"/>
      <c r="AV184" s="5"/>
      <c r="AW184" s="5" t="s">
        <v>1770</v>
      </c>
      <c r="AX184" s="5"/>
      <c r="AY184" s="5"/>
      <c r="AZ184" s="5" t="s">
        <v>1770</v>
      </c>
      <c r="BA184" s="93">
        <v>0.0</v>
      </c>
      <c r="BB184" s="93">
        <v>0.0</v>
      </c>
      <c r="BC184" s="93">
        <v>0.0</v>
      </c>
      <c r="BD184" s="93">
        <v>0.0</v>
      </c>
      <c r="BE184" s="93">
        <v>0.0</v>
      </c>
      <c r="BF184" s="93">
        <v>0.0</v>
      </c>
      <c r="BG184" s="5"/>
      <c r="BH184" s="93">
        <v>0.0</v>
      </c>
      <c r="BI184" s="93">
        <v>0.0</v>
      </c>
      <c r="BJ184" s="93">
        <v>0.0</v>
      </c>
      <c r="BK184" s="93">
        <v>0.0</v>
      </c>
      <c r="BL184" s="93">
        <v>0.0</v>
      </c>
      <c r="BM184" s="93">
        <v>0.0</v>
      </c>
      <c r="BN184" s="93">
        <v>0.0</v>
      </c>
      <c r="BO184" s="5"/>
      <c r="BP184" s="5" t="s">
        <v>1770</v>
      </c>
      <c r="BQ184" s="5" t="s">
        <v>1789</v>
      </c>
      <c r="BR184" s="94">
        <v>43634.69459490741</v>
      </c>
      <c r="BS184" s="5">
        <v>40.0</v>
      </c>
      <c r="BT184" s="94">
        <v>43644.50969907407</v>
      </c>
      <c r="BU184" s="5">
        <v>40.0</v>
      </c>
      <c r="BV184" s="94">
        <v>44392.71037037037</v>
      </c>
      <c r="BW184" s="5">
        <v>40.0</v>
      </c>
    </row>
    <row r="185" ht="14.25" customHeight="1">
      <c r="A185" s="5">
        <v>184.0</v>
      </c>
      <c r="B185" s="5">
        <v>453.0</v>
      </c>
      <c r="C185" s="5" t="s">
        <v>3146</v>
      </c>
      <c r="D185" s="5" t="s">
        <v>2551</v>
      </c>
      <c r="E185" s="5" t="s">
        <v>2552</v>
      </c>
      <c r="F185" s="5" t="s">
        <v>3187</v>
      </c>
      <c r="G185" s="5" t="s">
        <v>3188</v>
      </c>
      <c r="H185" s="5" t="s">
        <v>2671</v>
      </c>
      <c r="I185" s="5" t="s">
        <v>1782</v>
      </c>
      <c r="J185" s="91">
        <v>29437.0</v>
      </c>
      <c r="K185" s="5">
        <v>834.0</v>
      </c>
      <c r="L185" s="5" t="s">
        <v>3189</v>
      </c>
      <c r="M185" s="5">
        <v>41.0</v>
      </c>
      <c r="N185" s="5"/>
      <c r="O185" s="5">
        <v>54695.0</v>
      </c>
      <c r="P185" s="5" t="s">
        <v>3190</v>
      </c>
      <c r="Q185" s="5" t="s">
        <v>2041</v>
      </c>
      <c r="R185" s="5">
        <v>834.0</v>
      </c>
      <c r="S185" s="5">
        <v>4.432240137E9</v>
      </c>
      <c r="T185" s="5"/>
      <c r="U185" s="5" t="s">
        <v>3191</v>
      </c>
      <c r="V185" s="5">
        <v>4.436941927E9</v>
      </c>
      <c r="W185" s="5" t="s">
        <v>1965</v>
      </c>
      <c r="X185" s="91">
        <v>43622.0</v>
      </c>
      <c r="Y185" s="5">
        <v>4.0</v>
      </c>
      <c r="Z185" s="5">
        <v>17.0</v>
      </c>
      <c r="AA185" s="5">
        <v>61.0</v>
      </c>
      <c r="AB185" s="5" t="s">
        <v>3192</v>
      </c>
      <c r="AC185" s="5" t="s">
        <v>1772</v>
      </c>
      <c r="AD185" s="91">
        <v>43038.0</v>
      </c>
      <c r="AE185" s="91">
        <v>43768.0</v>
      </c>
      <c r="AF185" s="5"/>
      <c r="AG185" s="5"/>
      <c r="AH185" s="5">
        <v>5.398800559E10</v>
      </c>
      <c r="AI185" s="5">
        <v>80.0</v>
      </c>
      <c r="AJ185" s="5"/>
      <c r="AK185" s="5" t="s">
        <v>1773</v>
      </c>
      <c r="AL185" s="92">
        <v>0.0</v>
      </c>
      <c r="AM185" s="5" t="s">
        <v>1770</v>
      </c>
      <c r="AN185" s="5" t="s">
        <v>2052</v>
      </c>
      <c r="AO185" s="5"/>
      <c r="AP185" s="5"/>
      <c r="AQ185" s="5"/>
      <c r="AR185" s="5"/>
      <c r="AS185" s="5"/>
      <c r="AT185" s="5"/>
      <c r="AU185" s="5"/>
      <c r="AV185" s="5"/>
      <c r="AW185" s="5" t="s">
        <v>1770</v>
      </c>
      <c r="AX185" s="5"/>
      <c r="AY185" s="5"/>
      <c r="AZ185" s="5" t="s">
        <v>1770</v>
      </c>
      <c r="BA185" s="93">
        <v>0.0</v>
      </c>
      <c r="BB185" s="93">
        <v>0.0</v>
      </c>
      <c r="BC185" s="93">
        <v>0.0</v>
      </c>
      <c r="BD185" s="93">
        <v>0.0</v>
      </c>
      <c r="BE185" s="93">
        <v>0.0</v>
      </c>
      <c r="BF185" s="93">
        <v>0.0</v>
      </c>
      <c r="BG185" s="5"/>
      <c r="BH185" s="93">
        <v>0.0</v>
      </c>
      <c r="BI185" s="93">
        <v>0.0</v>
      </c>
      <c r="BJ185" s="93">
        <v>0.0</v>
      </c>
      <c r="BK185" s="93">
        <v>0.0</v>
      </c>
      <c r="BL185" s="93">
        <v>0.0</v>
      </c>
      <c r="BM185" s="93">
        <v>0.0</v>
      </c>
      <c r="BN185" s="93">
        <v>0.0</v>
      </c>
      <c r="BO185" s="5"/>
      <c r="BP185" s="5" t="s">
        <v>1770</v>
      </c>
      <c r="BQ185" s="5" t="s">
        <v>1789</v>
      </c>
      <c r="BR185" s="94">
        <v>43635.58740740741</v>
      </c>
      <c r="BS185" s="5">
        <v>40.0</v>
      </c>
      <c r="BT185" s="94">
        <v>44681.56186342592</v>
      </c>
      <c r="BU185" s="5">
        <v>167.0</v>
      </c>
      <c r="BV185" s="94">
        <v>44770.55981481481</v>
      </c>
      <c r="BW185" s="5">
        <v>40.0</v>
      </c>
    </row>
    <row r="186" ht="14.25" customHeight="1">
      <c r="A186" s="5">
        <v>185.0</v>
      </c>
      <c r="B186" s="5">
        <v>455.0</v>
      </c>
      <c r="C186" s="5" t="s">
        <v>3193</v>
      </c>
      <c r="D186" s="5" t="s">
        <v>2522</v>
      </c>
      <c r="E186" s="100" t="s">
        <v>3194</v>
      </c>
      <c r="F186" s="5" t="s">
        <v>3195</v>
      </c>
      <c r="G186" s="5" t="s">
        <v>3196</v>
      </c>
      <c r="H186" s="5" t="s">
        <v>1972</v>
      </c>
      <c r="I186" s="5" t="s">
        <v>1782</v>
      </c>
      <c r="J186" s="91">
        <v>35661.0</v>
      </c>
      <c r="K186" s="5">
        <v>424.0</v>
      </c>
      <c r="L186" s="5" t="s">
        <v>3197</v>
      </c>
      <c r="M186" s="5" t="s">
        <v>2913</v>
      </c>
      <c r="N186" s="5"/>
      <c r="O186" s="5">
        <v>35872.0</v>
      </c>
      <c r="P186" s="5" t="s">
        <v>2556</v>
      </c>
      <c r="Q186" s="5" t="s">
        <v>3140</v>
      </c>
      <c r="R186" s="5">
        <v>424.0</v>
      </c>
      <c r="S186" s="5">
        <v>4.691266516E9</v>
      </c>
      <c r="T186" s="5" t="s">
        <v>3198</v>
      </c>
      <c r="U186" s="100" t="s">
        <v>3199</v>
      </c>
      <c r="V186" s="5">
        <v>4.691107205E9</v>
      </c>
      <c r="W186" s="5" t="s">
        <v>1808</v>
      </c>
      <c r="X186" s="91">
        <v>43623.0</v>
      </c>
      <c r="Y186" s="5">
        <v>2.0</v>
      </c>
      <c r="Z186" s="5">
        <v>3.0</v>
      </c>
      <c r="AA186" s="5">
        <v>4.0</v>
      </c>
      <c r="AB186" s="5"/>
      <c r="AC186" s="5"/>
      <c r="AD186" s="5" t="s">
        <v>1770</v>
      </c>
      <c r="AE186" s="5" t="s">
        <v>1770</v>
      </c>
      <c r="AF186" s="5"/>
      <c r="AG186" s="5"/>
      <c r="AH186" s="5">
        <v>7.1169786812E10</v>
      </c>
      <c r="AI186" s="5">
        <v>9.0</v>
      </c>
      <c r="AJ186" s="5"/>
      <c r="AK186" s="5" t="s">
        <v>1773</v>
      </c>
      <c r="AL186" s="92">
        <v>0.0</v>
      </c>
      <c r="AM186" s="5" t="s">
        <v>1770</v>
      </c>
      <c r="AN186" s="5" t="s">
        <v>1830</v>
      </c>
      <c r="AO186" s="5"/>
      <c r="AP186" s="5"/>
      <c r="AQ186" s="5"/>
      <c r="AR186" s="5"/>
      <c r="AS186" s="5"/>
      <c r="AT186" s="5" t="s">
        <v>2184</v>
      </c>
      <c r="AU186" s="5" t="s">
        <v>3200</v>
      </c>
      <c r="AV186" s="5" t="s">
        <v>3201</v>
      </c>
      <c r="AW186" s="91">
        <v>43435.0</v>
      </c>
      <c r="AX186" s="5"/>
      <c r="AY186" s="5"/>
      <c r="AZ186" s="5" t="s">
        <v>1770</v>
      </c>
      <c r="BA186" s="93">
        <v>0.0</v>
      </c>
      <c r="BB186" s="93">
        <v>0.0</v>
      </c>
      <c r="BC186" s="93">
        <v>0.0</v>
      </c>
      <c r="BD186" s="93">
        <v>0.0</v>
      </c>
      <c r="BE186" s="93">
        <v>0.0</v>
      </c>
      <c r="BF186" s="93">
        <v>0.0</v>
      </c>
      <c r="BG186" s="5"/>
      <c r="BH186" s="93">
        <v>0.0</v>
      </c>
      <c r="BI186" s="93">
        <v>0.0</v>
      </c>
      <c r="BJ186" s="93">
        <v>0.0</v>
      </c>
      <c r="BK186" s="93">
        <v>0.0</v>
      </c>
      <c r="BL186" s="93">
        <v>0.0</v>
      </c>
      <c r="BM186" s="93">
        <v>0.0</v>
      </c>
      <c r="BN186" s="93">
        <v>0.0</v>
      </c>
      <c r="BO186" s="5"/>
      <c r="BP186" s="5" t="s">
        <v>1770</v>
      </c>
      <c r="BQ186" s="5" t="s">
        <v>1789</v>
      </c>
      <c r="BR186" s="94">
        <v>43635.59637731482</v>
      </c>
      <c r="BS186" s="5">
        <v>40.0</v>
      </c>
      <c r="BT186" s="94">
        <v>43644.51322916667</v>
      </c>
      <c r="BU186" s="5">
        <v>40.0</v>
      </c>
      <c r="BV186" s="94">
        <v>44392.71440972222</v>
      </c>
      <c r="BW186" s="5">
        <v>40.0</v>
      </c>
    </row>
    <row r="187" ht="14.25" customHeight="1">
      <c r="A187" s="5">
        <v>186.0</v>
      </c>
      <c r="B187" s="5">
        <v>456.0</v>
      </c>
      <c r="C187" s="5" t="s">
        <v>1821</v>
      </c>
      <c r="D187" s="100" t="s">
        <v>3202</v>
      </c>
      <c r="E187" s="5" t="s">
        <v>1823</v>
      </c>
      <c r="F187" s="5" t="s">
        <v>3203</v>
      </c>
      <c r="G187" s="5" t="s">
        <v>3204</v>
      </c>
      <c r="H187" s="5" t="s">
        <v>1781</v>
      </c>
      <c r="I187" s="5" t="s">
        <v>1782</v>
      </c>
      <c r="J187" s="91">
        <v>25688.0</v>
      </c>
      <c r="K187" s="5">
        <v>834.0</v>
      </c>
      <c r="L187" s="5" t="s">
        <v>3205</v>
      </c>
      <c r="M187" s="5">
        <v>651.0</v>
      </c>
      <c r="N187" s="5"/>
      <c r="O187" s="5">
        <v>53949.0</v>
      </c>
      <c r="P187" s="5" t="s">
        <v>3206</v>
      </c>
      <c r="Q187" s="5" t="s">
        <v>2041</v>
      </c>
      <c r="R187" s="5">
        <v>834.0</v>
      </c>
      <c r="S187" s="5">
        <v>4.432236932E9</v>
      </c>
      <c r="T187" s="5"/>
      <c r="U187" s="5" t="s">
        <v>3207</v>
      </c>
      <c r="V187" s="5">
        <v>4.434105577E9</v>
      </c>
      <c r="W187" s="5" t="s">
        <v>1787</v>
      </c>
      <c r="X187" s="91">
        <v>43626.0</v>
      </c>
      <c r="Y187" s="5">
        <v>4.0</v>
      </c>
      <c r="Z187" s="5">
        <v>4.0</v>
      </c>
      <c r="AA187" s="5">
        <v>41.0</v>
      </c>
      <c r="AB187" s="5">
        <v>48435.0</v>
      </c>
      <c r="AC187" s="5" t="s">
        <v>1772</v>
      </c>
      <c r="AD187" s="91">
        <v>43501.0</v>
      </c>
      <c r="AE187" s="91">
        <v>45327.0</v>
      </c>
      <c r="AF187" s="5"/>
      <c r="AG187" s="5"/>
      <c r="AH187" s="5">
        <v>4.03700716E9</v>
      </c>
      <c r="AI187" s="5">
        <v>80.0</v>
      </c>
      <c r="AJ187" s="5"/>
      <c r="AK187" s="5" t="s">
        <v>1773</v>
      </c>
      <c r="AL187" s="92">
        <v>0.0</v>
      </c>
      <c r="AM187" s="5" t="s">
        <v>1770</v>
      </c>
      <c r="AN187" s="5" t="s">
        <v>1809</v>
      </c>
      <c r="AO187" s="5"/>
      <c r="AP187" s="5"/>
      <c r="AQ187" s="5"/>
      <c r="AR187" s="5"/>
      <c r="AS187" s="5"/>
      <c r="AT187" s="5"/>
      <c r="AU187" s="5"/>
      <c r="AV187" s="5"/>
      <c r="AW187" s="5" t="s">
        <v>1770</v>
      </c>
      <c r="AX187" s="5"/>
      <c r="AY187" s="5"/>
      <c r="AZ187" s="5" t="s">
        <v>1770</v>
      </c>
      <c r="BA187" s="93">
        <v>0.0</v>
      </c>
      <c r="BB187" s="93">
        <v>0.0</v>
      </c>
      <c r="BC187" s="93">
        <v>0.0</v>
      </c>
      <c r="BD187" s="93">
        <v>0.0</v>
      </c>
      <c r="BE187" s="93">
        <v>0.0</v>
      </c>
      <c r="BF187" s="93">
        <v>0.0</v>
      </c>
      <c r="BG187" s="5"/>
      <c r="BH187" s="93">
        <v>0.0</v>
      </c>
      <c r="BI187" s="93">
        <v>0.0</v>
      </c>
      <c r="BJ187" s="93">
        <v>0.0</v>
      </c>
      <c r="BK187" s="93">
        <v>0.0</v>
      </c>
      <c r="BL187" s="93">
        <v>0.0</v>
      </c>
      <c r="BM187" s="93">
        <v>0.0</v>
      </c>
      <c r="BN187" s="93">
        <v>0.0</v>
      </c>
      <c r="BO187" s="5"/>
      <c r="BP187" s="5" t="s">
        <v>1770</v>
      </c>
      <c r="BQ187" s="5" t="s">
        <v>1789</v>
      </c>
      <c r="BR187" s="94">
        <v>43635.65969907407</v>
      </c>
      <c r="BS187" s="5">
        <v>40.0</v>
      </c>
      <c r="BT187" s="94">
        <v>43644.429398148146</v>
      </c>
      <c r="BU187" s="5">
        <v>40.0</v>
      </c>
      <c r="BV187" s="94">
        <v>44645.52376157408</v>
      </c>
      <c r="BW187" s="5">
        <v>167.0</v>
      </c>
    </row>
    <row r="188" ht="14.25" customHeight="1">
      <c r="A188" s="5">
        <v>187.0</v>
      </c>
      <c r="B188" s="5">
        <v>457.0</v>
      </c>
      <c r="C188" s="5" t="s">
        <v>3208</v>
      </c>
      <c r="D188" s="5" t="s">
        <v>1981</v>
      </c>
      <c r="E188" s="5" t="s">
        <v>2452</v>
      </c>
      <c r="F188" s="5" t="s">
        <v>3209</v>
      </c>
      <c r="G188" s="5" t="s">
        <v>3210</v>
      </c>
      <c r="H188" s="5" t="s">
        <v>1815</v>
      </c>
      <c r="I188" s="5" t="s">
        <v>1763</v>
      </c>
      <c r="J188" s="91">
        <v>35064.0</v>
      </c>
      <c r="K188" s="5">
        <v>792.0</v>
      </c>
      <c r="L188" s="5" t="s">
        <v>3211</v>
      </c>
      <c r="M188" s="5">
        <v>77.0</v>
      </c>
      <c r="N188" s="5"/>
      <c r="O188" s="5">
        <v>54922.0</v>
      </c>
      <c r="P188" s="5" t="s">
        <v>2556</v>
      </c>
      <c r="Q188" s="5" t="s">
        <v>3212</v>
      </c>
      <c r="R188" s="5">
        <v>792.0</v>
      </c>
      <c r="S188" s="5">
        <v>3.314409683E9</v>
      </c>
      <c r="T188" s="5" t="s">
        <v>3213</v>
      </c>
      <c r="U188" s="5" t="s">
        <v>3214</v>
      </c>
      <c r="V188" s="5">
        <v>3.939352951E9</v>
      </c>
      <c r="W188" s="5" t="s">
        <v>1965</v>
      </c>
      <c r="X188" s="91">
        <v>43626.0</v>
      </c>
      <c r="Y188" s="5" t="s">
        <v>1770</v>
      </c>
      <c r="Z188" s="5">
        <v>17.0</v>
      </c>
      <c r="AA188" s="5">
        <v>9.0</v>
      </c>
      <c r="AB188" s="5"/>
      <c r="AC188" s="5"/>
      <c r="AD188" s="5" t="s">
        <v>1770</v>
      </c>
      <c r="AE188" s="5" t="s">
        <v>1770</v>
      </c>
      <c r="AF188" s="5"/>
      <c r="AG188" s="5"/>
      <c r="AH188" s="5">
        <v>4.16959981E9</v>
      </c>
      <c r="AI188" s="5">
        <v>23.0</v>
      </c>
      <c r="AJ188" s="5"/>
      <c r="AK188" s="5" t="s">
        <v>1773</v>
      </c>
      <c r="AL188" s="92">
        <v>0.0</v>
      </c>
      <c r="AM188" s="5" t="s">
        <v>1770</v>
      </c>
      <c r="AN188" s="5" t="s">
        <v>1830</v>
      </c>
      <c r="AO188" s="5"/>
      <c r="AP188" s="5"/>
      <c r="AQ188" s="5"/>
      <c r="AR188" s="5"/>
      <c r="AS188" s="5"/>
      <c r="AT188" s="5" t="s">
        <v>2184</v>
      </c>
      <c r="AU188" s="5" t="s">
        <v>3215</v>
      </c>
      <c r="AV188" s="5" t="s">
        <v>1917</v>
      </c>
      <c r="AW188" s="91">
        <v>43488.0</v>
      </c>
      <c r="AX188" s="5"/>
      <c r="AY188" s="5"/>
      <c r="AZ188" s="5" t="s">
        <v>1770</v>
      </c>
      <c r="BA188" s="93">
        <v>0.0</v>
      </c>
      <c r="BB188" s="93">
        <v>0.0</v>
      </c>
      <c r="BC188" s="93">
        <v>0.0</v>
      </c>
      <c r="BD188" s="93">
        <v>0.0</v>
      </c>
      <c r="BE188" s="93">
        <v>0.0</v>
      </c>
      <c r="BF188" s="93">
        <v>0.0</v>
      </c>
      <c r="BG188" s="5"/>
      <c r="BH188" s="93">
        <v>0.0</v>
      </c>
      <c r="BI188" s="93">
        <v>0.0</v>
      </c>
      <c r="BJ188" s="93">
        <v>0.0</v>
      </c>
      <c r="BK188" s="93">
        <v>0.0</v>
      </c>
      <c r="BL188" s="93">
        <v>0.0</v>
      </c>
      <c r="BM188" s="93">
        <v>0.0</v>
      </c>
      <c r="BN188" s="93">
        <v>0.0</v>
      </c>
      <c r="BO188" s="5"/>
      <c r="BP188" s="5" t="s">
        <v>1770</v>
      </c>
      <c r="BQ188" s="5" t="s">
        <v>1789</v>
      </c>
      <c r="BR188" s="94">
        <v>43635.68269675926</v>
      </c>
      <c r="BS188" s="5">
        <v>40.0</v>
      </c>
      <c r="BT188" s="94">
        <v>43644.514016203706</v>
      </c>
      <c r="BU188" s="5">
        <v>40.0</v>
      </c>
      <c r="BV188" s="94">
        <v>44645.663090277776</v>
      </c>
      <c r="BW188" s="5" t="s">
        <v>1770</v>
      </c>
    </row>
    <row r="189" ht="14.25" customHeight="1">
      <c r="A189" s="5">
        <v>188.0</v>
      </c>
      <c r="B189" s="5">
        <v>442.0</v>
      </c>
      <c r="C189" s="5" t="s">
        <v>3216</v>
      </c>
      <c r="D189" s="5" t="s">
        <v>2011</v>
      </c>
      <c r="E189" s="5" t="s">
        <v>2001</v>
      </c>
      <c r="F189" s="5" t="s">
        <v>3217</v>
      </c>
      <c r="G189" s="5" t="s">
        <v>3218</v>
      </c>
      <c r="H189" s="5" t="s">
        <v>1781</v>
      </c>
      <c r="I189" s="5" t="s">
        <v>1782</v>
      </c>
      <c r="J189" s="91">
        <v>28069.0</v>
      </c>
      <c r="K189" s="5">
        <v>792.0</v>
      </c>
      <c r="L189" s="5" t="s">
        <v>3219</v>
      </c>
      <c r="M189" s="5">
        <v>28.0</v>
      </c>
      <c r="N189" s="5"/>
      <c r="O189" s="5">
        <v>54922.0</v>
      </c>
      <c r="P189" s="5" t="s">
        <v>3220</v>
      </c>
      <c r="Q189" s="100" t="s">
        <v>2592</v>
      </c>
      <c r="R189" s="5">
        <v>792.0</v>
      </c>
      <c r="S189" s="5">
        <v>3.931040814E9</v>
      </c>
      <c r="T189" s="5" t="s">
        <v>3221</v>
      </c>
      <c r="U189" s="5" t="s">
        <v>3222</v>
      </c>
      <c r="V189" s="5">
        <v>3.931204877E9</v>
      </c>
      <c r="W189" s="5" t="s">
        <v>1819</v>
      </c>
      <c r="X189" s="91">
        <v>43551.0</v>
      </c>
      <c r="Y189" s="5">
        <v>1.0</v>
      </c>
      <c r="Z189" s="5">
        <v>17.0</v>
      </c>
      <c r="AA189" s="5">
        <v>61.0</v>
      </c>
      <c r="AB189" s="5"/>
      <c r="AC189" s="5"/>
      <c r="AD189" s="5" t="s">
        <v>1770</v>
      </c>
      <c r="AE189" s="5" t="s">
        <v>1770</v>
      </c>
      <c r="AF189" s="5"/>
      <c r="AG189" s="5"/>
      <c r="AH189" s="5">
        <v>4.997661519E9</v>
      </c>
      <c r="AI189" s="5">
        <v>23.0</v>
      </c>
      <c r="AJ189" s="5"/>
      <c r="AK189" s="5" t="s">
        <v>1773</v>
      </c>
      <c r="AL189" s="92">
        <v>0.0</v>
      </c>
      <c r="AM189" s="5" t="s">
        <v>1770</v>
      </c>
      <c r="AN189" s="5" t="s">
        <v>1809</v>
      </c>
      <c r="AO189" s="5"/>
      <c r="AP189" s="5"/>
      <c r="AQ189" s="5"/>
      <c r="AR189" s="5"/>
      <c r="AS189" s="5"/>
      <c r="AT189" s="5"/>
      <c r="AU189" s="5"/>
      <c r="AV189" s="5"/>
      <c r="AW189" s="5" t="s">
        <v>1770</v>
      </c>
      <c r="AX189" s="5"/>
      <c r="AY189" s="5"/>
      <c r="AZ189" s="5" t="s">
        <v>1770</v>
      </c>
      <c r="BA189" s="93">
        <v>0.0</v>
      </c>
      <c r="BB189" s="93">
        <v>0.0</v>
      </c>
      <c r="BC189" s="93">
        <v>0.0</v>
      </c>
      <c r="BD189" s="93">
        <v>0.0</v>
      </c>
      <c r="BE189" s="93">
        <v>0.0</v>
      </c>
      <c r="BF189" s="93">
        <v>0.0</v>
      </c>
      <c r="BG189" s="5"/>
      <c r="BH189" s="93">
        <v>0.0</v>
      </c>
      <c r="BI189" s="93">
        <v>0.0</v>
      </c>
      <c r="BJ189" s="93">
        <v>0.0</v>
      </c>
      <c r="BK189" s="93">
        <v>0.0</v>
      </c>
      <c r="BL189" s="93">
        <v>0.0</v>
      </c>
      <c r="BM189" s="93">
        <v>0.0</v>
      </c>
      <c r="BN189" s="93">
        <v>0.0</v>
      </c>
      <c r="BO189" s="5"/>
      <c r="BP189" s="5"/>
      <c r="BQ189" s="5" t="s">
        <v>1775</v>
      </c>
      <c r="BR189" s="94">
        <v>43636.53082175926</v>
      </c>
      <c r="BS189" s="5">
        <v>40.0</v>
      </c>
      <c r="BT189" s="94">
        <v>46134.49556712963</v>
      </c>
      <c r="BU189" s="5" t="s">
        <v>1770</v>
      </c>
      <c r="BV189" s="5" t="s">
        <v>1770</v>
      </c>
      <c r="BW189" s="5" t="s">
        <v>1770</v>
      </c>
    </row>
    <row r="190" ht="14.25" customHeight="1">
      <c r="A190" s="5">
        <v>189.0</v>
      </c>
      <c r="B190" s="5">
        <v>458.0</v>
      </c>
      <c r="C190" s="5" t="s">
        <v>3223</v>
      </c>
      <c r="D190" s="5" t="s">
        <v>2551</v>
      </c>
      <c r="E190" s="5" t="s">
        <v>1758</v>
      </c>
      <c r="F190" s="5" t="s">
        <v>3224</v>
      </c>
      <c r="G190" s="5" t="s">
        <v>3225</v>
      </c>
      <c r="H190" s="5" t="s">
        <v>1972</v>
      </c>
      <c r="I190" s="5" t="s">
        <v>1782</v>
      </c>
      <c r="J190" s="91">
        <v>34311.0</v>
      </c>
      <c r="K190" s="5">
        <v>570.0</v>
      </c>
      <c r="L190" s="5" t="s">
        <v>3226</v>
      </c>
      <c r="M190" s="5">
        <v>455.0</v>
      </c>
      <c r="N190" s="5"/>
      <c r="O190" s="5">
        <v>41922.0</v>
      </c>
      <c r="P190" s="5" t="s">
        <v>3226</v>
      </c>
      <c r="Q190" s="5" t="s">
        <v>2349</v>
      </c>
      <c r="R190" s="5">
        <v>597.0</v>
      </c>
      <c r="S190" s="5">
        <v>3.336261986E9</v>
      </c>
      <c r="T190" s="5" t="s">
        <v>3227</v>
      </c>
      <c r="U190" s="5" t="s">
        <v>3228</v>
      </c>
      <c r="V190" s="5">
        <v>3.314493349E9</v>
      </c>
      <c r="W190" s="5" t="s">
        <v>1808</v>
      </c>
      <c r="X190" s="91">
        <v>43640.0</v>
      </c>
      <c r="Y190" s="5">
        <v>5.0</v>
      </c>
      <c r="Z190" s="5">
        <v>3.0</v>
      </c>
      <c r="AA190" s="5">
        <v>4.0</v>
      </c>
      <c r="AB190" s="5"/>
      <c r="AC190" s="5"/>
      <c r="AD190" s="5" t="s">
        <v>1770</v>
      </c>
      <c r="AE190" s="5" t="s">
        <v>1770</v>
      </c>
      <c r="AF190" s="5">
        <v>1.542902811E9</v>
      </c>
      <c r="AG190" s="5">
        <v>1.237401542902811E16</v>
      </c>
      <c r="AH190" s="5">
        <v>4.149300545E9</v>
      </c>
      <c r="AI190" s="5">
        <v>95.0</v>
      </c>
      <c r="AJ190" s="5"/>
      <c r="AK190" s="5" t="s">
        <v>1773</v>
      </c>
      <c r="AL190" s="92">
        <v>0.0</v>
      </c>
      <c r="AM190" s="5" t="s">
        <v>1770</v>
      </c>
      <c r="AN190" s="5" t="s">
        <v>1774</v>
      </c>
      <c r="AO190" s="5"/>
      <c r="AP190" s="5"/>
      <c r="AQ190" s="5"/>
      <c r="AR190" s="5"/>
      <c r="AS190" s="5"/>
      <c r="AT190" s="5" t="s">
        <v>3026</v>
      </c>
      <c r="AU190" s="5" t="s">
        <v>3229</v>
      </c>
      <c r="AV190" s="5" t="s">
        <v>3230</v>
      </c>
      <c r="AW190" s="91">
        <v>43532.0</v>
      </c>
      <c r="AX190" s="5"/>
      <c r="AY190" s="5"/>
      <c r="AZ190" s="5" t="s">
        <v>1770</v>
      </c>
      <c r="BA190" s="93">
        <v>0.0</v>
      </c>
      <c r="BB190" s="93">
        <v>0.0</v>
      </c>
      <c r="BC190" s="93">
        <v>0.0</v>
      </c>
      <c r="BD190" s="93">
        <v>0.0</v>
      </c>
      <c r="BE190" s="93">
        <v>0.0</v>
      </c>
      <c r="BF190" s="93">
        <v>0.0</v>
      </c>
      <c r="BG190" s="5"/>
      <c r="BH190" s="93">
        <v>0.0</v>
      </c>
      <c r="BI190" s="93">
        <v>0.0</v>
      </c>
      <c r="BJ190" s="93">
        <v>0.0</v>
      </c>
      <c r="BK190" s="103">
        <v>80.0</v>
      </c>
      <c r="BL190" s="103">
        <v>90.0</v>
      </c>
      <c r="BM190" s="103">
        <v>90.0</v>
      </c>
      <c r="BN190" s="103">
        <v>70.0</v>
      </c>
      <c r="BO190" s="5"/>
      <c r="BP190" s="5" t="s">
        <v>1770</v>
      </c>
      <c r="BQ190" s="5" t="s">
        <v>1789</v>
      </c>
      <c r="BR190" s="94">
        <v>43643.70085648148</v>
      </c>
      <c r="BS190" s="5">
        <v>40.0</v>
      </c>
      <c r="BT190" s="94">
        <v>45061.44498842592</v>
      </c>
      <c r="BU190" s="5">
        <v>211.0</v>
      </c>
      <c r="BV190" s="94">
        <v>45061.445127314815</v>
      </c>
      <c r="BW190" s="5">
        <v>211.0</v>
      </c>
    </row>
    <row r="191" ht="14.25" customHeight="1">
      <c r="A191" s="5">
        <v>190.0</v>
      </c>
      <c r="B191" s="5">
        <v>460.0</v>
      </c>
      <c r="C191" s="5" t="s">
        <v>3231</v>
      </c>
      <c r="D191" s="100" t="s">
        <v>2377</v>
      </c>
      <c r="E191" s="5" t="s">
        <v>2463</v>
      </c>
      <c r="F191" s="5" t="s">
        <v>3232</v>
      </c>
      <c r="G191" s="5" t="s">
        <v>3233</v>
      </c>
      <c r="H191" s="5" t="s">
        <v>1972</v>
      </c>
      <c r="I191" s="5" t="s">
        <v>1782</v>
      </c>
      <c r="J191" s="91">
        <v>36841.0</v>
      </c>
      <c r="K191" s="5">
        <v>424.0</v>
      </c>
      <c r="L191" s="5" t="s">
        <v>2386</v>
      </c>
      <c r="M191" s="5">
        <v>2.0</v>
      </c>
      <c r="N191" s="5"/>
      <c r="O191" s="5">
        <v>35873.0</v>
      </c>
      <c r="P191" s="5" t="s">
        <v>3234</v>
      </c>
      <c r="Q191" s="5" t="s">
        <v>3234</v>
      </c>
      <c r="R191" s="5">
        <v>424.0</v>
      </c>
      <c r="S191" s="5">
        <v>4.691227624E9</v>
      </c>
      <c r="T191" s="5"/>
      <c r="U191" s="5" t="s">
        <v>3235</v>
      </c>
      <c r="V191" s="5">
        <v>4.696217295E9</v>
      </c>
      <c r="W191" s="5" t="s">
        <v>1808</v>
      </c>
      <c r="X191" s="91">
        <v>43640.0</v>
      </c>
      <c r="Y191" s="5">
        <v>2.0</v>
      </c>
      <c r="Z191" s="5">
        <v>4.0</v>
      </c>
      <c r="AA191" s="5">
        <v>39.0</v>
      </c>
      <c r="AB191" s="5"/>
      <c r="AC191" s="5"/>
      <c r="AD191" s="5" t="s">
        <v>1770</v>
      </c>
      <c r="AE191" s="5" t="s">
        <v>1770</v>
      </c>
      <c r="AF191" s="5">
        <v>7.436071545425657E15</v>
      </c>
      <c r="AG191" s="5">
        <v>1.2180015454256578E16</v>
      </c>
      <c r="AH191" s="5">
        <v>2.4130025224E10</v>
      </c>
      <c r="AI191" s="5">
        <v>9.0</v>
      </c>
      <c r="AJ191" s="5"/>
      <c r="AK191" s="5" t="s">
        <v>1773</v>
      </c>
      <c r="AL191" s="92">
        <v>0.0</v>
      </c>
      <c r="AM191" s="5" t="s">
        <v>1770</v>
      </c>
      <c r="AN191" s="5" t="s">
        <v>3236</v>
      </c>
      <c r="AO191" s="5"/>
      <c r="AP191" s="5"/>
      <c r="AQ191" s="5"/>
      <c r="AR191" s="5"/>
      <c r="AS191" s="5"/>
      <c r="AT191" s="5" t="s">
        <v>3237</v>
      </c>
      <c r="AU191" s="5"/>
      <c r="AV191" s="5"/>
      <c r="AW191" s="5" t="s">
        <v>1770</v>
      </c>
      <c r="AX191" s="5"/>
      <c r="AY191" s="5"/>
      <c r="AZ191" s="5" t="s">
        <v>1770</v>
      </c>
      <c r="BA191" s="93">
        <v>0.0</v>
      </c>
      <c r="BB191" s="93">
        <v>0.0</v>
      </c>
      <c r="BC191" s="93">
        <v>0.0</v>
      </c>
      <c r="BD191" s="93">
        <v>0.0</v>
      </c>
      <c r="BE191" s="93">
        <v>0.0</v>
      </c>
      <c r="BF191" s="93">
        <v>0.0</v>
      </c>
      <c r="BG191" s="5"/>
      <c r="BH191" s="93">
        <v>0.0</v>
      </c>
      <c r="BI191" s="93">
        <v>0.0</v>
      </c>
      <c r="BJ191" s="93">
        <v>0.0</v>
      </c>
      <c r="BK191" s="93">
        <v>0.0</v>
      </c>
      <c r="BL191" s="103">
        <v>50.0</v>
      </c>
      <c r="BM191" s="103">
        <v>50.0</v>
      </c>
      <c r="BN191" s="93">
        <v>0.0</v>
      </c>
      <c r="BO191" s="5"/>
      <c r="BP191" s="5" t="s">
        <v>1770</v>
      </c>
      <c r="BQ191" s="5" t="s">
        <v>1789</v>
      </c>
      <c r="BR191" s="94">
        <v>43648.5146875</v>
      </c>
      <c r="BS191" s="5">
        <v>13.0</v>
      </c>
      <c r="BT191" s="94">
        <v>43648.59888888889</v>
      </c>
      <c r="BU191" s="5">
        <v>13.0</v>
      </c>
      <c r="BV191" s="94">
        <v>44645.51802083333</v>
      </c>
      <c r="BW191" s="5">
        <v>167.0</v>
      </c>
    </row>
    <row r="192" ht="14.25" customHeight="1">
      <c r="A192" s="5">
        <v>191.0</v>
      </c>
      <c r="B192" s="5">
        <v>459.0</v>
      </c>
      <c r="C192" s="5" t="s">
        <v>2612</v>
      </c>
      <c r="D192" s="5" t="s">
        <v>3238</v>
      </c>
      <c r="E192" s="5" t="s">
        <v>2437</v>
      </c>
      <c r="F192" s="5" t="s">
        <v>3239</v>
      </c>
      <c r="G192" s="5" t="s">
        <v>3240</v>
      </c>
      <c r="H192" s="5" t="s">
        <v>1972</v>
      </c>
      <c r="I192" s="5" t="s">
        <v>1782</v>
      </c>
      <c r="J192" s="91">
        <v>36792.0</v>
      </c>
      <c r="K192" s="5">
        <v>418.0</v>
      </c>
      <c r="L192" s="5" t="s">
        <v>3241</v>
      </c>
      <c r="M192" s="5">
        <v>36.0</v>
      </c>
      <c r="N192" s="5"/>
      <c r="O192" s="5">
        <v>35872.0</v>
      </c>
      <c r="P192" s="5" t="s">
        <v>3115</v>
      </c>
      <c r="Q192" s="5" t="s">
        <v>2406</v>
      </c>
      <c r="R192" s="5">
        <v>424.0</v>
      </c>
      <c r="S192" s="5">
        <v>4.691284684E9</v>
      </c>
      <c r="T192" s="5" t="s">
        <v>3242</v>
      </c>
      <c r="U192" s="5" t="s">
        <v>3243</v>
      </c>
      <c r="V192" s="5">
        <v>4.691414275E9</v>
      </c>
      <c r="W192" s="5" t="s">
        <v>1808</v>
      </c>
      <c r="X192" s="91">
        <v>43640.0</v>
      </c>
      <c r="Y192" s="5">
        <v>2.0</v>
      </c>
      <c r="Z192" s="5">
        <v>4.0</v>
      </c>
      <c r="AA192" s="5">
        <v>39.0</v>
      </c>
      <c r="AB192" s="5" t="s">
        <v>3244</v>
      </c>
      <c r="AC192" s="5" t="s">
        <v>1772</v>
      </c>
      <c r="AD192" s="91">
        <v>43797.0</v>
      </c>
      <c r="AE192" s="91">
        <v>45624.0</v>
      </c>
      <c r="AF192" s="5">
        <v>7.436071545424504E15</v>
      </c>
      <c r="AG192" s="5">
        <v>1.2180015454245042E16</v>
      </c>
      <c r="AH192" s="5">
        <v>7.3169865539E10</v>
      </c>
      <c r="AI192" s="5">
        <v>9.0</v>
      </c>
      <c r="AJ192" s="5"/>
      <c r="AK192" s="5" t="s">
        <v>1773</v>
      </c>
      <c r="AL192" s="92">
        <v>0.0</v>
      </c>
      <c r="AM192" s="5" t="s">
        <v>1770</v>
      </c>
      <c r="AN192" s="5" t="s">
        <v>3236</v>
      </c>
      <c r="AO192" s="5"/>
      <c r="AP192" s="5"/>
      <c r="AQ192" s="5"/>
      <c r="AR192" s="5"/>
      <c r="AS192" s="5"/>
      <c r="AT192" s="5" t="s">
        <v>3237</v>
      </c>
      <c r="AU192" s="5"/>
      <c r="AV192" s="5"/>
      <c r="AW192" s="5" t="s">
        <v>1770</v>
      </c>
      <c r="AX192" s="5"/>
      <c r="AY192" s="5"/>
      <c r="AZ192" s="5" t="s">
        <v>1770</v>
      </c>
      <c r="BA192" s="93">
        <v>0.0</v>
      </c>
      <c r="BB192" s="93">
        <v>0.0</v>
      </c>
      <c r="BC192" s="93">
        <v>0.0</v>
      </c>
      <c r="BD192" s="93">
        <v>0.0</v>
      </c>
      <c r="BE192" s="93">
        <v>0.0</v>
      </c>
      <c r="BF192" s="93">
        <v>0.0</v>
      </c>
      <c r="BG192" s="5"/>
      <c r="BH192" s="93">
        <v>0.0</v>
      </c>
      <c r="BI192" s="93">
        <v>0.0</v>
      </c>
      <c r="BJ192" s="93">
        <v>0.0</v>
      </c>
      <c r="BK192" s="93">
        <v>0.0</v>
      </c>
      <c r="BL192" s="103">
        <v>50.0</v>
      </c>
      <c r="BM192" s="103">
        <v>50.0</v>
      </c>
      <c r="BN192" s="93">
        <v>0.0</v>
      </c>
      <c r="BO192" s="5"/>
      <c r="BP192" s="5" t="s">
        <v>1770</v>
      </c>
      <c r="BQ192" s="5" t="s">
        <v>1789</v>
      </c>
      <c r="BR192" s="94">
        <v>43648.55708333333</v>
      </c>
      <c r="BS192" s="5">
        <v>13.0</v>
      </c>
      <c r="BT192" s="94">
        <v>44279.43047453704</v>
      </c>
      <c r="BU192" s="5">
        <v>40.0</v>
      </c>
      <c r="BV192" s="94">
        <v>44742.63097222222</v>
      </c>
      <c r="BW192" s="5">
        <v>167.0</v>
      </c>
    </row>
    <row r="193" ht="14.25" customHeight="1">
      <c r="A193" s="5">
        <v>192.0</v>
      </c>
      <c r="B193" s="5">
        <v>461.0</v>
      </c>
      <c r="C193" s="5" t="s">
        <v>3245</v>
      </c>
      <c r="D193" s="5" t="s">
        <v>2850</v>
      </c>
      <c r="E193" s="5" t="s">
        <v>3246</v>
      </c>
      <c r="F193" s="5" t="s">
        <v>3247</v>
      </c>
      <c r="G193" s="5" t="s">
        <v>3248</v>
      </c>
      <c r="H193" s="5" t="s">
        <v>1815</v>
      </c>
      <c r="I193" s="5" t="s">
        <v>1763</v>
      </c>
      <c r="J193" s="91">
        <v>35502.0</v>
      </c>
      <c r="K193" s="5">
        <v>549.0</v>
      </c>
      <c r="L193" s="5" t="s">
        <v>3008</v>
      </c>
      <c r="M193" s="5">
        <v>55.0</v>
      </c>
      <c r="N193" s="5"/>
      <c r="O193" s="5">
        <v>54922.0</v>
      </c>
      <c r="P193" s="5" t="s">
        <v>3249</v>
      </c>
      <c r="Q193" s="100" t="s">
        <v>2592</v>
      </c>
      <c r="R193" s="5">
        <v>792.0</v>
      </c>
      <c r="S193" s="5">
        <v>7.472569821E9</v>
      </c>
      <c r="T193" s="5" t="s">
        <v>3250</v>
      </c>
      <c r="U193" s="5" t="s">
        <v>3251</v>
      </c>
      <c r="V193" s="5">
        <v>7.471092492E9</v>
      </c>
      <c r="W193" s="5" t="s">
        <v>1819</v>
      </c>
      <c r="X193" s="91">
        <v>44470.0</v>
      </c>
      <c r="Y193" s="5" t="s">
        <v>1770</v>
      </c>
      <c r="Z193" s="5">
        <v>17.0</v>
      </c>
      <c r="AA193" s="5">
        <v>9.0</v>
      </c>
      <c r="AB193" s="5"/>
      <c r="AC193" s="5"/>
      <c r="AD193" s="5" t="s">
        <v>1770</v>
      </c>
      <c r="AE193" s="5" t="s">
        <v>1770</v>
      </c>
      <c r="AF193" s="5">
        <v>1.550725385E9</v>
      </c>
      <c r="AG193" s="5">
        <v>1.2180015507253856E16</v>
      </c>
      <c r="AH193" s="5">
        <v>7139703.0</v>
      </c>
      <c r="AI193" s="5"/>
      <c r="AJ193" s="5"/>
      <c r="AK193" s="5" t="s">
        <v>1773</v>
      </c>
      <c r="AL193" s="92">
        <v>0.0</v>
      </c>
      <c r="AM193" s="5" t="s">
        <v>1770</v>
      </c>
      <c r="AN193" s="5" t="s">
        <v>1774</v>
      </c>
      <c r="AO193" s="5"/>
      <c r="AP193" s="5"/>
      <c r="AQ193" s="5"/>
      <c r="AR193" s="5"/>
      <c r="AS193" s="5"/>
      <c r="AT193" s="5" t="s">
        <v>2184</v>
      </c>
      <c r="AU193" s="5" t="s">
        <v>3096</v>
      </c>
      <c r="AV193" s="5" t="s">
        <v>1917</v>
      </c>
      <c r="AW193" s="91">
        <v>43661.0</v>
      </c>
      <c r="AX193" s="5"/>
      <c r="AY193" s="5"/>
      <c r="AZ193" s="5" t="s">
        <v>1770</v>
      </c>
      <c r="BA193" s="93">
        <v>0.0</v>
      </c>
      <c r="BB193" s="93">
        <v>0.0</v>
      </c>
      <c r="BC193" s="93">
        <v>0.0</v>
      </c>
      <c r="BD193" s="93">
        <v>0.0</v>
      </c>
      <c r="BE193" s="93">
        <v>0.0</v>
      </c>
      <c r="BF193" s="93">
        <v>0.0</v>
      </c>
      <c r="BG193" s="5"/>
      <c r="BH193" s="93">
        <v>0.0</v>
      </c>
      <c r="BI193" s="93">
        <v>0.0</v>
      </c>
      <c r="BJ193" s="93">
        <v>0.0</v>
      </c>
      <c r="BK193" s="103">
        <v>80.0</v>
      </c>
      <c r="BL193" s="103">
        <v>95.0</v>
      </c>
      <c r="BM193" s="103">
        <v>90.0</v>
      </c>
      <c r="BN193" s="103">
        <v>80.0</v>
      </c>
      <c r="BO193" s="5"/>
      <c r="BP193" s="5" t="s">
        <v>1770</v>
      </c>
      <c r="BQ193" s="5" t="s">
        <v>1789</v>
      </c>
      <c r="BR193" s="94">
        <v>43648.61349537037</v>
      </c>
      <c r="BS193" s="5">
        <v>13.0</v>
      </c>
      <c r="BT193" s="94">
        <v>44506.49920138889</v>
      </c>
      <c r="BU193" s="5">
        <v>40.0</v>
      </c>
      <c r="BV193" s="94">
        <v>44714.38379629629</v>
      </c>
      <c r="BW193" s="5">
        <v>40.0</v>
      </c>
    </row>
    <row r="194" ht="14.25" customHeight="1">
      <c r="A194" s="5">
        <v>193.0</v>
      </c>
      <c r="B194" s="5">
        <v>462.0</v>
      </c>
      <c r="C194" s="5" t="s">
        <v>3252</v>
      </c>
      <c r="D194" s="5" t="s">
        <v>2036</v>
      </c>
      <c r="E194" s="5" t="s">
        <v>1879</v>
      </c>
      <c r="F194" s="5" t="s">
        <v>3253</v>
      </c>
      <c r="G194" s="5" t="s">
        <v>3254</v>
      </c>
      <c r="H194" s="5" t="s">
        <v>1972</v>
      </c>
      <c r="I194" s="5" t="s">
        <v>1782</v>
      </c>
      <c r="J194" s="91">
        <v>36682.0</v>
      </c>
      <c r="K194" s="5">
        <v>570.0</v>
      </c>
      <c r="L194" s="5" t="s">
        <v>3255</v>
      </c>
      <c r="M194" s="5">
        <v>71.0</v>
      </c>
      <c r="N194" s="5"/>
      <c r="O194" s="5">
        <v>43886.0</v>
      </c>
      <c r="P194" s="5" t="s">
        <v>2556</v>
      </c>
      <c r="Q194" s="5" t="s">
        <v>1883</v>
      </c>
      <c r="R194" s="5">
        <v>549.0</v>
      </c>
      <c r="S194" s="5">
        <v>3.931063715E9</v>
      </c>
      <c r="T194" s="5" t="s">
        <v>3256</v>
      </c>
      <c r="U194" s="5" t="s">
        <v>3257</v>
      </c>
      <c r="V194" s="5">
        <v>3.9393684E9</v>
      </c>
      <c r="W194" s="5" t="s">
        <v>1808</v>
      </c>
      <c r="X194" s="91">
        <v>43656.0</v>
      </c>
      <c r="Y194" s="5">
        <v>1.0</v>
      </c>
      <c r="Z194" s="5">
        <v>4.0</v>
      </c>
      <c r="AA194" s="5">
        <v>12.0</v>
      </c>
      <c r="AB194" s="5" t="s">
        <v>3258</v>
      </c>
      <c r="AC194" s="5" t="s">
        <v>1800</v>
      </c>
      <c r="AD194" s="91">
        <v>45996.0</v>
      </c>
      <c r="AE194" s="91">
        <v>47457.0</v>
      </c>
      <c r="AF194" s="5">
        <v>9.7400158292E10</v>
      </c>
      <c r="AG194" s="5">
        <v>2.361904234907042E15</v>
      </c>
      <c r="AH194" s="5">
        <v>2.6190030036E10</v>
      </c>
      <c r="AI194" s="5">
        <v>23.0</v>
      </c>
      <c r="AJ194" s="5"/>
      <c r="AK194" s="5" t="s">
        <v>1773</v>
      </c>
      <c r="AL194" s="92">
        <v>0.0</v>
      </c>
      <c r="AM194" s="5" t="s">
        <v>1770</v>
      </c>
      <c r="AN194" s="5" t="s">
        <v>1809</v>
      </c>
      <c r="AO194" s="5"/>
      <c r="AP194" s="5"/>
      <c r="AQ194" s="5"/>
      <c r="AR194" s="5"/>
      <c r="AS194" s="5"/>
      <c r="AT194" s="5" t="s">
        <v>3004</v>
      </c>
      <c r="AU194" s="5"/>
      <c r="AV194" s="5"/>
      <c r="AW194" s="5" t="s">
        <v>1770</v>
      </c>
      <c r="AX194" s="5"/>
      <c r="AY194" s="5"/>
      <c r="AZ194" s="5" t="s">
        <v>1770</v>
      </c>
      <c r="BA194" s="93">
        <v>0.0</v>
      </c>
      <c r="BB194" s="93">
        <v>0.0</v>
      </c>
      <c r="BC194" s="93">
        <v>0.0</v>
      </c>
      <c r="BD194" s="93">
        <v>0.0</v>
      </c>
      <c r="BE194" s="93">
        <v>0.0</v>
      </c>
      <c r="BF194" s="93">
        <v>0.0</v>
      </c>
      <c r="BG194" s="5"/>
      <c r="BH194" s="93">
        <v>0.0</v>
      </c>
      <c r="BI194" s="93">
        <v>0.0</v>
      </c>
      <c r="BJ194" s="93">
        <v>0.0</v>
      </c>
      <c r="BK194" s="93">
        <v>0.0</v>
      </c>
      <c r="BL194" s="93">
        <v>0.0</v>
      </c>
      <c r="BM194" s="93">
        <v>0.0</v>
      </c>
      <c r="BN194" s="93">
        <v>0.0</v>
      </c>
      <c r="BO194" s="5"/>
      <c r="BP194" s="5"/>
      <c r="BQ194" s="5" t="s">
        <v>1775</v>
      </c>
      <c r="BR194" s="94">
        <v>43662.75119212963</v>
      </c>
      <c r="BS194" s="5">
        <v>40.0</v>
      </c>
      <c r="BT194" s="94">
        <v>46134.388333333336</v>
      </c>
      <c r="BU194" s="5" t="s">
        <v>1770</v>
      </c>
      <c r="BV194" s="5" t="s">
        <v>1770</v>
      </c>
      <c r="BW194" s="5" t="s">
        <v>1770</v>
      </c>
    </row>
    <row r="195" ht="14.25" customHeight="1">
      <c r="A195" s="5">
        <v>194.0</v>
      </c>
      <c r="B195" s="5">
        <v>463.0</v>
      </c>
      <c r="C195" s="5" t="s">
        <v>3259</v>
      </c>
      <c r="D195" s="5" t="s">
        <v>2414</v>
      </c>
      <c r="E195" s="100" t="s">
        <v>1898</v>
      </c>
      <c r="F195" s="5" t="s">
        <v>3260</v>
      </c>
      <c r="G195" s="5" t="s">
        <v>3261</v>
      </c>
      <c r="H195" s="5" t="s">
        <v>1815</v>
      </c>
      <c r="I195" s="5" t="s">
        <v>1763</v>
      </c>
      <c r="J195" s="91">
        <v>32637.0</v>
      </c>
      <c r="K195" s="5">
        <v>594.0</v>
      </c>
      <c r="L195" s="5" t="s">
        <v>3262</v>
      </c>
      <c r="M195" s="5">
        <v>149.0</v>
      </c>
      <c r="N195" s="5"/>
      <c r="O195" s="5">
        <v>43882.0</v>
      </c>
      <c r="P195" s="5" t="s">
        <v>1797</v>
      </c>
      <c r="Q195" s="5" t="s">
        <v>1766</v>
      </c>
      <c r="R195" s="5">
        <v>549.0</v>
      </c>
      <c r="S195" s="5">
        <v>3.939333956E9</v>
      </c>
      <c r="T195" s="5" t="s">
        <v>3263</v>
      </c>
      <c r="U195" s="100" t="s">
        <v>3264</v>
      </c>
      <c r="V195" s="5">
        <v>3.993551637E9</v>
      </c>
      <c r="W195" s="5" t="s">
        <v>3011</v>
      </c>
      <c r="X195" s="91">
        <v>43662.0</v>
      </c>
      <c r="Y195" s="5">
        <v>1.0</v>
      </c>
      <c r="Z195" s="5">
        <v>4.0</v>
      </c>
      <c r="AA195" s="5">
        <v>17.0</v>
      </c>
      <c r="AB195" s="5"/>
      <c r="AC195" s="5"/>
      <c r="AD195" s="5" t="s">
        <v>1770</v>
      </c>
      <c r="AE195" s="5" t="s">
        <v>1770</v>
      </c>
      <c r="AF195" s="5"/>
      <c r="AG195" s="5"/>
      <c r="AH195" s="5">
        <v>4.108909039E9</v>
      </c>
      <c r="AI195" s="5">
        <v>23.0</v>
      </c>
      <c r="AJ195" s="5"/>
      <c r="AK195" s="5" t="s">
        <v>1773</v>
      </c>
      <c r="AL195" s="92">
        <v>0.0</v>
      </c>
      <c r="AM195" s="5" t="s">
        <v>1770</v>
      </c>
      <c r="AN195" s="5" t="s">
        <v>1830</v>
      </c>
      <c r="AO195" s="5"/>
      <c r="AP195" s="5"/>
      <c r="AQ195" s="5"/>
      <c r="AR195" s="5"/>
      <c r="AS195" s="5"/>
      <c r="AT195" s="5"/>
      <c r="AU195" s="5"/>
      <c r="AV195" s="5"/>
      <c r="AW195" s="5" t="s">
        <v>1770</v>
      </c>
      <c r="AX195" s="5"/>
      <c r="AY195" s="5"/>
      <c r="AZ195" s="5" t="s">
        <v>1770</v>
      </c>
      <c r="BA195" s="93">
        <v>0.0</v>
      </c>
      <c r="BB195" s="93">
        <v>0.0</v>
      </c>
      <c r="BC195" s="93">
        <v>0.0</v>
      </c>
      <c r="BD195" s="93">
        <v>0.0</v>
      </c>
      <c r="BE195" s="93">
        <v>0.0</v>
      </c>
      <c r="BF195" s="93">
        <v>0.0</v>
      </c>
      <c r="BG195" s="5"/>
      <c r="BH195" s="93">
        <v>0.0</v>
      </c>
      <c r="BI195" s="93">
        <v>0.0</v>
      </c>
      <c r="BJ195" s="93">
        <v>0.0</v>
      </c>
      <c r="BK195" s="93">
        <v>0.0</v>
      </c>
      <c r="BL195" s="93">
        <v>0.0</v>
      </c>
      <c r="BM195" s="93">
        <v>0.0</v>
      </c>
      <c r="BN195" s="93">
        <v>0.0</v>
      </c>
      <c r="BO195" s="5"/>
      <c r="BP195" s="5" t="s">
        <v>1770</v>
      </c>
      <c r="BQ195" s="5" t="s">
        <v>1789</v>
      </c>
      <c r="BR195" s="94">
        <v>43662.75560185185</v>
      </c>
      <c r="BS195" s="5">
        <v>40.0</v>
      </c>
      <c r="BT195" s="94">
        <v>45894.424108796295</v>
      </c>
      <c r="BU195" s="5">
        <v>40.0</v>
      </c>
      <c r="BV195" s="94">
        <v>45950.7133912037</v>
      </c>
      <c r="BW195" s="5">
        <v>40.0</v>
      </c>
    </row>
    <row r="196" ht="14.25" customHeight="1">
      <c r="A196" s="5">
        <v>195.0</v>
      </c>
      <c r="B196" s="5">
        <v>464.0</v>
      </c>
      <c r="C196" s="5" t="s">
        <v>3265</v>
      </c>
      <c r="D196" s="5" t="s">
        <v>3266</v>
      </c>
      <c r="E196" s="5" t="s">
        <v>3267</v>
      </c>
      <c r="F196" s="5" t="s">
        <v>3268</v>
      </c>
      <c r="G196" s="5" t="s">
        <v>3269</v>
      </c>
      <c r="H196" s="5" t="s">
        <v>1815</v>
      </c>
      <c r="I196" s="5" t="s">
        <v>1763</v>
      </c>
      <c r="J196" s="91">
        <v>35706.0</v>
      </c>
      <c r="K196" s="5">
        <v>850.0</v>
      </c>
      <c r="L196" s="5" t="s">
        <v>3270</v>
      </c>
      <c r="M196" s="5">
        <v>382.0</v>
      </c>
      <c r="N196" s="5"/>
      <c r="O196" s="5">
        <v>55182.0</v>
      </c>
      <c r="P196" s="5" t="s">
        <v>3271</v>
      </c>
      <c r="Q196" s="5" t="s">
        <v>234</v>
      </c>
      <c r="R196" s="5">
        <v>850.0</v>
      </c>
      <c r="S196" s="5">
        <v>3.521360652E9</v>
      </c>
      <c r="T196" s="5" t="s">
        <v>3272</v>
      </c>
      <c r="U196" s="5" t="s">
        <v>3273</v>
      </c>
      <c r="V196" s="5">
        <v>3.52122001E9</v>
      </c>
      <c r="W196" s="5" t="s">
        <v>1808</v>
      </c>
      <c r="X196" s="91">
        <v>43674.0</v>
      </c>
      <c r="Y196" s="5">
        <v>3.0</v>
      </c>
      <c r="Z196" s="5">
        <v>19.0</v>
      </c>
      <c r="AA196" s="5">
        <v>9.0</v>
      </c>
      <c r="AB196" s="5"/>
      <c r="AC196" s="5"/>
      <c r="AD196" s="5" t="s">
        <v>1770</v>
      </c>
      <c r="AE196" s="5" t="s">
        <v>1770</v>
      </c>
      <c r="AF196" s="5"/>
      <c r="AG196" s="5"/>
      <c r="AH196" s="5">
        <v>6.916970659E10</v>
      </c>
      <c r="AI196" s="5">
        <v>77.0</v>
      </c>
      <c r="AJ196" s="5"/>
      <c r="AK196" s="5" t="s">
        <v>1773</v>
      </c>
      <c r="AL196" s="92">
        <v>0.0</v>
      </c>
      <c r="AM196" s="5" t="s">
        <v>1770</v>
      </c>
      <c r="AN196" s="5" t="s">
        <v>1774</v>
      </c>
      <c r="AO196" s="5"/>
      <c r="AP196" s="5"/>
      <c r="AQ196" s="5"/>
      <c r="AR196" s="5"/>
      <c r="AS196" s="5"/>
      <c r="AT196" s="5" t="s">
        <v>2184</v>
      </c>
      <c r="AU196" s="5" t="s">
        <v>3274</v>
      </c>
      <c r="AV196" s="5" t="s">
        <v>3275</v>
      </c>
      <c r="AW196" s="91">
        <v>43814.0</v>
      </c>
      <c r="AX196" s="5"/>
      <c r="AY196" s="5"/>
      <c r="AZ196" s="5" t="s">
        <v>1770</v>
      </c>
      <c r="BA196" s="103">
        <v>40.0</v>
      </c>
      <c r="BB196" s="103">
        <v>60.0</v>
      </c>
      <c r="BC196" s="103">
        <v>40.0</v>
      </c>
      <c r="BD196" s="93">
        <v>0.0</v>
      </c>
      <c r="BE196" s="93">
        <v>0.0</v>
      </c>
      <c r="BF196" s="93">
        <v>0.0</v>
      </c>
      <c r="BG196" s="5"/>
      <c r="BH196" s="93">
        <v>0.0</v>
      </c>
      <c r="BI196" s="93">
        <v>0.0</v>
      </c>
      <c r="BJ196" s="93">
        <v>0.0</v>
      </c>
      <c r="BK196" s="103">
        <v>90.0</v>
      </c>
      <c r="BL196" s="103">
        <v>80.0</v>
      </c>
      <c r="BM196" s="103">
        <v>90.0</v>
      </c>
      <c r="BN196" s="103">
        <v>80.0</v>
      </c>
      <c r="BO196" s="5" t="s">
        <v>3276</v>
      </c>
      <c r="BP196" s="5" t="s">
        <v>1770</v>
      </c>
      <c r="BQ196" s="5" t="s">
        <v>1789</v>
      </c>
      <c r="BR196" s="94">
        <v>43679.50424768519</v>
      </c>
      <c r="BS196" s="5">
        <v>40.0</v>
      </c>
      <c r="BT196" s="5" t="s">
        <v>1770</v>
      </c>
      <c r="BU196" s="5" t="s">
        <v>1770</v>
      </c>
      <c r="BV196" s="94">
        <v>44060.54744212963</v>
      </c>
      <c r="BW196" s="5">
        <v>83.0</v>
      </c>
    </row>
    <row r="197" ht="14.25" customHeight="1">
      <c r="A197" s="5">
        <v>196.0</v>
      </c>
      <c r="B197" s="5">
        <v>466.0</v>
      </c>
      <c r="C197" s="5" t="s">
        <v>2819</v>
      </c>
      <c r="D197" s="5" t="s">
        <v>2573</v>
      </c>
      <c r="E197" s="5" t="s">
        <v>2789</v>
      </c>
      <c r="F197" s="5" t="s">
        <v>3277</v>
      </c>
      <c r="G197" s="5" t="s">
        <v>3278</v>
      </c>
      <c r="H197" s="5" t="s">
        <v>1781</v>
      </c>
      <c r="I197" s="5" t="s">
        <v>1782</v>
      </c>
      <c r="J197" s="91">
        <v>34279.0</v>
      </c>
      <c r="K197" s="5">
        <v>850.0</v>
      </c>
      <c r="L197" s="100" t="s">
        <v>3279</v>
      </c>
      <c r="M197" s="5">
        <v>140.0</v>
      </c>
      <c r="N197" s="5"/>
      <c r="O197" s="5">
        <v>55228.0</v>
      </c>
      <c r="P197" s="100" t="s">
        <v>3280</v>
      </c>
      <c r="Q197" s="5" t="s">
        <v>3281</v>
      </c>
      <c r="R197" s="5">
        <v>850.0</v>
      </c>
      <c r="S197" s="5">
        <v>4.428652787E9</v>
      </c>
      <c r="T197" s="5"/>
      <c r="U197" s="5" t="s">
        <v>3282</v>
      </c>
      <c r="V197" s="5">
        <v>3.52116244E9</v>
      </c>
      <c r="W197" s="5" t="s">
        <v>1787</v>
      </c>
      <c r="X197" s="91">
        <v>43679.0</v>
      </c>
      <c r="Y197" s="5">
        <v>3.0</v>
      </c>
      <c r="Z197" s="5">
        <v>4.0</v>
      </c>
      <c r="AA197" s="5">
        <v>41.0</v>
      </c>
      <c r="AB197" s="5" t="s">
        <v>3283</v>
      </c>
      <c r="AC197" s="5" t="s">
        <v>1800</v>
      </c>
      <c r="AD197" s="91">
        <v>43678.0</v>
      </c>
      <c r="AE197" s="91">
        <v>44409.0</v>
      </c>
      <c r="AF197" s="5">
        <v>1.556856172E9</v>
      </c>
      <c r="AG197" s="5">
        <v>1.249601556856172E16</v>
      </c>
      <c r="AH197" s="5">
        <v>1.4129333291E10</v>
      </c>
      <c r="AI197" s="5" t="s">
        <v>3284</v>
      </c>
      <c r="AJ197" s="5"/>
      <c r="AK197" s="5" t="s">
        <v>1773</v>
      </c>
      <c r="AL197" s="92">
        <v>0.0</v>
      </c>
      <c r="AM197" s="5" t="s">
        <v>1770</v>
      </c>
      <c r="AN197" s="5" t="s">
        <v>1809</v>
      </c>
      <c r="AO197" s="5"/>
      <c r="AP197" s="5"/>
      <c r="AQ197" s="5"/>
      <c r="AR197" s="5"/>
      <c r="AS197" s="5"/>
      <c r="AT197" s="5" t="s">
        <v>3285</v>
      </c>
      <c r="AU197" s="5"/>
      <c r="AV197" s="5"/>
      <c r="AW197" s="5" t="s">
        <v>1770</v>
      </c>
      <c r="AX197" s="5"/>
      <c r="AY197" s="5"/>
      <c r="AZ197" s="5" t="s">
        <v>1770</v>
      </c>
      <c r="BA197" s="93">
        <v>0.0</v>
      </c>
      <c r="BB197" s="93">
        <v>0.0</v>
      </c>
      <c r="BC197" s="93">
        <v>0.0</v>
      </c>
      <c r="BD197" s="93">
        <v>0.0</v>
      </c>
      <c r="BE197" s="93">
        <v>0.0</v>
      </c>
      <c r="BF197" s="93">
        <v>0.0</v>
      </c>
      <c r="BG197" s="5"/>
      <c r="BH197" s="93">
        <v>0.0</v>
      </c>
      <c r="BI197" s="93">
        <v>0.0</v>
      </c>
      <c r="BJ197" s="93">
        <v>0.0</v>
      </c>
      <c r="BK197" s="93">
        <v>0.0</v>
      </c>
      <c r="BL197" s="93">
        <v>0.0</v>
      </c>
      <c r="BM197" s="93">
        <v>0.0</v>
      </c>
      <c r="BN197" s="93">
        <v>0.0</v>
      </c>
      <c r="BO197" s="5"/>
      <c r="BP197" s="5" t="s">
        <v>1770</v>
      </c>
      <c r="BQ197" s="5" t="s">
        <v>1789</v>
      </c>
      <c r="BR197" s="94">
        <v>43703.51825231482</v>
      </c>
      <c r="BS197" s="5">
        <v>13.0</v>
      </c>
      <c r="BT197" s="94">
        <v>43703.528136574074</v>
      </c>
      <c r="BU197" s="5">
        <v>13.0</v>
      </c>
      <c r="BV197" s="94">
        <v>44392.70903935185</v>
      </c>
      <c r="BW197" s="5">
        <v>40.0</v>
      </c>
    </row>
    <row r="198" ht="14.25" customHeight="1">
      <c r="A198" s="5">
        <v>197.0</v>
      </c>
      <c r="B198" s="5">
        <v>465.0</v>
      </c>
      <c r="C198" s="5" t="s">
        <v>3286</v>
      </c>
      <c r="D198" s="5" t="s">
        <v>1792</v>
      </c>
      <c r="E198" s="5" t="s">
        <v>2918</v>
      </c>
      <c r="F198" s="5" t="s">
        <v>3287</v>
      </c>
      <c r="G198" s="5" t="s">
        <v>3288</v>
      </c>
      <c r="H198" s="5" t="s">
        <v>1762</v>
      </c>
      <c r="I198" s="5" t="s">
        <v>1763</v>
      </c>
      <c r="J198" s="91">
        <v>35354.0</v>
      </c>
      <c r="K198" s="5">
        <v>549.0</v>
      </c>
      <c r="L198" s="5" t="s">
        <v>3289</v>
      </c>
      <c r="M198" s="5">
        <v>425.0</v>
      </c>
      <c r="N198" s="5"/>
      <c r="O198" s="5">
        <v>43882.0</v>
      </c>
      <c r="P198" s="5" t="s">
        <v>2743</v>
      </c>
      <c r="Q198" s="5" t="s">
        <v>1766</v>
      </c>
      <c r="R198" s="5">
        <v>549.0</v>
      </c>
      <c r="S198" s="5">
        <v>3.931199127E9</v>
      </c>
      <c r="T198" s="5"/>
      <c r="U198" s="5" t="s">
        <v>3290</v>
      </c>
      <c r="V198" s="5">
        <v>3.939388793E9</v>
      </c>
      <c r="W198" s="5" t="s">
        <v>1769</v>
      </c>
      <c r="X198" s="91">
        <v>43665.0</v>
      </c>
      <c r="Y198" s="5">
        <v>1.0</v>
      </c>
      <c r="Z198" s="5">
        <v>17.0</v>
      </c>
      <c r="AA198" s="5">
        <v>27.0</v>
      </c>
      <c r="AB198" s="5"/>
      <c r="AC198" s="5"/>
      <c r="AD198" s="5" t="s">
        <v>1770</v>
      </c>
      <c r="AE198" s="5" t="s">
        <v>1770</v>
      </c>
      <c r="AF198" s="5"/>
      <c r="AG198" s="5"/>
      <c r="AH198" s="5">
        <v>6.169600811E9</v>
      </c>
      <c r="AI198" s="5">
        <v>23.0</v>
      </c>
      <c r="AJ198" s="5"/>
      <c r="AK198" s="5" t="s">
        <v>1773</v>
      </c>
      <c r="AL198" s="92">
        <v>0.0</v>
      </c>
      <c r="AM198" s="5" t="s">
        <v>1770</v>
      </c>
      <c r="AN198" s="5" t="s">
        <v>1774</v>
      </c>
      <c r="AO198" s="5"/>
      <c r="AP198" s="5"/>
      <c r="AQ198" s="5"/>
      <c r="AR198" s="5"/>
      <c r="AS198" s="5"/>
      <c r="AT198" s="5"/>
      <c r="AU198" s="5"/>
      <c r="AV198" s="5"/>
      <c r="AW198" s="5" t="s">
        <v>1770</v>
      </c>
      <c r="AX198" s="5"/>
      <c r="AY198" s="5"/>
      <c r="AZ198" s="5" t="s">
        <v>1770</v>
      </c>
      <c r="BA198" s="93">
        <v>0.0</v>
      </c>
      <c r="BB198" s="93">
        <v>0.0</v>
      </c>
      <c r="BC198" s="93">
        <v>0.0</v>
      </c>
      <c r="BD198" s="93">
        <v>0.0</v>
      </c>
      <c r="BE198" s="93">
        <v>0.0</v>
      </c>
      <c r="BF198" s="93">
        <v>0.0</v>
      </c>
      <c r="BG198" s="5"/>
      <c r="BH198" s="93">
        <v>0.0</v>
      </c>
      <c r="BI198" s="93">
        <v>0.0</v>
      </c>
      <c r="BJ198" s="93">
        <v>0.0</v>
      </c>
      <c r="BK198" s="93">
        <v>0.0</v>
      </c>
      <c r="BL198" s="93">
        <v>0.0</v>
      </c>
      <c r="BM198" s="93">
        <v>0.0</v>
      </c>
      <c r="BN198" s="93">
        <v>0.0</v>
      </c>
      <c r="BO198" s="5"/>
      <c r="BP198" s="5" t="s">
        <v>1770</v>
      </c>
      <c r="BQ198" s="5" t="s">
        <v>1789</v>
      </c>
      <c r="BR198" s="94">
        <v>43726.49047453704</v>
      </c>
      <c r="BS198" s="5">
        <v>40.0</v>
      </c>
      <c r="BT198" s="94">
        <v>44392.700532407405</v>
      </c>
      <c r="BU198" s="5">
        <v>40.0</v>
      </c>
      <c r="BV198" s="94">
        <v>44392.700590277775</v>
      </c>
      <c r="BW198" s="5">
        <v>40.0</v>
      </c>
    </row>
    <row r="199" ht="14.25" customHeight="1">
      <c r="A199" s="5">
        <v>198.0</v>
      </c>
      <c r="B199" s="5">
        <v>469.0</v>
      </c>
      <c r="C199" s="5" t="s">
        <v>2057</v>
      </c>
      <c r="D199" s="5" t="s">
        <v>3291</v>
      </c>
      <c r="E199" s="5" t="s">
        <v>1778</v>
      </c>
      <c r="F199" s="5" t="s">
        <v>3292</v>
      </c>
      <c r="G199" s="5" t="s">
        <v>3293</v>
      </c>
      <c r="H199" s="5" t="s">
        <v>1781</v>
      </c>
      <c r="I199" s="5" t="s">
        <v>1782</v>
      </c>
      <c r="J199" s="91">
        <v>43722.0</v>
      </c>
      <c r="K199" s="5">
        <v>850.0</v>
      </c>
      <c r="L199" s="5" t="s">
        <v>2467</v>
      </c>
      <c r="M199" s="5">
        <v>80.0</v>
      </c>
      <c r="N199" s="5"/>
      <c r="O199" s="5">
        <v>55228.0</v>
      </c>
      <c r="P199" s="5" t="s">
        <v>3294</v>
      </c>
      <c r="Q199" s="5" t="s">
        <v>234</v>
      </c>
      <c r="R199" s="5">
        <v>850.0</v>
      </c>
      <c r="S199" s="5">
        <v>3.522081006E9</v>
      </c>
      <c r="T199" s="5" t="s">
        <v>3295</v>
      </c>
      <c r="U199" s="5" t="s">
        <v>3296</v>
      </c>
      <c r="V199" s="5">
        <v>3.521556882E9</v>
      </c>
      <c r="W199" s="5" t="s">
        <v>1787</v>
      </c>
      <c r="X199" s="91">
        <v>43755.0</v>
      </c>
      <c r="Y199" s="5">
        <v>3.0</v>
      </c>
      <c r="Z199" s="5">
        <v>19.0</v>
      </c>
      <c r="AA199" s="5">
        <v>45.0</v>
      </c>
      <c r="AB199" s="5" t="s">
        <v>3297</v>
      </c>
      <c r="AC199" s="5" t="s">
        <v>1800</v>
      </c>
      <c r="AD199" s="91">
        <v>40911.0</v>
      </c>
      <c r="AE199" s="91">
        <v>44496.0</v>
      </c>
      <c r="AF199" s="5"/>
      <c r="AG199" s="5"/>
      <c r="AH199" s="5">
        <v>5.31286037E10</v>
      </c>
      <c r="AI199" s="5">
        <v>77.0</v>
      </c>
      <c r="AJ199" s="5"/>
      <c r="AK199" s="5" t="s">
        <v>1773</v>
      </c>
      <c r="AL199" s="92">
        <v>0.0</v>
      </c>
      <c r="AM199" s="5" t="s">
        <v>1770</v>
      </c>
      <c r="AN199" s="5" t="s">
        <v>1774</v>
      </c>
      <c r="AO199" s="5"/>
      <c r="AP199" s="5"/>
      <c r="AQ199" s="5"/>
      <c r="AR199" s="5"/>
      <c r="AS199" s="5"/>
      <c r="AT199" s="5"/>
      <c r="AU199" s="5"/>
      <c r="AV199" s="5"/>
      <c r="AW199" s="5" t="s">
        <v>1770</v>
      </c>
      <c r="AX199" s="5"/>
      <c r="AY199" s="5"/>
      <c r="AZ199" s="5" t="s">
        <v>1770</v>
      </c>
      <c r="BA199" s="93">
        <v>0.0</v>
      </c>
      <c r="BB199" s="93">
        <v>0.0</v>
      </c>
      <c r="BC199" s="93">
        <v>0.0</v>
      </c>
      <c r="BD199" s="93">
        <v>0.0</v>
      </c>
      <c r="BE199" s="93">
        <v>0.0</v>
      </c>
      <c r="BF199" s="93">
        <v>0.0</v>
      </c>
      <c r="BG199" s="5"/>
      <c r="BH199" s="93">
        <v>0.0</v>
      </c>
      <c r="BI199" s="93">
        <v>0.0</v>
      </c>
      <c r="BJ199" s="93">
        <v>0.0</v>
      </c>
      <c r="BK199" s="93">
        <v>0.0</v>
      </c>
      <c r="BL199" s="93">
        <v>0.0</v>
      </c>
      <c r="BM199" s="93">
        <v>0.0</v>
      </c>
      <c r="BN199" s="93">
        <v>0.0</v>
      </c>
      <c r="BO199" s="5"/>
      <c r="BP199" s="5" t="s">
        <v>1770</v>
      </c>
      <c r="BQ199" s="5" t="s">
        <v>1789</v>
      </c>
      <c r="BR199" s="94">
        <v>43760.72070601852</v>
      </c>
      <c r="BS199" s="5">
        <v>40.0</v>
      </c>
      <c r="BT199" s="5" t="s">
        <v>1770</v>
      </c>
      <c r="BU199" s="5" t="s">
        <v>1770</v>
      </c>
      <c r="BV199" s="94">
        <v>44392.71193287037</v>
      </c>
      <c r="BW199" s="5">
        <v>40.0</v>
      </c>
    </row>
    <row r="200" ht="14.25" customHeight="1">
      <c r="A200" s="5">
        <v>199.0</v>
      </c>
      <c r="B200" s="5">
        <v>468.0</v>
      </c>
      <c r="C200" s="5" t="s">
        <v>3298</v>
      </c>
      <c r="D200" s="5" t="s">
        <v>1778</v>
      </c>
      <c r="E200" s="5" t="s">
        <v>3299</v>
      </c>
      <c r="F200" s="5" t="s">
        <v>3300</v>
      </c>
      <c r="G200" s="5" t="s">
        <v>3301</v>
      </c>
      <c r="H200" s="5" t="s">
        <v>2671</v>
      </c>
      <c r="I200" s="5" t="s">
        <v>1782</v>
      </c>
      <c r="J200" s="91">
        <v>33304.0</v>
      </c>
      <c r="K200" s="5">
        <v>1818.0</v>
      </c>
      <c r="L200" s="5" t="s">
        <v>3302</v>
      </c>
      <c r="M200" s="5">
        <v>114.0</v>
      </c>
      <c r="N200" s="5"/>
      <c r="O200" s="5">
        <v>35487.0</v>
      </c>
      <c r="P200" s="5" t="s">
        <v>3303</v>
      </c>
      <c r="Q200" s="5" t="s">
        <v>234</v>
      </c>
      <c r="R200" s="5">
        <v>850.0</v>
      </c>
      <c r="S200" s="5">
        <v>4.623417793E9</v>
      </c>
      <c r="T200" s="5" t="s">
        <v>3304</v>
      </c>
      <c r="U200" s="5" t="s">
        <v>3305</v>
      </c>
      <c r="V200" s="5">
        <v>4.626064244E9</v>
      </c>
      <c r="W200" s="5" t="s">
        <v>1787</v>
      </c>
      <c r="X200" s="91">
        <v>43754.0</v>
      </c>
      <c r="Y200" s="5">
        <v>2.0</v>
      </c>
      <c r="Z200" s="5">
        <v>19.0</v>
      </c>
      <c r="AA200" s="5">
        <v>1.0</v>
      </c>
      <c r="AB200" s="5">
        <v>3.106645495E9</v>
      </c>
      <c r="AC200" s="5" t="s">
        <v>1772</v>
      </c>
      <c r="AD200" s="91">
        <v>43060.0</v>
      </c>
      <c r="AE200" s="91">
        <v>44886.0</v>
      </c>
      <c r="AF200" s="5"/>
      <c r="AG200" s="5"/>
      <c r="AH200" s="5">
        <v>1.8159120353E10</v>
      </c>
      <c r="AI200" s="5">
        <v>2.0</v>
      </c>
      <c r="AJ200" s="5"/>
      <c r="AK200" s="5" t="s">
        <v>1773</v>
      </c>
      <c r="AL200" s="92">
        <v>0.0</v>
      </c>
      <c r="AM200" s="5" t="s">
        <v>1770</v>
      </c>
      <c r="AN200" s="5" t="s">
        <v>1774</v>
      </c>
      <c r="AO200" s="5"/>
      <c r="AP200" s="5"/>
      <c r="AQ200" s="5"/>
      <c r="AR200" s="5"/>
      <c r="AS200" s="5"/>
      <c r="AT200" s="5"/>
      <c r="AU200" s="5"/>
      <c r="AV200" s="5"/>
      <c r="AW200" s="5" t="s">
        <v>1770</v>
      </c>
      <c r="AX200" s="5"/>
      <c r="AY200" s="5"/>
      <c r="AZ200" s="5" t="s">
        <v>1770</v>
      </c>
      <c r="BA200" s="93">
        <v>0.0</v>
      </c>
      <c r="BB200" s="93">
        <v>0.0</v>
      </c>
      <c r="BC200" s="93">
        <v>0.0</v>
      </c>
      <c r="BD200" s="93">
        <v>0.0</v>
      </c>
      <c r="BE200" s="93">
        <v>0.0</v>
      </c>
      <c r="BF200" s="93">
        <v>0.0</v>
      </c>
      <c r="BG200" s="5"/>
      <c r="BH200" s="93">
        <v>0.0</v>
      </c>
      <c r="BI200" s="93">
        <v>0.0</v>
      </c>
      <c r="BJ200" s="93">
        <v>0.0</v>
      </c>
      <c r="BK200" s="93">
        <v>0.0</v>
      </c>
      <c r="BL200" s="93">
        <v>0.0</v>
      </c>
      <c r="BM200" s="93">
        <v>0.0</v>
      </c>
      <c r="BN200" s="93">
        <v>0.0</v>
      </c>
      <c r="BO200" s="5"/>
      <c r="BP200" s="5" t="s">
        <v>1770</v>
      </c>
      <c r="BQ200" s="5" t="s">
        <v>1789</v>
      </c>
      <c r="BR200" s="94">
        <v>43767.43541666667</v>
      </c>
      <c r="BS200" s="5">
        <v>40.0</v>
      </c>
      <c r="BT200" s="5" t="s">
        <v>1770</v>
      </c>
      <c r="BU200" s="5" t="s">
        <v>1770</v>
      </c>
      <c r="BV200" s="94">
        <v>44392.702314814815</v>
      </c>
      <c r="BW200" s="5">
        <v>40.0</v>
      </c>
    </row>
    <row r="201" ht="14.25" customHeight="1">
      <c r="A201" s="5">
        <v>200.0</v>
      </c>
      <c r="B201" s="5">
        <v>470.0</v>
      </c>
      <c r="C201" s="5" t="s">
        <v>3306</v>
      </c>
      <c r="D201" s="5" t="s">
        <v>3307</v>
      </c>
      <c r="E201" s="5" t="s">
        <v>3308</v>
      </c>
      <c r="F201" s="5" t="s">
        <v>3309</v>
      </c>
      <c r="G201" s="5" t="s">
        <v>3310</v>
      </c>
      <c r="H201" s="5" t="s">
        <v>1972</v>
      </c>
      <c r="I201" s="5" t="s">
        <v>1782</v>
      </c>
      <c r="J201" s="91">
        <v>35317.0</v>
      </c>
      <c r="K201" s="5">
        <v>867.0</v>
      </c>
      <c r="L201" s="5" t="s">
        <v>3311</v>
      </c>
      <c r="M201" s="5">
        <v>51.0</v>
      </c>
      <c r="N201" s="5"/>
      <c r="O201" s="5">
        <v>55032.0</v>
      </c>
      <c r="P201" s="5" t="s">
        <v>1797</v>
      </c>
      <c r="Q201" s="5" t="s">
        <v>3312</v>
      </c>
      <c r="R201" s="5">
        <v>867.0</v>
      </c>
      <c r="S201" s="5">
        <v>3.52120864E9</v>
      </c>
      <c r="T201" s="5" t="s">
        <v>3313</v>
      </c>
      <c r="U201" s="5" t="s">
        <v>3314</v>
      </c>
      <c r="V201" s="5">
        <v>3.521130556E9</v>
      </c>
      <c r="W201" s="5" t="s">
        <v>1965</v>
      </c>
      <c r="X201" s="91">
        <v>43785.0</v>
      </c>
      <c r="Y201" s="5">
        <v>3.0</v>
      </c>
      <c r="Z201" s="5">
        <v>18.0</v>
      </c>
      <c r="AA201" s="5">
        <v>1.0</v>
      </c>
      <c r="AB201" s="5" t="s">
        <v>3315</v>
      </c>
      <c r="AC201" s="5" t="s">
        <v>1800</v>
      </c>
      <c r="AD201" s="91">
        <v>43784.0</v>
      </c>
      <c r="AE201" s="91">
        <v>45245.0</v>
      </c>
      <c r="AF201" s="5"/>
      <c r="AG201" s="5"/>
      <c r="AH201" s="5">
        <v>8.6169654539E10</v>
      </c>
      <c r="AI201" s="5">
        <v>77.0</v>
      </c>
      <c r="AJ201" s="5"/>
      <c r="AK201" s="5" t="s">
        <v>1773</v>
      </c>
      <c r="AL201" s="92">
        <v>0.0</v>
      </c>
      <c r="AM201" s="5" t="s">
        <v>1770</v>
      </c>
      <c r="AN201" s="5" t="s">
        <v>1830</v>
      </c>
      <c r="AO201" s="5"/>
      <c r="AP201" s="5"/>
      <c r="AQ201" s="5"/>
      <c r="AR201" s="5"/>
      <c r="AS201" s="5"/>
      <c r="AT201" s="5" t="s">
        <v>2184</v>
      </c>
      <c r="AU201" s="5" t="s">
        <v>3316</v>
      </c>
      <c r="AV201" s="5" t="s">
        <v>3317</v>
      </c>
      <c r="AW201" s="91">
        <v>43617.0</v>
      </c>
      <c r="AX201" s="5"/>
      <c r="AY201" s="5"/>
      <c r="AZ201" s="5" t="s">
        <v>1770</v>
      </c>
      <c r="BA201" s="103">
        <v>95.0</v>
      </c>
      <c r="BB201" s="103">
        <v>95.0</v>
      </c>
      <c r="BC201" s="103">
        <v>90.0</v>
      </c>
      <c r="BD201" s="93">
        <v>0.0</v>
      </c>
      <c r="BE201" s="93">
        <v>0.0</v>
      </c>
      <c r="BF201" s="93">
        <v>0.0</v>
      </c>
      <c r="BG201" s="5"/>
      <c r="BH201" s="93">
        <v>0.0</v>
      </c>
      <c r="BI201" s="93">
        <v>0.0</v>
      </c>
      <c r="BJ201" s="93">
        <v>0.0</v>
      </c>
      <c r="BK201" s="103">
        <v>80.0</v>
      </c>
      <c r="BL201" s="103">
        <v>90.0</v>
      </c>
      <c r="BM201" s="103">
        <v>80.0</v>
      </c>
      <c r="BN201" s="103">
        <v>50.0</v>
      </c>
      <c r="BO201" s="5"/>
      <c r="BP201" s="5" t="s">
        <v>1770</v>
      </c>
      <c r="BQ201" s="5" t="s">
        <v>1789</v>
      </c>
      <c r="BR201" s="94">
        <v>43797.58729166666</v>
      </c>
      <c r="BS201" s="5">
        <v>40.0</v>
      </c>
      <c r="BT201" s="5" t="s">
        <v>1770</v>
      </c>
      <c r="BU201" s="5" t="s">
        <v>1770</v>
      </c>
      <c r="BV201" s="94">
        <v>44060.554814814815</v>
      </c>
      <c r="BW201" s="5">
        <v>83.0</v>
      </c>
    </row>
    <row r="202" ht="14.25" customHeight="1">
      <c r="A202" s="5">
        <v>201.0</v>
      </c>
      <c r="B202" s="5">
        <v>473.0</v>
      </c>
      <c r="C202" s="5" t="s">
        <v>3318</v>
      </c>
      <c r="D202" s="5" t="s">
        <v>2573</v>
      </c>
      <c r="E202" s="5" t="s">
        <v>1758</v>
      </c>
      <c r="F202" s="5" t="s">
        <v>3319</v>
      </c>
      <c r="G202" s="5" t="s">
        <v>3320</v>
      </c>
      <c r="H202" s="5" t="s">
        <v>1781</v>
      </c>
      <c r="I202" s="5" t="s">
        <v>1782</v>
      </c>
      <c r="J202" s="91">
        <v>33572.0</v>
      </c>
      <c r="K202" s="5">
        <v>850.0</v>
      </c>
      <c r="L202" s="5" t="s">
        <v>2467</v>
      </c>
      <c r="M202" s="5">
        <v>248.0</v>
      </c>
      <c r="N202" s="5"/>
      <c r="O202" s="5">
        <v>55102.0</v>
      </c>
      <c r="P202" s="5" t="s">
        <v>3321</v>
      </c>
      <c r="Q202" s="5" t="s">
        <v>234</v>
      </c>
      <c r="R202" s="5">
        <v>850.0</v>
      </c>
      <c r="S202" s="5">
        <v>3.521392693E9</v>
      </c>
      <c r="T202" s="5"/>
      <c r="U202" s="5" t="s">
        <v>3322</v>
      </c>
      <c r="V202" s="5">
        <v>3.521392693E9</v>
      </c>
      <c r="W202" s="5" t="s">
        <v>1787</v>
      </c>
      <c r="X202" s="91">
        <v>43812.0</v>
      </c>
      <c r="Y202" s="5">
        <v>3.0</v>
      </c>
      <c r="Z202" s="5">
        <v>19.0</v>
      </c>
      <c r="AA202" s="5">
        <v>45.0</v>
      </c>
      <c r="AB202" s="5">
        <v>1.3489654E7</v>
      </c>
      <c r="AC202" s="5" t="s">
        <v>1800</v>
      </c>
      <c r="AD202" s="91">
        <v>43685.0</v>
      </c>
      <c r="AE202" s="91">
        <v>44416.0</v>
      </c>
      <c r="AF202" s="5"/>
      <c r="AG202" s="5"/>
      <c r="AH202" s="5">
        <v>5.3109113828E10</v>
      </c>
      <c r="AI202" s="5">
        <v>77.0</v>
      </c>
      <c r="AJ202" s="5"/>
      <c r="AK202" s="5" t="s">
        <v>1773</v>
      </c>
      <c r="AL202" s="92">
        <v>0.0</v>
      </c>
      <c r="AM202" s="5" t="s">
        <v>1770</v>
      </c>
      <c r="AN202" s="5" t="s">
        <v>1830</v>
      </c>
      <c r="AO202" s="5"/>
      <c r="AP202" s="5"/>
      <c r="AQ202" s="5"/>
      <c r="AR202" s="5"/>
      <c r="AS202" s="5"/>
      <c r="AT202" s="5"/>
      <c r="AU202" s="5"/>
      <c r="AV202" s="5"/>
      <c r="AW202" s="5" t="s">
        <v>1770</v>
      </c>
      <c r="AX202" s="5"/>
      <c r="AY202" s="5"/>
      <c r="AZ202" s="5" t="s">
        <v>1770</v>
      </c>
      <c r="BA202" s="93">
        <v>0.0</v>
      </c>
      <c r="BB202" s="93">
        <v>0.0</v>
      </c>
      <c r="BC202" s="93">
        <v>0.0</v>
      </c>
      <c r="BD202" s="93">
        <v>0.0</v>
      </c>
      <c r="BE202" s="93">
        <v>0.0</v>
      </c>
      <c r="BF202" s="93">
        <v>0.0</v>
      </c>
      <c r="BG202" s="5"/>
      <c r="BH202" s="93">
        <v>0.0</v>
      </c>
      <c r="BI202" s="93">
        <v>0.0</v>
      </c>
      <c r="BJ202" s="93">
        <v>0.0</v>
      </c>
      <c r="BK202" s="93">
        <v>0.0</v>
      </c>
      <c r="BL202" s="93">
        <v>0.0</v>
      </c>
      <c r="BM202" s="93">
        <v>0.0</v>
      </c>
      <c r="BN202" s="93">
        <v>0.0</v>
      </c>
      <c r="BO202" s="5"/>
      <c r="BP202" s="5" t="s">
        <v>1770</v>
      </c>
      <c r="BQ202" s="5" t="s">
        <v>1789</v>
      </c>
      <c r="BR202" s="94">
        <v>43816.50895833333</v>
      </c>
      <c r="BS202" s="5">
        <v>40.0</v>
      </c>
      <c r="BT202" s="94">
        <v>44041.490115740744</v>
      </c>
      <c r="BU202" s="5">
        <v>13.0</v>
      </c>
      <c r="BV202" s="94">
        <v>44645.52543981482</v>
      </c>
      <c r="BW202" s="5">
        <v>167.0</v>
      </c>
    </row>
    <row r="203" ht="14.25" customHeight="1">
      <c r="A203" s="5">
        <v>202.0</v>
      </c>
      <c r="B203" s="5">
        <v>472.0</v>
      </c>
      <c r="C203" s="5" t="s">
        <v>3323</v>
      </c>
      <c r="D203" s="5" t="s">
        <v>2005</v>
      </c>
      <c r="E203" s="5" t="s">
        <v>1758</v>
      </c>
      <c r="F203" s="5" t="s">
        <v>3324</v>
      </c>
      <c r="G203" s="5" t="s">
        <v>3325</v>
      </c>
      <c r="H203" s="5" t="s">
        <v>1815</v>
      </c>
      <c r="I203" s="5" t="s">
        <v>1763</v>
      </c>
      <c r="J203" s="91">
        <v>29586.0</v>
      </c>
      <c r="K203" s="5">
        <v>271.0</v>
      </c>
      <c r="L203" s="5" t="s">
        <v>3326</v>
      </c>
      <c r="M203" s="5">
        <v>100.0</v>
      </c>
      <c r="N203" s="5"/>
      <c r="O203" s="5">
        <v>35873.0</v>
      </c>
      <c r="P203" s="5" t="s">
        <v>2817</v>
      </c>
      <c r="Q203" s="5" t="s">
        <v>2406</v>
      </c>
      <c r="R203" s="5">
        <v>424.0</v>
      </c>
      <c r="S203" s="5">
        <v>4.731658988E9</v>
      </c>
      <c r="T203" s="5"/>
      <c r="U203" s="5" t="s">
        <v>3327</v>
      </c>
      <c r="V203" s="5">
        <v>4.691043152E9</v>
      </c>
      <c r="W203" s="5" t="s">
        <v>3328</v>
      </c>
      <c r="X203" s="91">
        <v>43801.0</v>
      </c>
      <c r="Y203" s="5">
        <v>2.0</v>
      </c>
      <c r="Z203" s="5">
        <v>17.0</v>
      </c>
      <c r="AA203" s="5">
        <v>27.0</v>
      </c>
      <c r="AB203" s="5"/>
      <c r="AC203" s="5"/>
      <c r="AD203" s="5" t="s">
        <v>1770</v>
      </c>
      <c r="AE203" s="5" t="s">
        <v>1770</v>
      </c>
      <c r="AF203" s="5"/>
      <c r="AG203" s="5"/>
      <c r="AH203" s="5">
        <v>3.168015497E9</v>
      </c>
      <c r="AI203" s="5">
        <v>9.0</v>
      </c>
      <c r="AJ203" s="5"/>
      <c r="AK203" s="5" t="s">
        <v>1773</v>
      </c>
      <c r="AL203" s="92">
        <v>0.0</v>
      </c>
      <c r="AM203" s="5" t="s">
        <v>1770</v>
      </c>
      <c r="AN203" s="5" t="s">
        <v>1774</v>
      </c>
      <c r="AO203" s="5"/>
      <c r="AP203" s="5"/>
      <c r="AQ203" s="5"/>
      <c r="AR203" s="5"/>
      <c r="AS203" s="5"/>
      <c r="AT203" s="5"/>
      <c r="AU203" s="5"/>
      <c r="AV203" s="5"/>
      <c r="AW203" s="5" t="s">
        <v>1770</v>
      </c>
      <c r="AX203" s="5"/>
      <c r="AY203" s="5"/>
      <c r="AZ203" s="5" t="s">
        <v>1770</v>
      </c>
      <c r="BA203" s="93">
        <v>0.0</v>
      </c>
      <c r="BB203" s="93">
        <v>0.0</v>
      </c>
      <c r="BC203" s="93">
        <v>0.0</v>
      </c>
      <c r="BD203" s="93">
        <v>0.0</v>
      </c>
      <c r="BE203" s="93">
        <v>0.0</v>
      </c>
      <c r="BF203" s="93">
        <v>0.0</v>
      </c>
      <c r="BG203" s="5"/>
      <c r="BH203" s="93">
        <v>0.0</v>
      </c>
      <c r="BI203" s="93">
        <v>0.0</v>
      </c>
      <c r="BJ203" s="93">
        <v>0.0</v>
      </c>
      <c r="BK203" s="93">
        <v>0.0</v>
      </c>
      <c r="BL203" s="93">
        <v>0.0</v>
      </c>
      <c r="BM203" s="93">
        <v>0.0</v>
      </c>
      <c r="BN203" s="93">
        <v>0.0</v>
      </c>
      <c r="BO203" s="5"/>
      <c r="BP203" s="5" t="s">
        <v>1770</v>
      </c>
      <c r="BQ203" s="5" t="s">
        <v>1789</v>
      </c>
      <c r="BR203" s="94">
        <v>43816.52266203704</v>
      </c>
      <c r="BS203" s="5">
        <v>40.0</v>
      </c>
      <c r="BT203" s="5" t="s">
        <v>1770</v>
      </c>
      <c r="BU203" s="5" t="s">
        <v>1770</v>
      </c>
      <c r="BV203" s="94">
        <v>44392.70983796296</v>
      </c>
      <c r="BW203" s="5">
        <v>40.0</v>
      </c>
    </row>
    <row r="204" ht="14.25" customHeight="1">
      <c r="A204" s="5">
        <v>203.0</v>
      </c>
      <c r="B204" s="5">
        <v>471.0</v>
      </c>
      <c r="C204" s="5" t="s">
        <v>2602</v>
      </c>
      <c r="D204" s="5" t="s">
        <v>2343</v>
      </c>
      <c r="E204" s="5" t="s">
        <v>2382</v>
      </c>
      <c r="F204" s="5" t="s">
        <v>3329</v>
      </c>
      <c r="G204" s="5" t="s">
        <v>3330</v>
      </c>
      <c r="H204" s="5" t="s">
        <v>1972</v>
      </c>
      <c r="I204" s="5" t="s">
        <v>1782</v>
      </c>
      <c r="J204" s="91">
        <v>33008.0</v>
      </c>
      <c r="K204" s="5">
        <v>424.0</v>
      </c>
      <c r="L204" s="5" t="s">
        <v>2430</v>
      </c>
      <c r="M204" s="5">
        <v>7.0</v>
      </c>
      <c r="N204" s="5"/>
      <c r="O204" s="5">
        <v>35873.0</v>
      </c>
      <c r="P204" s="5" t="s">
        <v>1797</v>
      </c>
      <c r="Q204" s="5" t="s">
        <v>3331</v>
      </c>
      <c r="R204" s="5">
        <v>424.0</v>
      </c>
      <c r="S204" s="5">
        <v>4.691344765E9</v>
      </c>
      <c r="T204" s="5" t="s">
        <v>3332</v>
      </c>
      <c r="U204" s="5" t="s">
        <v>3333</v>
      </c>
      <c r="V204" s="5">
        <v>4.691029021E9</v>
      </c>
      <c r="W204" s="5" t="s">
        <v>2610</v>
      </c>
      <c r="X204" s="91">
        <v>43785.0</v>
      </c>
      <c r="Y204" s="5">
        <v>2.0</v>
      </c>
      <c r="Z204" s="5">
        <v>18.0</v>
      </c>
      <c r="AA204" s="5">
        <v>1.0</v>
      </c>
      <c r="AB204" s="5">
        <v>2909587.0</v>
      </c>
      <c r="AC204" s="5" t="s">
        <v>1800</v>
      </c>
      <c r="AD204" s="91">
        <v>43780.0</v>
      </c>
      <c r="AE204" s="91">
        <v>44511.0</v>
      </c>
      <c r="AF204" s="5"/>
      <c r="AG204" s="5"/>
      <c r="AH204" s="5">
        <v>4.129042703E9</v>
      </c>
      <c r="AI204" s="5">
        <v>9.0</v>
      </c>
      <c r="AJ204" s="5"/>
      <c r="AK204" s="5" t="s">
        <v>1773</v>
      </c>
      <c r="AL204" s="92">
        <v>0.0</v>
      </c>
      <c r="AM204" s="5" t="s">
        <v>1770</v>
      </c>
      <c r="AN204" s="5" t="s">
        <v>1774</v>
      </c>
      <c r="AO204" s="5"/>
      <c r="AP204" s="5"/>
      <c r="AQ204" s="5"/>
      <c r="AR204" s="5"/>
      <c r="AS204" s="5"/>
      <c r="AT204" s="5"/>
      <c r="AU204" s="5"/>
      <c r="AV204" s="5"/>
      <c r="AW204" s="5" t="s">
        <v>1770</v>
      </c>
      <c r="AX204" s="5"/>
      <c r="AY204" s="5"/>
      <c r="AZ204" s="5" t="s">
        <v>1770</v>
      </c>
      <c r="BA204" s="93">
        <v>0.0</v>
      </c>
      <c r="BB204" s="93">
        <v>0.0</v>
      </c>
      <c r="BC204" s="93">
        <v>0.0</v>
      </c>
      <c r="BD204" s="93">
        <v>0.0</v>
      </c>
      <c r="BE204" s="93">
        <v>0.0</v>
      </c>
      <c r="BF204" s="93">
        <v>0.0</v>
      </c>
      <c r="BG204" s="5"/>
      <c r="BH204" s="93">
        <v>0.0</v>
      </c>
      <c r="BI204" s="93">
        <v>0.0</v>
      </c>
      <c r="BJ204" s="93">
        <v>0.0</v>
      </c>
      <c r="BK204" s="93">
        <v>0.0</v>
      </c>
      <c r="BL204" s="93">
        <v>0.0</v>
      </c>
      <c r="BM204" s="93">
        <v>0.0</v>
      </c>
      <c r="BN204" s="93">
        <v>0.0</v>
      </c>
      <c r="BO204" s="5"/>
      <c r="BP204" s="5" t="s">
        <v>1770</v>
      </c>
      <c r="BQ204" s="5" t="s">
        <v>1789</v>
      </c>
      <c r="BR204" s="94">
        <v>43816.57324074074</v>
      </c>
      <c r="BS204" s="5">
        <v>40.0</v>
      </c>
      <c r="BT204" s="5" t="s">
        <v>1770</v>
      </c>
      <c r="BU204" s="5" t="s">
        <v>1770</v>
      </c>
      <c r="BV204" s="94">
        <v>44060.54958333333</v>
      </c>
      <c r="BW204" s="5">
        <v>83.0</v>
      </c>
    </row>
    <row r="205" ht="14.25" customHeight="1">
      <c r="A205" s="5">
        <v>204.0</v>
      </c>
      <c r="B205" s="5">
        <v>474.0</v>
      </c>
      <c r="C205" s="5" t="s">
        <v>3334</v>
      </c>
      <c r="D205" s="100" t="s">
        <v>1811</v>
      </c>
      <c r="E205" s="100" t="s">
        <v>1811</v>
      </c>
      <c r="F205" s="5" t="s">
        <v>3335</v>
      </c>
      <c r="G205" s="5" t="s">
        <v>3336</v>
      </c>
      <c r="H205" s="5" t="s">
        <v>1781</v>
      </c>
      <c r="I205" s="5" t="s">
        <v>1782</v>
      </c>
      <c r="J205" s="91">
        <v>28412.0</v>
      </c>
      <c r="K205" s="5">
        <v>549.0</v>
      </c>
      <c r="L205" s="5" t="s">
        <v>2774</v>
      </c>
      <c r="M205" s="5">
        <v>14.0</v>
      </c>
      <c r="N205" s="5"/>
      <c r="O205" s="5">
        <v>43882.0</v>
      </c>
      <c r="P205" s="5" t="s">
        <v>2775</v>
      </c>
      <c r="Q205" s="5" t="s">
        <v>1766</v>
      </c>
      <c r="R205" s="5">
        <v>549.0</v>
      </c>
      <c r="S205" s="5">
        <v>3.931200393E9</v>
      </c>
      <c r="T205" s="5"/>
      <c r="U205" s="5" t="s">
        <v>3337</v>
      </c>
      <c r="V205" s="5">
        <v>3.931192412E9</v>
      </c>
      <c r="W205" s="5" t="s">
        <v>1787</v>
      </c>
      <c r="X205" s="91">
        <v>43819.0</v>
      </c>
      <c r="Y205" s="5">
        <v>1.0</v>
      </c>
      <c r="Z205" s="5">
        <v>19.0</v>
      </c>
      <c r="AA205" s="5">
        <v>45.0</v>
      </c>
      <c r="AB205" s="5"/>
      <c r="AC205" s="5" t="s">
        <v>2274</v>
      </c>
      <c r="AD205" s="5" t="s">
        <v>1770</v>
      </c>
      <c r="AE205" s="5" t="s">
        <v>1770</v>
      </c>
      <c r="AF205" s="5"/>
      <c r="AG205" s="5"/>
      <c r="AH205" s="5">
        <v>4.057717565E9</v>
      </c>
      <c r="AI205" s="5">
        <v>23.0</v>
      </c>
      <c r="AJ205" s="5"/>
      <c r="AK205" s="5" t="s">
        <v>1773</v>
      </c>
      <c r="AL205" s="92">
        <v>0.0</v>
      </c>
      <c r="AM205" s="5" t="s">
        <v>1770</v>
      </c>
      <c r="AN205" s="5" t="s">
        <v>1830</v>
      </c>
      <c r="AO205" s="5"/>
      <c r="AP205" s="5"/>
      <c r="AQ205" s="5"/>
      <c r="AR205" s="5"/>
      <c r="AS205" s="5"/>
      <c r="AT205" s="5"/>
      <c r="AU205" s="5"/>
      <c r="AV205" s="5"/>
      <c r="AW205" s="5" t="s">
        <v>1770</v>
      </c>
      <c r="AX205" s="5"/>
      <c r="AY205" s="5"/>
      <c r="AZ205" s="5" t="s">
        <v>1770</v>
      </c>
      <c r="BA205" s="93">
        <v>0.0</v>
      </c>
      <c r="BB205" s="93">
        <v>0.0</v>
      </c>
      <c r="BC205" s="93">
        <v>0.0</v>
      </c>
      <c r="BD205" s="93">
        <v>0.0</v>
      </c>
      <c r="BE205" s="93">
        <v>0.0</v>
      </c>
      <c r="BF205" s="93">
        <v>0.0</v>
      </c>
      <c r="BG205" s="5"/>
      <c r="BH205" s="93">
        <v>0.0</v>
      </c>
      <c r="BI205" s="93">
        <v>0.0</v>
      </c>
      <c r="BJ205" s="93">
        <v>0.0</v>
      </c>
      <c r="BK205" s="93">
        <v>0.0</v>
      </c>
      <c r="BL205" s="93">
        <v>0.0</v>
      </c>
      <c r="BM205" s="93">
        <v>0.0</v>
      </c>
      <c r="BN205" s="93">
        <v>0.0</v>
      </c>
      <c r="BO205" s="5"/>
      <c r="BP205" s="5" t="s">
        <v>1770</v>
      </c>
      <c r="BQ205" s="5" t="s">
        <v>1789</v>
      </c>
      <c r="BR205" s="94">
        <v>43834.55625</v>
      </c>
      <c r="BS205" s="5">
        <v>40.0</v>
      </c>
      <c r="BT205" s="5" t="s">
        <v>1770</v>
      </c>
      <c r="BU205" s="5" t="s">
        <v>1770</v>
      </c>
      <c r="BV205" s="94">
        <v>44060.54670138889</v>
      </c>
      <c r="BW205" s="5">
        <v>83.0</v>
      </c>
    </row>
    <row r="206" ht="14.25" customHeight="1">
      <c r="A206" s="5">
        <v>205.0</v>
      </c>
      <c r="B206" s="5">
        <v>118.0</v>
      </c>
      <c r="C206" s="5" t="s">
        <v>3338</v>
      </c>
      <c r="D206" s="5" t="s">
        <v>1969</v>
      </c>
      <c r="E206" s="5" t="s">
        <v>3339</v>
      </c>
      <c r="F206" s="5" t="s">
        <v>3340</v>
      </c>
      <c r="G206" s="5" t="s">
        <v>3341</v>
      </c>
      <c r="H206" s="5" t="s">
        <v>1762</v>
      </c>
      <c r="I206" s="5" t="s">
        <v>1763</v>
      </c>
      <c r="J206" s="91">
        <v>27551.0</v>
      </c>
      <c r="K206" s="5">
        <v>549.0</v>
      </c>
      <c r="L206" s="5" t="s">
        <v>3342</v>
      </c>
      <c r="M206" s="5">
        <v>20.0</v>
      </c>
      <c r="N206" s="5"/>
      <c r="O206" s="5">
        <v>43884.0</v>
      </c>
      <c r="P206" s="5" t="s">
        <v>2032</v>
      </c>
      <c r="Q206" s="5" t="s">
        <v>1766</v>
      </c>
      <c r="R206" s="5">
        <v>549.0</v>
      </c>
      <c r="S206" s="5">
        <v>4.551226689E9</v>
      </c>
      <c r="T206" s="5"/>
      <c r="U206" s="5" t="s">
        <v>3343</v>
      </c>
      <c r="V206" s="5">
        <v>3.931078139E9</v>
      </c>
      <c r="W206" s="5" t="s">
        <v>2780</v>
      </c>
      <c r="X206" s="91">
        <v>43832.0</v>
      </c>
      <c r="Y206" s="5">
        <v>1.0</v>
      </c>
      <c r="Z206" s="5">
        <v>17.0</v>
      </c>
      <c r="AA206" s="5">
        <v>27.0</v>
      </c>
      <c r="AB206" s="5"/>
      <c r="AC206" s="5"/>
      <c r="AD206" s="5" t="s">
        <v>1770</v>
      </c>
      <c r="AE206" s="5" t="s">
        <v>1770</v>
      </c>
      <c r="AF206" s="5"/>
      <c r="AG206" s="5"/>
      <c r="AH206" s="5">
        <v>4.127503029E9</v>
      </c>
      <c r="AI206" s="5"/>
      <c r="AJ206" s="5"/>
      <c r="AK206" s="5" t="s">
        <v>1773</v>
      </c>
      <c r="AL206" s="92">
        <v>0.0</v>
      </c>
      <c r="AM206" s="5" t="s">
        <v>1770</v>
      </c>
      <c r="AN206" s="5" t="s">
        <v>1774</v>
      </c>
      <c r="AO206" s="5"/>
      <c r="AP206" s="5"/>
      <c r="AQ206" s="5"/>
      <c r="AR206" s="5"/>
      <c r="AS206" s="5"/>
      <c r="AT206" s="5"/>
      <c r="AU206" s="5"/>
      <c r="AV206" s="5"/>
      <c r="AW206" s="5" t="s">
        <v>1770</v>
      </c>
      <c r="AX206" s="5"/>
      <c r="AY206" s="5"/>
      <c r="AZ206" s="5" t="s">
        <v>1770</v>
      </c>
      <c r="BA206" s="93">
        <v>0.0</v>
      </c>
      <c r="BB206" s="93">
        <v>0.0</v>
      </c>
      <c r="BC206" s="93">
        <v>0.0</v>
      </c>
      <c r="BD206" s="93">
        <v>0.0</v>
      </c>
      <c r="BE206" s="93">
        <v>0.0</v>
      </c>
      <c r="BF206" s="93">
        <v>0.0</v>
      </c>
      <c r="BG206" s="5"/>
      <c r="BH206" s="93">
        <v>0.0</v>
      </c>
      <c r="BI206" s="93">
        <v>0.0</v>
      </c>
      <c r="BJ206" s="93">
        <v>0.0</v>
      </c>
      <c r="BK206" s="93">
        <v>0.0</v>
      </c>
      <c r="BL206" s="93">
        <v>0.0</v>
      </c>
      <c r="BM206" s="93">
        <v>0.0</v>
      </c>
      <c r="BN206" s="93">
        <v>0.0</v>
      </c>
      <c r="BO206" s="5"/>
      <c r="BP206" s="5" t="s">
        <v>1770</v>
      </c>
      <c r="BQ206" s="5" t="s">
        <v>1789</v>
      </c>
      <c r="BR206" s="94">
        <v>43844.75077546296</v>
      </c>
      <c r="BS206" s="5">
        <v>13.0</v>
      </c>
      <c r="BT206" s="94">
        <v>43845.42380787037</v>
      </c>
      <c r="BU206" s="5">
        <v>13.0</v>
      </c>
      <c r="BV206" s="94">
        <v>44980.45068287037</v>
      </c>
      <c r="BW206" s="5">
        <v>40.0</v>
      </c>
    </row>
    <row r="207" ht="14.25" customHeight="1">
      <c r="A207" s="5">
        <v>206.0</v>
      </c>
      <c r="B207" s="5">
        <v>475.0</v>
      </c>
      <c r="C207" s="5" t="s">
        <v>3344</v>
      </c>
      <c r="D207" s="5" t="s">
        <v>3345</v>
      </c>
      <c r="E207" s="5" t="s">
        <v>3346</v>
      </c>
      <c r="F207" s="5" t="s">
        <v>3347</v>
      </c>
      <c r="G207" s="5" t="s">
        <v>3348</v>
      </c>
      <c r="H207" s="5" t="s">
        <v>3349</v>
      </c>
      <c r="I207" s="5" t="s">
        <v>1763</v>
      </c>
      <c r="J207" s="91">
        <v>30431.0</v>
      </c>
      <c r="K207" s="5">
        <v>850.0</v>
      </c>
      <c r="L207" s="5" t="s">
        <v>3350</v>
      </c>
      <c r="M207" s="5">
        <v>134.0</v>
      </c>
      <c r="N207" s="5"/>
      <c r="O207" s="5">
        <v>55152.0</v>
      </c>
      <c r="P207" s="5" t="s">
        <v>3351</v>
      </c>
      <c r="Q207" s="5" t="s">
        <v>234</v>
      </c>
      <c r="R207" s="5">
        <v>850.0</v>
      </c>
      <c r="S207" s="5">
        <v>3.521526029E9</v>
      </c>
      <c r="T207" s="5" t="s">
        <v>3352</v>
      </c>
      <c r="U207" s="5" t="s">
        <v>3353</v>
      </c>
      <c r="V207" s="5">
        <v>3.521058992E9</v>
      </c>
      <c r="W207" s="5" t="s">
        <v>2610</v>
      </c>
      <c r="X207" s="91">
        <v>43838.0</v>
      </c>
      <c r="Y207" s="5">
        <v>3.0</v>
      </c>
      <c r="Z207" s="5">
        <v>19.0</v>
      </c>
      <c r="AA207" s="5">
        <v>9.0</v>
      </c>
      <c r="AB207" s="5" t="s">
        <v>3354</v>
      </c>
      <c r="AC207" s="5" t="s">
        <v>1772</v>
      </c>
      <c r="AD207" s="91">
        <v>43020.0</v>
      </c>
      <c r="AE207" s="91">
        <v>46307.0</v>
      </c>
      <c r="AF207" s="5">
        <v>5.256783236216595E15</v>
      </c>
      <c r="AG207" s="5">
        <v>2.496904353775127E15</v>
      </c>
      <c r="AH207" s="5">
        <v>5.3998323785E10</v>
      </c>
      <c r="AI207" s="5"/>
      <c r="AJ207" s="5"/>
      <c r="AK207" s="5" t="s">
        <v>1773</v>
      </c>
      <c r="AL207" s="92">
        <v>0.0</v>
      </c>
      <c r="AM207" s="5" t="s">
        <v>1770</v>
      </c>
      <c r="AN207" s="5" t="s">
        <v>1774</v>
      </c>
      <c r="AO207" s="5"/>
      <c r="AP207" s="5"/>
      <c r="AQ207" s="5"/>
      <c r="AR207" s="5"/>
      <c r="AS207" s="5"/>
      <c r="AT207" s="5" t="s">
        <v>3355</v>
      </c>
      <c r="AU207" s="5"/>
      <c r="AV207" s="5"/>
      <c r="AW207" s="5" t="s">
        <v>1770</v>
      </c>
      <c r="AX207" s="5"/>
      <c r="AY207" s="5"/>
      <c r="AZ207" s="5" t="s">
        <v>1770</v>
      </c>
      <c r="BA207" s="93">
        <v>0.0</v>
      </c>
      <c r="BB207" s="93">
        <v>0.0</v>
      </c>
      <c r="BC207" s="93">
        <v>0.0</v>
      </c>
      <c r="BD207" s="93">
        <v>0.0</v>
      </c>
      <c r="BE207" s="93">
        <v>0.0</v>
      </c>
      <c r="BF207" s="93">
        <v>0.0</v>
      </c>
      <c r="BG207" s="5"/>
      <c r="BH207" s="93">
        <v>0.0</v>
      </c>
      <c r="BI207" s="93">
        <v>0.0</v>
      </c>
      <c r="BJ207" s="93">
        <v>0.0</v>
      </c>
      <c r="BK207" s="93">
        <v>0.0</v>
      </c>
      <c r="BL207" s="93">
        <v>0.0</v>
      </c>
      <c r="BM207" s="93">
        <v>0.0</v>
      </c>
      <c r="BN207" s="93">
        <v>0.0</v>
      </c>
      <c r="BO207" s="5"/>
      <c r="BP207" s="5" t="s">
        <v>1770</v>
      </c>
      <c r="BQ207" s="5" t="s">
        <v>1789</v>
      </c>
      <c r="BR207" s="94">
        <v>43845.462789351855</v>
      </c>
      <c r="BS207" s="5">
        <v>13.0</v>
      </c>
      <c r="BT207" s="5" t="s">
        <v>1770</v>
      </c>
      <c r="BU207" s="5" t="s">
        <v>1770</v>
      </c>
      <c r="BV207" s="94">
        <v>44645.506747685184</v>
      </c>
      <c r="BW207" s="5">
        <v>167.0</v>
      </c>
    </row>
    <row r="208" ht="14.25" customHeight="1">
      <c r="A208" s="5">
        <v>207.0</v>
      </c>
      <c r="B208" s="5">
        <v>477.0</v>
      </c>
      <c r="C208" s="5" t="s">
        <v>2168</v>
      </c>
      <c r="D208" s="5" t="s">
        <v>2005</v>
      </c>
      <c r="E208" s="5" t="s">
        <v>1969</v>
      </c>
      <c r="F208" s="5" t="s">
        <v>3356</v>
      </c>
      <c r="G208" s="5" t="s">
        <v>3357</v>
      </c>
      <c r="H208" s="5" t="s">
        <v>1781</v>
      </c>
      <c r="I208" s="5" t="s">
        <v>1782</v>
      </c>
      <c r="J208" s="91">
        <v>24159.0</v>
      </c>
      <c r="K208" s="5">
        <v>900.0</v>
      </c>
      <c r="L208" s="5" t="s">
        <v>3358</v>
      </c>
      <c r="M208" s="5">
        <v>48.0</v>
      </c>
      <c r="N208" s="5"/>
      <c r="O208" s="5">
        <v>43882.0</v>
      </c>
      <c r="P208" s="5" t="s">
        <v>3359</v>
      </c>
      <c r="Q208" s="5" t="s">
        <v>1766</v>
      </c>
      <c r="R208" s="5">
        <v>549.0</v>
      </c>
      <c r="S208" s="5">
        <v>3.931240343E9</v>
      </c>
      <c r="T208" s="5"/>
      <c r="U208" s="5" t="s">
        <v>3360</v>
      </c>
      <c r="V208" s="5">
        <v>3.931240343E9</v>
      </c>
      <c r="W208" s="5" t="s">
        <v>1787</v>
      </c>
      <c r="X208" s="91">
        <v>43857.0</v>
      </c>
      <c r="Y208" s="5">
        <v>1.0</v>
      </c>
      <c r="Z208" s="5">
        <v>19.0</v>
      </c>
      <c r="AA208" s="5">
        <v>45.0</v>
      </c>
      <c r="AB208" s="5"/>
      <c r="AC208" s="5" t="s">
        <v>1800</v>
      </c>
      <c r="AD208" s="91">
        <v>42705.0</v>
      </c>
      <c r="AE208" s="91">
        <v>43435.0</v>
      </c>
      <c r="AF208" s="5"/>
      <c r="AG208" s="5"/>
      <c r="AH208" s="5">
        <v>5.3906603849E10</v>
      </c>
      <c r="AI208" s="5">
        <v>23.0</v>
      </c>
      <c r="AJ208" s="5"/>
      <c r="AK208" s="5" t="s">
        <v>1773</v>
      </c>
      <c r="AL208" s="92">
        <v>0.0</v>
      </c>
      <c r="AM208" s="5" t="s">
        <v>1770</v>
      </c>
      <c r="AN208" s="5" t="s">
        <v>1830</v>
      </c>
      <c r="AO208" s="5"/>
      <c r="AP208" s="5"/>
      <c r="AQ208" s="5"/>
      <c r="AR208" s="5"/>
      <c r="AS208" s="5"/>
      <c r="AT208" s="5"/>
      <c r="AU208" s="5"/>
      <c r="AV208" s="5"/>
      <c r="AW208" s="5" t="s">
        <v>1770</v>
      </c>
      <c r="AX208" s="5"/>
      <c r="AY208" s="5"/>
      <c r="AZ208" s="5" t="s">
        <v>1770</v>
      </c>
      <c r="BA208" s="93">
        <v>0.0</v>
      </c>
      <c r="BB208" s="93">
        <v>0.0</v>
      </c>
      <c r="BC208" s="93">
        <v>0.0</v>
      </c>
      <c r="BD208" s="93">
        <v>0.0</v>
      </c>
      <c r="BE208" s="93">
        <v>0.0</v>
      </c>
      <c r="BF208" s="93">
        <v>0.0</v>
      </c>
      <c r="BG208" s="5"/>
      <c r="BH208" s="93">
        <v>0.0</v>
      </c>
      <c r="BI208" s="93">
        <v>0.0</v>
      </c>
      <c r="BJ208" s="93">
        <v>0.0</v>
      </c>
      <c r="BK208" s="93">
        <v>0.0</v>
      </c>
      <c r="BL208" s="93">
        <v>0.0</v>
      </c>
      <c r="BM208" s="93">
        <v>0.0</v>
      </c>
      <c r="BN208" s="93">
        <v>0.0</v>
      </c>
      <c r="BO208" s="5"/>
      <c r="BP208" s="5" t="s">
        <v>1770</v>
      </c>
      <c r="BQ208" s="5" t="s">
        <v>1789</v>
      </c>
      <c r="BR208" s="94">
        <v>43865.434965277775</v>
      </c>
      <c r="BS208" s="5">
        <v>40.0</v>
      </c>
      <c r="BT208" s="94">
        <v>44041.487488425926</v>
      </c>
      <c r="BU208" s="5">
        <v>13.0</v>
      </c>
      <c r="BV208" s="94">
        <v>44109.471770833334</v>
      </c>
      <c r="BW208" s="5">
        <v>83.0</v>
      </c>
    </row>
    <row r="209" ht="14.25" customHeight="1">
      <c r="A209" s="5">
        <v>208.0</v>
      </c>
      <c r="B209" s="5">
        <v>476.0</v>
      </c>
      <c r="C209" s="5" t="s">
        <v>3361</v>
      </c>
      <c r="D209" s="5" t="s">
        <v>2132</v>
      </c>
      <c r="E209" s="5" t="s">
        <v>2276</v>
      </c>
      <c r="F209" s="5" t="s">
        <v>3362</v>
      </c>
      <c r="G209" s="5" t="s">
        <v>3363</v>
      </c>
      <c r="H209" s="5" t="s">
        <v>2671</v>
      </c>
      <c r="I209" s="5" t="s">
        <v>1782</v>
      </c>
      <c r="J209" s="91">
        <v>29179.0</v>
      </c>
      <c r="K209" s="5">
        <v>269.0</v>
      </c>
      <c r="L209" s="5" t="s">
        <v>3364</v>
      </c>
      <c r="M209" s="5">
        <v>620.0</v>
      </c>
      <c r="N209" s="5"/>
      <c r="O209" s="5">
        <v>53951.0</v>
      </c>
      <c r="P209" s="5" t="s">
        <v>3365</v>
      </c>
      <c r="Q209" s="5" t="s">
        <v>2041</v>
      </c>
      <c r="R209" s="5">
        <v>834.0</v>
      </c>
      <c r="S209" s="5">
        <v>4.431872075E9</v>
      </c>
      <c r="T209" s="5" t="s">
        <v>3366</v>
      </c>
      <c r="U209" s="5" t="s">
        <v>3367</v>
      </c>
      <c r="V209" s="5">
        <v>4.431903706E9</v>
      </c>
      <c r="W209" s="5" t="s">
        <v>1965</v>
      </c>
      <c r="X209" s="91">
        <v>43857.0</v>
      </c>
      <c r="Y209" s="5">
        <v>4.0</v>
      </c>
      <c r="Z209" s="5">
        <v>17.0</v>
      </c>
      <c r="AA209" s="5">
        <v>6.0</v>
      </c>
      <c r="AB209" s="5" t="s">
        <v>3368</v>
      </c>
      <c r="AC209" s="5" t="s">
        <v>1800</v>
      </c>
      <c r="AD209" s="91">
        <v>43850.0</v>
      </c>
      <c r="AE209" s="91">
        <v>47138.0</v>
      </c>
      <c r="AF209" s="5"/>
      <c r="AG209" s="5"/>
      <c r="AH209" s="5">
        <v>1.06790212E9</v>
      </c>
      <c r="AI209" s="5">
        <v>80.0</v>
      </c>
      <c r="AJ209" s="5">
        <v>1.614116884E9</v>
      </c>
      <c r="AK209" s="5" t="s">
        <v>2907</v>
      </c>
      <c r="AL209" s="139">
        <v>3796.97</v>
      </c>
      <c r="AM209" s="91">
        <v>43857.0</v>
      </c>
      <c r="AN209" s="5" t="s">
        <v>1830</v>
      </c>
      <c r="AO209" s="5"/>
      <c r="AP209" s="5"/>
      <c r="AQ209" s="5"/>
      <c r="AR209" s="5"/>
      <c r="AS209" s="5"/>
      <c r="AT209" s="5"/>
      <c r="AU209" s="5"/>
      <c r="AV209" s="5"/>
      <c r="AW209" s="5" t="s">
        <v>1770</v>
      </c>
      <c r="AX209" s="5"/>
      <c r="AY209" s="5"/>
      <c r="AZ209" s="5" t="s">
        <v>1770</v>
      </c>
      <c r="BA209" s="93">
        <v>0.0</v>
      </c>
      <c r="BB209" s="93">
        <v>0.0</v>
      </c>
      <c r="BC209" s="93">
        <v>0.0</v>
      </c>
      <c r="BD209" s="93">
        <v>0.0</v>
      </c>
      <c r="BE209" s="93">
        <v>0.0</v>
      </c>
      <c r="BF209" s="93">
        <v>0.0</v>
      </c>
      <c r="BG209" s="5"/>
      <c r="BH209" s="93">
        <v>0.0</v>
      </c>
      <c r="BI209" s="93">
        <v>0.0</v>
      </c>
      <c r="BJ209" s="93">
        <v>0.0</v>
      </c>
      <c r="BK209" s="93">
        <v>0.0</v>
      </c>
      <c r="BL209" s="93">
        <v>0.0</v>
      </c>
      <c r="BM209" s="93">
        <v>0.0</v>
      </c>
      <c r="BN209" s="93">
        <v>0.0</v>
      </c>
      <c r="BO209" s="5"/>
      <c r="BP209" s="5" t="s">
        <v>1770</v>
      </c>
      <c r="BQ209" s="5" t="s">
        <v>1789</v>
      </c>
      <c r="BR209" s="94">
        <v>43865.73337962963</v>
      </c>
      <c r="BS209" s="5">
        <v>40.0</v>
      </c>
      <c r="BT209" s="5" t="s">
        <v>1770</v>
      </c>
      <c r="BU209" s="5" t="s">
        <v>1770</v>
      </c>
      <c r="BV209" s="94">
        <v>44392.7040162037</v>
      </c>
      <c r="BW209" s="5">
        <v>40.0</v>
      </c>
    </row>
    <row r="210" ht="14.25" customHeight="1">
      <c r="A210" s="5">
        <v>209.0</v>
      </c>
      <c r="B210" s="5">
        <v>478.0</v>
      </c>
      <c r="C210" s="5" t="s">
        <v>3369</v>
      </c>
      <c r="D210" s="100" t="s">
        <v>2658</v>
      </c>
      <c r="E210" s="5" t="s">
        <v>2659</v>
      </c>
      <c r="F210" s="5" t="s">
        <v>3370</v>
      </c>
      <c r="G210" s="5" t="s">
        <v>3371</v>
      </c>
      <c r="H210" s="5" t="s">
        <v>3372</v>
      </c>
      <c r="I210" s="5" t="s">
        <v>1782</v>
      </c>
      <c r="J210" s="91">
        <v>31124.0</v>
      </c>
      <c r="K210" s="5">
        <v>421.0</v>
      </c>
      <c r="L210" s="5" t="s">
        <v>3373</v>
      </c>
      <c r="M210" s="5">
        <v>112.0</v>
      </c>
      <c r="N210" s="5"/>
      <c r="O210" s="5">
        <v>36517.0</v>
      </c>
      <c r="P210" s="5" t="s">
        <v>3374</v>
      </c>
      <c r="Q210" s="5" t="s">
        <v>2452</v>
      </c>
      <c r="R210" s="5">
        <v>421.0</v>
      </c>
      <c r="S210" s="5">
        <v>4.772409144E9</v>
      </c>
      <c r="T210" s="5" t="s">
        <v>3375</v>
      </c>
      <c r="U210" s="100" t="s">
        <v>3376</v>
      </c>
      <c r="V210" s="5">
        <v>4.77588833E9</v>
      </c>
      <c r="W210" s="5" t="s">
        <v>2610</v>
      </c>
      <c r="X210" s="91">
        <v>43864.0</v>
      </c>
      <c r="Y210" s="5">
        <v>2.0</v>
      </c>
      <c r="Z210" s="5">
        <v>1.0</v>
      </c>
      <c r="AA210" s="5">
        <v>1.0</v>
      </c>
      <c r="AB210" s="5" t="s">
        <v>3377</v>
      </c>
      <c r="AC210" s="5" t="s">
        <v>1772</v>
      </c>
      <c r="AD210" s="91">
        <v>43164.0</v>
      </c>
      <c r="AE210" s="91">
        <v>44260.0</v>
      </c>
      <c r="AF210" s="5"/>
      <c r="AG210" s="5"/>
      <c r="AH210" s="5">
        <v>1.204855558E10</v>
      </c>
      <c r="AI210" s="5">
        <v>53.0</v>
      </c>
      <c r="AJ210" s="5">
        <v>1.110023321E9</v>
      </c>
      <c r="AK210" s="5" t="s">
        <v>3378</v>
      </c>
      <c r="AL210" s="145">
        <v>17.08</v>
      </c>
      <c r="AM210" s="91">
        <v>43864.0</v>
      </c>
      <c r="AN210" s="5" t="s">
        <v>1830</v>
      </c>
      <c r="AO210" s="5"/>
      <c r="AP210" s="5"/>
      <c r="AQ210" s="5"/>
      <c r="AR210" s="5"/>
      <c r="AS210" s="5"/>
      <c r="AT210" s="5"/>
      <c r="AU210" s="5"/>
      <c r="AV210" s="5"/>
      <c r="AW210" s="5" t="s">
        <v>1770</v>
      </c>
      <c r="AX210" s="5"/>
      <c r="AY210" s="5"/>
      <c r="AZ210" s="5" t="s">
        <v>1770</v>
      </c>
      <c r="BA210" s="93">
        <v>0.0</v>
      </c>
      <c r="BB210" s="93">
        <v>0.0</v>
      </c>
      <c r="BC210" s="93">
        <v>0.0</v>
      </c>
      <c r="BD210" s="93">
        <v>0.0</v>
      </c>
      <c r="BE210" s="93">
        <v>0.0</v>
      </c>
      <c r="BF210" s="93">
        <v>0.0</v>
      </c>
      <c r="BG210" s="5"/>
      <c r="BH210" s="93">
        <v>0.0</v>
      </c>
      <c r="BI210" s="93">
        <v>0.0</v>
      </c>
      <c r="BJ210" s="93">
        <v>0.0</v>
      </c>
      <c r="BK210" s="93">
        <v>0.0</v>
      </c>
      <c r="BL210" s="93">
        <v>0.0</v>
      </c>
      <c r="BM210" s="93">
        <v>0.0</v>
      </c>
      <c r="BN210" s="93">
        <v>0.0</v>
      </c>
      <c r="BO210" s="5"/>
      <c r="BP210" s="5" t="s">
        <v>1770</v>
      </c>
      <c r="BQ210" s="5" t="s">
        <v>1789</v>
      </c>
      <c r="BR210" s="94">
        <v>43865.746099537035</v>
      </c>
      <c r="BS210" s="5">
        <v>40.0</v>
      </c>
      <c r="BT210" s="5" t="s">
        <v>1770</v>
      </c>
      <c r="BU210" s="5" t="s">
        <v>1770</v>
      </c>
      <c r="BV210" s="94">
        <v>44392.7146875</v>
      </c>
      <c r="BW210" s="5">
        <v>40.0</v>
      </c>
    </row>
    <row r="211" ht="14.25" customHeight="1">
      <c r="A211" s="5">
        <v>210.0</v>
      </c>
      <c r="B211" s="5">
        <v>479.0</v>
      </c>
      <c r="C211" s="5" t="s">
        <v>3379</v>
      </c>
      <c r="D211" s="5" t="s">
        <v>2011</v>
      </c>
      <c r="E211" s="5" t="s">
        <v>3380</v>
      </c>
      <c r="F211" s="5" t="s">
        <v>3381</v>
      </c>
      <c r="G211" s="5" t="s">
        <v>3382</v>
      </c>
      <c r="H211" s="5" t="s">
        <v>1781</v>
      </c>
      <c r="I211" s="5" t="s">
        <v>1782</v>
      </c>
      <c r="J211" s="91">
        <v>23438.0</v>
      </c>
      <c r="K211" s="5">
        <v>575.0</v>
      </c>
      <c r="L211" s="5" t="s">
        <v>1941</v>
      </c>
      <c r="M211" s="5">
        <v>9.0</v>
      </c>
      <c r="N211" s="5" t="s">
        <v>2340</v>
      </c>
      <c r="O211" s="5">
        <v>41822.0</v>
      </c>
      <c r="P211" s="5" t="s">
        <v>3139</v>
      </c>
      <c r="Q211" s="5" t="s">
        <v>3383</v>
      </c>
      <c r="R211" s="5">
        <v>575.0</v>
      </c>
      <c r="S211" s="5">
        <v>3.316586217E9</v>
      </c>
      <c r="T211" s="5" t="s">
        <v>3384</v>
      </c>
      <c r="U211" s="100" t="s">
        <v>3385</v>
      </c>
      <c r="V211" s="5">
        <v>3.310837972E9</v>
      </c>
      <c r="W211" s="5" t="s">
        <v>1787</v>
      </c>
      <c r="X211" s="91">
        <v>43864.0</v>
      </c>
      <c r="Y211" s="5">
        <v>5.0</v>
      </c>
      <c r="Z211" s="5">
        <v>19.0</v>
      </c>
      <c r="AA211" s="5">
        <v>1.0</v>
      </c>
      <c r="AB211" s="5"/>
      <c r="AC211" s="5"/>
      <c r="AD211" s="5" t="s">
        <v>1770</v>
      </c>
      <c r="AE211" s="5" t="s">
        <v>1770</v>
      </c>
      <c r="AF211" s="5"/>
      <c r="AG211" s="5"/>
      <c r="AH211" s="5">
        <v>4.876632121E9</v>
      </c>
      <c r="AI211" s="5"/>
      <c r="AJ211" s="5"/>
      <c r="AK211" s="5" t="s">
        <v>1773</v>
      </c>
      <c r="AL211" s="92">
        <v>0.0</v>
      </c>
      <c r="AM211" s="5" t="s">
        <v>1770</v>
      </c>
      <c r="AN211" s="5" t="s">
        <v>1830</v>
      </c>
      <c r="AO211" s="5"/>
      <c r="AP211" s="5"/>
      <c r="AQ211" s="5"/>
      <c r="AR211" s="5"/>
      <c r="AS211" s="5"/>
      <c r="AT211" s="5"/>
      <c r="AU211" s="5"/>
      <c r="AV211" s="5"/>
      <c r="AW211" s="5" t="s">
        <v>1770</v>
      </c>
      <c r="AX211" s="5"/>
      <c r="AY211" s="5"/>
      <c r="AZ211" s="5" t="s">
        <v>1770</v>
      </c>
      <c r="BA211" s="93">
        <v>0.0</v>
      </c>
      <c r="BB211" s="93">
        <v>0.0</v>
      </c>
      <c r="BC211" s="93">
        <v>0.0</v>
      </c>
      <c r="BD211" s="93">
        <v>0.0</v>
      </c>
      <c r="BE211" s="93">
        <v>0.0</v>
      </c>
      <c r="BF211" s="93">
        <v>0.0</v>
      </c>
      <c r="BG211" s="5"/>
      <c r="BH211" s="93">
        <v>0.0</v>
      </c>
      <c r="BI211" s="93">
        <v>0.0</v>
      </c>
      <c r="BJ211" s="93">
        <v>0.0</v>
      </c>
      <c r="BK211" s="93">
        <v>0.0</v>
      </c>
      <c r="BL211" s="93">
        <v>0.0</v>
      </c>
      <c r="BM211" s="93">
        <v>0.0</v>
      </c>
      <c r="BN211" s="93">
        <v>0.0</v>
      </c>
      <c r="BO211" s="5"/>
      <c r="BP211" s="5" t="s">
        <v>1770</v>
      </c>
      <c r="BQ211" s="5" t="s">
        <v>1789</v>
      </c>
      <c r="BR211" s="94">
        <v>43865.754965277774</v>
      </c>
      <c r="BS211" s="5">
        <v>40.0</v>
      </c>
      <c r="BT211" s="5" t="s">
        <v>1770</v>
      </c>
      <c r="BU211" s="5" t="s">
        <v>1770</v>
      </c>
      <c r="BV211" s="94">
        <v>44392.698541666665</v>
      </c>
      <c r="BW211" s="5">
        <v>40.0</v>
      </c>
    </row>
    <row r="212" ht="14.25" customHeight="1">
      <c r="A212" s="5">
        <v>211.0</v>
      </c>
      <c r="B212" s="5">
        <v>483.0</v>
      </c>
      <c r="C212" s="5" t="s">
        <v>3386</v>
      </c>
      <c r="D212" s="5" t="s">
        <v>2452</v>
      </c>
      <c r="E212" s="5" t="s">
        <v>2067</v>
      </c>
      <c r="F212" s="5" t="s">
        <v>3387</v>
      </c>
      <c r="G212" s="5" t="s">
        <v>3388</v>
      </c>
      <c r="H212" s="5" t="s">
        <v>1972</v>
      </c>
      <c r="I212" s="5" t="s">
        <v>1782</v>
      </c>
      <c r="J212" s="91">
        <v>33719.0</v>
      </c>
      <c r="K212" s="5">
        <v>850.0</v>
      </c>
      <c r="L212" s="5" t="s">
        <v>3389</v>
      </c>
      <c r="M212" s="5">
        <v>227.0</v>
      </c>
      <c r="N212" s="5"/>
      <c r="O212" s="5">
        <v>55154.0</v>
      </c>
      <c r="P212" s="5" t="s">
        <v>3390</v>
      </c>
      <c r="Q212" s="5" t="s">
        <v>234</v>
      </c>
      <c r="R212" s="5">
        <v>850.0</v>
      </c>
      <c r="S212" s="5">
        <v>3.521474514E9</v>
      </c>
      <c r="T212" s="5" t="s">
        <v>3391</v>
      </c>
      <c r="U212" s="5" t="s">
        <v>3392</v>
      </c>
      <c r="V212" s="5">
        <v>3.522903082E9</v>
      </c>
      <c r="W212" s="5" t="s">
        <v>1924</v>
      </c>
      <c r="X212" s="91">
        <v>43893.0</v>
      </c>
      <c r="Y212" s="5">
        <v>3.0</v>
      </c>
      <c r="Z212" s="5">
        <v>4.0</v>
      </c>
      <c r="AA212" s="5">
        <v>12.0</v>
      </c>
      <c r="AB212" s="5" t="s">
        <v>3393</v>
      </c>
      <c r="AC212" s="5" t="s">
        <v>1800</v>
      </c>
      <c r="AD212" s="91">
        <v>45323.0</v>
      </c>
      <c r="AE212" s="91">
        <v>46784.0</v>
      </c>
      <c r="AF212" s="5"/>
      <c r="AG212" s="5"/>
      <c r="AH212" s="5">
        <v>1.015921577E10</v>
      </c>
      <c r="AI212" s="5">
        <v>77.0</v>
      </c>
      <c r="AJ212" s="5"/>
      <c r="AK212" s="5" t="s">
        <v>1773</v>
      </c>
      <c r="AL212" s="92">
        <v>0.0</v>
      </c>
      <c r="AM212" s="5" t="s">
        <v>1770</v>
      </c>
      <c r="AN212" s="5" t="s">
        <v>1830</v>
      </c>
      <c r="AO212" s="5" t="s">
        <v>3111</v>
      </c>
      <c r="AP212" s="5"/>
      <c r="AQ212" s="5">
        <v>27.0</v>
      </c>
      <c r="AR212" s="5"/>
      <c r="AS212" s="5"/>
      <c r="AT212" s="5"/>
      <c r="AU212" s="5"/>
      <c r="AV212" s="5"/>
      <c r="AW212" s="5" t="s">
        <v>1770</v>
      </c>
      <c r="AX212" s="5"/>
      <c r="AY212" s="5"/>
      <c r="AZ212" s="5" t="s">
        <v>1770</v>
      </c>
      <c r="BA212" s="93">
        <v>0.0</v>
      </c>
      <c r="BB212" s="93">
        <v>0.0</v>
      </c>
      <c r="BC212" s="93">
        <v>0.0</v>
      </c>
      <c r="BD212" s="93">
        <v>0.0</v>
      </c>
      <c r="BE212" s="93">
        <v>0.0</v>
      </c>
      <c r="BF212" s="93">
        <v>0.0</v>
      </c>
      <c r="BG212" s="5"/>
      <c r="BH212" s="93">
        <v>0.0</v>
      </c>
      <c r="BI212" s="93">
        <v>0.0</v>
      </c>
      <c r="BJ212" s="93">
        <v>0.0</v>
      </c>
      <c r="BK212" s="93">
        <v>0.0</v>
      </c>
      <c r="BL212" s="93">
        <v>0.0</v>
      </c>
      <c r="BM212" s="93">
        <v>0.0</v>
      </c>
      <c r="BN212" s="93">
        <v>0.0</v>
      </c>
      <c r="BO212" s="5"/>
      <c r="BP212" s="5"/>
      <c r="BQ212" s="5" t="s">
        <v>1775</v>
      </c>
      <c r="BR212" s="94">
        <v>43897.48811342593</v>
      </c>
      <c r="BS212" s="5">
        <v>40.0</v>
      </c>
      <c r="BT212" s="94">
        <v>46135.38611111111</v>
      </c>
      <c r="BU212" s="5">
        <v>339.0</v>
      </c>
      <c r="BV212" s="5" t="s">
        <v>1770</v>
      </c>
      <c r="BW212" s="5" t="s">
        <v>1770</v>
      </c>
    </row>
    <row r="213" ht="14.25" customHeight="1">
      <c r="A213" s="5">
        <v>212.0</v>
      </c>
      <c r="B213" s="5">
        <v>482.0</v>
      </c>
      <c r="C213" s="5" t="s">
        <v>2214</v>
      </c>
      <c r="D213" s="5" t="s">
        <v>2691</v>
      </c>
      <c r="E213" s="100" t="s">
        <v>2658</v>
      </c>
      <c r="F213" s="5" t="s">
        <v>3394</v>
      </c>
      <c r="G213" s="5" t="s">
        <v>3395</v>
      </c>
      <c r="H213" s="5" t="s">
        <v>1781</v>
      </c>
      <c r="I213" s="5" t="s">
        <v>1782</v>
      </c>
      <c r="J213" s="91">
        <v>32849.0</v>
      </c>
      <c r="K213" s="5">
        <v>15.0</v>
      </c>
      <c r="L213" s="5" t="s">
        <v>3396</v>
      </c>
      <c r="M213" s="5">
        <v>33.0</v>
      </c>
      <c r="N213" s="5"/>
      <c r="O213" s="5">
        <v>43897.0</v>
      </c>
      <c r="P213" s="5" t="s">
        <v>3397</v>
      </c>
      <c r="Q213" s="5" t="s">
        <v>2179</v>
      </c>
      <c r="R213" s="5">
        <v>594.0</v>
      </c>
      <c r="S213" s="5">
        <v>6.691794991E9</v>
      </c>
      <c r="T213" s="5" t="s">
        <v>3398</v>
      </c>
      <c r="U213" s="5" t="s">
        <v>3399</v>
      </c>
      <c r="V213" s="5">
        <v>3.931057347E9</v>
      </c>
      <c r="W213" s="5" t="s">
        <v>1965</v>
      </c>
      <c r="X213" s="91">
        <v>43892.0</v>
      </c>
      <c r="Y213" s="5">
        <v>5.0</v>
      </c>
      <c r="Z213" s="5">
        <v>19.0</v>
      </c>
      <c r="AA213" s="5">
        <v>1.0</v>
      </c>
      <c r="AB213" s="5" t="s">
        <v>3400</v>
      </c>
      <c r="AC213" s="5" t="s">
        <v>1800</v>
      </c>
      <c r="AD213" s="91">
        <v>43889.0</v>
      </c>
      <c r="AE213" s="91">
        <v>45350.0</v>
      </c>
      <c r="AF213" s="5"/>
      <c r="AG213" s="5"/>
      <c r="AH213" s="5">
        <v>2.3068954116E10</v>
      </c>
      <c r="AI213" s="5">
        <v>95.0</v>
      </c>
      <c r="AJ213" s="5"/>
      <c r="AK213" s="5" t="s">
        <v>1773</v>
      </c>
      <c r="AL213" s="92">
        <v>0.0</v>
      </c>
      <c r="AM213" s="5" t="s">
        <v>1770</v>
      </c>
      <c r="AN213" s="5" t="s">
        <v>1809</v>
      </c>
      <c r="AO213" s="5"/>
      <c r="AP213" s="5"/>
      <c r="AQ213" s="5"/>
      <c r="AR213" s="5"/>
      <c r="AS213" s="5"/>
      <c r="AT213" s="5"/>
      <c r="AU213" s="5"/>
      <c r="AV213" s="5"/>
      <c r="AW213" s="5" t="s">
        <v>1770</v>
      </c>
      <c r="AX213" s="5"/>
      <c r="AY213" s="5"/>
      <c r="AZ213" s="5" t="s">
        <v>1770</v>
      </c>
      <c r="BA213" s="93">
        <v>0.0</v>
      </c>
      <c r="BB213" s="93">
        <v>0.0</v>
      </c>
      <c r="BC213" s="93">
        <v>0.0</v>
      </c>
      <c r="BD213" s="93">
        <v>0.0</v>
      </c>
      <c r="BE213" s="93">
        <v>0.0</v>
      </c>
      <c r="BF213" s="93">
        <v>0.0</v>
      </c>
      <c r="BG213" s="5"/>
      <c r="BH213" s="93">
        <v>0.0</v>
      </c>
      <c r="BI213" s="93">
        <v>0.0</v>
      </c>
      <c r="BJ213" s="93">
        <v>0.0</v>
      </c>
      <c r="BK213" s="93">
        <v>0.0</v>
      </c>
      <c r="BL213" s="93">
        <v>0.0</v>
      </c>
      <c r="BM213" s="93">
        <v>0.0</v>
      </c>
      <c r="BN213" s="93">
        <v>0.0</v>
      </c>
      <c r="BO213" s="5"/>
      <c r="BP213" s="5" t="s">
        <v>1770</v>
      </c>
      <c r="BQ213" s="5" t="s">
        <v>1789</v>
      </c>
      <c r="BR213" s="94">
        <v>43897.49914351852</v>
      </c>
      <c r="BS213" s="5">
        <v>40.0</v>
      </c>
      <c r="BT213" s="5" t="s">
        <v>1770</v>
      </c>
      <c r="BU213" s="5" t="s">
        <v>1770</v>
      </c>
      <c r="BV213" s="94">
        <v>44392.70165509259</v>
      </c>
      <c r="BW213" s="5">
        <v>40.0</v>
      </c>
    </row>
    <row r="214" ht="14.25" customHeight="1">
      <c r="A214" s="5">
        <v>213.0</v>
      </c>
      <c r="B214" s="5">
        <v>480.0</v>
      </c>
      <c r="C214" s="5" t="s">
        <v>3401</v>
      </c>
      <c r="D214" s="5" t="s">
        <v>2306</v>
      </c>
      <c r="E214" s="5" t="s">
        <v>2067</v>
      </c>
      <c r="F214" s="5" t="s">
        <v>3402</v>
      </c>
      <c r="G214" s="5" t="s">
        <v>3403</v>
      </c>
      <c r="H214" s="5" t="s">
        <v>3404</v>
      </c>
      <c r="I214" s="5" t="s">
        <v>1763</v>
      </c>
      <c r="J214" s="91">
        <v>31223.0</v>
      </c>
      <c r="K214" s="5">
        <v>424.0</v>
      </c>
      <c r="L214" s="5" t="s">
        <v>3405</v>
      </c>
      <c r="M214" s="5">
        <v>4.0</v>
      </c>
      <c r="N214" s="5" t="s">
        <v>2340</v>
      </c>
      <c r="O214" s="5">
        <v>35873.0</v>
      </c>
      <c r="P214" s="5" t="s">
        <v>1797</v>
      </c>
      <c r="Q214" s="5" t="s">
        <v>3406</v>
      </c>
      <c r="R214" s="5">
        <v>424.0</v>
      </c>
      <c r="S214" s="5">
        <v>4.691104674E9</v>
      </c>
      <c r="T214" s="5"/>
      <c r="U214" s="100" t="s">
        <v>3407</v>
      </c>
      <c r="V214" s="5">
        <v>4.696035761E9</v>
      </c>
      <c r="W214" s="5" t="s">
        <v>3408</v>
      </c>
      <c r="X214" s="91">
        <v>43887.0</v>
      </c>
      <c r="Y214" s="5">
        <v>2.0</v>
      </c>
      <c r="Z214" s="5">
        <v>17.0</v>
      </c>
      <c r="AA214" s="5">
        <v>27.0</v>
      </c>
      <c r="AB214" s="5"/>
      <c r="AC214" s="5"/>
      <c r="AD214" s="5" t="s">
        <v>1770</v>
      </c>
      <c r="AE214" s="5" t="s">
        <v>1770</v>
      </c>
      <c r="AF214" s="5"/>
      <c r="AG214" s="5"/>
      <c r="AH214" s="5">
        <v>2.208535795E9</v>
      </c>
      <c r="AI214" s="5">
        <v>9.0</v>
      </c>
      <c r="AJ214" s="5"/>
      <c r="AK214" s="5" t="s">
        <v>1773</v>
      </c>
      <c r="AL214" s="92">
        <v>0.0</v>
      </c>
      <c r="AM214" s="5" t="s">
        <v>1770</v>
      </c>
      <c r="AN214" s="5" t="s">
        <v>1830</v>
      </c>
      <c r="AO214" s="5"/>
      <c r="AP214" s="5"/>
      <c r="AQ214" s="5"/>
      <c r="AR214" s="5"/>
      <c r="AS214" s="5"/>
      <c r="AT214" s="5"/>
      <c r="AU214" s="5"/>
      <c r="AV214" s="5"/>
      <c r="AW214" s="5" t="s">
        <v>1770</v>
      </c>
      <c r="AX214" s="5"/>
      <c r="AY214" s="5"/>
      <c r="AZ214" s="5" t="s">
        <v>1770</v>
      </c>
      <c r="BA214" s="93">
        <v>0.0</v>
      </c>
      <c r="BB214" s="93">
        <v>0.0</v>
      </c>
      <c r="BC214" s="93">
        <v>0.0</v>
      </c>
      <c r="BD214" s="93">
        <v>0.0</v>
      </c>
      <c r="BE214" s="93">
        <v>0.0</v>
      </c>
      <c r="BF214" s="93">
        <v>0.0</v>
      </c>
      <c r="BG214" s="5"/>
      <c r="BH214" s="93">
        <v>0.0</v>
      </c>
      <c r="BI214" s="93">
        <v>0.0</v>
      </c>
      <c r="BJ214" s="93">
        <v>0.0</v>
      </c>
      <c r="BK214" s="93">
        <v>0.0</v>
      </c>
      <c r="BL214" s="93">
        <v>0.0</v>
      </c>
      <c r="BM214" s="93">
        <v>0.0</v>
      </c>
      <c r="BN214" s="93">
        <v>0.0</v>
      </c>
      <c r="BO214" s="5"/>
      <c r="BP214" s="5" t="s">
        <v>1770</v>
      </c>
      <c r="BQ214" s="5" t="s">
        <v>1789</v>
      </c>
      <c r="BR214" s="94">
        <v>43897.504907407405</v>
      </c>
      <c r="BS214" s="5">
        <v>40.0</v>
      </c>
      <c r="BT214" s="5" t="s">
        <v>1770</v>
      </c>
      <c r="BU214" s="5" t="s">
        <v>1770</v>
      </c>
      <c r="BV214" s="94">
        <v>45555.506319444445</v>
      </c>
      <c r="BW214" s="5">
        <v>40.0</v>
      </c>
    </row>
    <row r="215" ht="14.25" customHeight="1">
      <c r="A215" s="5">
        <v>214.0</v>
      </c>
      <c r="B215" s="5">
        <v>481.0</v>
      </c>
      <c r="C215" s="5" t="s">
        <v>3409</v>
      </c>
      <c r="D215" s="5" t="s">
        <v>3410</v>
      </c>
      <c r="E215" s="5" t="s">
        <v>2859</v>
      </c>
      <c r="F215" s="5" t="s">
        <v>3411</v>
      </c>
      <c r="G215" s="5" t="s">
        <v>3412</v>
      </c>
      <c r="H215" s="5" t="s">
        <v>1972</v>
      </c>
      <c r="I215" s="5" t="s">
        <v>1782</v>
      </c>
      <c r="J215" s="91">
        <v>34143.0</v>
      </c>
      <c r="K215" s="5">
        <v>594.0</v>
      </c>
      <c r="L215" s="5" t="s">
        <v>3413</v>
      </c>
      <c r="M215" s="5">
        <v>18.0</v>
      </c>
      <c r="N215" s="5" t="s">
        <v>2340</v>
      </c>
      <c r="O215" s="5">
        <v>43752.0</v>
      </c>
      <c r="P215" s="5" t="s">
        <v>3139</v>
      </c>
      <c r="Q215" s="5" t="s">
        <v>3414</v>
      </c>
      <c r="R215" s="5">
        <v>594.0</v>
      </c>
      <c r="S215" s="5">
        <v>3.921078382E9</v>
      </c>
      <c r="T215" s="5" t="s">
        <v>3415</v>
      </c>
      <c r="U215" s="5" t="s">
        <v>3416</v>
      </c>
      <c r="V215" s="5">
        <v>3.929226158E9</v>
      </c>
      <c r="W215" s="5" t="s">
        <v>1819</v>
      </c>
      <c r="X215" s="91">
        <v>43888.0</v>
      </c>
      <c r="Y215" s="5">
        <v>1.0</v>
      </c>
      <c r="Z215" s="5">
        <v>18.0</v>
      </c>
      <c r="AA215" s="5">
        <v>1.0</v>
      </c>
      <c r="AB215" s="5" t="s">
        <v>3417</v>
      </c>
      <c r="AC215" s="5" t="s">
        <v>1800</v>
      </c>
      <c r="AD215" s="91">
        <v>43368.0</v>
      </c>
      <c r="AE215" s="91">
        <v>44829.0</v>
      </c>
      <c r="AF215" s="5"/>
      <c r="AG215" s="5"/>
      <c r="AH215" s="5">
        <v>2.7159318008E10</v>
      </c>
      <c r="AI215" s="5">
        <v>169.0</v>
      </c>
      <c r="AJ215" s="5"/>
      <c r="AK215" s="5" t="s">
        <v>1773</v>
      </c>
      <c r="AL215" s="92">
        <v>0.0</v>
      </c>
      <c r="AM215" s="5" t="s">
        <v>1770</v>
      </c>
      <c r="AN215" s="5" t="s">
        <v>1774</v>
      </c>
      <c r="AO215" s="5"/>
      <c r="AP215" s="5"/>
      <c r="AQ215" s="5"/>
      <c r="AR215" s="5"/>
      <c r="AS215" s="5"/>
      <c r="AT215" s="5"/>
      <c r="AU215" s="5"/>
      <c r="AV215" s="5"/>
      <c r="AW215" s="5" t="s">
        <v>1770</v>
      </c>
      <c r="AX215" s="5"/>
      <c r="AY215" s="5"/>
      <c r="AZ215" s="5" t="s">
        <v>1770</v>
      </c>
      <c r="BA215" s="93">
        <v>0.0</v>
      </c>
      <c r="BB215" s="93">
        <v>0.0</v>
      </c>
      <c r="BC215" s="93">
        <v>0.0</v>
      </c>
      <c r="BD215" s="93">
        <v>0.0</v>
      </c>
      <c r="BE215" s="93">
        <v>0.0</v>
      </c>
      <c r="BF215" s="93">
        <v>0.0</v>
      </c>
      <c r="BG215" s="5"/>
      <c r="BH215" s="93">
        <v>0.0</v>
      </c>
      <c r="BI215" s="93">
        <v>0.0</v>
      </c>
      <c r="BJ215" s="93">
        <v>0.0</v>
      </c>
      <c r="BK215" s="93">
        <v>0.0</v>
      </c>
      <c r="BL215" s="93">
        <v>0.0</v>
      </c>
      <c r="BM215" s="93">
        <v>0.0</v>
      </c>
      <c r="BN215" s="93">
        <v>0.0</v>
      </c>
      <c r="BO215" s="5"/>
      <c r="BP215" s="5" t="s">
        <v>1770</v>
      </c>
      <c r="BQ215" s="5" t="s">
        <v>1789</v>
      </c>
      <c r="BR215" s="94">
        <v>43897.512083333335</v>
      </c>
      <c r="BS215" s="5">
        <v>40.0</v>
      </c>
      <c r="BT215" s="94">
        <v>44645.51228009259</v>
      </c>
      <c r="BU215" s="5">
        <v>167.0</v>
      </c>
      <c r="BV215" s="94">
        <v>44645.51248842593</v>
      </c>
      <c r="BW215" s="5">
        <v>167.0</v>
      </c>
    </row>
    <row r="216" ht="14.25" customHeight="1">
      <c r="A216" s="5">
        <v>215.0</v>
      </c>
      <c r="B216" s="5">
        <v>485.0</v>
      </c>
      <c r="C216" s="5" t="s">
        <v>3418</v>
      </c>
      <c r="D216" s="100" t="s">
        <v>3419</v>
      </c>
      <c r="E216" s="5" t="s">
        <v>3420</v>
      </c>
      <c r="F216" s="5" t="s">
        <v>3421</v>
      </c>
      <c r="G216" s="5" t="s">
        <v>3422</v>
      </c>
      <c r="H216" s="5" t="s">
        <v>2671</v>
      </c>
      <c r="I216" s="5" t="s">
        <v>1782</v>
      </c>
      <c r="J216" s="91">
        <v>34648.0</v>
      </c>
      <c r="K216" s="5">
        <v>594.0</v>
      </c>
      <c r="L216" s="5" t="s">
        <v>3423</v>
      </c>
      <c r="M216" s="5">
        <v>53.0</v>
      </c>
      <c r="N216" s="5"/>
      <c r="O216" s="5">
        <v>41922.0</v>
      </c>
      <c r="P216" s="5" t="s">
        <v>1797</v>
      </c>
      <c r="Q216" s="5" t="s">
        <v>2349</v>
      </c>
      <c r="R216" s="5">
        <v>597.0</v>
      </c>
      <c r="S216" s="5">
        <v>3.921138623E9</v>
      </c>
      <c r="T216" s="5" t="s">
        <v>3424</v>
      </c>
      <c r="U216" s="100" t="s">
        <v>3425</v>
      </c>
      <c r="V216" s="5">
        <v>3.921198716E9</v>
      </c>
      <c r="W216" s="5" t="s">
        <v>1787</v>
      </c>
      <c r="X216" s="91">
        <v>43908.0</v>
      </c>
      <c r="Y216" s="5">
        <v>5.0</v>
      </c>
      <c r="Z216" s="5">
        <v>3.0</v>
      </c>
      <c r="AA216" s="5">
        <v>58.0</v>
      </c>
      <c r="AB216" s="5" t="s">
        <v>3426</v>
      </c>
      <c r="AC216" s="5" t="s">
        <v>1800</v>
      </c>
      <c r="AD216" s="91">
        <v>43909.0</v>
      </c>
      <c r="AE216" s="91">
        <v>45370.0</v>
      </c>
      <c r="AF216" s="5"/>
      <c r="AG216" s="5"/>
      <c r="AH216" s="5">
        <v>4.13945488E9</v>
      </c>
      <c r="AI216" s="5">
        <v>95.0</v>
      </c>
      <c r="AJ216" s="5"/>
      <c r="AK216" s="5" t="s">
        <v>1773</v>
      </c>
      <c r="AL216" s="92">
        <v>0.0</v>
      </c>
      <c r="AM216" s="5" t="s">
        <v>1770</v>
      </c>
      <c r="AN216" s="5" t="s">
        <v>1774</v>
      </c>
      <c r="AO216" s="5"/>
      <c r="AP216" s="5"/>
      <c r="AQ216" s="5"/>
      <c r="AR216" s="5"/>
      <c r="AS216" s="5"/>
      <c r="AT216" s="5"/>
      <c r="AU216" s="5"/>
      <c r="AV216" s="5"/>
      <c r="AW216" s="5" t="s">
        <v>1770</v>
      </c>
      <c r="AX216" s="5"/>
      <c r="AY216" s="5"/>
      <c r="AZ216" s="5" t="s">
        <v>1770</v>
      </c>
      <c r="BA216" s="93">
        <v>0.0</v>
      </c>
      <c r="BB216" s="93">
        <v>0.0</v>
      </c>
      <c r="BC216" s="93">
        <v>0.0</v>
      </c>
      <c r="BD216" s="93">
        <v>0.0</v>
      </c>
      <c r="BE216" s="93">
        <v>0.0</v>
      </c>
      <c r="BF216" s="93">
        <v>0.0</v>
      </c>
      <c r="BG216" s="5"/>
      <c r="BH216" s="93">
        <v>0.0</v>
      </c>
      <c r="BI216" s="93">
        <v>0.0</v>
      </c>
      <c r="BJ216" s="93">
        <v>0.0</v>
      </c>
      <c r="BK216" s="93">
        <v>0.0</v>
      </c>
      <c r="BL216" s="93">
        <v>0.0</v>
      </c>
      <c r="BM216" s="93">
        <v>0.0</v>
      </c>
      <c r="BN216" s="93">
        <v>0.0</v>
      </c>
      <c r="BO216" s="5"/>
      <c r="BP216" s="5" t="s">
        <v>1770</v>
      </c>
      <c r="BQ216" s="5" t="s">
        <v>1789</v>
      </c>
      <c r="BR216" s="94">
        <v>43918.583344907405</v>
      </c>
      <c r="BS216" s="5">
        <v>40.0</v>
      </c>
      <c r="BT216" s="5" t="s">
        <v>1770</v>
      </c>
      <c r="BU216" s="5" t="s">
        <v>1770</v>
      </c>
      <c r="BV216" s="94">
        <v>44392.70568287037</v>
      </c>
      <c r="BW216" s="5">
        <v>40.0</v>
      </c>
    </row>
    <row r="217" ht="14.25" customHeight="1">
      <c r="A217" s="5">
        <v>216.0</v>
      </c>
      <c r="B217" s="5">
        <v>489.0</v>
      </c>
      <c r="C217" s="5" t="s">
        <v>3427</v>
      </c>
      <c r="D217" s="5" t="s">
        <v>1792</v>
      </c>
      <c r="E217" s="5" t="s">
        <v>3428</v>
      </c>
      <c r="F217" s="5" t="s">
        <v>3429</v>
      </c>
      <c r="G217" s="5" t="s">
        <v>3430</v>
      </c>
      <c r="H217" s="5" t="s">
        <v>1781</v>
      </c>
      <c r="I217" s="5" t="s">
        <v>1782</v>
      </c>
      <c r="J217" s="91">
        <v>31000.0</v>
      </c>
      <c r="K217" s="5">
        <v>408.0</v>
      </c>
      <c r="L217" s="5" t="s">
        <v>3431</v>
      </c>
      <c r="M217" s="5">
        <v>67.0</v>
      </c>
      <c r="N217" s="5"/>
      <c r="O217" s="5">
        <v>53802.0</v>
      </c>
      <c r="P217" s="5" t="s">
        <v>1797</v>
      </c>
      <c r="Q217" s="5" t="s">
        <v>2041</v>
      </c>
      <c r="R217" s="5">
        <v>834.0</v>
      </c>
      <c r="S217" s="5">
        <v>4.435550083E9</v>
      </c>
      <c r="T217" s="5" t="s">
        <v>3432</v>
      </c>
      <c r="U217" s="5" t="s">
        <v>3433</v>
      </c>
      <c r="V217" s="5">
        <v>4.432141599E9</v>
      </c>
      <c r="W217" s="5" t="s">
        <v>2610</v>
      </c>
      <c r="X217" s="91">
        <v>43934.0</v>
      </c>
      <c r="Y217" s="5">
        <v>4.0</v>
      </c>
      <c r="Z217" s="5">
        <v>4.0</v>
      </c>
      <c r="AA217" s="5">
        <v>39.0</v>
      </c>
      <c r="AB217" s="5" t="s">
        <v>3434</v>
      </c>
      <c r="AC217" s="5" t="s">
        <v>1772</v>
      </c>
      <c r="AD217" s="91">
        <v>42835.0</v>
      </c>
      <c r="AE217" s="91">
        <v>44296.0</v>
      </c>
      <c r="AF217" s="5"/>
      <c r="AG217" s="5"/>
      <c r="AH217" s="5">
        <v>2.178462103E9</v>
      </c>
      <c r="AI217" s="5">
        <v>75.0</v>
      </c>
      <c r="AJ217" s="5"/>
      <c r="AK217" s="5" t="s">
        <v>1773</v>
      </c>
      <c r="AL217" s="92">
        <v>0.0</v>
      </c>
      <c r="AM217" s="5" t="s">
        <v>1770</v>
      </c>
      <c r="AN217" s="5" t="s">
        <v>3435</v>
      </c>
      <c r="AO217" s="5"/>
      <c r="AP217" s="5"/>
      <c r="AQ217" s="5"/>
      <c r="AR217" s="5"/>
      <c r="AS217" s="5"/>
      <c r="AT217" s="5"/>
      <c r="AU217" s="5"/>
      <c r="AV217" s="5"/>
      <c r="AW217" s="5" t="s">
        <v>1770</v>
      </c>
      <c r="AX217" s="5"/>
      <c r="AY217" s="5"/>
      <c r="AZ217" s="5" t="s">
        <v>1770</v>
      </c>
      <c r="BA217" s="93">
        <v>0.0</v>
      </c>
      <c r="BB217" s="93">
        <v>0.0</v>
      </c>
      <c r="BC217" s="93">
        <v>0.0</v>
      </c>
      <c r="BD217" s="93">
        <v>0.0</v>
      </c>
      <c r="BE217" s="93">
        <v>0.0</v>
      </c>
      <c r="BF217" s="93">
        <v>0.0</v>
      </c>
      <c r="BG217" s="5"/>
      <c r="BH217" s="93">
        <v>0.0</v>
      </c>
      <c r="BI217" s="93">
        <v>0.0</v>
      </c>
      <c r="BJ217" s="93">
        <v>0.0</v>
      </c>
      <c r="BK217" s="93">
        <v>0.0</v>
      </c>
      <c r="BL217" s="93">
        <v>0.0</v>
      </c>
      <c r="BM217" s="93">
        <v>0.0</v>
      </c>
      <c r="BN217" s="93">
        <v>0.0</v>
      </c>
      <c r="BO217" s="5"/>
      <c r="BP217" s="5" t="s">
        <v>1770</v>
      </c>
      <c r="BQ217" s="5" t="s">
        <v>1789</v>
      </c>
      <c r="BR217" s="94">
        <v>43935.718935185185</v>
      </c>
      <c r="BS217" s="5">
        <v>40.0</v>
      </c>
      <c r="BT217" s="5" t="s">
        <v>1770</v>
      </c>
      <c r="BU217" s="5" t="s">
        <v>1770</v>
      </c>
      <c r="BV217" s="94">
        <v>44392.70017361111</v>
      </c>
      <c r="BW217" s="5">
        <v>40.0</v>
      </c>
    </row>
    <row r="218" ht="14.25" customHeight="1">
      <c r="A218" s="5">
        <v>217.0</v>
      </c>
      <c r="B218" s="5">
        <v>490.0</v>
      </c>
      <c r="C218" s="5" t="s">
        <v>3436</v>
      </c>
      <c r="D218" s="5" t="s">
        <v>2005</v>
      </c>
      <c r="E218" s="5" t="s">
        <v>2001</v>
      </c>
      <c r="F218" s="5" t="s">
        <v>3437</v>
      </c>
      <c r="G218" s="5" t="s">
        <v>3438</v>
      </c>
      <c r="H218" s="5" t="s">
        <v>1972</v>
      </c>
      <c r="I218" s="5" t="s">
        <v>1782</v>
      </c>
      <c r="J218" s="91">
        <v>35682.0</v>
      </c>
      <c r="K218" s="5">
        <v>834.0</v>
      </c>
      <c r="L218" s="5" t="s">
        <v>3439</v>
      </c>
      <c r="M218" s="5">
        <v>333.0</v>
      </c>
      <c r="N218" s="5"/>
      <c r="O218" s="5">
        <v>57632.0</v>
      </c>
      <c r="P218" s="5" t="s">
        <v>2430</v>
      </c>
      <c r="Q218" s="5" t="s">
        <v>3440</v>
      </c>
      <c r="R218" s="5">
        <v>834.0</v>
      </c>
      <c r="S218" s="5">
        <v>4.251235131E9</v>
      </c>
      <c r="T218" s="5" t="s">
        <v>3441</v>
      </c>
      <c r="U218" s="5" t="s">
        <v>3442</v>
      </c>
      <c r="V218" s="5">
        <v>4.251160634E9</v>
      </c>
      <c r="W218" s="5" t="s">
        <v>1808</v>
      </c>
      <c r="X218" s="91">
        <v>43934.0</v>
      </c>
      <c r="Y218" s="5">
        <v>4.0</v>
      </c>
      <c r="Z218" s="5">
        <v>4.0</v>
      </c>
      <c r="AA218" s="5">
        <v>39.0</v>
      </c>
      <c r="AB218" s="5" t="s">
        <v>3443</v>
      </c>
      <c r="AC218" s="5" t="s">
        <v>1800</v>
      </c>
      <c r="AD218" s="91">
        <v>43916.0</v>
      </c>
      <c r="AE218" s="91">
        <v>45371.0</v>
      </c>
      <c r="AF218" s="5"/>
      <c r="AG218" s="5"/>
      <c r="AH218" s="5">
        <v>5.3069700259E10</v>
      </c>
      <c r="AI218" s="5">
        <v>75.0</v>
      </c>
      <c r="AJ218" s="5"/>
      <c r="AK218" s="5" t="s">
        <v>1773</v>
      </c>
      <c r="AL218" s="92">
        <v>0.0</v>
      </c>
      <c r="AM218" s="5" t="s">
        <v>1770</v>
      </c>
      <c r="AN218" s="5" t="s">
        <v>3435</v>
      </c>
      <c r="AO218" s="5"/>
      <c r="AP218" s="5"/>
      <c r="AQ218" s="5"/>
      <c r="AR218" s="5"/>
      <c r="AS218" s="5"/>
      <c r="AT218" s="5"/>
      <c r="AU218" s="5"/>
      <c r="AV218" s="5"/>
      <c r="AW218" s="5" t="s">
        <v>1770</v>
      </c>
      <c r="AX218" s="5"/>
      <c r="AY218" s="5"/>
      <c r="AZ218" s="5" t="s">
        <v>1770</v>
      </c>
      <c r="BA218" s="93">
        <v>0.0</v>
      </c>
      <c r="BB218" s="93">
        <v>0.0</v>
      </c>
      <c r="BC218" s="93">
        <v>0.0</v>
      </c>
      <c r="BD218" s="93">
        <v>0.0</v>
      </c>
      <c r="BE218" s="93">
        <v>0.0</v>
      </c>
      <c r="BF218" s="93">
        <v>0.0</v>
      </c>
      <c r="BG218" s="5"/>
      <c r="BH218" s="93">
        <v>0.0</v>
      </c>
      <c r="BI218" s="93">
        <v>0.0</v>
      </c>
      <c r="BJ218" s="93">
        <v>0.0</v>
      </c>
      <c r="BK218" s="93">
        <v>0.0</v>
      </c>
      <c r="BL218" s="93">
        <v>0.0</v>
      </c>
      <c r="BM218" s="93">
        <v>0.0</v>
      </c>
      <c r="BN218" s="93">
        <v>0.0</v>
      </c>
      <c r="BO218" s="5"/>
      <c r="BP218" s="5" t="s">
        <v>1770</v>
      </c>
      <c r="BQ218" s="5" t="s">
        <v>1789</v>
      </c>
      <c r="BR218" s="94">
        <v>43935.729791666665</v>
      </c>
      <c r="BS218" s="5">
        <v>40.0</v>
      </c>
      <c r="BT218" s="5" t="s">
        <v>1770</v>
      </c>
      <c r="BU218" s="5" t="s">
        <v>1770</v>
      </c>
      <c r="BV218" s="94">
        <v>44645.526284722226</v>
      </c>
      <c r="BW218" s="5">
        <v>167.0</v>
      </c>
    </row>
    <row r="219" ht="14.25" customHeight="1">
      <c r="A219" s="5">
        <v>218.0</v>
      </c>
      <c r="B219" s="5">
        <v>486.0</v>
      </c>
      <c r="C219" s="5" t="s">
        <v>3444</v>
      </c>
      <c r="D219" s="5" t="s">
        <v>1926</v>
      </c>
      <c r="E219" s="5" t="s">
        <v>1844</v>
      </c>
      <c r="F219" s="5" t="s">
        <v>3445</v>
      </c>
      <c r="G219" s="5" t="s">
        <v>3446</v>
      </c>
      <c r="H219" s="5" t="s">
        <v>1815</v>
      </c>
      <c r="I219" s="5" t="s">
        <v>1763</v>
      </c>
      <c r="J219" s="91">
        <v>35533.0</v>
      </c>
      <c r="K219" s="5">
        <v>544.0</v>
      </c>
      <c r="L219" s="5" t="s">
        <v>2061</v>
      </c>
      <c r="M219" s="5">
        <v>39.0</v>
      </c>
      <c r="N219" s="5"/>
      <c r="O219" s="5">
        <v>43439.0</v>
      </c>
      <c r="P219" s="5" t="s">
        <v>1797</v>
      </c>
      <c r="Q219" s="5" t="s">
        <v>2062</v>
      </c>
      <c r="R219" s="5">
        <v>544.0</v>
      </c>
      <c r="S219" s="5">
        <v>3.31485974E9</v>
      </c>
      <c r="T219" s="5" t="s">
        <v>3447</v>
      </c>
      <c r="U219" s="5" t="s">
        <v>3448</v>
      </c>
      <c r="V219" s="5">
        <v>1.478523697E9</v>
      </c>
      <c r="W219" s="5" t="s">
        <v>1808</v>
      </c>
      <c r="X219" s="91">
        <v>43927.0</v>
      </c>
      <c r="Y219" s="5">
        <v>1.0</v>
      </c>
      <c r="Z219" s="5">
        <v>4.0</v>
      </c>
      <c r="AA219" s="5">
        <v>37.0</v>
      </c>
      <c r="AB219" s="5"/>
      <c r="AC219" s="5"/>
      <c r="AD219" s="5" t="s">
        <v>1770</v>
      </c>
      <c r="AE219" s="5" t="s">
        <v>1770</v>
      </c>
      <c r="AF219" s="5"/>
      <c r="AG219" s="5"/>
      <c r="AH219" s="5">
        <v>2.169780034E9</v>
      </c>
      <c r="AI219" s="5">
        <v>22.0</v>
      </c>
      <c r="AJ219" s="5"/>
      <c r="AK219" s="5" t="s">
        <v>1773</v>
      </c>
      <c r="AL219" s="92">
        <v>0.0</v>
      </c>
      <c r="AM219" s="5" t="s">
        <v>1770</v>
      </c>
      <c r="AN219" s="5" t="s">
        <v>3435</v>
      </c>
      <c r="AO219" s="5"/>
      <c r="AP219" s="5"/>
      <c r="AQ219" s="5"/>
      <c r="AR219" s="5"/>
      <c r="AS219" s="5"/>
      <c r="AT219" s="5"/>
      <c r="AU219" s="5"/>
      <c r="AV219" s="5"/>
      <c r="AW219" s="5" t="s">
        <v>1770</v>
      </c>
      <c r="AX219" s="5"/>
      <c r="AY219" s="5"/>
      <c r="AZ219" s="5" t="s">
        <v>1770</v>
      </c>
      <c r="BA219" s="93">
        <v>0.0</v>
      </c>
      <c r="BB219" s="93">
        <v>0.0</v>
      </c>
      <c r="BC219" s="93">
        <v>0.0</v>
      </c>
      <c r="BD219" s="93">
        <v>0.0</v>
      </c>
      <c r="BE219" s="93">
        <v>0.0</v>
      </c>
      <c r="BF219" s="93">
        <v>0.0</v>
      </c>
      <c r="BG219" s="5"/>
      <c r="BH219" s="93">
        <v>0.0</v>
      </c>
      <c r="BI219" s="93">
        <v>0.0</v>
      </c>
      <c r="BJ219" s="93">
        <v>0.0</v>
      </c>
      <c r="BK219" s="93">
        <v>0.0</v>
      </c>
      <c r="BL219" s="93">
        <v>0.0</v>
      </c>
      <c r="BM219" s="93">
        <v>0.0</v>
      </c>
      <c r="BN219" s="93">
        <v>0.0</v>
      </c>
      <c r="BO219" s="5"/>
      <c r="BP219" s="5" t="s">
        <v>1770</v>
      </c>
      <c r="BQ219" s="5" t="s">
        <v>1789</v>
      </c>
      <c r="BR219" s="94">
        <v>43935.73452546296</v>
      </c>
      <c r="BS219" s="5">
        <v>40.0</v>
      </c>
      <c r="BT219" s="5" t="s">
        <v>1770</v>
      </c>
      <c r="BU219" s="5" t="s">
        <v>1770</v>
      </c>
      <c r="BV219" s="94">
        <v>44645.514027777775</v>
      </c>
      <c r="BW219" s="5">
        <v>167.0</v>
      </c>
    </row>
    <row r="220" ht="14.25" customHeight="1">
      <c r="A220" s="5">
        <v>219.0</v>
      </c>
      <c r="B220" s="5">
        <v>487.0</v>
      </c>
      <c r="C220" s="5" t="s">
        <v>3386</v>
      </c>
      <c r="D220" s="5" t="s">
        <v>3449</v>
      </c>
      <c r="E220" s="5" t="s">
        <v>1777</v>
      </c>
      <c r="F220" s="5" t="s">
        <v>3450</v>
      </c>
      <c r="G220" s="5" t="s">
        <v>3451</v>
      </c>
      <c r="H220" s="5" t="s">
        <v>1781</v>
      </c>
      <c r="I220" s="5" t="s">
        <v>1782</v>
      </c>
      <c r="J220" s="91">
        <v>34906.0</v>
      </c>
      <c r="K220" s="5">
        <v>792.0</v>
      </c>
      <c r="L220" s="5" t="s">
        <v>3452</v>
      </c>
      <c r="M220" s="5">
        <v>22.0</v>
      </c>
      <c r="N220" s="5" t="s">
        <v>2340</v>
      </c>
      <c r="O220" s="5">
        <v>43886.0</v>
      </c>
      <c r="P220" s="5" t="s">
        <v>3453</v>
      </c>
      <c r="Q220" s="5" t="s">
        <v>1766</v>
      </c>
      <c r="R220" s="5">
        <v>549.0</v>
      </c>
      <c r="S220" s="5">
        <v>3.931509268E9</v>
      </c>
      <c r="T220" s="5" t="s">
        <v>3454</v>
      </c>
      <c r="U220" s="100" t="s">
        <v>3455</v>
      </c>
      <c r="V220" s="5">
        <v>3.93126541E9</v>
      </c>
      <c r="W220" s="5" t="s">
        <v>1787</v>
      </c>
      <c r="X220" s="91">
        <v>43922.0</v>
      </c>
      <c r="Y220" s="5">
        <v>1.0</v>
      </c>
      <c r="Z220" s="5">
        <v>18.0</v>
      </c>
      <c r="AA220" s="5">
        <v>116.0</v>
      </c>
      <c r="AB220" s="5"/>
      <c r="AC220" s="5"/>
      <c r="AD220" s="5" t="s">
        <v>1770</v>
      </c>
      <c r="AE220" s="5" t="s">
        <v>1770</v>
      </c>
      <c r="AF220" s="5"/>
      <c r="AG220" s="5"/>
      <c r="AH220" s="5">
        <v>8.816958501E10</v>
      </c>
      <c r="AI220" s="5">
        <v>23.0</v>
      </c>
      <c r="AJ220" s="5"/>
      <c r="AK220" s="5" t="s">
        <v>1773</v>
      </c>
      <c r="AL220" s="92">
        <v>0.0</v>
      </c>
      <c r="AM220" s="5" t="s">
        <v>1770</v>
      </c>
      <c r="AN220" s="5" t="s">
        <v>1774</v>
      </c>
      <c r="AO220" s="5"/>
      <c r="AP220" s="5"/>
      <c r="AQ220" s="5"/>
      <c r="AR220" s="5"/>
      <c r="AS220" s="5"/>
      <c r="AT220" s="5"/>
      <c r="AU220" s="5"/>
      <c r="AV220" s="5"/>
      <c r="AW220" s="5" t="s">
        <v>1770</v>
      </c>
      <c r="AX220" s="5"/>
      <c r="AY220" s="5"/>
      <c r="AZ220" s="5" t="s">
        <v>1770</v>
      </c>
      <c r="BA220" s="93">
        <v>0.0</v>
      </c>
      <c r="BB220" s="93">
        <v>0.0</v>
      </c>
      <c r="BC220" s="93">
        <v>0.0</v>
      </c>
      <c r="BD220" s="93">
        <v>0.0</v>
      </c>
      <c r="BE220" s="93">
        <v>0.0</v>
      </c>
      <c r="BF220" s="93">
        <v>0.0</v>
      </c>
      <c r="BG220" s="5"/>
      <c r="BH220" s="93">
        <v>0.0</v>
      </c>
      <c r="BI220" s="93">
        <v>0.0</v>
      </c>
      <c r="BJ220" s="93">
        <v>0.0</v>
      </c>
      <c r="BK220" s="93">
        <v>0.0</v>
      </c>
      <c r="BL220" s="93">
        <v>0.0</v>
      </c>
      <c r="BM220" s="93">
        <v>0.0</v>
      </c>
      <c r="BN220" s="93">
        <v>0.0</v>
      </c>
      <c r="BO220" s="5"/>
      <c r="BP220" s="5"/>
      <c r="BQ220" s="5" t="s">
        <v>1775</v>
      </c>
      <c r="BR220" s="94">
        <v>43935.736759259256</v>
      </c>
      <c r="BS220" s="5">
        <v>40.0</v>
      </c>
      <c r="BT220" s="94">
        <v>46134.59196759259</v>
      </c>
      <c r="BU220" s="5" t="s">
        <v>1770</v>
      </c>
      <c r="BV220" s="5" t="s">
        <v>1770</v>
      </c>
      <c r="BW220" s="5" t="s">
        <v>1770</v>
      </c>
    </row>
    <row r="221" ht="14.25" customHeight="1">
      <c r="A221" s="5">
        <v>220.0</v>
      </c>
      <c r="B221" s="5">
        <v>488.0</v>
      </c>
      <c r="C221" s="5" t="s">
        <v>3456</v>
      </c>
      <c r="D221" s="5" t="s">
        <v>2521</v>
      </c>
      <c r="E221" s="5" t="s">
        <v>3457</v>
      </c>
      <c r="F221" s="5" t="s">
        <v>3458</v>
      </c>
      <c r="G221" s="5" t="s">
        <v>3459</v>
      </c>
      <c r="H221" s="5" t="s">
        <v>1972</v>
      </c>
      <c r="I221" s="5" t="s">
        <v>1782</v>
      </c>
      <c r="J221" s="91">
        <v>34729.0</v>
      </c>
      <c r="K221" s="5">
        <v>850.0</v>
      </c>
      <c r="L221" s="5" t="s">
        <v>1873</v>
      </c>
      <c r="M221" s="5">
        <v>22.0</v>
      </c>
      <c r="N221" s="5"/>
      <c r="O221" s="5">
        <v>35902.0</v>
      </c>
      <c r="P221" s="5" t="s">
        <v>1797</v>
      </c>
      <c r="Q221" s="5" t="s">
        <v>3460</v>
      </c>
      <c r="R221" s="5">
        <v>424.0</v>
      </c>
      <c r="S221" s="5">
        <v>3.521127702E9</v>
      </c>
      <c r="T221" s="5" t="s">
        <v>3461</v>
      </c>
      <c r="U221" s="5" t="s">
        <v>3462</v>
      </c>
      <c r="V221" s="5">
        <v>2.589632154E9</v>
      </c>
      <c r="W221" s="5" t="s">
        <v>1808</v>
      </c>
      <c r="X221" s="91">
        <v>43934.0</v>
      </c>
      <c r="Y221" s="5">
        <v>2.0</v>
      </c>
      <c r="Z221" s="5">
        <v>19.0</v>
      </c>
      <c r="AA221" s="5">
        <v>1.0</v>
      </c>
      <c r="AB221" s="5">
        <v>5.84038145E8</v>
      </c>
      <c r="AC221" s="5" t="s">
        <v>1772</v>
      </c>
      <c r="AD221" s="91">
        <v>42881.0</v>
      </c>
      <c r="AE221" s="91">
        <v>43611.0</v>
      </c>
      <c r="AF221" s="5"/>
      <c r="AG221" s="5"/>
      <c r="AH221" s="5">
        <v>7.3169554794E10</v>
      </c>
      <c r="AI221" s="5">
        <v>9.0</v>
      </c>
      <c r="AJ221" s="5"/>
      <c r="AK221" s="5" t="s">
        <v>1773</v>
      </c>
      <c r="AL221" s="92">
        <v>0.0</v>
      </c>
      <c r="AM221" s="5" t="s">
        <v>1770</v>
      </c>
      <c r="AN221" s="5" t="s">
        <v>1830</v>
      </c>
      <c r="AO221" s="5"/>
      <c r="AP221" s="5"/>
      <c r="AQ221" s="5"/>
      <c r="AR221" s="5"/>
      <c r="AS221" s="5"/>
      <c r="AT221" s="5"/>
      <c r="AU221" s="5"/>
      <c r="AV221" s="5"/>
      <c r="AW221" s="5" t="s">
        <v>1770</v>
      </c>
      <c r="AX221" s="5"/>
      <c r="AY221" s="5"/>
      <c r="AZ221" s="5" t="s">
        <v>1770</v>
      </c>
      <c r="BA221" s="93">
        <v>0.0</v>
      </c>
      <c r="BB221" s="93">
        <v>0.0</v>
      </c>
      <c r="BC221" s="93">
        <v>0.0</v>
      </c>
      <c r="BD221" s="93">
        <v>0.0</v>
      </c>
      <c r="BE221" s="93">
        <v>0.0</v>
      </c>
      <c r="BF221" s="93">
        <v>0.0</v>
      </c>
      <c r="BG221" s="5"/>
      <c r="BH221" s="93">
        <v>0.0</v>
      </c>
      <c r="BI221" s="93">
        <v>0.0</v>
      </c>
      <c r="BJ221" s="93">
        <v>0.0</v>
      </c>
      <c r="BK221" s="93">
        <v>0.0</v>
      </c>
      <c r="BL221" s="93">
        <v>0.0</v>
      </c>
      <c r="BM221" s="93">
        <v>0.0</v>
      </c>
      <c r="BN221" s="93">
        <v>0.0</v>
      </c>
      <c r="BO221" s="5"/>
      <c r="BP221" s="5" t="s">
        <v>1770</v>
      </c>
      <c r="BQ221" s="5" t="s">
        <v>1789</v>
      </c>
      <c r="BR221" s="94">
        <v>43935.747824074075</v>
      </c>
      <c r="BS221" s="5">
        <v>40.0</v>
      </c>
      <c r="BT221" s="5" t="s">
        <v>1770</v>
      </c>
      <c r="BU221" s="5" t="s">
        <v>1770</v>
      </c>
      <c r="BV221" s="94">
        <v>44392.70303240741</v>
      </c>
      <c r="BW221" s="5">
        <v>40.0</v>
      </c>
    </row>
    <row r="222" ht="14.25" customHeight="1">
      <c r="A222" s="5">
        <v>221.0</v>
      </c>
      <c r="B222" s="5">
        <v>484.0</v>
      </c>
      <c r="C222" s="5" t="s">
        <v>3463</v>
      </c>
      <c r="D222" s="5" t="s">
        <v>1792</v>
      </c>
      <c r="E222" s="5" t="s">
        <v>2104</v>
      </c>
      <c r="F222" s="5" t="s">
        <v>3464</v>
      </c>
      <c r="G222" s="5" t="s">
        <v>3465</v>
      </c>
      <c r="H222" s="5" t="s">
        <v>1972</v>
      </c>
      <c r="I222" s="5" t="s">
        <v>1782</v>
      </c>
      <c r="J222" s="91">
        <v>35336.0</v>
      </c>
      <c r="K222" s="5">
        <v>850.0</v>
      </c>
      <c r="L222" s="5" t="s">
        <v>3211</v>
      </c>
      <c r="M222" s="5">
        <v>3.0</v>
      </c>
      <c r="N222" s="5"/>
      <c r="O222" s="5">
        <v>35915.0</v>
      </c>
      <c r="P222" s="5" t="s">
        <v>3466</v>
      </c>
      <c r="Q222" s="5" t="s">
        <v>234</v>
      </c>
      <c r="R222" s="5">
        <v>850.0</v>
      </c>
      <c r="S222" s="5">
        <v>3.521175284E9</v>
      </c>
      <c r="T222" s="5" t="s">
        <v>3467</v>
      </c>
      <c r="U222" s="5" t="s">
        <v>2595</v>
      </c>
      <c r="V222" s="5">
        <v>1.478523698E9</v>
      </c>
      <c r="W222" s="5" t="s">
        <v>1965</v>
      </c>
      <c r="X222" s="91">
        <v>43907.0</v>
      </c>
      <c r="Y222" s="5">
        <v>3.0</v>
      </c>
      <c r="Z222" s="5">
        <v>3.0</v>
      </c>
      <c r="AA222" s="5">
        <v>58.0</v>
      </c>
      <c r="AB222" s="5"/>
      <c r="AC222" s="5"/>
      <c r="AD222" s="5" t="s">
        <v>1770</v>
      </c>
      <c r="AE222" s="5" t="s">
        <v>1770</v>
      </c>
      <c r="AF222" s="5"/>
      <c r="AG222" s="5"/>
      <c r="AH222" s="5">
        <v>1.7169633256E10</v>
      </c>
      <c r="AI222" s="5">
        <v>77.0</v>
      </c>
      <c r="AJ222" s="5"/>
      <c r="AK222" s="5" t="s">
        <v>1773</v>
      </c>
      <c r="AL222" s="92">
        <v>0.0</v>
      </c>
      <c r="AM222" s="5" t="s">
        <v>1770</v>
      </c>
      <c r="AN222" s="5" t="s">
        <v>3435</v>
      </c>
      <c r="AO222" s="5"/>
      <c r="AP222" s="5"/>
      <c r="AQ222" s="5"/>
      <c r="AR222" s="5"/>
      <c r="AS222" s="5"/>
      <c r="AT222" s="5"/>
      <c r="AU222" s="5"/>
      <c r="AV222" s="5"/>
      <c r="AW222" s="5" t="s">
        <v>1770</v>
      </c>
      <c r="AX222" s="5"/>
      <c r="AY222" s="5"/>
      <c r="AZ222" s="5" t="s">
        <v>1770</v>
      </c>
      <c r="BA222" s="93">
        <v>0.0</v>
      </c>
      <c r="BB222" s="93">
        <v>0.0</v>
      </c>
      <c r="BC222" s="93">
        <v>0.0</v>
      </c>
      <c r="BD222" s="93">
        <v>0.0</v>
      </c>
      <c r="BE222" s="93">
        <v>0.0</v>
      </c>
      <c r="BF222" s="93">
        <v>0.0</v>
      </c>
      <c r="BG222" s="5"/>
      <c r="BH222" s="93">
        <v>0.0</v>
      </c>
      <c r="BI222" s="93">
        <v>0.0</v>
      </c>
      <c r="BJ222" s="93">
        <v>0.0</v>
      </c>
      <c r="BK222" s="93">
        <v>0.0</v>
      </c>
      <c r="BL222" s="93">
        <v>0.0</v>
      </c>
      <c r="BM222" s="93">
        <v>0.0</v>
      </c>
      <c r="BN222" s="93">
        <v>0.0</v>
      </c>
      <c r="BO222" s="5"/>
      <c r="BP222" s="5" t="s">
        <v>1770</v>
      </c>
      <c r="BQ222" s="5" t="s">
        <v>1789</v>
      </c>
      <c r="BR222" s="94">
        <v>43939.45349537037</v>
      </c>
      <c r="BS222" s="5">
        <v>40.0</v>
      </c>
      <c r="BT222" s="5" t="s">
        <v>1770</v>
      </c>
      <c r="BU222" s="5" t="s">
        <v>1770</v>
      </c>
      <c r="BV222" s="94">
        <v>44060.54975694444</v>
      </c>
      <c r="BW222" s="5">
        <v>83.0</v>
      </c>
    </row>
    <row r="223" ht="14.25" customHeight="1">
      <c r="A223" s="5">
        <v>222.0</v>
      </c>
      <c r="B223" s="5">
        <v>491.0</v>
      </c>
      <c r="C223" s="5" t="s">
        <v>3468</v>
      </c>
      <c r="D223" s="5" t="s">
        <v>2335</v>
      </c>
      <c r="E223" s="5" t="s">
        <v>2157</v>
      </c>
      <c r="F223" s="5" t="s">
        <v>3469</v>
      </c>
      <c r="G223" s="5" t="s">
        <v>3470</v>
      </c>
      <c r="H223" s="5" t="s">
        <v>1972</v>
      </c>
      <c r="I223" s="5" t="s">
        <v>1782</v>
      </c>
      <c r="J223" s="91">
        <v>34382.0</v>
      </c>
      <c r="K223" s="5">
        <v>424.0</v>
      </c>
      <c r="L223" s="5" t="s">
        <v>2177</v>
      </c>
      <c r="M223" s="5">
        <v>32.0</v>
      </c>
      <c r="N223" s="5"/>
      <c r="O223" s="5">
        <v>35919.0</v>
      </c>
      <c r="P223" s="5" t="s">
        <v>3139</v>
      </c>
      <c r="Q223" s="5" t="s">
        <v>3471</v>
      </c>
      <c r="R223" s="5">
        <v>424.0</v>
      </c>
      <c r="S223" s="5">
        <v>4.696032281E9</v>
      </c>
      <c r="T223" s="5" t="s">
        <v>3472</v>
      </c>
      <c r="U223" s="5" t="s">
        <v>3473</v>
      </c>
      <c r="V223" s="5">
        <v>4.69696617E9</v>
      </c>
      <c r="W223" s="5" t="s">
        <v>1965</v>
      </c>
      <c r="X223" s="91">
        <v>43937.0</v>
      </c>
      <c r="Y223" s="5">
        <v>2.0</v>
      </c>
      <c r="Z223" s="5">
        <v>19.0</v>
      </c>
      <c r="AA223" s="5">
        <v>1.0</v>
      </c>
      <c r="AB223" s="5">
        <v>2867309.0</v>
      </c>
      <c r="AC223" s="5" t="s">
        <v>1772</v>
      </c>
      <c r="AD223" s="91">
        <v>43641.0</v>
      </c>
      <c r="AE223" s="91">
        <v>44372.0</v>
      </c>
      <c r="AF223" s="5"/>
      <c r="AG223" s="5"/>
      <c r="AH223" s="5">
        <v>6.4169469802E10</v>
      </c>
      <c r="AI223" s="5">
        <v>9.0</v>
      </c>
      <c r="AJ223" s="5"/>
      <c r="AK223" s="5" t="s">
        <v>1773</v>
      </c>
      <c r="AL223" s="92">
        <v>0.0</v>
      </c>
      <c r="AM223" s="5" t="s">
        <v>1770</v>
      </c>
      <c r="AN223" s="5" t="s">
        <v>1830</v>
      </c>
      <c r="AO223" s="5"/>
      <c r="AP223" s="5"/>
      <c r="AQ223" s="5"/>
      <c r="AR223" s="5"/>
      <c r="AS223" s="5"/>
      <c r="AT223" s="5"/>
      <c r="AU223" s="5"/>
      <c r="AV223" s="5"/>
      <c r="AW223" s="5" t="s">
        <v>1770</v>
      </c>
      <c r="AX223" s="5"/>
      <c r="AY223" s="5"/>
      <c r="AZ223" s="5" t="s">
        <v>1770</v>
      </c>
      <c r="BA223" s="93">
        <v>0.0</v>
      </c>
      <c r="BB223" s="93">
        <v>0.0</v>
      </c>
      <c r="BC223" s="93">
        <v>0.0</v>
      </c>
      <c r="BD223" s="93">
        <v>0.0</v>
      </c>
      <c r="BE223" s="93">
        <v>0.0</v>
      </c>
      <c r="BF223" s="93">
        <v>0.0</v>
      </c>
      <c r="BG223" s="5"/>
      <c r="BH223" s="93">
        <v>0.0</v>
      </c>
      <c r="BI223" s="93">
        <v>0.0</v>
      </c>
      <c r="BJ223" s="93">
        <v>0.0</v>
      </c>
      <c r="BK223" s="93">
        <v>0.0</v>
      </c>
      <c r="BL223" s="93">
        <v>0.0</v>
      </c>
      <c r="BM223" s="93">
        <v>0.0</v>
      </c>
      <c r="BN223" s="93">
        <v>0.0</v>
      </c>
      <c r="BO223" s="5"/>
      <c r="BP223" s="5" t="s">
        <v>1770</v>
      </c>
      <c r="BQ223" s="5" t="s">
        <v>1789</v>
      </c>
      <c r="BR223" s="94">
        <v>43970.614583333336</v>
      </c>
      <c r="BS223" s="5">
        <v>40.0</v>
      </c>
      <c r="BT223" s="5" t="s">
        <v>1770</v>
      </c>
      <c r="BU223" s="5" t="s">
        <v>1770</v>
      </c>
      <c r="BV223" s="94">
        <v>44392.69805555556</v>
      </c>
      <c r="BW223" s="5">
        <v>40.0</v>
      </c>
    </row>
    <row r="224" ht="14.25" customHeight="1">
      <c r="A224" s="5">
        <v>223.0</v>
      </c>
      <c r="B224" s="5">
        <v>492.0</v>
      </c>
      <c r="C224" s="5" t="s">
        <v>3474</v>
      </c>
      <c r="D224" s="5" t="s">
        <v>3475</v>
      </c>
      <c r="E224" s="5" t="s">
        <v>3476</v>
      </c>
      <c r="F224" s="5" t="s">
        <v>3477</v>
      </c>
      <c r="G224" s="5" t="s">
        <v>3478</v>
      </c>
      <c r="H224" s="5" t="s">
        <v>1781</v>
      </c>
      <c r="I224" s="5" t="s">
        <v>1782</v>
      </c>
      <c r="J224" s="91">
        <v>31353.0</v>
      </c>
      <c r="K224" s="5">
        <v>570.0</v>
      </c>
      <c r="L224" s="5" t="s">
        <v>2364</v>
      </c>
      <c r="M224" s="5">
        <v>167.0</v>
      </c>
      <c r="N224" s="5"/>
      <c r="O224" s="5">
        <v>41922.0</v>
      </c>
      <c r="P224" s="5" t="s">
        <v>1797</v>
      </c>
      <c r="Q224" s="5" t="s">
        <v>2349</v>
      </c>
      <c r="R224" s="5">
        <v>597.0</v>
      </c>
      <c r="S224" s="5">
        <v>3.335040033E9</v>
      </c>
      <c r="T224" s="5" t="s">
        <v>3479</v>
      </c>
      <c r="U224" s="5" t="s">
        <v>3480</v>
      </c>
      <c r="V224" s="5">
        <v>3.33444063E9</v>
      </c>
      <c r="W224" s="5" t="s">
        <v>1787</v>
      </c>
      <c r="X224" s="91">
        <v>43972.0</v>
      </c>
      <c r="Y224" s="5">
        <v>5.0</v>
      </c>
      <c r="Z224" s="5">
        <v>4.0</v>
      </c>
      <c r="AA224" s="5">
        <v>39.0</v>
      </c>
      <c r="AB224" s="5" t="s">
        <v>3481</v>
      </c>
      <c r="AC224" s="5" t="s">
        <v>1800</v>
      </c>
      <c r="AD224" s="91">
        <v>43173.0</v>
      </c>
      <c r="AE224" s="91">
        <v>44634.0</v>
      </c>
      <c r="AF224" s="5"/>
      <c r="AG224" s="5"/>
      <c r="AH224" s="5">
        <v>4.098524996E9</v>
      </c>
      <c r="AI224" s="5">
        <v>95.0</v>
      </c>
      <c r="AJ224" s="5"/>
      <c r="AK224" s="5" t="s">
        <v>1773</v>
      </c>
      <c r="AL224" s="92">
        <v>0.0</v>
      </c>
      <c r="AM224" s="5" t="s">
        <v>1770</v>
      </c>
      <c r="AN224" s="5" t="s">
        <v>1830</v>
      </c>
      <c r="AO224" s="5"/>
      <c r="AP224" s="5"/>
      <c r="AQ224" s="5"/>
      <c r="AR224" s="5"/>
      <c r="AS224" s="5"/>
      <c r="AT224" s="5"/>
      <c r="AU224" s="5"/>
      <c r="AV224" s="5"/>
      <c r="AW224" s="5" t="s">
        <v>1770</v>
      </c>
      <c r="AX224" s="5"/>
      <c r="AY224" s="5"/>
      <c r="AZ224" s="5" t="s">
        <v>1770</v>
      </c>
      <c r="BA224" s="93">
        <v>0.0</v>
      </c>
      <c r="BB224" s="93">
        <v>0.0</v>
      </c>
      <c r="BC224" s="93">
        <v>0.0</v>
      </c>
      <c r="BD224" s="93">
        <v>0.0</v>
      </c>
      <c r="BE224" s="93">
        <v>0.0</v>
      </c>
      <c r="BF224" s="93">
        <v>0.0</v>
      </c>
      <c r="BG224" s="5"/>
      <c r="BH224" s="93">
        <v>0.0</v>
      </c>
      <c r="BI224" s="93">
        <v>0.0</v>
      </c>
      <c r="BJ224" s="93">
        <v>0.0</v>
      </c>
      <c r="BK224" s="93">
        <v>0.0</v>
      </c>
      <c r="BL224" s="93">
        <v>0.0</v>
      </c>
      <c r="BM224" s="93">
        <v>0.0</v>
      </c>
      <c r="BN224" s="93">
        <v>0.0</v>
      </c>
      <c r="BO224" s="5"/>
      <c r="BP224" s="5" t="s">
        <v>1770</v>
      </c>
      <c r="BQ224" s="5" t="s">
        <v>1789</v>
      </c>
      <c r="BR224" s="94">
        <v>43997.68063657408</v>
      </c>
      <c r="BS224" s="5">
        <v>40.0</v>
      </c>
      <c r="BT224" s="94">
        <v>44727.482037037036</v>
      </c>
      <c r="BU224" s="5">
        <v>40.0</v>
      </c>
      <c r="BV224" s="94">
        <v>44980.44615740741</v>
      </c>
      <c r="BW224" s="5">
        <v>40.0</v>
      </c>
    </row>
    <row r="225" ht="14.25" customHeight="1">
      <c r="A225" s="5">
        <v>224.0</v>
      </c>
      <c r="B225" s="5">
        <v>493.0</v>
      </c>
      <c r="C225" s="5" t="s">
        <v>3482</v>
      </c>
      <c r="D225" s="100" t="s">
        <v>3483</v>
      </c>
      <c r="E225" s="5" t="s">
        <v>2552</v>
      </c>
      <c r="F225" s="5" t="s">
        <v>3484</v>
      </c>
      <c r="G225" s="5" t="s">
        <v>3485</v>
      </c>
      <c r="H225" s="5" t="s">
        <v>1972</v>
      </c>
      <c r="I225" s="5" t="s">
        <v>1763</v>
      </c>
      <c r="J225" s="91">
        <v>33746.0</v>
      </c>
      <c r="K225" s="5">
        <v>594.0</v>
      </c>
      <c r="L225" s="5" t="s">
        <v>1941</v>
      </c>
      <c r="M225" s="5">
        <v>35.0</v>
      </c>
      <c r="N225" s="5"/>
      <c r="O225" s="5">
        <v>41922.0</v>
      </c>
      <c r="P225" s="5" t="s">
        <v>1797</v>
      </c>
      <c r="Q225" s="5" t="s">
        <v>2349</v>
      </c>
      <c r="R225" s="5">
        <v>597.0</v>
      </c>
      <c r="S225" s="5">
        <v>3.333933179E9</v>
      </c>
      <c r="T225" s="5" t="s">
        <v>3486</v>
      </c>
      <c r="U225" s="5" t="s">
        <v>3487</v>
      </c>
      <c r="V225" s="5">
        <v>3.327836525E9</v>
      </c>
      <c r="W225" s="5" t="s">
        <v>1808</v>
      </c>
      <c r="X225" s="91">
        <v>43990.0</v>
      </c>
      <c r="Y225" s="5">
        <v>5.0</v>
      </c>
      <c r="Z225" s="5">
        <v>4.0</v>
      </c>
      <c r="AA225" s="5">
        <v>37.0</v>
      </c>
      <c r="AB225" s="5"/>
      <c r="AC225" s="5"/>
      <c r="AD225" s="5" t="s">
        <v>1770</v>
      </c>
      <c r="AE225" s="5" t="s">
        <v>1770</v>
      </c>
      <c r="AF225" s="5"/>
      <c r="AG225" s="5"/>
      <c r="AH225" s="5">
        <v>4.109263279E9</v>
      </c>
      <c r="AI225" s="5">
        <v>95.0</v>
      </c>
      <c r="AJ225" s="5"/>
      <c r="AK225" s="5" t="s">
        <v>1773</v>
      </c>
      <c r="AL225" s="92">
        <v>0.0</v>
      </c>
      <c r="AM225" s="5" t="s">
        <v>1770</v>
      </c>
      <c r="AN225" s="5" t="s">
        <v>1830</v>
      </c>
      <c r="AO225" s="5"/>
      <c r="AP225" s="5"/>
      <c r="AQ225" s="5"/>
      <c r="AR225" s="5"/>
      <c r="AS225" s="5"/>
      <c r="AT225" s="5"/>
      <c r="AU225" s="5"/>
      <c r="AV225" s="5"/>
      <c r="AW225" s="5" t="s">
        <v>1770</v>
      </c>
      <c r="AX225" s="5"/>
      <c r="AY225" s="5"/>
      <c r="AZ225" s="5" t="s">
        <v>1770</v>
      </c>
      <c r="BA225" s="93">
        <v>0.0</v>
      </c>
      <c r="BB225" s="93">
        <v>0.0</v>
      </c>
      <c r="BC225" s="93">
        <v>0.0</v>
      </c>
      <c r="BD225" s="93">
        <v>0.0</v>
      </c>
      <c r="BE225" s="93">
        <v>0.0</v>
      </c>
      <c r="BF225" s="93">
        <v>0.0</v>
      </c>
      <c r="BG225" s="5"/>
      <c r="BH225" s="93">
        <v>0.0</v>
      </c>
      <c r="BI225" s="93">
        <v>0.0</v>
      </c>
      <c r="BJ225" s="93">
        <v>0.0</v>
      </c>
      <c r="BK225" s="93">
        <v>0.0</v>
      </c>
      <c r="BL225" s="93">
        <v>0.0</v>
      </c>
      <c r="BM225" s="93">
        <v>0.0</v>
      </c>
      <c r="BN225" s="93">
        <v>0.0</v>
      </c>
      <c r="BO225" s="5"/>
      <c r="BP225" s="5" t="s">
        <v>1770</v>
      </c>
      <c r="BQ225" s="5" t="s">
        <v>1789</v>
      </c>
      <c r="BR225" s="94">
        <v>43997.68802083333</v>
      </c>
      <c r="BS225" s="5">
        <v>40.0</v>
      </c>
      <c r="BT225" s="5" t="s">
        <v>1770</v>
      </c>
      <c r="BU225" s="5" t="s">
        <v>1770</v>
      </c>
      <c r="BV225" s="94">
        <v>44645.52108796296</v>
      </c>
      <c r="BW225" s="5">
        <v>167.0</v>
      </c>
    </row>
    <row r="226" ht="14.25" customHeight="1">
      <c r="A226" s="5">
        <v>225.0</v>
      </c>
      <c r="B226" s="5">
        <v>494.0</v>
      </c>
      <c r="C226" s="5" t="s">
        <v>3488</v>
      </c>
      <c r="D226" s="5" t="s">
        <v>3489</v>
      </c>
      <c r="E226" s="5" t="s">
        <v>3489</v>
      </c>
      <c r="F226" s="5" t="s">
        <v>3490</v>
      </c>
      <c r="G226" s="5" t="s">
        <v>3491</v>
      </c>
      <c r="H226" s="5" t="s">
        <v>1972</v>
      </c>
      <c r="I226" s="5" t="s">
        <v>1763</v>
      </c>
      <c r="J226" s="91">
        <v>33042.0</v>
      </c>
      <c r="K226" s="5">
        <v>424.0</v>
      </c>
      <c r="L226" s="5" t="s">
        <v>3492</v>
      </c>
      <c r="M226" s="5">
        <v>4.0</v>
      </c>
      <c r="N226" s="5"/>
      <c r="O226" s="5">
        <v>35873.0</v>
      </c>
      <c r="P226" s="5" t="s">
        <v>3139</v>
      </c>
      <c r="Q226" s="5" t="s">
        <v>3140</v>
      </c>
      <c r="R226" s="5">
        <v>424.0</v>
      </c>
      <c r="S226" s="5">
        <v>4.691132078E9</v>
      </c>
      <c r="T226" s="5" t="s">
        <v>3493</v>
      </c>
      <c r="U226" s="5" t="s">
        <v>3494</v>
      </c>
      <c r="V226" s="5">
        <v>4.691003543E9</v>
      </c>
      <c r="W226" s="5" t="s">
        <v>1808</v>
      </c>
      <c r="X226" s="91">
        <v>43998.0</v>
      </c>
      <c r="Y226" s="5">
        <v>2.0</v>
      </c>
      <c r="Z226" s="5">
        <v>3.0</v>
      </c>
      <c r="AA226" s="5">
        <v>3.0</v>
      </c>
      <c r="AB226" s="5">
        <v>1704610.0</v>
      </c>
      <c r="AC226" s="5" t="s">
        <v>1772</v>
      </c>
      <c r="AD226" s="91">
        <v>42188.0</v>
      </c>
      <c r="AE226" s="91">
        <v>44015.0</v>
      </c>
      <c r="AF226" s="5"/>
      <c r="AG226" s="5"/>
      <c r="AH226" s="5">
        <v>6.3089004079E10</v>
      </c>
      <c r="AI226" s="5">
        <v>9.0</v>
      </c>
      <c r="AJ226" s="5"/>
      <c r="AK226" s="5" t="s">
        <v>1773</v>
      </c>
      <c r="AL226" s="92">
        <v>0.0</v>
      </c>
      <c r="AM226" s="5" t="s">
        <v>1770</v>
      </c>
      <c r="AN226" s="5" t="s">
        <v>1830</v>
      </c>
      <c r="AO226" s="5"/>
      <c r="AP226" s="5"/>
      <c r="AQ226" s="5"/>
      <c r="AR226" s="5"/>
      <c r="AS226" s="5"/>
      <c r="AT226" s="5"/>
      <c r="AU226" s="5"/>
      <c r="AV226" s="5"/>
      <c r="AW226" s="5" t="s">
        <v>1770</v>
      </c>
      <c r="AX226" s="5"/>
      <c r="AY226" s="5"/>
      <c r="AZ226" s="5" t="s">
        <v>1770</v>
      </c>
      <c r="BA226" s="93">
        <v>0.0</v>
      </c>
      <c r="BB226" s="93">
        <v>0.0</v>
      </c>
      <c r="BC226" s="93">
        <v>0.0</v>
      </c>
      <c r="BD226" s="93">
        <v>0.0</v>
      </c>
      <c r="BE226" s="93">
        <v>0.0</v>
      </c>
      <c r="BF226" s="93">
        <v>0.0</v>
      </c>
      <c r="BG226" s="5"/>
      <c r="BH226" s="93">
        <v>0.0</v>
      </c>
      <c r="BI226" s="93">
        <v>0.0</v>
      </c>
      <c r="BJ226" s="93">
        <v>0.0</v>
      </c>
      <c r="BK226" s="93">
        <v>0.0</v>
      </c>
      <c r="BL226" s="93">
        <v>0.0</v>
      </c>
      <c r="BM226" s="93">
        <v>0.0</v>
      </c>
      <c r="BN226" s="93">
        <v>0.0</v>
      </c>
      <c r="BO226" s="5"/>
      <c r="BP226" s="5"/>
      <c r="BQ226" s="5" t="s">
        <v>1775</v>
      </c>
      <c r="BR226" s="94">
        <v>44005.53189814815</v>
      </c>
      <c r="BS226" s="5">
        <v>40.0</v>
      </c>
      <c r="BT226" s="94">
        <v>46133.490798611114</v>
      </c>
      <c r="BU226" s="5">
        <v>272.0</v>
      </c>
      <c r="BV226" s="5" t="s">
        <v>1770</v>
      </c>
      <c r="BW226" s="5" t="s">
        <v>1770</v>
      </c>
    </row>
    <row r="227" ht="14.25" customHeight="1">
      <c r="A227" s="5">
        <v>226.0</v>
      </c>
      <c r="B227" s="5">
        <v>495.0</v>
      </c>
      <c r="C227" s="5" t="s">
        <v>1821</v>
      </c>
      <c r="D227" s="5" t="s">
        <v>2111</v>
      </c>
      <c r="E227" s="5" t="s">
        <v>1792</v>
      </c>
      <c r="F227" s="5" t="s">
        <v>3495</v>
      </c>
      <c r="G227" s="5" t="s">
        <v>3496</v>
      </c>
      <c r="H227" s="5" t="s">
        <v>1781</v>
      </c>
      <c r="I227" s="5" t="s">
        <v>1782</v>
      </c>
      <c r="J227" s="91">
        <v>30345.0</v>
      </c>
      <c r="K227" s="5">
        <v>549.0</v>
      </c>
      <c r="L227" s="5" t="s">
        <v>3497</v>
      </c>
      <c r="M227" s="5">
        <v>19.0</v>
      </c>
      <c r="N227" s="5"/>
      <c r="O227" s="5">
        <v>43882.0</v>
      </c>
      <c r="P227" s="5" t="s">
        <v>1827</v>
      </c>
      <c r="Q227" s="5" t="s">
        <v>1766</v>
      </c>
      <c r="R227" s="5">
        <v>549.0</v>
      </c>
      <c r="S227" s="5">
        <v>3.931068023E9</v>
      </c>
      <c r="T227" s="5" t="s">
        <v>3498</v>
      </c>
      <c r="U227" s="5" t="s">
        <v>3499</v>
      </c>
      <c r="V227" s="5">
        <v>3.931001195E9</v>
      </c>
      <c r="W227" s="5" t="s">
        <v>2610</v>
      </c>
      <c r="X227" s="91">
        <v>44025.0</v>
      </c>
      <c r="Y227" s="5">
        <v>1.0</v>
      </c>
      <c r="Z227" s="5">
        <v>19.0</v>
      </c>
      <c r="AA227" s="5">
        <v>45.0</v>
      </c>
      <c r="AB227" s="5" t="s">
        <v>3500</v>
      </c>
      <c r="AC227" s="5"/>
      <c r="AD227" s="91">
        <v>45464.0</v>
      </c>
      <c r="AE227" s="91">
        <v>47290.0</v>
      </c>
      <c r="AF227" s="5"/>
      <c r="AG227" s="5"/>
      <c r="AH227" s="5">
        <v>4.058342843E9</v>
      </c>
      <c r="AI227" s="5">
        <v>23.0</v>
      </c>
      <c r="AJ227" s="5"/>
      <c r="AK227" s="5" t="s">
        <v>1773</v>
      </c>
      <c r="AL227" s="92">
        <v>0.0</v>
      </c>
      <c r="AM227" s="5" t="s">
        <v>1770</v>
      </c>
      <c r="AN227" s="5" t="s">
        <v>2052</v>
      </c>
      <c r="AO227" s="5"/>
      <c r="AP227" s="5"/>
      <c r="AQ227" s="5"/>
      <c r="AR227" s="5"/>
      <c r="AS227" s="5"/>
      <c r="AT227" s="5"/>
      <c r="AU227" s="5"/>
      <c r="AV227" s="5"/>
      <c r="AW227" s="5" t="s">
        <v>1770</v>
      </c>
      <c r="AX227" s="5"/>
      <c r="AY227" s="5"/>
      <c r="AZ227" s="5" t="s">
        <v>1770</v>
      </c>
      <c r="BA227" s="93">
        <v>0.0</v>
      </c>
      <c r="BB227" s="93">
        <v>0.0</v>
      </c>
      <c r="BC227" s="93">
        <v>0.0</v>
      </c>
      <c r="BD227" s="93">
        <v>0.0</v>
      </c>
      <c r="BE227" s="93">
        <v>0.0</v>
      </c>
      <c r="BF227" s="93">
        <v>0.0</v>
      </c>
      <c r="BG227" s="5"/>
      <c r="BH227" s="93">
        <v>0.0</v>
      </c>
      <c r="BI227" s="93">
        <v>0.0</v>
      </c>
      <c r="BJ227" s="93">
        <v>0.0</v>
      </c>
      <c r="BK227" s="93">
        <v>0.0</v>
      </c>
      <c r="BL227" s="93">
        <v>0.0</v>
      </c>
      <c r="BM227" s="93">
        <v>0.0</v>
      </c>
      <c r="BN227" s="93">
        <v>0.0</v>
      </c>
      <c r="BO227" s="5"/>
      <c r="BP227" s="5"/>
      <c r="BQ227" s="5" t="s">
        <v>1775</v>
      </c>
      <c r="BR227" s="94">
        <v>44040.43099537037</v>
      </c>
      <c r="BS227" s="5">
        <v>40.0</v>
      </c>
      <c r="BT227" s="94">
        <v>46133.429618055554</v>
      </c>
      <c r="BU227" s="5">
        <v>272.0</v>
      </c>
      <c r="BV227" s="5" t="s">
        <v>1770</v>
      </c>
      <c r="BW227" s="5" t="s">
        <v>1770</v>
      </c>
    </row>
    <row r="228" ht="14.25" customHeight="1">
      <c r="A228" s="5">
        <v>227.0</v>
      </c>
      <c r="B228" s="5">
        <v>496.0</v>
      </c>
      <c r="C228" s="5" t="s">
        <v>2125</v>
      </c>
      <c r="D228" s="100" t="s">
        <v>3501</v>
      </c>
      <c r="E228" s="5" t="s">
        <v>3502</v>
      </c>
      <c r="F228" s="5" t="s">
        <v>3503</v>
      </c>
      <c r="G228" s="5" t="s">
        <v>3504</v>
      </c>
      <c r="H228" s="5" t="s">
        <v>1781</v>
      </c>
      <c r="I228" s="5" t="s">
        <v>1782</v>
      </c>
      <c r="J228" s="91">
        <v>34252.0</v>
      </c>
      <c r="K228" s="5">
        <v>549.0</v>
      </c>
      <c r="L228" s="5" t="s">
        <v>3505</v>
      </c>
      <c r="M228" s="5">
        <v>3.0</v>
      </c>
      <c r="N228" s="5"/>
      <c r="O228" s="5">
        <v>43884.0</v>
      </c>
      <c r="P228" s="5" t="s">
        <v>1827</v>
      </c>
      <c r="Q228" s="5" t="s">
        <v>1766</v>
      </c>
      <c r="R228" s="5">
        <v>549.0</v>
      </c>
      <c r="S228" s="5">
        <v>3.931094809E9</v>
      </c>
      <c r="T228" s="5"/>
      <c r="U228" s="5" t="s">
        <v>2411</v>
      </c>
      <c r="V228" s="5">
        <v>1.478523695E9</v>
      </c>
      <c r="W228" s="5" t="s">
        <v>3506</v>
      </c>
      <c r="X228" s="91">
        <v>44032.0</v>
      </c>
      <c r="Y228" s="5">
        <v>1.0</v>
      </c>
      <c r="Z228" s="5">
        <v>17.0</v>
      </c>
      <c r="AA228" s="5">
        <v>33.0</v>
      </c>
      <c r="AB228" s="5"/>
      <c r="AC228" s="5"/>
      <c r="AD228" s="5" t="s">
        <v>1770</v>
      </c>
      <c r="AE228" s="5" t="s">
        <v>1770</v>
      </c>
      <c r="AF228" s="5"/>
      <c r="AG228" s="5"/>
      <c r="AH228" s="5">
        <v>2.5149307065E10</v>
      </c>
      <c r="AI228" s="5">
        <v>23.0</v>
      </c>
      <c r="AJ228" s="5"/>
      <c r="AK228" s="5" t="s">
        <v>1773</v>
      </c>
      <c r="AL228" s="92">
        <v>0.0</v>
      </c>
      <c r="AM228" s="5" t="s">
        <v>1770</v>
      </c>
      <c r="AN228" s="5" t="s">
        <v>3506</v>
      </c>
      <c r="AO228" s="5"/>
      <c r="AP228" s="5"/>
      <c r="AQ228" s="5"/>
      <c r="AR228" s="5"/>
      <c r="AS228" s="5"/>
      <c r="AT228" s="5"/>
      <c r="AU228" s="5"/>
      <c r="AV228" s="5"/>
      <c r="AW228" s="5" t="s">
        <v>1770</v>
      </c>
      <c r="AX228" s="5"/>
      <c r="AY228" s="5"/>
      <c r="AZ228" s="5" t="s">
        <v>1770</v>
      </c>
      <c r="BA228" s="93">
        <v>0.0</v>
      </c>
      <c r="BB228" s="93">
        <v>0.0</v>
      </c>
      <c r="BC228" s="93">
        <v>0.0</v>
      </c>
      <c r="BD228" s="93">
        <v>0.0</v>
      </c>
      <c r="BE228" s="93">
        <v>0.0</v>
      </c>
      <c r="BF228" s="93">
        <v>0.0</v>
      </c>
      <c r="BG228" s="5"/>
      <c r="BH228" s="93">
        <v>0.0</v>
      </c>
      <c r="BI228" s="93">
        <v>0.0</v>
      </c>
      <c r="BJ228" s="93">
        <v>0.0</v>
      </c>
      <c r="BK228" s="93">
        <v>0.0</v>
      </c>
      <c r="BL228" s="93">
        <v>0.0</v>
      </c>
      <c r="BM228" s="93">
        <v>0.0</v>
      </c>
      <c r="BN228" s="93">
        <v>0.0</v>
      </c>
      <c r="BO228" s="5"/>
      <c r="BP228" s="5" t="s">
        <v>1770</v>
      </c>
      <c r="BQ228" s="5" t="s">
        <v>1789</v>
      </c>
      <c r="BR228" s="94">
        <v>44040.49597222222</v>
      </c>
      <c r="BS228" s="5">
        <v>40.0</v>
      </c>
      <c r="BT228" s="5" t="s">
        <v>1770</v>
      </c>
      <c r="BU228" s="5" t="s">
        <v>1770</v>
      </c>
      <c r="BV228" s="94">
        <v>44980.44712962963</v>
      </c>
      <c r="BW228" s="5">
        <v>40.0</v>
      </c>
    </row>
    <row r="229" ht="14.25" customHeight="1">
      <c r="A229" s="5">
        <v>228.0</v>
      </c>
      <c r="B229" s="5">
        <v>497.0</v>
      </c>
      <c r="C229" s="5" t="s">
        <v>2982</v>
      </c>
      <c r="D229" s="5" t="s">
        <v>3507</v>
      </c>
      <c r="E229" s="5" t="s">
        <v>3508</v>
      </c>
      <c r="F229" s="5" t="s">
        <v>3509</v>
      </c>
      <c r="G229" s="5" t="s">
        <v>3510</v>
      </c>
      <c r="H229" s="5" t="s">
        <v>1910</v>
      </c>
      <c r="I229" s="5" t="s">
        <v>1782</v>
      </c>
      <c r="J229" s="91">
        <v>29074.0</v>
      </c>
      <c r="K229" s="5">
        <v>570.0</v>
      </c>
      <c r="L229" s="5" t="s">
        <v>3511</v>
      </c>
      <c r="M229" s="5">
        <v>2358.0</v>
      </c>
      <c r="N229" s="5"/>
      <c r="O229" s="5">
        <v>40292.0</v>
      </c>
      <c r="P229" s="5" t="s">
        <v>2662</v>
      </c>
      <c r="Q229" s="5" t="s">
        <v>3512</v>
      </c>
      <c r="R229" s="5">
        <v>570.0</v>
      </c>
      <c r="S229" s="5">
        <v>3.310828924E9</v>
      </c>
      <c r="T229" s="5" t="s">
        <v>3513</v>
      </c>
      <c r="U229" s="5" t="s">
        <v>3514</v>
      </c>
      <c r="V229" s="5">
        <v>6.451156861E9</v>
      </c>
      <c r="W229" s="5" t="s">
        <v>2675</v>
      </c>
      <c r="X229" s="91">
        <v>44053.0</v>
      </c>
      <c r="Y229" s="5">
        <v>1.0</v>
      </c>
      <c r="Z229" s="5">
        <v>4.0</v>
      </c>
      <c r="AA229" s="5">
        <v>41.0</v>
      </c>
      <c r="AB229" s="5" t="s">
        <v>3515</v>
      </c>
      <c r="AC229" s="5" t="s">
        <v>1800</v>
      </c>
      <c r="AD229" s="91">
        <v>43661.0</v>
      </c>
      <c r="AE229" s="91">
        <v>45122.0</v>
      </c>
      <c r="AF229" s="5"/>
      <c r="AG229" s="5"/>
      <c r="AH229" s="5">
        <v>7.594791396E10</v>
      </c>
      <c r="AI229" s="5">
        <v>3.0</v>
      </c>
      <c r="AJ229" s="5">
        <v>1.406012019E9</v>
      </c>
      <c r="AK229" s="5" t="s">
        <v>3378</v>
      </c>
      <c r="AL229" s="145">
        <v>36.05</v>
      </c>
      <c r="AM229" s="91">
        <v>44053.0</v>
      </c>
      <c r="AN229" s="5" t="s">
        <v>1830</v>
      </c>
      <c r="AO229" s="5"/>
      <c r="AP229" s="5"/>
      <c r="AQ229" s="5"/>
      <c r="AR229" s="5"/>
      <c r="AS229" s="5"/>
      <c r="AT229" s="5"/>
      <c r="AU229" s="5"/>
      <c r="AV229" s="5"/>
      <c r="AW229" s="5" t="s">
        <v>1770</v>
      </c>
      <c r="AX229" s="5"/>
      <c r="AY229" s="5"/>
      <c r="AZ229" s="5" t="s">
        <v>1770</v>
      </c>
      <c r="BA229" s="93">
        <v>0.0</v>
      </c>
      <c r="BB229" s="93">
        <v>0.0</v>
      </c>
      <c r="BC229" s="93">
        <v>0.0</v>
      </c>
      <c r="BD229" s="93">
        <v>0.0</v>
      </c>
      <c r="BE229" s="93">
        <v>0.0</v>
      </c>
      <c r="BF229" s="93">
        <v>0.0</v>
      </c>
      <c r="BG229" s="5"/>
      <c r="BH229" s="93">
        <v>0.0</v>
      </c>
      <c r="BI229" s="93">
        <v>0.0</v>
      </c>
      <c r="BJ229" s="93">
        <v>0.0</v>
      </c>
      <c r="BK229" s="93">
        <v>0.0</v>
      </c>
      <c r="BL229" s="93">
        <v>0.0</v>
      </c>
      <c r="BM229" s="93">
        <v>0.0</v>
      </c>
      <c r="BN229" s="93">
        <v>0.0</v>
      </c>
      <c r="BO229" s="5"/>
      <c r="BP229" s="5" t="s">
        <v>1770</v>
      </c>
      <c r="BQ229" s="5" t="s">
        <v>1789</v>
      </c>
      <c r="BR229" s="94">
        <v>44055.725127314814</v>
      </c>
      <c r="BS229" s="5">
        <v>40.0</v>
      </c>
      <c r="BT229" s="5" t="s">
        <v>1770</v>
      </c>
      <c r="BU229" s="5" t="s">
        <v>1770</v>
      </c>
      <c r="BV229" s="94">
        <v>44645.52824074074</v>
      </c>
      <c r="BW229" s="5">
        <v>167.0</v>
      </c>
    </row>
    <row r="230" ht="14.25" customHeight="1">
      <c r="A230" s="5">
        <v>229.0</v>
      </c>
      <c r="B230" s="5">
        <v>498.0</v>
      </c>
      <c r="C230" s="5" t="s">
        <v>3516</v>
      </c>
      <c r="D230" s="5" t="s">
        <v>2001</v>
      </c>
      <c r="E230" s="5" t="s">
        <v>1778</v>
      </c>
      <c r="F230" s="5" t="s">
        <v>3517</v>
      </c>
      <c r="G230" s="5" t="s">
        <v>3518</v>
      </c>
      <c r="H230" s="5" t="s">
        <v>1972</v>
      </c>
      <c r="I230" s="5" t="s">
        <v>1763</v>
      </c>
      <c r="J230" s="91">
        <v>34410.0</v>
      </c>
      <c r="K230" s="5">
        <v>850.0</v>
      </c>
      <c r="L230" s="5" t="s">
        <v>3519</v>
      </c>
      <c r="M230" s="5">
        <v>31.0</v>
      </c>
      <c r="N230" s="5" t="s">
        <v>2340</v>
      </c>
      <c r="O230" s="5">
        <v>55172.0</v>
      </c>
      <c r="P230" s="5" t="s">
        <v>3520</v>
      </c>
      <c r="Q230" s="5" t="s">
        <v>234</v>
      </c>
      <c r="R230" s="5">
        <v>850.0</v>
      </c>
      <c r="S230" s="5">
        <v>3.521111414E9</v>
      </c>
      <c r="T230" s="5" t="s">
        <v>3521</v>
      </c>
      <c r="U230" s="5" t="s">
        <v>3522</v>
      </c>
      <c r="V230" s="5">
        <v>3.525241107E9</v>
      </c>
      <c r="W230" s="5" t="s">
        <v>1808</v>
      </c>
      <c r="X230" s="91">
        <v>44091.0</v>
      </c>
      <c r="Y230" s="5">
        <v>3.0</v>
      </c>
      <c r="Z230" s="5">
        <v>19.0</v>
      </c>
      <c r="AA230" s="5">
        <v>9.0</v>
      </c>
      <c r="AB230" s="5"/>
      <c r="AC230" s="5"/>
      <c r="AD230" s="5" t="s">
        <v>1770</v>
      </c>
      <c r="AE230" s="5" t="s">
        <v>1770</v>
      </c>
      <c r="AF230" s="5"/>
      <c r="AG230" s="5"/>
      <c r="AH230" s="5">
        <v>5.3139429707E10</v>
      </c>
      <c r="AI230" s="5">
        <v>77.0</v>
      </c>
      <c r="AJ230" s="5"/>
      <c r="AK230" s="5" t="s">
        <v>1773</v>
      </c>
      <c r="AL230" s="92">
        <v>0.0</v>
      </c>
      <c r="AM230" s="5" t="s">
        <v>1770</v>
      </c>
      <c r="AN230" s="5" t="s">
        <v>3523</v>
      </c>
      <c r="AO230" s="5"/>
      <c r="AP230" s="5"/>
      <c r="AQ230" s="5"/>
      <c r="AR230" s="5"/>
      <c r="AS230" s="5"/>
      <c r="AT230" s="5"/>
      <c r="AU230" s="5"/>
      <c r="AV230" s="5"/>
      <c r="AW230" s="5" t="s">
        <v>1770</v>
      </c>
      <c r="AX230" s="5"/>
      <c r="AY230" s="5"/>
      <c r="AZ230" s="5" t="s">
        <v>1770</v>
      </c>
      <c r="BA230" s="93">
        <v>0.0</v>
      </c>
      <c r="BB230" s="93">
        <v>0.0</v>
      </c>
      <c r="BC230" s="93">
        <v>0.0</v>
      </c>
      <c r="BD230" s="93">
        <v>0.0</v>
      </c>
      <c r="BE230" s="93">
        <v>0.0</v>
      </c>
      <c r="BF230" s="93">
        <v>0.0</v>
      </c>
      <c r="BG230" s="5"/>
      <c r="BH230" s="93">
        <v>0.0</v>
      </c>
      <c r="BI230" s="93">
        <v>0.0</v>
      </c>
      <c r="BJ230" s="93">
        <v>0.0</v>
      </c>
      <c r="BK230" s="93">
        <v>0.0</v>
      </c>
      <c r="BL230" s="93">
        <v>0.0</v>
      </c>
      <c r="BM230" s="93">
        <v>0.0</v>
      </c>
      <c r="BN230" s="93">
        <v>0.0</v>
      </c>
      <c r="BO230" s="5"/>
      <c r="BP230" s="5" t="s">
        <v>1770</v>
      </c>
      <c r="BQ230" s="5" t="s">
        <v>1789</v>
      </c>
      <c r="BR230" s="94">
        <v>44091.687048611115</v>
      </c>
      <c r="BS230" s="5">
        <v>40.0</v>
      </c>
      <c r="BT230" s="5" t="s">
        <v>1770</v>
      </c>
      <c r="BU230" s="5" t="s">
        <v>1770</v>
      </c>
      <c r="BV230" s="94">
        <v>45631.45880787037</v>
      </c>
      <c r="BW230" s="5">
        <v>40.0</v>
      </c>
    </row>
    <row r="231" ht="14.25" customHeight="1">
      <c r="A231" s="5">
        <v>230.0</v>
      </c>
      <c r="B231" s="5">
        <v>499.0</v>
      </c>
      <c r="C231" s="5" t="s">
        <v>3524</v>
      </c>
      <c r="D231" s="5" t="s">
        <v>3525</v>
      </c>
      <c r="E231" s="5" t="s">
        <v>2081</v>
      </c>
      <c r="F231" s="5" t="s">
        <v>3526</v>
      </c>
      <c r="G231" s="5" t="s">
        <v>3527</v>
      </c>
      <c r="H231" s="5" t="s">
        <v>2671</v>
      </c>
      <c r="I231" s="5" t="s">
        <v>1782</v>
      </c>
      <c r="J231" s="91">
        <v>32742.0</v>
      </c>
      <c r="K231" s="5">
        <v>850.0</v>
      </c>
      <c r="L231" s="100" t="s">
        <v>1953</v>
      </c>
      <c r="M231" s="5">
        <v>8.0</v>
      </c>
      <c r="N231" s="5"/>
      <c r="O231" s="5">
        <v>35902.0</v>
      </c>
      <c r="P231" s="5" t="s">
        <v>1797</v>
      </c>
      <c r="Q231" s="5" t="s">
        <v>3528</v>
      </c>
      <c r="R231" s="5">
        <v>424.0</v>
      </c>
      <c r="S231" s="5">
        <v>3.521564825E9</v>
      </c>
      <c r="T231" s="5" t="s">
        <v>3529</v>
      </c>
      <c r="U231" s="5" t="s">
        <v>3530</v>
      </c>
      <c r="V231" s="5">
        <v>3.521250777E9</v>
      </c>
      <c r="W231" s="5" t="s">
        <v>2675</v>
      </c>
      <c r="X231" s="91">
        <v>44091.0</v>
      </c>
      <c r="Y231" s="5">
        <v>3.0</v>
      </c>
      <c r="Z231" s="5">
        <v>17.0</v>
      </c>
      <c r="AA231" s="5">
        <v>61.0</v>
      </c>
      <c r="AB231" s="5"/>
      <c r="AC231" s="5"/>
      <c r="AD231" s="5" t="s">
        <v>1770</v>
      </c>
      <c r="AE231" s="5" t="s">
        <v>1770</v>
      </c>
      <c r="AF231" s="5"/>
      <c r="AG231" s="5"/>
      <c r="AH231" s="5">
        <v>5.3128908208E10</v>
      </c>
      <c r="AI231" s="5">
        <v>9.0</v>
      </c>
      <c r="AJ231" s="5"/>
      <c r="AK231" s="5" t="s">
        <v>1773</v>
      </c>
      <c r="AL231" s="92">
        <v>0.0</v>
      </c>
      <c r="AM231" s="5" t="s">
        <v>1770</v>
      </c>
      <c r="AN231" s="5" t="s">
        <v>1830</v>
      </c>
      <c r="AO231" s="5"/>
      <c r="AP231" s="5"/>
      <c r="AQ231" s="5"/>
      <c r="AR231" s="5"/>
      <c r="AS231" s="5"/>
      <c r="AT231" s="5"/>
      <c r="AU231" s="5"/>
      <c r="AV231" s="5"/>
      <c r="AW231" s="5" t="s">
        <v>1770</v>
      </c>
      <c r="AX231" s="5"/>
      <c r="AY231" s="5"/>
      <c r="AZ231" s="5" t="s">
        <v>1770</v>
      </c>
      <c r="BA231" s="93">
        <v>0.0</v>
      </c>
      <c r="BB231" s="93">
        <v>0.0</v>
      </c>
      <c r="BC231" s="93">
        <v>0.0</v>
      </c>
      <c r="BD231" s="93">
        <v>0.0</v>
      </c>
      <c r="BE231" s="93">
        <v>0.0</v>
      </c>
      <c r="BF231" s="93">
        <v>0.0</v>
      </c>
      <c r="BG231" s="5"/>
      <c r="BH231" s="93">
        <v>0.0</v>
      </c>
      <c r="BI231" s="93">
        <v>0.0</v>
      </c>
      <c r="BJ231" s="93">
        <v>0.0</v>
      </c>
      <c r="BK231" s="93">
        <v>0.0</v>
      </c>
      <c r="BL231" s="93">
        <v>0.0</v>
      </c>
      <c r="BM231" s="93">
        <v>0.0</v>
      </c>
      <c r="BN231" s="93">
        <v>0.0</v>
      </c>
      <c r="BO231" s="5"/>
      <c r="BP231" s="5" t="s">
        <v>1770</v>
      </c>
      <c r="BQ231" s="5" t="s">
        <v>1789</v>
      </c>
      <c r="BR231" s="94">
        <v>44098.53324074074</v>
      </c>
      <c r="BS231" s="5">
        <v>40.0</v>
      </c>
      <c r="BT231" s="94">
        <v>44098.53549768519</v>
      </c>
      <c r="BU231" s="5">
        <v>40.0</v>
      </c>
      <c r="BV231" s="94">
        <v>44392.69829861111</v>
      </c>
      <c r="BW231" s="5">
        <v>40.0</v>
      </c>
    </row>
    <row r="232" ht="14.25" customHeight="1">
      <c r="A232" s="5">
        <v>231.0</v>
      </c>
      <c r="B232" s="5">
        <v>500.0</v>
      </c>
      <c r="C232" s="5" t="s">
        <v>3531</v>
      </c>
      <c r="D232" s="5" t="s">
        <v>2551</v>
      </c>
      <c r="E232" s="5" t="s">
        <v>2551</v>
      </c>
      <c r="F232" s="5" t="s">
        <v>3532</v>
      </c>
      <c r="G232" s="5" t="s">
        <v>3533</v>
      </c>
      <c r="H232" s="5" t="s">
        <v>1781</v>
      </c>
      <c r="I232" s="5" t="s">
        <v>1782</v>
      </c>
      <c r="J232" s="91">
        <v>34180.0</v>
      </c>
      <c r="K232" s="5">
        <v>594.0</v>
      </c>
      <c r="L232" s="5" t="s">
        <v>3534</v>
      </c>
      <c r="M232" s="5">
        <v>27.0</v>
      </c>
      <c r="N232" s="5"/>
      <c r="O232" s="5">
        <v>43890.0</v>
      </c>
      <c r="P232" s="5" t="s">
        <v>1797</v>
      </c>
      <c r="Q232" s="5" t="s">
        <v>3535</v>
      </c>
      <c r="R232" s="5">
        <v>549.0</v>
      </c>
      <c r="S232" s="5">
        <v>3.93109503E9</v>
      </c>
      <c r="T232" s="5"/>
      <c r="U232" s="5" t="s">
        <v>3536</v>
      </c>
      <c r="V232" s="5">
        <v>3.931074787E9</v>
      </c>
      <c r="W232" s="5" t="s">
        <v>1787</v>
      </c>
      <c r="X232" s="91">
        <v>44096.0</v>
      </c>
      <c r="Y232" s="5">
        <v>1.0</v>
      </c>
      <c r="Z232" s="5">
        <v>19.0</v>
      </c>
      <c r="AA232" s="5">
        <v>45.0</v>
      </c>
      <c r="AB232" s="5" t="s">
        <v>3537</v>
      </c>
      <c r="AC232" s="5" t="s">
        <v>1800</v>
      </c>
      <c r="AD232" s="91">
        <v>42915.0</v>
      </c>
      <c r="AE232" s="91">
        <v>44376.0</v>
      </c>
      <c r="AF232" s="5"/>
      <c r="AG232" s="5"/>
      <c r="AH232" s="5">
        <v>4.109334898E9</v>
      </c>
      <c r="AI232" s="5">
        <v>23.0</v>
      </c>
      <c r="AJ232" s="5">
        <v>6.419066448E9</v>
      </c>
      <c r="AK232" s="5" t="s">
        <v>2907</v>
      </c>
      <c r="AL232" s="92">
        <v>0.0</v>
      </c>
      <c r="AM232" s="91">
        <v>44096.0</v>
      </c>
      <c r="AN232" s="5" t="s">
        <v>1774</v>
      </c>
      <c r="AO232" s="5"/>
      <c r="AP232" s="5"/>
      <c r="AQ232" s="5"/>
      <c r="AR232" s="5"/>
      <c r="AS232" s="5"/>
      <c r="AT232" s="5"/>
      <c r="AU232" s="5"/>
      <c r="AV232" s="5"/>
      <c r="AW232" s="5" t="s">
        <v>1770</v>
      </c>
      <c r="AX232" s="5"/>
      <c r="AY232" s="5"/>
      <c r="AZ232" s="5" t="s">
        <v>1770</v>
      </c>
      <c r="BA232" s="93">
        <v>0.0</v>
      </c>
      <c r="BB232" s="93">
        <v>0.0</v>
      </c>
      <c r="BC232" s="93">
        <v>0.0</v>
      </c>
      <c r="BD232" s="93">
        <v>0.0</v>
      </c>
      <c r="BE232" s="93">
        <v>0.0</v>
      </c>
      <c r="BF232" s="93">
        <v>0.0</v>
      </c>
      <c r="BG232" s="5"/>
      <c r="BH232" s="93">
        <v>0.0</v>
      </c>
      <c r="BI232" s="93">
        <v>0.0</v>
      </c>
      <c r="BJ232" s="93">
        <v>0.0</v>
      </c>
      <c r="BK232" s="93">
        <v>0.0</v>
      </c>
      <c r="BL232" s="93">
        <v>0.0</v>
      </c>
      <c r="BM232" s="93">
        <v>0.0</v>
      </c>
      <c r="BN232" s="93">
        <v>0.0</v>
      </c>
      <c r="BO232" s="5"/>
      <c r="BP232" s="5" t="s">
        <v>1770</v>
      </c>
      <c r="BQ232" s="5" t="s">
        <v>1789</v>
      </c>
      <c r="BR232" s="94">
        <v>44098.538518518515</v>
      </c>
      <c r="BS232" s="5">
        <v>40.0</v>
      </c>
      <c r="BT232" s="5" t="s">
        <v>1770</v>
      </c>
      <c r="BU232" s="5" t="s">
        <v>1770</v>
      </c>
      <c r="BV232" s="94">
        <v>44645.66392361111</v>
      </c>
      <c r="BW232" s="5" t="s">
        <v>1770</v>
      </c>
    </row>
    <row r="233" ht="14.25" customHeight="1">
      <c r="A233" s="5">
        <v>232.0</v>
      </c>
      <c r="B233" s="5">
        <v>501.0</v>
      </c>
      <c r="C233" s="5" t="s">
        <v>3538</v>
      </c>
      <c r="D233" s="5" t="s">
        <v>3120</v>
      </c>
      <c r="E233" s="5" t="s">
        <v>3121</v>
      </c>
      <c r="F233" s="5" t="s">
        <v>3539</v>
      </c>
      <c r="G233" s="5" t="s">
        <v>3540</v>
      </c>
      <c r="H233" s="5" t="s">
        <v>1815</v>
      </c>
      <c r="I233" s="5" t="s">
        <v>1763</v>
      </c>
      <c r="J233" s="91">
        <v>25289.0</v>
      </c>
      <c r="K233" s="5">
        <v>834.0</v>
      </c>
      <c r="L233" s="5" t="s">
        <v>3124</v>
      </c>
      <c r="M233" s="5">
        <v>243.0</v>
      </c>
      <c r="N233" s="5"/>
      <c r="O233" s="5">
        <v>54682.0</v>
      </c>
      <c r="P233" s="5" t="s">
        <v>3541</v>
      </c>
      <c r="Q233" s="5" t="s">
        <v>2342</v>
      </c>
      <c r="R233" s="5">
        <v>869.0</v>
      </c>
      <c r="S233" s="5">
        <v>4.433455692E9</v>
      </c>
      <c r="T233" s="5"/>
      <c r="U233" s="5" t="s">
        <v>3542</v>
      </c>
      <c r="V233" s="5">
        <v>4.433482003E9</v>
      </c>
      <c r="W233" s="5" t="s">
        <v>2780</v>
      </c>
      <c r="X233" s="91">
        <v>44111.0</v>
      </c>
      <c r="Y233" s="5">
        <v>4.0</v>
      </c>
      <c r="Z233" s="5">
        <v>17.0</v>
      </c>
      <c r="AA233" s="5">
        <v>25.0</v>
      </c>
      <c r="AB233" s="5"/>
      <c r="AC233" s="5"/>
      <c r="AD233" s="5" t="s">
        <v>1770</v>
      </c>
      <c r="AE233" s="5" t="s">
        <v>1770</v>
      </c>
      <c r="AF233" s="5"/>
      <c r="AG233" s="5"/>
      <c r="AH233" s="5">
        <v>5.3996900832E10</v>
      </c>
      <c r="AI233" s="5">
        <v>75.0</v>
      </c>
      <c r="AJ233" s="5">
        <v>1.603023388E9</v>
      </c>
      <c r="AK233" s="5" t="s">
        <v>3378</v>
      </c>
      <c r="AL233" s="145">
        <v>22.74</v>
      </c>
      <c r="AM233" s="91">
        <v>44111.0</v>
      </c>
      <c r="AN233" s="5" t="s">
        <v>1830</v>
      </c>
      <c r="AO233" s="5"/>
      <c r="AP233" s="5"/>
      <c r="AQ233" s="5"/>
      <c r="AR233" s="5"/>
      <c r="AS233" s="5"/>
      <c r="AT233" s="5"/>
      <c r="AU233" s="5"/>
      <c r="AV233" s="5"/>
      <c r="AW233" s="5" t="s">
        <v>1770</v>
      </c>
      <c r="AX233" s="5"/>
      <c r="AY233" s="5"/>
      <c r="AZ233" s="5" t="s">
        <v>1770</v>
      </c>
      <c r="BA233" s="93">
        <v>0.0</v>
      </c>
      <c r="BB233" s="93">
        <v>0.0</v>
      </c>
      <c r="BC233" s="93">
        <v>0.0</v>
      </c>
      <c r="BD233" s="93">
        <v>0.0</v>
      </c>
      <c r="BE233" s="93">
        <v>0.0</v>
      </c>
      <c r="BF233" s="93">
        <v>0.0</v>
      </c>
      <c r="BG233" s="5"/>
      <c r="BH233" s="93">
        <v>0.0</v>
      </c>
      <c r="BI233" s="93">
        <v>0.0</v>
      </c>
      <c r="BJ233" s="93">
        <v>0.0</v>
      </c>
      <c r="BK233" s="93">
        <v>0.0</v>
      </c>
      <c r="BL233" s="93">
        <v>0.0</v>
      </c>
      <c r="BM233" s="93">
        <v>0.0</v>
      </c>
      <c r="BN233" s="93">
        <v>0.0</v>
      </c>
      <c r="BO233" s="5"/>
      <c r="BP233" s="5" t="s">
        <v>1770</v>
      </c>
      <c r="BQ233" s="5" t="s">
        <v>1789</v>
      </c>
      <c r="BR233" s="94">
        <v>44145.70214120371</v>
      </c>
      <c r="BS233" s="5">
        <v>40.0</v>
      </c>
      <c r="BT233" s="5" t="s">
        <v>1770</v>
      </c>
      <c r="BU233" s="5" t="s">
        <v>1770</v>
      </c>
      <c r="BV233" s="94">
        <v>44770.565462962964</v>
      </c>
      <c r="BW233" s="5">
        <v>40.0</v>
      </c>
    </row>
    <row r="234" ht="14.25" customHeight="1">
      <c r="A234" s="5">
        <v>233.0</v>
      </c>
      <c r="B234" s="5">
        <v>502.0</v>
      </c>
      <c r="C234" s="5" t="s">
        <v>3543</v>
      </c>
      <c r="D234" s="5" t="s">
        <v>3018</v>
      </c>
      <c r="E234" s="5" t="s">
        <v>1758</v>
      </c>
      <c r="F234" s="5" t="s">
        <v>3544</v>
      </c>
      <c r="G234" s="5" t="s">
        <v>3545</v>
      </c>
      <c r="H234" s="5" t="s">
        <v>2671</v>
      </c>
      <c r="I234" s="5" t="s">
        <v>1782</v>
      </c>
      <c r="J234" s="91">
        <v>35291.0</v>
      </c>
      <c r="K234" s="5">
        <v>424.0</v>
      </c>
      <c r="L234" s="5" t="s">
        <v>3546</v>
      </c>
      <c r="M234" s="5" t="s">
        <v>2913</v>
      </c>
      <c r="N234" s="5"/>
      <c r="O234" s="5">
        <v>35912.0</v>
      </c>
      <c r="P234" s="5" t="s">
        <v>1797</v>
      </c>
      <c r="Q234" s="5" t="s">
        <v>2162</v>
      </c>
      <c r="R234" s="5">
        <v>424.0</v>
      </c>
      <c r="S234" s="5">
        <v>5.585244213E9</v>
      </c>
      <c r="T234" s="5" t="s">
        <v>3547</v>
      </c>
      <c r="U234" s="5" t="s">
        <v>3548</v>
      </c>
      <c r="V234" s="5">
        <v>5.533894848E9</v>
      </c>
      <c r="W234" s="5" t="s">
        <v>1787</v>
      </c>
      <c r="X234" s="91">
        <v>44105.0</v>
      </c>
      <c r="Y234" s="5">
        <v>2.0</v>
      </c>
      <c r="Z234" s="5">
        <v>19.0</v>
      </c>
      <c r="AA234" s="5">
        <v>1.0</v>
      </c>
      <c r="AB234" s="5" t="s">
        <v>3549</v>
      </c>
      <c r="AC234" s="5" t="s">
        <v>1772</v>
      </c>
      <c r="AD234" s="91">
        <v>43533.0</v>
      </c>
      <c r="AE234" s="91">
        <v>44629.0</v>
      </c>
      <c r="AF234" s="5"/>
      <c r="AG234" s="5"/>
      <c r="AH234" s="5">
        <v>4.1169616624E10</v>
      </c>
      <c r="AI234" s="5">
        <v>9.0</v>
      </c>
      <c r="AJ234" s="5"/>
      <c r="AK234" s="5" t="s">
        <v>1773</v>
      </c>
      <c r="AL234" s="92">
        <v>0.0</v>
      </c>
      <c r="AM234" s="5" t="s">
        <v>1770</v>
      </c>
      <c r="AN234" s="5" t="s">
        <v>1830</v>
      </c>
      <c r="AO234" s="5"/>
      <c r="AP234" s="5"/>
      <c r="AQ234" s="5"/>
      <c r="AR234" s="5"/>
      <c r="AS234" s="5"/>
      <c r="AT234" s="5"/>
      <c r="AU234" s="5"/>
      <c r="AV234" s="5"/>
      <c r="AW234" s="5" t="s">
        <v>1770</v>
      </c>
      <c r="AX234" s="5"/>
      <c r="AY234" s="5"/>
      <c r="AZ234" s="5" t="s">
        <v>1770</v>
      </c>
      <c r="BA234" s="93">
        <v>0.0</v>
      </c>
      <c r="BB234" s="93">
        <v>0.0</v>
      </c>
      <c r="BC234" s="93">
        <v>0.0</v>
      </c>
      <c r="BD234" s="93">
        <v>0.0</v>
      </c>
      <c r="BE234" s="93">
        <v>0.0</v>
      </c>
      <c r="BF234" s="93">
        <v>0.0</v>
      </c>
      <c r="BG234" s="5"/>
      <c r="BH234" s="93">
        <v>0.0</v>
      </c>
      <c r="BI234" s="93">
        <v>0.0</v>
      </c>
      <c r="BJ234" s="93">
        <v>0.0</v>
      </c>
      <c r="BK234" s="93">
        <v>0.0</v>
      </c>
      <c r="BL234" s="93">
        <v>0.0</v>
      </c>
      <c r="BM234" s="93">
        <v>0.0</v>
      </c>
      <c r="BN234" s="93">
        <v>0.0</v>
      </c>
      <c r="BO234" s="5"/>
      <c r="BP234" s="5" t="s">
        <v>1770</v>
      </c>
      <c r="BQ234" s="5" t="s">
        <v>1789</v>
      </c>
      <c r="BR234" s="94">
        <v>44145.71131944445</v>
      </c>
      <c r="BS234" s="5">
        <v>40.0</v>
      </c>
      <c r="BT234" s="5" t="s">
        <v>1770</v>
      </c>
      <c r="BU234" s="5" t="s">
        <v>1770</v>
      </c>
      <c r="BV234" s="94">
        <v>44645.66373842592</v>
      </c>
      <c r="BW234" s="5" t="s">
        <v>1770</v>
      </c>
    </row>
    <row r="235" ht="14.25" customHeight="1">
      <c r="A235" s="5">
        <v>234.0</v>
      </c>
      <c r="B235" s="5">
        <v>503.0</v>
      </c>
      <c r="C235" s="5" t="s">
        <v>3550</v>
      </c>
      <c r="D235" s="5" t="s">
        <v>1778</v>
      </c>
      <c r="E235" s="5" t="s">
        <v>1969</v>
      </c>
      <c r="F235" s="5" t="s">
        <v>3551</v>
      </c>
      <c r="G235" s="5" t="s">
        <v>3552</v>
      </c>
      <c r="H235" s="5" t="s">
        <v>1972</v>
      </c>
      <c r="I235" s="5" t="s">
        <v>1782</v>
      </c>
      <c r="J235" s="91">
        <v>33678.0</v>
      </c>
      <c r="K235" s="5">
        <v>549.0</v>
      </c>
      <c r="L235" s="5" t="s">
        <v>2667</v>
      </c>
      <c r="M235" s="5">
        <v>232.0</v>
      </c>
      <c r="N235" s="5"/>
      <c r="O235" s="5">
        <v>43882.0</v>
      </c>
      <c r="P235" s="5" t="s">
        <v>1797</v>
      </c>
      <c r="Q235" s="5" t="s">
        <v>1766</v>
      </c>
      <c r="R235" s="5">
        <v>549.0</v>
      </c>
      <c r="S235" s="5">
        <v>3.935939964E9</v>
      </c>
      <c r="T235" s="5" t="s">
        <v>3553</v>
      </c>
      <c r="U235" s="5" t="s">
        <v>3554</v>
      </c>
      <c r="V235" s="5">
        <v>3.931313486E9</v>
      </c>
      <c r="W235" s="5" t="s">
        <v>1819</v>
      </c>
      <c r="X235" s="91">
        <v>44123.0</v>
      </c>
      <c r="Y235" s="5">
        <v>1.0</v>
      </c>
      <c r="Z235" s="5">
        <v>18.0</v>
      </c>
      <c r="AA235" s="5">
        <v>1.0</v>
      </c>
      <c r="AB235" s="5">
        <v>263765.0</v>
      </c>
      <c r="AC235" s="5" t="s">
        <v>2274</v>
      </c>
      <c r="AD235" s="91">
        <v>44118.0</v>
      </c>
      <c r="AE235" s="91">
        <v>45944.0</v>
      </c>
      <c r="AF235" s="5"/>
      <c r="AG235" s="5"/>
      <c r="AH235" s="5">
        <v>7.5119228668E10</v>
      </c>
      <c r="AI235" s="5">
        <v>23.0</v>
      </c>
      <c r="AJ235" s="5"/>
      <c r="AK235" s="5" t="s">
        <v>1773</v>
      </c>
      <c r="AL235" s="92">
        <v>0.0</v>
      </c>
      <c r="AM235" s="5" t="s">
        <v>1770</v>
      </c>
      <c r="AN235" s="5" t="s">
        <v>1830</v>
      </c>
      <c r="AO235" s="5"/>
      <c r="AP235" s="5"/>
      <c r="AQ235" s="5"/>
      <c r="AR235" s="5"/>
      <c r="AS235" s="5"/>
      <c r="AT235" s="5"/>
      <c r="AU235" s="5"/>
      <c r="AV235" s="5"/>
      <c r="AW235" s="5" t="s">
        <v>1770</v>
      </c>
      <c r="AX235" s="5"/>
      <c r="AY235" s="5"/>
      <c r="AZ235" s="5" t="s">
        <v>1770</v>
      </c>
      <c r="BA235" s="93">
        <v>0.0</v>
      </c>
      <c r="BB235" s="93">
        <v>0.0</v>
      </c>
      <c r="BC235" s="93">
        <v>0.0</v>
      </c>
      <c r="BD235" s="93">
        <v>0.0</v>
      </c>
      <c r="BE235" s="93">
        <v>0.0</v>
      </c>
      <c r="BF235" s="93">
        <v>0.0</v>
      </c>
      <c r="BG235" s="5"/>
      <c r="BH235" s="93">
        <v>0.0</v>
      </c>
      <c r="BI235" s="93">
        <v>0.0</v>
      </c>
      <c r="BJ235" s="93">
        <v>0.0</v>
      </c>
      <c r="BK235" s="93">
        <v>0.0</v>
      </c>
      <c r="BL235" s="93">
        <v>0.0</v>
      </c>
      <c r="BM235" s="93">
        <v>0.0</v>
      </c>
      <c r="BN235" s="93">
        <v>0.0</v>
      </c>
      <c r="BO235" s="5"/>
      <c r="BP235" s="5" t="s">
        <v>1770</v>
      </c>
      <c r="BQ235" s="5" t="s">
        <v>1789</v>
      </c>
      <c r="BR235" s="94">
        <v>44145.7199537037</v>
      </c>
      <c r="BS235" s="5">
        <v>40.0</v>
      </c>
      <c r="BT235" s="5" t="s">
        <v>1770</v>
      </c>
      <c r="BU235" s="5" t="s">
        <v>1770</v>
      </c>
      <c r="BV235" s="94">
        <v>44392.7019212963</v>
      </c>
      <c r="BW235" s="5">
        <v>40.0</v>
      </c>
    </row>
    <row r="236" ht="14.25" customHeight="1">
      <c r="A236" s="5">
        <v>235.0</v>
      </c>
      <c r="B236" s="5">
        <v>504.0</v>
      </c>
      <c r="C236" s="5" t="s">
        <v>3427</v>
      </c>
      <c r="D236" s="5" t="s">
        <v>2765</v>
      </c>
      <c r="E236" s="5" t="s">
        <v>1758</v>
      </c>
      <c r="F236" s="5" t="s">
        <v>3555</v>
      </c>
      <c r="G236" s="5" t="s">
        <v>3556</v>
      </c>
      <c r="H236" s="5" t="s">
        <v>1781</v>
      </c>
      <c r="I236" s="5" t="s">
        <v>1782</v>
      </c>
      <c r="J236" s="91">
        <v>24557.0</v>
      </c>
      <c r="K236" s="5">
        <v>1982.0</v>
      </c>
      <c r="L236" s="5" t="s">
        <v>2792</v>
      </c>
      <c r="M236" s="5">
        <v>200.0</v>
      </c>
      <c r="N236" s="5"/>
      <c r="O236" s="5">
        <v>37122.0</v>
      </c>
      <c r="P236" s="5" t="s">
        <v>3139</v>
      </c>
      <c r="Q236" s="5" t="s">
        <v>3557</v>
      </c>
      <c r="R236" s="5">
        <v>408.0</v>
      </c>
      <c r="S236" s="5">
        <v>4.445885E9</v>
      </c>
      <c r="T236" s="5" t="s">
        <v>3558</v>
      </c>
      <c r="U236" s="5" t="s">
        <v>3559</v>
      </c>
      <c r="V236" s="5">
        <v>4.612598958E9</v>
      </c>
      <c r="W236" s="5" t="s">
        <v>1787</v>
      </c>
      <c r="X236" s="91">
        <v>44152.0</v>
      </c>
      <c r="Y236" s="5">
        <v>2.0</v>
      </c>
      <c r="Z236" s="5">
        <v>19.0</v>
      </c>
      <c r="AA236" s="5">
        <v>1.0</v>
      </c>
      <c r="AB236" s="5">
        <v>2392510.0</v>
      </c>
      <c r="AC236" s="5" t="s">
        <v>1772</v>
      </c>
      <c r="AD236" s="91">
        <v>43109.0</v>
      </c>
      <c r="AE236" s="91">
        <v>44935.0</v>
      </c>
      <c r="AF236" s="5"/>
      <c r="AG236" s="5"/>
      <c r="AH236" s="5">
        <v>1.281660748E10</v>
      </c>
      <c r="AI236" s="5"/>
      <c r="AJ236" s="5"/>
      <c r="AK236" s="5" t="s">
        <v>1773</v>
      </c>
      <c r="AL236" s="92">
        <v>0.0</v>
      </c>
      <c r="AM236" s="5" t="s">
        <v>1770</v>
      </c>
      <c r="AN236" s="5" t="s">
        <v>1830</v>
      </c>
      <c r="AO236" s="5"/>
      <c r="AP236" s="5"/>
      <c r="AQ236" s="5"/>
      <c r="AR236" s="5"/>
      <c r="AS236" s="5"/>
      <c r="AT236" s="5"/>
      <c r="AU236" s="5"/>
      <c r="AV236" s="5"/>
      <c r="AW236" s="5" t="s">
        <v>1770</v>
      </c>
      <c r="AX236" s="5"/>
      <c r="AY236" s="5"/>
      <c r="AZ236" s="5" t="s">
        <v>1770</v>
      </c>
      <c r="BA236" s="93">
        <v>0.0</v>
      </c>
      <c r="BB236" s="93">
        <v>0.0</v>
      </c>
      <c r="BC236" s="93">
        <v>0.0</v>
      </c>
      <c r="BD236" s="93">
        <v>0.0</v>
      </c>
      <c r="BE236" s="93">
        <v>0.0</v>
      </c>
      <c r="BF236" s="93">
        <v>0.0</v>
      </c>
      <c r="BG236" s="5"/>
      <c r="BH236" s="93">
        <v>0.0</v>
      </c>
      <c r="BI236" s="93">
        <v>0.0</v>
      </c>
      <c r="BJ236" s="93">
        <v>0.0</v>
      </c>
      <c r="BK236" s="93">
        <v>0.0</v>
      </c>
      <c r="BL236" s="93">
        <v>0.0</v>
      </c>
      <c r="BM236" s="93">
        <v>0.0</v>
      </c>
      <c r="BN236" s="93">
        <v>0.0</v>
      </c>
      <c r="BO236" s="5"/>
      <c r="BP236" s="5" t="s">
        <v>1770</v>
      </c>
      <c r="BQ236" s="5" t="s">
        <v>1789</v>
      </c>
      <c r="BR236" s="94">
        <v>44154.69321759259</v>
      </c>
      <c r="BS236" s="5">
        <v>40.0</v>
      </c>
      <c r="BT236" s="5" t="s">
        <v>1770</v>
      </c>
      <c r="BU236" s="5" t="s">
        <v>1770</v>
      </c>
      <c r="BV236" s="94">
        <v>44392.70545138889</v>
      </c>
      <c r="BW236" s="5">
        <v>40.0</v>
      </c>
    </row>
    <row r="237" ht="14.25" customHeight="1">
      <c r="A237" s="5">
        <v>236.0</v>
      </c>
      <c r="B237" s="5">
        <v>505.0</v>
      </c>
      <c r="C237" s="5" t="s">
        <v>3560</v>
      </c>
      <c r="D237" s="5" t="s">
        <v>3561</v>
      </c>
      <c r="E237" s="5" t="s">
        <v>1919</v>
      </c>
      <c r="F237" s="5" t="s">
        <v>3562</v>
      </c>
      <c r="G237" s="5" t="s">
        <v>3563</v>
      </c>
      <c r="H237" s="5" t="s">
        <v>1972</v>
      </c>
      <c r="I237" s="5" t="s">
        <v>1782</v>
      </c>
      <c r="J237" s="91">
        <v>35596.0</v>
      </c>
      <c r="K237" s="5">
        <v>549.0</v>
      </c>
      <c r="L237" s="5" t="s">
        <v>3564</v>
      </c>
      <c r="M237" s="5">
        <v>163.0</v>
      </c>
      <c r="N237" s="5" t="s">
        <v>2624</v>
      </c>
      <c r="O237" s="5">
        <v>41922.0</v>
      </c>
      <c r="P237" s="5" t="s">
        <v>1797</v>
      </c>
      <c r="Q237" s="5" t="s">
        <v>2349</v>
      </c>
      <c r="R237" s="5">
        <v>597.0</v>
      </c>
      <c r="S237" s="5">
        <v>3.31535844E9</v>
      </c>
      <c r="T237" s="5" t="s">
        <v>3565</v>
      </c>
      <c r="U237" s="5" t="s">
        <v>3566</v>
      </c>
      <c r="V237" s="5">
        <v>3.313276055E9</v>
      </c>
      <c r="W237" s="5" t="s">
        <v>1808</v>
      </c>
      <c r="X237" s="91">
        <v>44161.0</v>
      </c>
      <c r="Y237" s="5">
        <v>5.0</v>
      </c>
      <c r="Z237" s="5">
        <v>3.0</v>
      </c>
      <c r="AA237" s="5">
        <v>58.0</v>
      </c>
      <c r="AB237" s="5" t="s">
        <v>3567</v>
      </c>
      <c r="AC237" s="5" t="s">
        <v>1800</v>
      </c>
      <c r="AD237" s="91">
        <v>43923.0</v>
      </c>
      <c r="AE237" s="91">
        <v>45384.0</v>
      </c>
      <c r="AF237" s="5"/>
      <c r="AG237" s="5"/>
      <c r="AH237" s="5">
        <v>2.2169727215E10</v>
      </c>
      <c r="AI237" s="5">
        <v>95.0</v>
      </c>
      <c r="AJ237" s="5"/>
      <c r="AK237" s="5" t="s">
        <v>1773</v>
      </c>
      <c r="AL237" s="92">
        <v>0.0</v>
      </c>
      <c r="AM237" s="5" t="s">
        <v>1770</v>
      </c>
      <c r="AN237" s="5" t="s">
        <v>1774</v>
      </c>
      <c r="AO237" s="5"/>
      <c r="AP237" s="5"/>
      <c r="AQ237" s="5"/>
      <c r="AR237" s="5"/>
      <c r="AS237" s="5"/>
      <c r="AT237" s="5"/>
      <c r="AU237" s="5"/>
      <c r="AV237" s="5"/>
      <c r="AW237" s="5" t="s">
        <v>1770</v>
      </c>
      <c r="AX237" s="5"/>
      <c r="AY237" s="5"/>
      <c r="AZ237" s="5" t="s">
        <v>1770</v>
      </c>
      <c r="BA237" s="93">
        <v>0.0</v>
      </c>
      <c r="BB237" s="93">
        <v>0.0</v>
      </c>
      <c r="BC237" s="93">
        <v>0.0</v>
      </c>
      <c r="BD237" s="93">
        <v>0.0</v>
      </c>
      <c r="BE237" s="93">
        <v>0.0</v>
      </c>
      <c r="BF237" s="93">
        <v>0.0</v>
      </c>
      <c r="BG237" s="5"/>
      <c r="BH237" s="93">
        <v>0.0</v>
      </c>
      <c r="BI237" s="93">
        <v>0.0</v>
      </c>
      <c r="BJ237" s="93">
        <v>0.0</v>
      </c>
      <c r="BK237" s="93">
        <v>0.0</v>
      </c>
      <c r="BL237" s="93">
        <v>0.0</v>
      </c>
      <c r="BM237" s="93">
        <v>0.0</v>
      </c>
      <c r="BN237" s="93">
        <v>0.0</v>
      </c>
      <c r="BO237" s="5"/>
      <c r="BP237" s="5" t="s">
        <v>1770</v>
      </c>
      <c r="BQ237" s="5" t="s">
        <v>1789</v>
      </c>
      <c r="BR237" s="94">
        <v>44170.46828703704</v>
      </c>
      <c r="BS237" s="5">
        <v>40.0</v>
      </c>
      <c r="BT237" s="5" t="s">
        <v>1770</v>
      </c>
      <c r="BU237" s="5" t="s">
        <v>1770</v>
      </c>
      <c r="BV237" s="94">
        <v>44645.52076388889</v>
      </c>
      <c r="BW237" s="5">
        <v>167.0</v>
      </c>
    </row>
    <row r="238" ht="14.25" customHeight="1">
      <c r="A238" s="5">
        <v>237.0</v>
      </c>
      <c r="B238" s="5">
        <v>506.0</v>
      </c>
      <c r="C238" s="5" t="s">
        <v>3568</v>
      </c>
      <c r="D238" s="5" t="s">
        <v>2036</v>
      </c>
      <c r="E238" s="5" t="s">
        <v>3569</v>
      </c>
      <c r="F238" s="5" t="s">
        <v>3570</v>
      </c>
      <c r="G238" s="5" t="s">
        <v>3571</v>
      </c>
      <c r="H238" s="5" t="s">
        <v>1972</v>
      </c>
      <c r="I238" s="5" t="s">
        <v>1782</v>
      </c>
      <c r="J238" s="91">
        <v>34039.0</v>
      </c>
      <c r="K238" s="5">
        <v>594.0</v>
      </c>
      <c r="L238" s="5" t="s">
        <v>3572</v>
      </c>
      <c r="M238" s="5">
        <v>650.0</v>
      </c>
      <c r="N238" s="5">
        <v>5.0</v>
      </c>
      <c r="O238" s="5">
        <v>43772.0</v>
      </c>
      <c r="P238" s="5" t="s">
        <v>1797</v>
      </c>
      <c r="Q238" s="5" t="s">
        <v>2179</v>
      </c>
      <c r="R238" s="5">
        <v>594.0</v>
      </c>
      <c r="S238" s="5">
        <v>3.311840837E9</v>
      </c>
      <c r="T238" s="5" t="s">
        <v>3573</v>
      </c>
      <c r="U238" s="5" t="s">
        <v>3574</v>
      </c>
      <c r="V238" s="5">
        <v>3.411380739E9</v>
      </c>
      <c r="W238" s="5" t="s">
        <v>1808</v>
      </c>
      <c r="X238" s="91">
        <v>44166.0</v>
      </c>
      <c r="Y238" s="5">
        <v>5.0</v>
      </c>
      <c r="Z238" s="5">
        <v>18.0</v>
      </c>
      <c r="AA238" s="5">
        <v>1.0</v>
      </c>
      <c r="AB238" s="5" t="s">
        <v>3575</v>
      </c>
      <c r="AC238" s="5" t="s">
        <v>1800</v>
      </c>
      <c r="AD238" s="91">
        <v>41844.0</v>
      </c>
      <c r="AE238" s="91">
        <v>45131.0</v>
      </c>
      <c r="AF238" s="5"/>
      <c r="AG238" s="5"/>
      <c r="AH238" s="5">
        <v>7.5119325639E10</v>
      </c>
      <c r="AI238" s="5">
        <v>95.0</v>
      </c>
      <c r="AJ238" s="5"/>
      <c r="AK238" s="5" t="s">
        <v>1773</v>
      </c>
      <c r="AL238" s="92">
        <v>0.0</v>
      </c>
      <c r="AM238" s="5" t="s">
        <v>1770</v>
      </c>
      <c r="AN238" s="5" t="s">
        <v>1830</v>
      </c>
      <c r="AO238" s="5"/>
      <c r="AP238" s="5"/>
      <c r="AQ238" s="5"/>
      <c r="AR238" s="5"/>
      <c r="AS238" s="5"/>
      <c r="AT238" s="5"/>
      <c r="AU238" s="5"/>
      <c r="AV238" s="5"/>
      <c r="AW238" s="5" t="s">
        <v>1770</v>
      </c>
      <c r="AX238" s="5"/>
      <c r="AY238" s="5"/>
      <c r="AZ238" s="5" t="s">
        <v>1770</v>
      </c>
      <c r="BA238" s="93">
        <v>0.0</v>
      </c>
      <c r="BB238" s="93">
        <v>0.0</v>
      </c>
      <c r="BC238" s="93">
        <v>0.0</v>
      </c>
      <c r="BD238" s="93">
        <v>0.0</v>
      </c>
      <c r="BE238" s="93">
        <v>0.0</v>
      </c>
      <c r="BF238" s="93">
        <v>0.0</v>
      </c>
      <c r="BG238" s="5"/>
      <c r="BH238" s="93">
        <v>0.0</v>
      </c>
      <c r="BI238" s="93">
        <v>0.0</v>
      </c>
      <c r="BJ238" s="93">
        <v>0.0</v>
      </c>
      <c r="BK238" s="93">
        <v>0.0</v>
      </c>
      <c r="BL238" s="93">
        <v>0.0</v>
      </c>
      <c r="BM238" s="93">
        <v>0.0</v>
      </c>
      <c r="BN238" s="93">
        <v>0.0</v>
      </c>
      <c r="BO238" s="5"/>
      <c r="BP238" s="5" t="s">
        <v>1770</v>
      </c>
      <c r="BQ238" s="5" t="s">
        <v>1789</v>
      </c>
      <c r="BR238" s="94">
        <v>44170.50475694444</v>
      </c>
      <c r="BS238" s="5">
        <v>40.0</v>
      </c>
      <c r="BT238" s="5" t="s">
        <v>1770</v>
      </c>
      <c r="BU238" s="5" t="s">
        <v>1770</v>
      </c>
      <c r="BV238" s="94">
        <v>44645.50575231481</v>
      </c>
      <c r="BW238" s="5">
        <v>167.0</v>
      </c>
    </row>
    <row r="239" ht="14.25" customHeight="1">
      <c r="A239" s="5">
        <v>238.0</v>
      </c>
      <c r="B239" s="5">
        <v>507.0</v>
      </c>
      <c r="C239" s="5" t="s">
        <v>3456</v>
      </c>
      <c r="D239" s="5" t="s">
        <v>1888</v>
      </c>
      <c r="E239" s="5" t="s">
        <v>3576</v>
      </c>
      <c r="F239" s="5" t="s">
        <v>3577</v>
      </c>
      <c r="G239" s="5" t="s">
        <v>3578</v>
      </c>
      <c r="H239" s="5" t="s">
        <v>1781</v>
      </c>
      <c r="I239" s="5" t="s">
        <v>1782</v>
      </c>
      <c r="J239" s="91">
        <v>30668.0</v>
      </c>
      <c r="K239" s="5">
        <v>834.0</v>
      </c>
      <c r="L239" s="5" t="s">
        <v>3579</v>
      </c>
      <c r="M239" s="5">
        <v>122.0</v>
      </c>
      <c r="N239" s="5"/>
      <c r="O239" s="5">
        <v>53972.0</v>
      </c>
      <c r="P239" s="5" t="s">
        <v>1995</v>
      </c>
      <c r="Q239" s="5" t="s">
        <v>2041</v>
      </c>
      <c r="R239" s="5">
        <v>834.0</v>
      </c>
      <c r="S239" s="5">
        <v>4.431983003E9</v>
      </c>
      <c r="T239" s="5" t="s">
        <v>3580</v>
      </c>
      <c r="U239" s="5" t="s">
        <v>2411</v>
      </c>
      <c r="V239" s="5">
        <v>2.589631548E9</v>
      </c>
      <c r="W239" s="5" t="s">
        <v>3581</v>
      </c>
      <c r="X239" s="91">
        <v>44187.0</v>
      </c>
      <c r="Y239" s="5">
        <v>4.0</v>
      </c>
      <c r="Z239" s="5">
        <v>1.0</v>
      </c>
      <c r="AA239" s="5">
        <v>1.0</v>
      </c>
      <c r="AB239" s="5" t="s">
        <v>3582</v>
      </c>
      <c r="AC239" s="5" t="s">
        <v>2274</v>
      </c>
      <c r="AD239" s="91">
        <v>42969.0</v>
      </c>
      <c r="AE239" s="91">
        <v>44794.0</v>
      </c>
      <c r="AF239" s="5"/>
      <c r="AG239" s="5"/>
      <c r="AH239" s="5">
        <v>5.3028308566E10</v>
      </c>
      <c r="AI239" s="5">
        <v>1.0</v>
      </c>
      <c r="AJ239" s="5"/>
      <c r="AK239" s="5" t="s">
        <v>1773</v>
      </c>
      <c r="AL239" s="92">
        <v>0.0</v>
      </c>
      <c r="AM239" s="5" t="s">
        <v>1770</v>
      </c>
      <c r="AN239" s="5" t="s">
        <v>1830</v>
      </c>
      <c r="AO239" s="5"/>
      <c r="AP239" s="5"/>
      <c r="AQ239" s="5"/>
      <c r="AR239" s="5"/>
      <c r="AS239" s="5"/>
      <c r="AT239" s="5"/>
      <c r="AU239" s="5"/>
      <c r="AV239" s="5"/>
      <c r="AW239" s="5" t="s">
        <v>1770</v>
      </c>
      <c r="AX239" s="5"/>
      <c r="AY239" s="5"/>
      <c r="AZ239" s="5" t="s">
        <v>1770</v>
      </c>
      <c r="BA239" s="93">
        <v>0.0</v>
      </c>
      <c r="BB239" s="93">
        <v>0.0</v>
      </c>
      <c r="BC239" s="93">
        <v>0.0</v>
      </c>
      <c r="BD239" s="93">
        <v>0.0</v>
      </c>
      <c r="BE239" s="93">
        <v>0.0</v>
      </c>
      <c r="BF239" s="93">
        <v>0.0</v>
      </c>
      <c r="BG239" s="5"/>
      <c r="BH239" s="93">
        <v>0.0</v>
      </c>
      <c r="BI239" s="93">
        <v>0.0</v>
      </c>
      <c r="BJ239" s="93">
        <v>0.0</v>
      </c>
      <c r="BK239" s="93">
        <v>0.0</v>
      </c>
      <c r="BL239" s="93">
        <v>0.0</v>
      </c>
      <c r="BM239" s="93">
        <v>0.0</v>
      </c>
      <c r="BN239" s="93">
        <v>0.0</v>
      </c>
      <c r="BO239" s="5"/>
      <c r="BP239" s="5" t="s">
        <v>1770</v>
      </c>
      <c r="BQ239" s="5" t="s">
        <v>1789</v>
      </c>
      <c r="BR239" s="94">
        <v>44200.699421296296</v>
      </c>
      <c r="BS239" s="5">
        <v>40.0</v>
      </c>
      <c r="BT239" s="5" t="s">
        <v>1770</v>
      </c>
      <c r="BU239" s="5" t="s">
        <v>1770</v>
      </c>
      <c r="BV239" s="94">
        <v>44645.51167824074</v>
      </c>
      <c r="BW239" s="5">
        <v>167.0</v>
      </c>
    </row>
    <row r="240" ht="14.25" customHeight="1">
      <c r="A240" s="5">
        <v>239.0</v>
      </c>
      <c r="B240" s="5">
        <v>509.0</v>
      </c>
      <c r="C240" s="5" t="s">
        <v>3583</v>
      </c>
      <c r="D240" s="5" t="s">
        <v>3584</v>
      </c>
      <c r="E240" s="5" t="s">
        <v>2573</v>
      </c>
      <c r="F240" s="5" t="s">
        <v>3585</v>
      </c>
      <c r="G240" s="5" t="s">
        <v>3586</v>
      </c>
      <c r="H240" s="5" t="s">
        <v>2671</v>
      </c>
      <c r="I240" s="5" t="s">
        <v>1782</v>
      </c>
      <c r="J240" s="91">
        <v>31361.0</v>
      </c>
      <c r="K240" s="5">
        <v>424.0</v>
      </c>
      <c r="L240" s="5" t="s">
        <v>2430</v>
      </c>
      <c r="M240" s="5">
        <v>200.0</v>
      </c>
      <c r="N240" s="5"/>
      <c r="O240" s="5">
        <v>35873.0</v>
      </c>
      <c r="P240" s="5" t="s">
        <v>1797</v>
      </c>
      <c r="Q240" s="5" t="s">
        <v>2406</v>
      </c>
      <c r="R240" s="5">
        <v>424.0</v>
      </c>
      <c r="S240" s="5">
        <v>4.691046464E9</v>
      </c>
      <c r="T240" s="5" t="s">
        <v>78</v>
      </c>
      <c r="U240" s="5" t="s">
        <v>3506</v>
      </c>
      <c r="V240" s="5">
        <v>4.623811225E9</v>
      </c>
      <c r="W240" s="5" t="s">
        <v>3111</v>
      </c>
      <c r="X240" s="91">
        <v>44228.0</v>
      </c>
      <c r="Y240" s="5">
        <v>2.0</v>
      </c>
      <c r="Z240" s="5">
        <v>4.0</v>
      </c>
      <c r="AA240" s="5">
        <v>39.0</v>
      </c>
      <c r="AB240" s="5">
        <v>2684212.0</v>
      </c>
      <c r="AC240" s="5" t="s">
        <v>1772</v>
      </c>
      <c r="AD240" s="91">
        <v>43504.0</v>
      </c>
      <c r="AE240" s="91">
        <v>44600.0</v>
      </c>
      <c r="AF240" s="5"/>
      <c r="AG240" s="5"/>
      <c r="AH240" s="5">
        <v>1.205852775E10</v>
      </c>
      <c r="AI240" s="5">
        <v>9.0</v>
      </c>
      <c r="AJ240" s="5"/>
      <c r="AK240" s="5" t="s">
        <v>1773</v>
      </c>
      <c r="AL240" s="92">
        <v>0.0</v>
      </c>
      <c r="AM240" s="5" t="s">
        <v>1770</v>
      </c>
      <c r="AN240" s="5" t="s">
        <v>1830</v>
      </c>
      <c r="AO240" s="5"/>
      <c r="AP240" s="5"/>
      <c r="AQ240" s="5"/>
      <c r="AR240" s="5"/>
      <c r="AS240" s="5"/>
      <c r="AT240" s="5"/>
      <c r="AU240" s="5"/>
      <c r="AV240" s="5"/>
      <c r="AW240" s="5" t="s">
        <v>1770</v>
      </c>
      <c r="AX240" s="5"/>
      <c r="AY240" s="5"/>
      <c r="AZ240" s="5" t="s">
        <v>1770</v>
      </c>
      <c r="BA240" s="93">
        <v>0.0</v>
      </c>
      <c r="BB240" s="93">
        <v>0.0</v>
      </c>
      <c r="BC240" s="93">
        <v>0.0</v>
      </c>
      <c r="BD240" s="93">
        <v>0.0</v>
      </c>
      <c r="BE240" s="93">
        <v>0.0</v>
      </c>
      <c r="BF240" s="93">
        <v>0.0</v>
      </c>
      <c r="BG240" s="5"/>
      <c r="BH240" s="93">
        <v>0.0</v>
      </c>
      <c r="BI240" s="93">
        <v>0.0</v>
      </c>
      <c r="BJ240" s="93">
        <v>0.0</v>
      </c>
      <c r="BK240" s="93">
        <v>0.0</v>
      </c>
      <c r="BL240" s="93">
        <v>0.0</v>
      </c>
      <c r="BM240" s="93">
        <v>0.0</v>
      </c>
      <c r="BN240" s="93">
        <v>0.0</v>
      </c>
      <c r="BO240" s="5"/>
      <c r="BP240" s="5" t="s">
        <v>1770</v>
      </c>
      <c r="BQ240" s="5" t="s">
        <v>1789</v>
      </c>
      <c r="BR240" s="94">
        <v>44228.75444444444</v>
      </c>
      <c r="BS240" s="5">
        <v>40.0</v>
      </c>
      <c r="BT240" s="5" t="s">
        <v>1770</v>
      </c>
      <c r="BU240" s="5" t="s">
        <v>1770</v>
      </c>
      <c r="BV240" s="94">
        <v>44980.44818287037</v>
      </c>
      <c r="BW240" s="5">
        <v>40.0</v>
      </c>
    </row>
    <row r="241" ht="14.25" customHeight="1">
      <c r="A241" s="5">
        <v>240.0</v>
      </c>
      <c r="B241" s="5">
        <v>510.0</v>
      </c>
      <c r="C241" s="5" t="s">
        <v>3587</v>
      </c>
      <c r="D241" s="5" t="s">
        <v>2765</v>
      </c>
      <c r="E241" s="5" t="s">
        <v>1946</v>
      </c>
      <c r="F241" s="5" t="s">
        <v>3588</v>
      </c>
      <c r="G241" s="5" t="s">
        <v>3589</v>
      </c>
      <c r="H241" s="5" t="s">
        <v>1972</v>
      </c>
      <c r="I241" s="5" t="s">
        <v>1782</v>
      </c>
      <c r="J241" s="91">
        <v>34699.0</v>
      </c>
      <c r="K241" s="5">
        <v>424.0</v>
      </c>
      <c r="L241" s="5" t="s">
        <v>3590</v>
      </c>
      <c r="M241" s="5">
        <v>11.0</v>
      </c>
      <c r="N241" s="5"/>
      <c r="O241" s="5">
        <v>35873.0</v>
      </c>
      <c r="P241" s="5" t="s">
        <v>1797</v>
      </c>
      <c r="Q241" s="5" t="s">
        <v>2406</v>
      </c>
      <c r="R241" s="5">
        <v>424.0</v>
      </c>
      <c r="S241" s="5">
        <v>4.696216518E9</v>
      </c>
      <c r="T241" s="5" t="s">
        <v>3591</v>
      </c>
      <c r="U241" s="5" t="s">
        <v>3592</v>
      </c>
      <c r="V241" s="5">
        <v>4.691078278E9</v>
      </c>
      <c r="W241" s="5" t="s">
        <v>1808</v>
      </c>
      <c r="X241" s="91">
        <v>44228.0</v>
      </c>
      <c r="Y241" s="5">
        <v>2.0</v>
      </c>
      <c r="Z241" s="5">
        <v>18.0</v>
      </c>
      <c r="AA241" s="5">
        <v>1.0</v>
      </c>
      <c r="AB241" s="5">
        <v>3182655.0</v>
      </c>
      <c r="AC241" s="5" t="s">
        <v>1772</v>
      </c>
      <c r="AD241" s="91">
        <v>44119.0</v>
      </c>
      <c r="AE241" s="91">
        <v>45945.0</v>
      </c>
      <c r="AF241" s="5"/>
      <c r="AG241" s="5"/>
      <c r="AH241" s="5">
        <v>8.1139412928E10</v>
      </c>
      <c r="AI241" s="5">
        <v>9.0</v>
      </c>
      <c r="AJ241" s="5"/>
      <c r="AK241" s="5" t="s">
        <v>1773</v>
      </c>
      <c r="AL241" s="92">
        <v>0.0</v>
      </c>
      <c r="AM241" s="5" t="s">
        <v>1770</v>
      </c>
      <c r="AN241" s="5" t="s">
        <v>1774</v>
      </c>
      <c r="AO241" s="5"/>
      <c r="AP241" s="5"/>
      <c r="AQ241" s="5"/>
      <c r="AR241" s="5"/>
      <c r="AS241" s="5"/>
      <c r="AT241" s="5"/>
      <c r="AU241" s="5"/>
      <c r="AV241" s="5"/>
      <c r="AW241" s="5" t="s">
        <v>1770</v>
      </c>
      <c r="AX241" s="5"/>
      <c r="AY241" s="5"/>
      <c r="AZ241" s="5" t="s">
        <v>1770</v>
      </c>
      <c r="BA241" s="93">
        <v>0.0</v>
      </c>
      <c r="BB241" s="93">
        <v>0.0</v>
      </c>
      <c r="BC241" s="93">
        <v>0.0</v>
      </c>
      <c r="BD241" s="93">
        <v>0.0</v>
      </c>
      <c r="BE241" s="93">
        <v>0.0</v>
      </c>
      <c r="BF241" s="93">
        <v>0.0</v>
      </c>
      <c r="BG241" s="5"/>
      <c r="BH241" s="93">
        <v>0.0</v>
      </c>
      <c r="BI241" s="93">
        <v>0.0</v>
      </c>
      <c r="BJ241" s="93">
        <v>0.0</v>
      </c>
      <c r="BK241" s="93">
        <v>0.0</v>
      </c>
      <c r="BL241" s="93">
        <v>0.0</v>
      </c>
      <c r="BM241" s="93">
        <v>0.0</v>
      </c>
      <c r="BN241" s="93">
        <v>0.0</v>
      </c>
      <c r="BO241" s="5"/>
      <c r="BP241" s="5" t="s">
        <v>1770</v>
      </c>
      <c r="BQ241" s="5" t="s">
        <v>1789</v>
      </c>
      <c r="BR241" s="94">
        <v>44229.67542824074</v>
      </c>
      <c r="BS241" s="5">
        <v>40.0</v>
      </c>
      <c r="BT241" s="5" t="s">
        <v>1770</v>
      </c>
      <c r="BU241" s="5" t="s">
        <v>1770</v>
      </c>
      <c r="BV241" s="94">
        <v>44645.52327546296</v>
      </c>
      <c r="BW241" s="5">
        <v>167.0</v>
      </c>
    </row>
    <row r="242" ht="14.25" customHeight="1">
      <c r="A242" s="5">
        <v>241.0</v>
      </c>
      <c r="B242" s="5">
        <v>508.0</v>
      </c>
      <c r="C242" s="5" t="s">
        <v>3593</v>
      </c>
      <c r="D242" s="5" t="s">
        <v>2620</v>
      </c>
      <c r="E242" s="5" t="s">
        <v>2399</v>
      </c>
      <c r="F242" s="5" t="s">
        <v>3594</v>
      </c>
      <c r="G242" s="5" t="s">
        <v>3595</v>
      </c>
      <c r="H242" s="5" t="s">
        <v>1781</v>
      </c>
      <c r="I242" s="5" t="s">
        <v>1782</v>
      </c>
      <c r="J242" s="91">
        <v>34281.0</v>
      </c>
      <c r="K242" s="5">
        <v>424.0</v>
      </c>
      <c r="L242" s="5" t="s">
        <v>3596</v>
      </c>
      <c r="M242" s="5">
        <v>137.0</v>
      </c>
      <c r="N242" s="5"/>
      <c r="O242" s="5">
        <v>35873.0</v>
      </c>
      <c r="P242" s="5" t="s">
        <v>3597</v>
      </c>
      <c r="Q242" s="5" t="s">
        <v>2406</v>
      </c>
      <c r="R242" s="5">
        <v>424.0</v>
      </c>
      <c r="S242" s="5">
        <v>4.69123725E9</v>
      </c>
      <c r="T242" s="5" t="s">
        <v>3598</v>
      </c>
      <c r="U242" s="5" t="s">
        <v>3599</v>
      </c>
      <c r="V242" s="5">
        <v>4.691063195E9</v>
      </c>
      <c r="W242" s="5" t="s">
        <v>1787</v>
      </c>
      <c r="X242" s="91">
        <v>44214.0</v>
      </c>
      <c r="Y242" s="5">
        <v>2.0</v>
      </c>
      <c r="Z242" s="5">
        <v>3.0</v>
      </c>
      <c r="AA242" s="5">
        <v>58.0</v>
      </c>
      <c r="AB242" s="5" t="s">
        <v>3600</v>
      </c>
      <c r="AC242" s="5" t="s">
        <v>1772</v>
      </c>
      <c r="AD242" s="91">
        <v>45895.0</v>
      </c>
      <c r="AE242" s="91">
        <v>46625.0</v>
      </c>
      <c r="AF242" s="5"/>
      <c r="AG242" s="5"/>
      <c r="AH242" s="5">
        <v>1.2139360338E10</v>
      </c>
      <c r="AI242" s="5">
        <v>9.0</v>
      </c>
      <c r="AJ242" s="5"/>
      <c r="AK242" s="5" t="s">
        <v>1773</v>
      </c>
      <c r="AL242" s="92">
        <v>0.0</v>
      </c>
      <c r="AM242" s="5" t="s">
        <v>1770</v>
      </c>
      <c r="AN242" s="5" t="s">
        <v>1830</v>
      </c>
      <c r="AO242" s="5"/>
      <c r="AP242" s="5"/>
      <c r="AQ242" s="5"/>
      <c r="AR242" s="5"/>
      <c r="AS242" s="5"/>
      <c r="AT242" s="5"/>
      <c r="AU242" s="5"/>
      <c r="AV242" s="5"/>
      <c r="AW242" s="5" t="s">
        <v>1770</v>
      </c>
      <c r="AX242" s="5"/>
      <c r="AY242" s="5"/>
      <c r="AZ242" s="5" t="s">
        <v>1770</v>
      </c>
      <c r="BA242" s="93">
        <v>0.0</v>
      </c>
      <c r="BB242" s="93">
        <v>0.0</v>
      </c>
      <c r="BC242" s="93">
        <v>0.0</v>
      </c>
      <c r="BD242" s="93">
        <v>0.0</v>
      </c>
      <c r="BE242" s="93">
        <v>0.0</v>
      </c>
      <c r="BF242" s="93">
        <v>0.0</v>
      </c>
      <c r="BG242" s="5"/>
      <c r="BH242" s="93">
        <v>0.0</v>
      </c>
      <c r="BI242" s="93">
        <v>0.0</v>
      </c>
      <c r="BJ242" s="93">
        <v>0.0</v>
      </c>
      <c r="BK242" s="93">
        <v>0.0</v>
      </c>
      <c r="BL242" s="93">
        <v>0.0</v>
      </c>
      <c r="BM242" s="93">
        <v>0.0</v>
      </c>
      <c r="BN242" s="93">
        <v>0.0</v>
      </c>
      <c r="BO242" s="5"/>
      <c r="BP242" s="5"/>
      <c r="BQ242" s="5" t="s">
        <v>1775</v>
      </c>
      <c r="BR242" s="94">
        <v>44229.68271990741</v>
      </c>
      <c r="BS242" s="5">
        <v>40.0</v>
      </c>
      <c r="BT242" s="94">
        <v>46133.518483796295</v>
      </c>
      <c r="BU242" s="5">
        <v>272.0</v>
      </c>
      <c r="BV242" s="5" t="s">
        <v>1770</v>
      </c>
      <c r="BW242" s="5" t="s">
        <v>1770</v>
      </c>
    </row>
    <row r="243" ht="14.25" customHeight="1">
      <c r="A243" s="5">
        <v>242.0</v>
      </c>
      <c r="B243" s="5">
        <v>511.0</v>
      </c>
      <c r="C243" s="5" t="s">
        <v>3601</v>
      </c>
      <c r="D243" s="100" t="s">
        <v>3602</v>
      </c>
      <c r="E243" s="5" t="s">
        <v>2001</v>
      </c>
      <c r="F243" s="5" t="s">
        <v>3603</v>
      </c>
      <c r="G243" s="5" t="s">
        <v>3604</v>
      </c>
      <c r="H243" s="5" t="s">
        <v>1781</v>
      </c>
      <c r="I243" s="5" t="s">
        <v>1782</v>
      </c>
      <c r="J243" s="91">
        <v>32191.0</v>
      </c>
      <c r="K243" s="5">
        <v>594.0</v>
      </c>
      <c r="L243" s="5" t="s">
        <v>2742</v>
      </c>
      <c r="M243" s="5">
        <v>300.0</v>
      </c>
      <c r="N243" s="5"/>
      <c r="O243" s="5">
        <v>43832.0</v>
      </c>
      <c r="P243" s="5" t="s">
        <v>3605</v>
      </c>
      <c r="Q243" s="5" t="s">
        <v>2179</v>
      </c>
      <c r="R243" s="5">
        <v>594.0</v>
      </c>
      <c r="S243" s="5">
        <v>3.32229379E9</v>
      </c>
      <c r="T243" s="5" t="s">
        <v>3606</v>
      </c>
      <c r="U243" s="100" t="s">
        <v>3607</v>
      </c>
      <c r="V243" s="5">
        <v>3.921099517E9</v>
      </c>
      <c r="W243" s="5" t="s">
        <v>1787</v>
      </c>
      <c r="X243" s="91">
        <v>44236.0</v>
      </c>
      <c r="Y243" s="5">
        <v>5.0</v>
      </c>
      <c r="Z243" s="5">
        <v>19.0</v>
      </c>
      <c r="AA243" s="5">
        <v>1.0</v>
      </c>
      <c r="AB243" s="5" t="s">
        <v>3608</v>
      </c>
      <c r="AC243" s="5" t="s">
        <v>1800</v>
      </c>
      <c r="AD243" s="91">
        <v>43658.0</v>
      </c>
      <c r="AE243" s="91">
        <v>45119.0</v>
      </c>
      <c r="AF243" s="5"/>
      <c r="AG243" s="5"/>
      <c r="AH243" s="5">
        <v>9.0118801449E10</v>
      </c>
      <c r="AI243" s="5">
        <v>169.0</v>
      </c>
      <c r="AJ243" s="5"/>
      <c r="AK243" s="5" t="s">
        <v>1773</v>
      </c>
      <c r="AL243" s="92">
        <v>0.0</v>
      </c>
      <c r="AM243" s="5" t="s">
        <v>1770</v>
      </c>
      <c r="AN243" s="5" t="s">
        <v>1830</v>
      </c>
      <c r="AO243" s="5"/>
      <c r="AP243" s="5"/>
      <c r="AQ243" s="5"/>
      <c r="AR243" s="5"/>
      <c r="AS243" s="5"/>
      <c r="AT243" s="5"/>
      <c r="AU243" s="5"/>
      <c r="AV243" s="5"/>
      <c r="AW243" s="5" t="s">
        <v>1770</v>
      </c>
      <c r="AX243" s="5"/>
      <c r="AY243" s="5"/>
      <c r="AZ243" s="5" t="s">
        <v>1770</v>
      </c>
      <c r="BA243" s="93">
        <v>0.0</v>
      </c>
      <c r="BB243" s="93">
        <v>0.0</v>
      </c>
      <c r="BC243" s="93">
        <v>0.0</v>
      </c>
      <c r="BD243" s="93">
        <v>0.0</v>
      </c>
      <c r="BE243" s="93">
        <v>0.0</v>
      </c>
      <c r="BF243" s="93">
        <v>0.0</v>
      </c>
      <c r="BG243" s="5"/>
      <c r="BH243" s="93">
        <v>0.0</v>
      </c>
      <c r="BI243" s="93">
        <v>0.0</v>
      </c>
      <c r="BJ243" s="93">
        <v>0.0</v>
      </c>
      <c r="BK243" s="93">
        <v>0.0</v>
      </c>
      <c r="BL243" s="93">
        <v>0.0</v>
      </c>
      <c r="BM243" s="93">
        <v>0.0</v>
      </c>
      <c r="BN243" s="93">
        <v>0.0</v>
      </c>
      <c r="BO243" s="5"/>
      <c r="BP243" s="5" t="s">
        <v>1770</v>
      </c>
      <c r="BQ243" s="5" t="s">
        <v>1789</v>
      </c>
      <c r="BR243" s="94">
        <v>44238.50462962963</v>
      </c>
      <c r="BS243" s="5">
        <v>40.0</v>
      </c>
      <c r="BT243" s="5" t="s">
        <v>1770</v>
      </c>
      <c r="BU243" s="5" t="s">
        <v>1770</v>
      </c>
      <c r="BV243" s="94">
        <v>44645.521006944444</v>
      </c>
      <c r="BW243" s="5">
        <v>167.0</v>
      </c>
    </row>
    <row r="244" ht="14.25" customHeight="1">
      <c r="A244" s="5">
        <v>243.0</v>
      </c>
      <c r="B244" s="5">
        <v>512.0</v>
      </c>
      <c r="C244" s="5" t="s">
        <v>3609</v>
      </c>
      <c r="D244" s="5" t="s">
        <v>3610</v>
      </c>
      <c r="E244" s="5" t="s">
        <v>3611</v>
      </c>
      <c r="F244" s="5" t="s">
        <v>3612</v>
      </c>
      <c r="G244" s="5" t="s">
        <v>3613</v>
      </c>
      <c r="H244" s="5" t="s">
        <v>1972</v>
      </c>
      <c r="I244" s="5" t="s">
        <v>1782</v>
      </c>
      <c r="J244" s="91">
        <v>35536.0</v>
      </c>
      <c r="K244" s="5">
        <v>834.0</v>
      </c>
      <c r="L244" s="5" t="s">
        <v>3614</v>
      </c>
      <c r="M244" s="5">
        <v>358.0</v>
      </c>
      <c r="N244" s="5"/>
      <c r="O244" s="5">
        <v>54682.0</v>
      </c>
      <c r="P244" s="5" t="s">
        <v>3615</v>
      </c>
      <c r="Q244" s="5" t="s">
        <v>2342</v>
      </c>
      <c r="R244" s="5">
        <v>869.0</v>
      </c>
      <c r="S244" s="5">
        <v>4.437332162E9</v>
      </c>
      <c r="T244" s="5" t="s">
        <v>3616</v>
      </c>
      <c r="U244" s="5" t="s">
        <v>3617</v>
      </c>
      <c r="V244" s="5">
        <v>4.433370141E9</v>
      </c>
      <c r="W244" s="5" t="s">
        <v>1965</v>
      </c>
      <c r="X244" s="91">
        <v>44244.0</v>
      </c>
      <c r="Y244" s="5">
        <v>4.0</v>
      </c>
      <c r="Z244" s="5">
        <v>4.0</v>
      </c>
      <c r="AA244" s="5">
        <v>39.0</v>
      </c>
      <c r="AB244" s="5" t="s">
        <v>3618</v>
      </c>
      <c r="AC244" s="5" t="s">
        <v>1772</v>
      </c>
      <c r="AD244" s="91">
        <v>44433.0</v>
      </c>
      <c r="AE244" s="91">
        <v>45163.0</v>
      </c>
      <c r="AF244" s="5"/>
      <c r="AG244" s="5"/>
      <c r="AH244" s="5">
        <v>5.5169726894E10</v>
      </c>
      <c r="AI244" s="5">
        <v>85.0</v>
      </c>
      <c r="AJ244" s="5"/>
      <c r="AK244" s="5" t="s">
        <v>1773</v>
      </c>
      <c r="AL244" s="92">
        <v>0.0</v>
      </c>
      <c r="AM244" s="5" t="s">
        <v>1770</v>
      </c>
      <c r="AN244" s="5" t="s">
        <v>3619</v>
      </c>
      <c r="AO244" s="5"/>
      <c r="AP244" s="5"/>
      <c r="AQ244" s="5"/>
      <c r="AR244" s="5"/>
      <c r="AS244" s="5"/>
      <c r="AT244" s="5"/>
      <c r="AU244" s="5"/>
      <c r="AV244" s="5"/>
      <c r="AW244" s="5" t="s">
        <v>1770</v>
      </c>
      <c r="AX244" s="5"/>
      <c r="AY244" s="5"/>
      <c r="AZ244" s="5" t="s">
        <v>1770</v>
      </c>
      <c r="BA244" s="93">
        <v>0.0</v>
      </c>
      <c r="BB244" s="93">
        <v>0.0</v>
      </c>
      <c r="BC244" s="93">
        <v>0.0</v>
      </c>
      <c r="BD244" s="93">
        <v>0.0</v>
      </c>
      <c r="BE244" s="93">
        <v>0.0</v>
      </c>
      <c r="BF244" s="93">
        <v>0.0</v>
      </c>
      <c r="BG244" s="5"/>
      <c r="BH244" s="93">
        <v>0.0</v>
      </c>
      <c r="BI244" s="93">
        <v>0.0</v>
      </c>
      <c r="BJ244" s="93">
        <v>0.0</v>
      </c>
      <c r="BK244" s="93">
        <v>0.0</v>
      </c>
      <c r="BL244" s="93">
        <v>0.0</v>
      </c>
      <c r="BM244" s="93">
        <v>0.0</v>
      </c>
      <c r="BN244" s="93">
        <v>0.0</v>
      </c>
      <c r="BO244" s="5"/>
      <c r="BP244" s="5" t="s">
        <v>1770</v>
      </c>
      <c r="BQ244" s="5" t="s">
        <v>1789</v>
      </c>
      <c r="BR244" s="94">
        <v>44244.54038194445</v>
      </c>
      <c r="BS244" s="5">
        <v>40.0</v>
      </c>
      <c r="BT244" s="94">
        <v>44442.505532407406</v>
      </c>
      <c r="BU244" s="5">
        <v>40.0</v>
      </c>
      <c r="BV244" s="94">
        <v>44645.52012731481</v>
      </c>
      <c r="BW244" s="5">
        <v>167.0</v>
      </c>
    </row>
    <row r="245" ht="14.25" customHeight="1">
      <c r="A245" s="5">
        <v>244.0</v>
      </c>
      <c r="B245" s="5">
        <v>513.0</v>
      </c>
      <c r="C245" s="5" t="s">
        <v>3620</v>
      </c>
      <c r="D245" s="5" t="s">
        <v>1778</v>
      </c>
      <c r="E245" s="5" t="s">
        <v>2097</v>
      </c>
      <c r="F245" s="5" t="s">
        <v>3621</v>
      </c>
      <c r="G245" s="5" t="s">
        <v>3622</v>
      </c>
      <c r="H245" s="5" t="s">
        <v>1972</v>
      </c>
      <c r="I245" s="5" t="s">
        <v>1782</v>
      </c>
      <c r="J245" s="91">
        <v>35026.0</v>
      </c>
      <c r="K245" s="5">
        <v>418.0</v>
      </c>
      <c r="L245" s="5" t="s">
        <v>3623</v>
      </c>
      <c r="M245" s="5">
        <v>7.0</v>
      </c>
      <c r="N245" s="5"/>
      <c r="O245" s="5">
        <v>35873.0</v>
      </c>
      <c r="P245" s="5" t="s">
        <v>1797</v>
      </c>
      <c r="Q245" s="5" t="s">
        <v>3624</v>
      </c>
      <c r="R245" s="5">
        <v>424.0</v>
      </c>
      <c r="S245" s="5">
        <v>4.696038337E9</v>
      </c>
      <c r="T245" s="5" t="s">
        <v>3625</v>
      </c>
      <c r="U245" s="5" t="s">
        <v>3626</v>
      </c>
      <c r="V245" s="5">
        <v>1.236549874E9</v>
      </c>
      <c r="W245" s="5" t="s">
        <v>3506</v>
      </c>
      <c r="X245" s="91">
        <v>44244.0</v>
      </c>
      <c r="Y245" s="5">
        <v>2.0</v>
      </c>
      <c r="Z245" s="5">
        <v>19.0</v>
      </c>
      <c r="AA245" s="5">
        <v>1.0</v>
      </c>
      <c r="AB245" s="5" t="s">
        <v>3627</v>
      </c>
      <c r="AC245" s="5" t="s">
        <v>1772</v>
      </c>
      <c r="AD245" s="91">
        <v>42754.0</v>
      </c>
      <c r="AE245" s="91">
        <v>44580.0</v>
      </c>
      <c r="AF245" s="5"/>
      <c r="AG245" s="5"/>
      <c r="AH245" s="5">
        <v>1.2159501274E10</v>
      </c>
      <c r="AI245" s="5">
        <v>9.0</v>
      </c>
      <c r="AJ245" s="5"/>
      <c r="AK245" s="5" t="s">
        <v>1773</v>
      </c>
      <c r="AL245" s="92">
        <v>0.0</v>
      </c>
      <c r="AM245" s="5" t="s">
        <v>1770</v>
      </c>
      <c r="AN245" s="5" t="s">
        <v>3619</v>
      </c>
      <c r="AO245" s="5"/>
      <c r="AP245" s="5"/>
      <c r="AQ245" s="5"/>
      <c r="AR245" s="5"/>
      <c r="AS245" s="5"/>
      <c r="AT245" s="5"/>
      <c r="AU245" s="5"/>
      <c r="AV245" s="5"/>
      <c r="AW245" s="5" t="s">
        <v>1770</v>
      </c>
      <c r="AX245" s="5"/>
      <c r="AY245" s="5"/>
      <c r="AZ245" s="5" t="s">
        <v>1770</v>
      </c>
      <c r="BA245" s="93">
        <v>0.0</v>
      </c>
      <c r="BB245" s="93">
        <v>0.0</v>
      </c>
      <c r="BC245" s="93">
        <v>0.0</v>
      </c>
      <c r="BD245" s="93">
        <v>0.0</v>
      </c>
      <c r="BE245" s="93">
        <v>0.0</v>
      </c>
      <c r="BF245" s="93">
        <v>0.0</v>
      </c>
      <c r="BG245" s="5"/>
      <c r="BH245" s="93">
        <v>0.0</v>
      </c>
      <c r="BI245" s="93">
        <v>0.0</v>
      </c>
      <c r="BJ245" s="93">
        <v>0.0</v>
      </c>
      <c r="BK245" s="93">
        <v>0.0</v>
      </c>
      <c r="BL245" s="93">
        <v>0.0</v>
      </c>
      <c r="BM245" s="93">
        <v>0.0</v>
      </c>
      <c r="BN245" s="93">
        <v>0.0</v>
      </c>
      <c r="BO245" s="5"/>
      <c r="BP245" s="5" t="s">
        <v>1770</v>
      </c>
      <c r="BQ245" s="5" t="s">
        <v>1789</v>
      </c>
      <c r="BR245" s="94">
        <v>44244.570914351854</v>
      </c>
      <c r="BS245" s="5">
        <v>40.0</v>
      </c>
      <c r="BT245" s="5" t="s">
        <v>1770</v>
      </c>
      <c r="BU245" s="5" t="s">
        <v>1770</v>
      </c>
      <c r="BV245" s="94">
        <v>44392.702060185184</v>
      </c>
      <c r="BW245" s="5">
        <v>40.0</v>
      </c>
    </row>
    <row r="246" ht="14.25" customHeight="1">
      <c r="A246" s="5">
        <v>245.0</v>
      </c>
      <c r="B246" s="5">
        <v>514.0</v>
      </c>
      <c r="C246" s="5" t="s">
        <v>3628</v>
      </c>
      <c r="D246" s="100" t="s">
        <v>3629</v>
      </c>
      <c r="E246" s="5" t="s">
        <v>2157</v>
      </c>
      <c r="F246" s="5" t="s">
        <v>3630</v>
      </c>
      <c r="G246" s="5" t="s">
        <v>3631</v>
      </c>
      <c r="H246" s="5" t="s">
        <v>2671</v>
      </c>
      <c r="I246" s="5" t="s">
        <v>1782</v>
      </c>
      <c r="J246" s="91">
        <v>36249.0</v>
      </c>
      <c r="K246" s="5">
        <v>850.0</v>
      </c>
      <c r="L246" s="5" t="s">
        <v>3632</v>
      </c>
      <c r="M246" s="5">
        <v>74.0</v>
      </c>
      <c r="N246" s="5">
        <v>4.0</v>
      </c>
      <c r="O246" s="5">
        <v>55186.0</v>
      </c>
      <c r="P246" s="5" t="s">
        <v>3633</v>
      </c>
      <c r="Q246" s="5" t="s">
        <v>3634</v>
      </c>
      <c r="R246" s="5">
        <v>850.0</v>
      </c>
      <c r="S246" s="5">
        <v>3.521656139E9</v>
      </c>
      <c r="T246" s="5" t="s">
        <v>3635</v>
      </c>
      <c r="U246" s="5" t="s">
        <v>3636</v>
      </c>
      <c r="V246" s="5">
        <v>3.525573636E9</v>
      </c>
      <c r="W246" s="5" t="s">
        <v>1787</v>
      </c>
      <c r="X246" s="91">
        <v>44249.0</v>
      </c>
      <c r="Y246" s="5">
        <v>3.0</v>
      </c>
      <c r="Z246" s="5">
        <v>4.0</v>
      </c>
      <c r="AA246" s="5">
        <v>39.0</v>
      </c>
      <c r="AB246" s="5">
        <v>56351.0</v>
      </c>
      <c r="AC246" s="5" t="s">
        <v>2274</v>
      </c>
      <c r="AD246" s="91">
        <v>43553.0</v>
      </c>
      <c r="AE246" s="91">
        <v>45380.0</v>
      </c>
      <c r="AF246" s="5"/>
      <c r="AG246" s="5"/>
      <c r="AH246" s="5">
        <v>5.209961647E9</v>
      </c>
      <c r="AI246" s="5">
        <v>77.0</v>
      </c>
      <c r="AJ246" s="5"/>
      <c r="AK246" s="5" t="s">
        <v>1773</v>
      </c>
      <c r="AL246" s="92">
        <v>0.0</v>
      </c>
      <c r="AM246" s="5" t="s">
        <v>1770</v>
      </c>
      <c r="AN246" s="5" t="s">
        <v>3012</v>
      </c>
      <c r="AO246" s="5"/>
      <c r="AP246" s="5"/>
      <c r="AQ246" s="5"/>
      <c r="AR246" s="5"/>
      <c r="AS246" s="5"/>
      <c r="AT246" s="5"/>
      <c r="AU246" s="5"/>
      <c r="AV246" s="5"/>
      <c r="AW246" s="5" t="s">
        <v>1770</v>
      </c>
      <c r="AX246" s="5"/>
      <c r="AY246" s="5"/>
      <c r="AZ246" s="5" t="s">
        <v>1770</v>
      </c>
      <c r="BA246" s="93">
        <v>0.0</v>
      </c>
      <c r="BB246" s="93">
        <v>0.0</v>
      </c>
      <c r="BC246" s="93">
        <v>0.0</v>
      </c>
      <c r="BD246" s="93">
        <v>0.0</v>
      </c>
      <c r="BE246" s="93">
        <v>0.0</v>
      </c>
      <c r="BF246" s="93">
        <v>0.0</v>
      </c>
      <c r="BG246" s="5"/>
      <c r="BH246" s="93">
        <v>0.0</v>
      </c>
      <c r="BI246" s="93">
        <v>0.0</v>
      </c>
      <c r="BJ246" s="93">
        <v>0.0</v>
      </c>
      <c r="BK246" s="93">
        <v>0.0</v>
      </c>
      <c r="BL246" s="93">
        <v>0.0</v>
      </c>
      <c r="BM246" s="93">
        <v>0.0</v>
      </c>
      <c r="BN246" s="93">
        <v>0.0</v>
      </c>
      <c r="BO246" s="5"/>
      <c r="BP246" s="5" t="s">
        <v>1770</v>
      </c>
      <c r="BQ246" s="5" t="s">
        <v>1789</v>
      </c>
      <c r="BR246" s="94">
        <v>44251.472974537035</v>
      </c>
      <c r="BS246" s="5">
        <v>13.0</v>
      </c>
      <c r="BT246" s="94">
        <v>44593.46978009259</v>
      </c>
      <c r="BU246" s="5">
        <v>167.0</v>
      </c>
      <c r="BV246" s="94">
        <v>44770.565034722225</v>
      </c>
      <c r="BW246" s="5">
        <v>40.0</v>
      </c>
    </row>
    <row r="247" ht="14.25" customHeight="1">
      <c r="A247" s="5">
        <v>246.0</v>
      </c>
      <c r="B247" s="5">
        <v>515.0</v>
      </c>
      <c r="C247" s="5" t="s">
        <v>3637</v>
      </c>
      <c r="D247" s="5" t="s">
        <v>1927</v>
      </c>
      <c r="E247" s="5" t="s">
        <v>3638</v>
      </c>
      <c r="F247" s="5" t="s">
        <v>3639</v>
      </c>
      <c r="G247" s="5" t="s">
        <v>3640</v>
      </c>
      <c r="H247" s="5" t="s">
        <v>1972</v>
      </c>
      <c r="I247" s="5" t="s">
        <v>1782</v>
      </c>
      <c r="J247" s="91">
        <v>37704.0</v>
      </c>
      <c r="K247" s="5">
        <v>594.0</v>
      </c>
      <c r="L247" s="5" t="s">
        <v>3641</v>
      </c>
      <c r="M247" s="5">
        <v>7.0</v>
      </c>
      <c r="N247" s="5"/>
      <c r="O247" s="5">
        <v>43890.0</v>
      </c>
      <c r="P247" s="5" t="s">
        <v>2654</v>
      </c>
      <c r="Q247" s="5" t="s">
        <v>2654</v>
      </c>
      <c r="R247" s="5">
        <v>549.0</v>
      </c>
      <c r="S247" s="5">
        <v>3.931507965E9</v>
      </c>
      <c r="T247" s="5" t="s">
        <v>3642</v>
      </c>
      <c r="U247" s="5" t="s">
        <v>3643</v>
      </c>
      <c r="V247" s="5">
        <v>3.931269755E9</v>
      </c>
      <c r="W247" s="5" t="s">
        <v>3644</v>
      </c>
      <c r="X247" s="91">
        <v>44250.0</v>
      </c>
      <c r="Y247" s="5">
        <v>5.0</v>
      </c>
      <c r="Z247" s="5">
        <v>4.0</v>
      </c>
      <c r="AA247" s="5">
        <v>12.0</v>
      </c>
      <c r="AB247" s="5" t="s">
        <v>3645</v>
      </c>
      <c r="AC247" s="5" t="s">
        <v>1800</v>
      </c>
      <c r="AD247" s="91">
        <v>44613.0</v>
      </c>
      <c r="AE247" s="91">
        <v>46074.0</v>
      </c>
      <c r="AF247" s="5"/>
      <c r="AG247" s="5"/>
      <c r="AH247" s="5">
        <v>5.210315536E9</v>
      </c>
      <c r="AI247" s="5"/>
      <c r="AJ247" s="5"/>
      <c r="AK247" s="5" t="s">
        <v>1773</v>
      </c>
      <c r="AL247" s="92">
        <v>0.0</v>
      </c>
      <c r="AM247" s="5" t="s">
        <v>1770</v>
      </c>
      <c r="AN247" s="5" t="s">
        <v>1830</v>
      </c>
      <c r="AO247" s="5"/>
      <c r="AP247" s="5"/>
      <c r="AQ247" s="5"/>
      <c r="AR247" s="5"/>
      <c r="AS247" s="5"/>
      <c r="AT247" s="5"/>
      <c r="AU247" s="5"/>
      <c r="AV247" s="5"/>
      <c r="AW247" s="5" t="s">
        <v>1770</v>
      </c>
      <c r="AX247" s="5"/>
      <c r="AY247" s="5"/>
      <c r="AZ247" s="5" t="s">
        <v>1770</v>
      </c>
      <c r="BA247" s="93">
        <v>0.0</v>
      </c>
      <c r="BB247" s="93">
        <v>0.0</v>
      </c>
      <c r="BC247" s="93">
        <v>0.0</v>
      </c>
      <c r="BD247" s="93">
        <v>0.0</v>
      </c>
      <c r="BE247" s="93">
        <v>0.0</v>
      </c>
      <c r="BF247" s="93">
        <v>0.0</v>
      </c>
      <c r="BG247" s="5"/>
      <c r="BH247" s="93">
        <v>0.0</v>
      </c>
      <c r="BI247" s="93">
        <v>0.0</v>
      </c>
      <c r="BJ247" s="93">
        <v>0.0</v>
      </c>
      <c r="BK247" s="93">
        <v>0.0</v>
      </c>
      <c r="BL247" s="93">
        <v>0.0</v>
      </c>
      <c r="BM247" s="93">
        <v>0.0</v>
      </c>
      <c r="BN247" s="93">
        <v>0.0</v>
      </c>
      <c r="BO247" s="5"/>
      <c r="BP247" s="5" t="s">
        <v>1770</v>
      </c>
      <c r="BQ247" s="5" t="s">
        <v>1789</v>
      </c>
      <c r="BR247" s="94">
        <v>44251.485601851855</v>
      </c>
      <c r="BS247" s="5">
        <v>13.0</v>
      </c>
      <c r="BT247" s="94">
        <v>45892.58018518519</v>
      </c>
      <c r="BU247" s="5">
        <v>40.0</v>
      </c>
      <c r="BV247" s="94">
        <v>46084.48369212963</v>
      </c>
      <c r="BW247" s="5">
        <v>40.0</v>
      </c>
    </row>
    <row r="248" ht="14.25" customHeight="1">
      <c r="A248" s="5">
        <v>247.0</v>
      </c>
      <c r="B248" s="5">
        <v>516.0</v>
      </c>
      <c r="C248" s="5" t="s">
        <v>3646</v>
      </c>
      <c r="D248" s="5" t="s">
        <v>1758</v>
      </c>
      <c r="E248" s="5" t="s">
        <v>3647</v>
      </c>
      <c r="F248" s="5" t="s">
        <v>3648</v>
      </c>
      <c r="G248" s="5" t="s">
        <v>3649</v>
      </c>
      <c r="H248" s="5" t="s">
        <v>1781</v>
      </c>
      <c r="I248" s="5" t="s">
        <v>1782</v>
      </c>
      <c r="J248" s="91">
        <v>35393.0</v>
      </c>
      <c r="K248" s="5">
        <v>886.0</v>
      </c>
      <c r="L248" s="5" t="s">
        <v>3650</v>
      </c>
      <c r="M248" s="5">
        <v>12.0</v>
      </c>
      <c r="N248" s="5" t="s">
        <v>2624</v>
      </c>
      <c r="O248" s="5">
        <v>55006.0</v>
      </c>
      <c r="P248" s="5" t="s">
        <v>1797</v>
      </c>
      <c r="Q248" s="100" t="s">
        <v>3651</v>
      </c>
      <c r="R248" s="5">
        <v>886.0</v>
      </c>
      <c r="S248" s="5">
        <v>3.931317264E9</v>
      </c>
      <c r="T248" s="5" t="s">
        <v>3652</v>
      </c>
      <c r="U248" s="5" t="s">
        <v>3653</v>
      </c>
      <c r="V248" s="5">
        <v>5.592104577E9</v>
      </c>
      <c r="W248" s="5" t="s">
        <v>1787</v>
      </c>
      <c r="X248" s="91">
        <v>44256.0</v>
      </c>
      <c r="Y248" s="5">
        <v>1.0</v>
      </c>
      <c r="Z248" s="5">
        <v>18.0</v>
      </c>
      <c r="AA248" s="5">
        <v>1.0</v>
      </c>
      <c r="AB248" s="5" t="s">
        <v>3654</v>
      </c>
      <c r="AC248" s="5" t="s">
        <v>1800</v>
      </c>
      <c r="AD248" s="91">
        <v>44251.0</v>
      </c>
      <c r="AE248" s="91">
        <v>44981.0</v>
      </c>
      <c r="AF248" s="5"/>
      <c r="AG248" s="5"/>
      <c r="AH248" s="5">
        <v>6.215965637E10</v>
      </c>
      <c r="AI248" s="5">
        <v>23.0</v>
      </c>
      <c r="AJ248" s="5"/>
      <c r="AK248" s="5" t="s">
        <v>1773</v>
      </c>
      <c r="AL248" s="92">
        <v>0.0</v>
      </c>
      <c r="AM248" s="5" t="s">
        <v>1770</v>
      </c>
      <c r="AN248" s="5" t="s">
        <v>1830</v>
      </c>
      <c r="AO248" s="5"/>
      <c r="AP248" s="5"/>
      <c r="AQ248" s="5"/>
      <c r="AR248" s="5"/>
      <c r="AS248" s="5"/>
      <c r="AT248" s="5"/>
      <c r="AU248" s="5"/>
      <c r="AV248" s="5"/>
      <c r="AW248" s="5" t="s">
        <v>1770</v>
      </c>
      <c r="AX248" s="5"/>
      <c r="AY248" s="5"/>
      <c r="AZ248" s="5" t="s">
        <v>1770</v>
      </c>
      <c r="BA248" s="93">
        <v>0.0</v>
      </c>
      <c r="BB248" s="93">
        <v>0.0</v>
      </c>
      <c r="BC248" s="93">
        <v>0.0</v>
      </c>
      <c r="BD248" s="93">
        <v>0.0</v>
      </c>
      <c r="BE248" s="93">
        <v>0.0</v>
      </c>
      <c r="BF248" s="93">
        <v>0.0</v>
      </c>
      <c r="BG248" s="5"/>
      <c r="BH248" s="93">
        <v>0.0</v>
      </c>
      <c r="BI248" s="93">
        <v>0.0</v>
      </c>
      <c r="BJ248" s="93">
        <v>0.0</v>
      </c>
      <c r="BK248" s="93">
        <v>0.0</v>
      </c>
      <c r="BL248" s="93">
        <v>0.0</v>
      </c>
      <c r="BM248" s="93">
        <v>0.0</v>
      </c>
      <c r="BN248" s="93">
        <v>0.0</v>
      </c>
      <c r="BO248" s="5"/>
      <c r="BP248" s="5" t="s">
        <v>1770</v>
      </c>
      <c r="BQ248" s="5" t="s">
        <v>1789</v>
      </c>
      <c r="BR248" s="94">
        <v>44256.50561342593</v>
      </c>
      <c r="BS248" s="5">
        <v>40.0</v>
      </c>
      <c r="BT248" s="5" t="s">
        <v>1770</v>
      </c>
      <c r="BU248" s="5" t="s">
        <v>1770</v>
      </c>
      <c r="BV248" s="94">
        <v>44714.38402777778</v>
      </c>
      <c r="BW248" s="5">
        <v>40.0</v>
      </c>
    </row>
    <row r="249" ht="14.25" customHeight="1">
      <c r="A249" s="5">
        <v>248.0</v>
      </c>
      <c r="B249" s="5">
        <v>517.0</v>
      </c>
      <c r="C249" s="5" t="s">
        <v>3655</v>
      </c>
      <c r="D249" s="5" t="s">
        <v>1857</v>
      </c>
      <c r="E249" s="5" t="s">
        <v>3656</v>
      </c>
      <c r="F249" s="5" t="s">
        <v>3657</v>
      </c>
      <c r="G249" s="5" t="s">
        <v>3658</v>
      </c>
      <c r="H249" s="5" t="s">
        <v>1781</v>
      </c>
      <c r="I249" s="5" t="s">
        <v>1782</v>
      </c>
      <c r="J249" s="91">
        <v>32009.0</v>
      </c>
      <c r="K249" s="5">
        <v>860.0</v>
      </c>
      <c r="L249" s="5" t="s">
        <v>3659</v>
      </c>
      <c r="M249" s="5">
        <v>5.0</v>
      </c>
      <c r="N249" s="5"/>
      <c r="O249" s="5">
        <v>53802.0</v>
      </c>
      <c r="P249" s="5" t="s">
        <v>1797</v>
      </c>
      <c r="Q249" s="5" t="s">
        <v>2041</v>
      </c>
      <c r="R249" s="5">
        <v>834.0</v>
      </c>
      <c r="S249" s="5">
        <v>4.431142223E9</v>
      </c>
      <c r="T249" s="5" t="s">
        <v>3660</v>
      </c>
      <c r="U249" s="5" t="s">
        <v>3661</v>
      </c>
      <c r="V249" s="5">
        <v>4.433650317E9</v>
      </c>
      <c r="W249" s="5" t="s">
        <v>1808</v>
      </c>
      <c r="X249" s="91">
        <v>44312.0</v>
      </c>
      <c r="Y249" s="5">
        <v>4.0</v>
      </c>
      <c r="Z249" s="5">
        <v>4.0</v>
      </c>
      <c r="AA249" s="5">
        <v>41.0</v>
      </c>
      <c r="AB249" s="5" t="s">
        <v>3662</v>
      </c>
      <c r="AC249" s="5" t="s">
        <v>1772</v>
      </c>
      <c r="AD249" s="91">
        <v>44308.0</v>
      </c>
      <c r="AE249" s="91">
        <v>45038.0</v>
      </c>
      <c r="AF249" s="5"/>
      <c r="AG249" s="5"/>
      <c r="AH249" s="5">
        <v>5.3078740114E10</v>
      </c>
      <c r="AI249" s="5">
        <v>75.0</v>
      </c>
      <c r="AJ249" s="5"/>
      <c r="AK249" s="5" t="s">
        <v>1773</v>
      </c>
      <c r="AL249" s="92">
        <v>0.0</v>
      </c>
      <c r="AM249" s="5" t="s">
        <v>1770</v>
      </c>
      <c r="AN249" s="5" t="s">
        <v>1830</v>
      </c>
      <c r="AO249" s="5"/>
      <c r="AP249" s="5"/>
      <c r="AQ249" s="5"/>
      <c r="AR249" s="5"/>
      <c r="AS249" s="5"/>
      <c r="AT249" s="5"/>
      <c r="AU249" s="5"/>
      <c r="AV249" s="5"/>
      <c r="AW249" s="5" t="s">
        <v>1770</v>
      </c>
      <c r="AX249" s="5"/>
      <c r="AY249" s="5"/>
      <c r="AZ249" s="5" t="s">
        <v>1770</v>
      </c>
      <c r="BA249" s="93">
        <v>0.0</v>
      </c>
      <c r="BB249" s="93">
        <v>0.0</v>
      </c>
      <c r="BC249" s="93">
        <v>0.0</v>
      </c>
      <c r="BD249" s="93">
        <v>0.0</v>
      </c>
      <c r="BE249" s="93">
        <v>0.0</v>
      </c>
      <c r="BF249" s="93">
        <v>0.0</v>
      </c>
      <c r="BG249" s="5"/>
      <c r="BH249" s="93">
        <v>0.0</v>
      </c>
      <c r="BI249" s="93">
        <v>0.0</v>
      </c>
      <c r="BJ249" s="93">
        <v>0.0</v>
      </c>
      <c r="BK249" s="93">
        <v>0.0</v>
      </c>
      <c r="BL249" s="93">
        <v>0.0</v>
      </c>
      <c r="BM249" s="93">
        <v>0.0</v>
      </c>
      <c r="BN249" s="93">
        <v>0.0</v>
      </c>
      <c r="BO249" s="5"/>
      <c r="BP249" s="5" t="s">
        <v>1770</v>
      </c>
      <c r="BQ249" s="5" t="s">
        <v>1789</v>
      </c>
      <c r="BR249" s="94">
        <v>44313.666863425926</v>
      </c>
      <c r="BS249" s="5">
        <v>40.0</v>
      </c>
      <c r="BT249" s="94">
        <v>44315.51609953704</v>
      </c>
      <c r="BU249" s="5">
        <v>40.0</v>
      </c>
      <c r="BV249" s="94">
        <v>45118.70923611111</v>
      </c>
      <c r="BW249" s="5" t="s">
        <v>1770</v>
      </c>
    </row>
    <row r="250" ht="14.25" customHeight="1">
      <c r="A250" s="5">
        <v>249.0</v>
      </c>
      <c r="B250" s="5">
        <v>518.0</v>
      </c>
      <c r="C250" s="5" t="s">
        <v>3663</v>
      </c>
      <c r="D250" s="5" t="s">
        <v>2603</v>
      </c>
      <c r="E250" s="5" t="s">
        <v>2132</v>
      </c>
      <c r="F250" s="5" t="s">
        <v>3664</v>
      </c>
      <c r="G250" s="5" t="s">
        <v>3665</v>
      </c>
      <c r="H250" s="5" t="s">
        <v>1972</v>
      </c>
      <c r="I250" s="5" t="s">
        <v>1782</v>
      </c>
      <c r="J250" s="91">
        <v>34929.0</v>
      </c>
      <c r="K250" s="5">
        <v>848.0</v>
      </c>
      <c r="L250" s="5" t="s">
        <v>3666</v>
      </c>
      <c r="M250" s="5" t="s">
        <v>3667</v>
      </c>
      <c r="N250" s="5"/>
      <c r="O250" s="5">
        <v>55132.0</v>
      </c>
      <c r="P250" s="5" t="s">
        <v>3668</v>
      </c>
      <c r="Q250" s="5" t="s">
        <v>3669</v>
      </c>
      <c r="R250" s="5">
        <v>848.0</v>
      </c>
      <c r="S250" s="5">
        <v>3.521204128E9</v>
      </c>
      <c r="T250" s="5" t="s">
        <v>3670</v>
      </c>
      <c r="U250" s="5" t="s">
        <v>2411</v>
      </c>
      <c r="V250" s="5">
        <v>5.659882052E9</v>
      </c>
      <c r="W250" s="5" t="s">
        <v>2411</v>
      </c>
      <c r="X250" s="91">
        <v>44327.0</v>
      </c>
      <c r="Y250" s="5">
        <v>3.0</v>
      </c>
      <c r="Z250" s="5">
        <v>3.0</v>
      </c>
      <c r="AA250" s="5">
        <v>58.0</v>
      </c>
      <c r="AB250" s="5"/>
      <c r="AC250" s="5"/>
      <c r="AD250" s="5" t="s">
        <v>1770</v>
      </c>
      <c r="AE250" s="5" t="s">
        <v>1770</v>
      </c>
      <c r="AF250" s="5"/>
      <c r="AG250" s="5"/>
      <c r="AH250" s="5">
        <v>6.4149502094E10</v>
      </c>
      <c r="AI250" s="5">
        <v>77.0</v>
      </c>
      <c r="AJ250" s="5"/>
      <c r="AK250" s="5" t="s">
        <v>1773</v>
      </c>
      <c r="AL250" s="92">
        <v>0.0</v>
      </c>
      <c r="AM250" s="5" t="s">
        <v>1770</v>
      </c>
      <c r="AN250" s="5" t="s">
        <v>1774</v>
      </c>
      <c r="AO250" s="5"/>
      <c r="AP250" s="5"/>
      <c r="AQ250" s="5"/>
      <c r="AR250" s="5"/>
      <c r="AS250" s="5"/>
      <c r="AT250" s="5"/>
      <c r="AU250" s="5"/>
      <c r="AV250" s="5"/>
      <c r="AW250" s="5" t="s">
        <v>1770</v>
      </c>
      <c r="AX250" s="5"/>
      <c r="AY250" s="5"/>
      <c r="AZ250" s="5" t="s">
        <v>1770</v>
      </c>
      <c r="BA250" s="93">
        <v>0.0</v>
      </c>
      <c r="BB250" s="93">
        <v>0.0</v>
      </c>
      <c r="BC250" s="93">
        <v>0.0</v>
      </c>
      <c r="BD250" s="93">
        <v>0.0</v>
      </c>
      <c r="BE250" s="93">
        <v>0.0</v>
      </c>
      <c r="BF250" s="93">
        <v>0.0</v>
      </c>
      <c r="BG250" s="5"/>
      <c r="BH250" s="93">
        <v>0.0</v>
      </c>
      <c r="BI250" s="93">
        <v>0.0</v>
      </c>
      <c r="BJ250" s="93">
        <v>0.0</v>
      </c>
      <c r="BK250" s="93">
        <v>0.0</v>
      </c>
      <c r="BL250" s="93">
        <v>0.0</v>
      </c>
      <c r="BM250" s="93">
        <v>0.0</v>
      </c>
      <c r="BN250" s="93">
        <v>0.0</v>
      </c>
      <c r="BO250" s="5"/>
      <c r="BP250" s="5" t="s">
        <v>1770</v>
      </c>
      <c r="BQ250" s="5" t="s">
        <v>1789</v>
      </c>
      <c r="BR250" s="94">
        <v>44327.75005787037</v>
      </c>
      <c r="BS250" s="5">
        <v>40.0</v>
      </c>
      <c r="BT250" s="5" t="s">
        <v>1770</v>
      </c>
      <c r="BU250" s="5" t="s">
        <v>1770</v>
      </c>
      <c r="BV250" s="94">
        <v>44645.521678240744</v>
      </c>
      <c r="BW250" s="5">
        <v>167.0</v>
      </c>
    </row>
    <row r="251" ht="14.25" customHeight="1">
      <c r="A251" s="5">
        <v>250.0</v>
      </c>
      <c r="B251" s="5">
        <v>519.0</v>
      </c>
      <c r="C251" s="5" t="s">
        <v>3671</v>
      </c>
      <c r="D251" s="5" t="s">
        <v>2551</v>
      </c>
      <c r="E251" s="5" t="s">
        <v>2765</v>
      </c>
      <c r="F251" s="5" t="s">
        <v>3672</v>
      </c>
      <c r="G251" s="5" t="s">
        <v>3673</v>
      </c>
      <c r="H251" s="5" t="s">
        <v>2671</v>
      </c>
      <c r="I251" s="5" t="s">
        <v>1782</v>
      </c>
      <c r="J251" s="91">
        <v>32199.0</v>
      </c>
      <c r="K251" s="5">
        <v>850.0</v>
      </c>
      <c r="L251" s="5" t="s">
        <v>3674</v>
      </c>
      <c r="M251" s="5">
        <v>54.0</v>
      </c>
      <c r="N251" s="5"/>
      <c r="O251" s="5">
        <v>55172.0</v>
      </c>
      <c r="P251" s="5" t="s">
        <v>3668</v>
      </c>
      <c r="Q251" s="5" t="s">
        <v>234</v>
      </c>
      <c r="R251" s="5">
        <v>850.0</v>
      </c>
      <c r="S251" s="5">
        <v>3.521363693E9</v>
      </c>
      <c r="T251" s="5" t="s">
        <v>3675</v>
      </c>
      <c r="U251" s="5" t="s">
        <v>3676</v>
      </c>
      <c r="V251" s="5">
        <v>3.521057856E9</v>
      </c>
      <c r="W251" s="5" t="s">
        <v>3011</v>
      </c>
      <c r="X251" s="91">
        <v>44341.0</v>
      </c>
      <c r="Y251" s="5">
        <v>3.0</v>
      </c>
      <c r="Z251" s="5">
        <v>17.0</v>
      </c>
      <c r="AA251" s="5">
        <v>61.0</v>
      </c>
      <c r="AB251" s="5"/>
      <c r="AC251" s="5"/>
      <c r="AD251" s="5" t="s">
        <v>1770</v>
      </c>
      <c r="AE251" s="5" t="s">
        <v>1770</v>
      </c>
      <c r="AF251" s="5"/>
      <c r="AG251" s="5"/>
      <c r="AH251" s="5">
        <v>5.3038802756E10</v>
      </c>
      <c r="AI251" s="5">
        <v>77.0</v>
      </c>
      <c r="AJ251" s="5"/>
      <c r="AK251" s="5" t="s">
        <v>1773</v>
      </c>
      <c r="AL251" s="92">
        <v>0.0</v>
      </c>
      <c r="AM251" s="5" t="s">
        <v>1770</v>
      </c>
      <c r="AN251" s="5" t="s">
        <v>1830</v>
      </c>
      <c r="AO251" s="5"/>
      <c r="AP251" s="5"/>
      <c r="AQ251" s="5"/>
      <c r="AR251" s="5"/>
      <c r="AS251" s="5"/>
      <c r="AT251" s="5"/>
      <c r="AU251" s="5"/>
      <c r="AV251" s="5"/>
      <c r="AW251" s="5" t="s">
        <v>1770</v>
      </c>
      <c r="AX251" s="5"/>
      <c r="AY251" s="5"/>
      <c r="AZ251" s="5" t="s">
        <v>1770</v>
      </c>
      <c r="BA251" s="93">
        <v>0.0</v>
      </c>
      <c r="BB251" s="93">
        <v>0.0</v>
      </c>
      <c r="BC251" s="93">
        <v>0.0</v>
      </c>
      <c r="BD251" s="93">
        <v>0.0</v>
      </c>
      <c r="BE251" s="93">
        <v>0.0</v>
      </c>
      <c r="BF251" s="93">
        <v>0.0</v>
      </c>
      <c r="BG251" s="5"/>
      <c r="BH251" s="93">
        <v>0.0</v>
      </c>
      <c r="BI251" s="93">
        <v>0.0</v>
      </c>
      <c r="BJ251" s="93">
        <v>0.0</v>
      </c>
      <c r="BK251" s="93">
        <v>0.0</v>
      </c>
      <c r="BL251" s="93">
        <v>0.0</v>
      </c>
      <c r="BM251" s="93">
        <v>0.0</v>
      </c>
      <c r="BN251" s="93">
        <v>0.0</v>
      </c>
      <c r="BO251" s="5"/>
      <c r="BP251" s="5" t="s">
        <v>1770</v>
      </c>
      <c r="BQ251" s="5" t="s">
        <v>1789</v>
      </c>
      <c r="BR251" s="94">
        <v>44345.48399305555</v>
      </c>
      <c r="BS251" s="5">
        <v>40.0</v>
      </c>
      <c r="BT251" s="94">
        <v>44348.47479166667</v>
      </c>
      <c r="BU251" s="5">
        <v>40.0</v>
      </c>
      <c r="BV251" s="94">
        <v>44645.66502314815</v>
      </c>
      <c r="BW251" s="5" t="s">
        <v>1770</v>
      </c>
    </row>
    <row r="252" ht="14.25" customHeight="1">
      <c r="A252" s="5">
        <v>251.0</v>
      </c>
      <c r="B252" s="5">
        <v>520.0</v>
      </c>
      <c r="C252" s="5" t="s">
        <v>3677</v>
      </c>
      <c r="D252" s="5" t="s">
        <v>2074</v>
      </c>
      <c r="E252" s="5" t="s">
        <v>3678</v>
      </c>
      <c r="F252" s="5" t="s">
        <v>3679</v>
      </c>
      <c r="G252" s="5" t="s">
        <v>3680</v>
      </c>
      <c r="H252" s="5" t="s">
        <v>1781</v>
      </c>
      <c r="I252" s="5" t="s">
        <v>1782</v>
      </c>
      <c r="J252" s="91">
        <v>28021.0</v>
      </c>
      <c r="K252" s="5">
        <v>549.0</v>
      </c>
      <c r="L252" s="5" t="s">
        <v>1984</v>
      </c>
      <c r="M252" s="5">
        <v>17.0</v>
      </c>
      <c r="N252" s="5"/>
      <c r="O252" s="5">
        <v>43882.0</v>
      </c>
      <c r="P252" s="5" t="s">
        <v>2032</v>
      </c>
      <c r="Q252" s="5" t="s">
        <v>1766</v>
      </c>
      <c r="R252" s="5">
        <v>549.0</v>
      </c>
      <c r="S252" s="5">
        <v>3.931583026E9</v>
      </c>
      <c r="T252" s="5"/>
      <c r="U252" s="5" t="s">
        <v>3681</v>
      </c>
      <c r="V252" s="5">
        <v>3.931102097E9</v>
      </c>
      <c r="W252" s="5" t="s">
        <v>1787</v>
      </c>
      <c r="X252" s="91">
        <v>44375.0</v>
      </c>
      <c r="Y252" s="5">
        <v>1.0</v>
      </c>
      <c r="Z252" s="5">
        <v>19.0</v>
      </c>
      <c r="AA252" s="5">
        <v>45.0</v>
      </c>
      <c r="AB252" s="5" t="s">
        <v>3682</v>
      </c>
      <c r="AC252" s="5" t="s">
        <v>1800</v>
      </c>
      <c r="AD252" s="91">
        <v>43810.0</v>
      </c>
      <c r="AE252" s="91">
        <v>45271.0</v>
      </c>
      <c r="AF252" s="5"/>
      <c r="AG252" s="5"/>
      <c r="AH252" s="5">
        <v>4.007845615E9</v>
      </c>
      <c r="AI252" s="5">
        <v>23.0</v>
      </c>
      <c r="AJ252" s="5"/>
      <c r="AK252" s="5" t="s">
        <v>1773</v>
      </c>
      <c r="AL252" s="92">
        <v>0.0</v>
      </c>
      <c r="AM252" s="5" t="s">
        <v>1770</v>
      </c>
      <c r="AN252" s="5" t="s">
        <v>1830</v>
      </c>
      <c r="AO252" s="5"/>
      <c r="AP252" s="5"/>
      <c r="AQ252" s="5"/>
      <c r="AR252" s="5"/>
      <c r="AS252" s="5"/>
      <c r="AT252" s="5" t="s">
        <v>2996</v>
      </c>
      <c r="AU252" s="5"/>
      <c r="AV252" s="5"/>
      <c r="AW252" s="5" t="s">
        <v>1770</v>
      </c>
      <c r="AX252" s="5"/>
      <c r="AY252" s="5"/>
      <c r="AZ252" s="5" t="s">
        <v>1770</v>
      </c>
      <c r="BA252" s="93">
        <v>0.0</v>
      </c>
      <c r="BB252" s="93">
        <v>0.0</v>
      </c>
      <c r="BC252" s="93">
        <v>0.0</v>
      </c>
      <c r="BD252" s="93">
        <v>0.0</v>
      </c>
      <c r="BE252" s="93">
        <v>0.0</v>
      </c>
      <c r="BF252" s="93">
        <v>0.0</v>
      </c>
      <c r="BG252" s="5"/>
      <c r="BH252" s="93">
        <v>0.0</v>
      </c>
      <c r="BI252" s="93">
        <v>0.0</v>
      </c>
      <c r="BJ252" s="93">
        <v>0.0</v>
      </c>
      <c r="BK252" s="93">
        <v>0.0</v>
      </c>
      <c r="BL252" s="93">
        <v>0.0</v>
      </c>
      <c r="BM252" s="93">
        <v>0.0</v>
      </c>
      <c r="BN252" s="93">
        <v>0.0</v>
      </c>
      <c r="BO252" s="5"/>
      <c r="BP252" s="5" t="s">
        <v>1770</v>
      </c>
      <c r="BQ252" s="5" t="s">
        <v>1789</v>
      </c>
      <c r="BR252" s="94">
        <v>44376.58168981481</v>
      </c>
      <c r="BS252" s="5">
        <v>40.0</v>
      </c>
      <c r="BT252" s="5" t="s">
        <v>1770</v>
      </c>
      <c r="BU252" s="5" t="s">
        <v>1770</v>
      </c>
      <c r="BV252" s="94">
        <v>44645.663449074076</v>
      </c>
      <c r="BW252" s="5" t="s">
        <v>1770</v>
      </c>
    </row>
    <row r="253" ht="14.25" customHeight="1">
      <c r="A253" s="5">
        <v>252.0</v>
      </c>
      <c r="B253" s="5">
        <v>521.0</v>
      </c>
      <c r="C253" s="5" t="s">
        <v>3683</v>
      </c>
      <c r="D253" s="5" t="s">
        <v>1926</v>
      </c>
      <c r="E253" s="5" t="s">
        <v>2001</v>
      </c>
      <c r="F253" s="5" t="s">
        <v>3684</v>
      </c>
      <c r="G253" s="5" t="s">
        <v>3685</v>
      </c>
      <c r="H253" s="5" t="s">
        <v>1972</v>
      </c>
      <c r="I253" s="5" t="s">
        <v>1782</v>
      </c>
      <c r="J253" s="91">
        <v>34881.0</v>
      </c>
      <c r="K253" s="5">
        <v>424.0</v>
      </c>
      <c r="L253" s="5" t="s">
        <v>2061</v>
      </c>
      <c r="M253" s="5">
        <v>50.0</v>
      </c>
      <c r="N253" s="5"/>
      <c r="O253" s="5">
        <v>35873.0</v>
      </c>
      <c r="P253" s="5" t="s">
        <v>1797</v>
      </c>
      <c r="Q253" s="5" t="s">
        <v>2406</v>
      </c>
      <c r="R253" s="5">
        <v>424.0</v>
      </c>
      <c r="S253" s="5">
        <v>4.69134361E9</v>
      </c>
      <c r="T253" s="5" t="s">
        <v>3686</v>
      </c>
      <c r="U253" s="5" t="s">
        <v>3687</v>
      </c>
      <c r="V253" s="5">
        <v>4.69692065E9</v>
      </c>
      <c r="W253" s="5" t="s">
        <v>1808</v>
      </c>
      <c r="X253" s="91">
        <v>44390.0</v>
      </c>
      <c r="Y253" s="5">
        <v>2.0</v>
      </c>
      <c r="Z253" s="5">
        <v>19.0</v>
      </c>
      <c r="AA253" s="5">
        <v>1.0</v>
      </c>
      <c r="AB253" s="5">
        <v>3293045.0</v>
      </c>
      <c r="AC253" s="5" t="s">
        <v>1772</v>
      </c>
      <c r="AD253" s="91">
        <v>44390.0</v>
      </c>
      <c r="AE253" s="91">
        <v>46216.0</v>
      </c>
      <c r="AF253" s="5"/>
      <c r="AG253" s="5"/>
      <c r="AH253" s="5">
        <v>4.16958632E9</v>
      </c>
      <c r="AI253" s="5">
        <v>9.0</v>
      </c>
      <c r="AJ253" s="5"/>
      <c r="AK253" s="5" t="s">
        <v>1773</v>
      </c>
      <c r="AL253" s="92">
        <v>0.0</v>
      </c>
      <c r="AM253" s="5" t="s">
        <v>1770</v>
      </c>
      <c r="AN253" s="5" t="s">
        <v>1774</v>
      </c>
      <c r="AO253" s="5"/>
      <c r="AP253" s="5"/>
      <c r="AQ253" s="5"/>
      <c r="AR253" s="5"/>
      <c r="AS253" s="5"/>
      <c r="AT253" s="5" t="s">
        <v>2184</v>
      </c>
      <c r="AU253" s="5" t="s">
        <v>3688</v>
      </c>
      <c r="AV253" s="5" t="s">
        <v>3689</v>
      </c>
      <c r="AW253" s="91">
        <v>44187.0</v>
      </c>
      <c r="AX253" s="5"/>
      <c r="AY253" s="5"/>
      <c r="AZ253" s="5" t="s">
        <v>1770</v>
      </c>
      <c r="BA253" s="93">
        <v>0.0</v>
      </c>
      <c r="BB253" s="93">
        <v>0.0</v>
      </c>
      <c r="BC253" s="93">
        <v>0.0</v>
      </c>
      <c r="BD253" s="93">
        <v>0.0</v>
      </c>
      <c r="BE253" s="93">
        <v>0.0</v>
      </c>
      <c r="BF253" s="93">
        <v>0.0</v>
      </c>
      <c r="BG253" s="5"/>
      <c r="BH253" s="93">
        <v>0.0</v>
      </c>
      <c r="BI253" s="93">
        <v>0.0</v>
      </c>
      <c r="BJ253" s="93">
        <v>0.0</v>
      </c>
      <c r="BK253" s="93">
        <v>0.0</v>
      </c>
      <c r="BL253" s="93">
        <v>0.0</v>
      </c>
      <c r="BM253" s="93">
        <v>0.0</v>
      </c>
      <c r="BN253" s="93">
        <v>0.0</v>
      </c>
      <c r="BO253" s="5"/>
      <c r="BP253" s="5" t="s">
        <v>1770</v>
      </c>
      <c r="BQ253" s="5" t="s">
        <v>1789</v>
      </c>
      <c r="BR253" s="94">
        <v>44392.7256712963</v>
      </c>
      <c r="BS253" s="5">
        <v>40.0</v>
      </c>
      <c r="BT253" s="5" t="s">
        <v>1770</v>
      </c>
      <c r="BU253" s="5" t="s">
        <v>1770</v>
      </c>
      <c r="BV253" s="94">
        <v>44645.51427083334</v>
      </c>
      <c r="BW253" s="5">
        <v>167.0</v>
      </c>
    </row>
    <row r="254" ht="14.25" customHeight="1">
      <c r="A254" s="5">
        <v>253.0</v>
      </c>
      <c r="B254" s="5">
        <v>522.0</v>
      </c>
      <c r="C254" s="5" t="s">
        <v>3690</v>
      </c>
      <c r="D254" s="5" t="s">
        <v>2241</v>
      </c>
      <c r="E254" s="5" t="s">
        <v>1778</v>
      </c>
      <c r="F254" s="5" t="s">
        <v>3691</v>
      </c>
      <c r="G254" s="5" t="s">
        <v>3692</v>
      </c>
      <c r="H254" s="5" t="s">
        <v>1972</v>
      </c>
      <c r="I254" s="5" t="s">
        <v>1782</v>
      </c>
      <c r="J254" s="91">
        <v>37673.0</v>
      </c>
      <c r="K254" s="5">
        <v>549.0</v>
      </c>
      <c r="L254" s="5" t="s">
        <v>3693</v>
      </c>
      <c r="M254" s="5">
        <v>75.0</v>
      </c>
      <c r="N254" s="5"/>
      <c r="O254" s="5">
        <v>43882.0</v>
      </c>
      <c r="P254" s="5" t="s">
        <v>3694</v>
      </c>
      <c r="Q254" s="5" t="s">
        <v>1766</v>
      </c>
      <c r="R254" s="5">
        <v>549.0</v>
      </c>
      <c r="S254" s="5">
        <v>3.93102462E9</v>
      </c>
      <c r="T254" s="5" t="s">
        <v>3695</v>
      </c>
      <c r="U254" s="5" t="s">
        <v>3696</v>
      </c>
      <c r="V254" s="5">
        <v>3.931176578E9</v>
      </c>
      <c r="W254" s="5" t="s">
        <v>1808</v>
      </c>
      <c r="X254" s="91">
        <v>44397.0</v>
      </c>
      <c r="Y254" s="5">
        <v>1.0</v>
      </c>
      <c r="Z254" s="5">
        <v>3.0</v>
      </c>
      <c r="AA254" s="5">
        <v>3.0</v>
      </c>
      <c r="AB254" s="5"/>
      <c r="AC254" s="5"/>
      <c r="AD254" s="5" t="s">
        <v>1770</v>
      </c>
      <c r="AE254" s="5" t="s">
        <v>1770</v>
      </c>
      <c r="AF254" s="5"/>
      <c r="AG254" s="5"/>
      <c r="AH254" s="5">
        <v>8.180362645E9</v>
      </c>
      <c r="AI254" s="5">
        <v>23.0</v>
      </c>
      <c r="AJ254" s="5"/>
      <c r="AK254" s="5" t="s">
        <v>1773</v>
      </c>
      <c r="AL254" s="92">
        <v>0.0</v>
      </c>
      <c r="AM254" s="5" t="s">
        <v>1770</v>
      </c>
      <c r="AN254" s="5" t="s">
        <v>1830</v>
      </c>
      <c r="AO254" s="5"/>
      <c r="AP254" s="5"/>
      <c r="AQ254" s="5"/>
      <c r="AR254" s="5"/>
      <c r="AS254" s="5"/>
      <c r="AT254" s="5"/>
      <c r="AU254" s="5"/>
      <c r="AV254" s="5"/>
      <c r="AW254" s="5" t="s">
        <v>1770</v>
      </c>
      <c r="AX254" s="5"/>
      <c r="AY254" s="5"/>
      <c r="AZ254" s="5" t="s">
        <v>1770</v>
      </c>
      <c r="BA254" s="93">
        <v>0.0</v>
      </c>
      <c r="BB254" s="93">
        <v>0.0</v>
      </c>
      <c r="BC254" s="93">
        <v>0.0</v>
      </c>
      <c r="BD254" s="93">
        <v>0.0</v>
      </c>
      <c r="BE254" s="93">
        <v>0.0</v>
      </c>
      <c r="BF254" s="93">
        <v>0.0</v>
      </c>
      <c r="BG254" s="5"/>
      <c r="BH254" s="93">
        <v>0.0</v>
      </c>
      <c r="BI254" s="93">
        <v>0.0</v>
      </c>
      <c r="BJ254" s="93">
        <v>0.0</v>
      </c>
      <c r="BK254" s="93">
        <v>0.0</v>
      </c>
      <c r="BL254" s="93">
        <v>0.0</v>
      </c>
      <c r="BM254" s="93">
        <v>0.0</v>
      </c>
      <c r="BN254" s="93">
        <v>0.0</v>
      </c>
      <c r="BO254" s="5"/>
      <c r="BP254" s="5"/>
      <c r="BQ254" s="5" t="s">
        <v>1775</v>
      </c>
      <c r="BR254" s="94">
        <v>44406.4927662037</v>
      </c>
      <c r="BS254" s="5">
        <v>40.0</v>
      </c>
      <c r="BT254" s="94">
        <v>46134.56670138889</v>
      </c>
      <c r="BU254" s="5" t="s">
        <v>1770</v>
      </c>
      <c r="BV254" s="5" t="s">
        <v>1770</v>
      </c>
      <c r="BW254" s="5" t="s">
        <v>1770</v>
      </c>
    </row>
    <row r="255" ht="14.25" customHeight="1">
      <c r="A255" s="5">
        <v>254.0</v>
      </c>
      <c r="B255" s="5">
        <v>523.0</v>
      </c>
      <c r="C255" s="5" t="s">
        <v>3697</v>
      </c>
      <c r="D255" s="5" t="s">
        <v>2909</v>
      </c>
      <c r="E255" s="5" t="s">
        <v>1792</v>
      </c>
      <c r="F255" s="5" t="s">
        <v>3698</v>
      </c>
      <c r="G255" s="5" t="s">
        <v>3699</v>
      </c>
      <c r="H255" s="5" t="s">
        <v>1972</v>
      </c>
      <c r="I255" s="5" t="s">
        <v>1782</v>
      </c>
      <c r="J255" s="91">
        <v>37962.0</v>
      </c>
      <c r="K255" s="5">
        <v>594.0</v>
      </c>
      <c r="L255" s="5" t="s">
        <v>3624</v>
      </c>
      <c r="M255" s="5">
        <v>150.0</v>
      </c>
      <c r="N255" s="5" t="s">
        <v>2340</v>
      </c>
      <c r="O255" s="5">
        <v>43884.0</v>
      </c>
      <c r="P255" s="5" t="s">
        <v>2032</v>
      </c>
      <c r="Q255" s="5" t="s">
        <v>1766</v>
      </c>
      <c r="R255" s="5">
        <v>549.0</v>
      </c>
      <c r="S255" s="5">
        <v>3.931269581E9</v>
      </c>
      <c r="T255" s="5" t="s">
        <v>3700</v>
      </c>
      <c r="U255" s="5" t="s">
        <v>3701</v>
      </c>
      <c r="V255" s="5">
        <v>3.931503133E9</v>
      </c>
      <c r="W255" s="5" t="s">
        <v>1808</v>
      </c>
      <c r="X255" s="91">
        <v>44403.0</v>
      </c>
      <c r="Y255" s="5">
        <v>1.0</v>
      </c>
      <c r="Z255" s="5">
        <v>4.0</v>
      </c>
      <c r="AA255" s="5">
        <v>12.0</v>
      </c>
      <c r="AB255" s="5" t="s">
        <v>3702</v>
      </c>
      <c r="AC255" s="5" t="s">
        <v>1800</v>
      </c>
      <c r="AD255" s="91">
        <v>46141.0</v>
      </c>
      <c r="AE255" s="91">
        <v>47602.0</v>
      </c>
      <c r="AF255" s="5"/>
      <c r="AG255" s="5"/>
      <c r="AH255" s="5">
        <v>4.9170356171E10</v>
      </c>
      <c r="AI255" s="5">
        <v>23.0</v>
      </c>
      <c r="AJ255" s="5"/>
      <c r="AK255" s="5" t="s">
        <v>1773</v>
      </c>
      <c r="AL255" s="92">
        <v>0.0</v>
      </c>
      <c r="AM255" s="5" t="s">
        <v>1770</v>
      </c>
      <c r="AN255" s="5" t="s">
        <v>1830</v>
      </c>
      <c r="AO255" s="5"/>
      <c r="AP255" s="5"/>
      <c r="AQ255" s="5"/>
      <c r="AR255" s="5"/>
      <c r="AS255" s="5"/>
      <c r="AT255" s="5"/>
      <c r="AU255" s="5"/>
      <c r="AV255" s="5"/>
      <c r="AW255" s="5" t="s">
        <v>1770</v>
      </c>
      <c r="AX255" s="5"/>
      <c r="AY255" s="5"/>
      <c r="AZ255" s="5" t="s">
        <v>1770</v>
      </c>
      <c r="BA255" s="93">
        <v>0.0</v>
      </c>
      <c r="BB255" s="93">
        <v>0.0</v>
      </c>
      <c r="BC255" s="93">
        <v>0.0</v>
      </c>
      <c r="BD255" s="93">
        <v>0.0</v>
      </c>
      <c r="BE255" s="93">
        <v>0.0</v>
      </c>
      <c r="BF255" s="93">
        <v>0.0</v>
      </c>
      <c r="BG255" s="5"/>
      <c r="BH255" s="93">
        <v>0.0</v>
      </c>
      <c r="BI255" s="93">
        <v>0.0</v>
      </c>
      <c r="BJ255" s="93">
        <v>0.0</v>
      </c>
      <c r="BK255" s="93">
        <v>0.0</v>
      </c>
      <c r="BL255" s="93">
        <v>0.0</v>
      </c>
      <c r="BM255" s="93">
        <v>0.0</v>
      </c>
      <c r="BN255" s="93">
        <v>0.0</v>
      </c>
      <c r="BO255" s="5"/>
      <c r="BP255" s="5"/>
      <c r="BQ255" s="5" t="s">
        <v>1775</v>
      </c>
      <c r="BR255" s="94">
        <v>44425.55037037037</v>
      </c>
      <c r="BS255" s="5">
        <v>40.0</v>
      </c>
      <c r="BT255" s="94">
        <v>46176.52774305556</v>
      </c>
      <c r="BU255" s="5">
        <v>40.0</v>
      </c>
      <c r="BV255" s="5" t="s">
        <v>1770</v>
      </c>
      <c r="BW255" s="5" t="s">
        <v>1770</v>
      </c>
    </row>
    <row r="256" ht="14.25" customHeight="1">
      <c r="A256" s="5">
        <v>255.0</v>
      </c>
      <c r="B256" s="5">
        <v>524.0</v>
      </c>
      <c r="C256" s="5" t="s">
        <v>3703</v>
      </c>
      <c r="D256" s="5" t="s">
        <v>2464</v>
      </c>
      <c r="E256" s="5" t="s">
        <v>3704</v>
      </c>
      <c r="F256" s="5" t="s">
        <v>3705</v>
      </c>
      <c r="G256" s="5" t="s">
        <v>3706</v>
      </c>
      <c r="H256" s="5" t="s">
        <v>1910</v>
      </c>
      <c r="I256" s="5" t="s">
        <v>1782</v>
      </c>
      <c r="J256" s="91">
        <v>26775.0</v>
      </c>
      <c r="K256" s="5">
        <v>2461.0</v>
      </c>
      <c r="L256" s="5" t="s">
        <v>3707</v>
      </c>
      <c r="M256" s="5">
        <v>501.0</v>
      </c>
      <c r="N256" s="5"/>
      <c r="O256" s="5">
        <v>71941.0</v>
      </c>
      <c r="P256" s="5" t="s">
        <v>3708</v>
      </c>
      <c r="Q256" s="5" t="s">
        <v>3709</v>
      </c>
      <c r="R256" s="5">
        <v>2461.0</v>
      </c>
      <c r="S256" s="5">
        <v>4.426582603E9</v>
      </c>
      <c r="T256" s="5" t="s">
        <v>3710</v>
      </c>
      <c r="U256" s="5" t="s">
        <v>3711</v>
      </c>
      <c r="V256" s="5">
        <v>4.427755225E9</v>
      </c>
      <c r="W256" s="5" t="s">
        <v>2284</v>
      </c>
      <c r="X256" s="91">
        <v>44424.0</v>
      </c>
      <c r="Y256" s="5">
        <v>4.0</v>
      </c>
      <c r="Z256" s="5">
        <v>4.0</v>
      </c>
      <c r="AA256" s="5">
        <v>40.0</v>
      </c>
      <c r="AB256" s="5" t="s">
        <v>3712</v>
      </c>
      <c r="AC256" s="5" t="s">
        <v>2274</v>
      </c>
      <c r="AD256" s="91">
        <v>43682.0</v>
      </c>
      <c r="AE256" s="91">
        <v>44778.0</v>
      </c>
      <c r="AF256" s="5"/>
      <c r="AG256" s="5"/>
      <c r="AH256" s="5">
        <v>1.4897312279E10</v>
      </c>
      <c r="AI256" s="5">
        <v>15.0</v>
      </c>
      <c r="AJ256" s="5"/>
      <c r="AK256" s="5" t="s">
        <v>1773</v>
      </c>
      <c r="AL256" s="92">
        <v>0.0</v>
      </c>
      <c r="AM256" s="5" t="s">
        <v>1770</v>
      </c>
      <c r="AN256" s="5" t="s">
        <v>1830</v>
      </c>
      <c r="AO256" s="5"/>
      <c r="AP256" s="5"/>
      <c r="AQ256" s="5"/>
      <c r="AR256" s="5"/>
      <c r="AS256" s="5"/>
      <c r="AT256" s="5"/>
      <c r="AU256" s="5"/>
      <c r="AV256" s="5"/>
      <c r="AW256" s="5" t="s">
        <v>1770</v>
      </c>
      <c r="AX256" s="5"/>
      <c r="AY256" s="5"/>
      <c r="AZ256" s="5" t="s">
        <v>1770</v>
      </c>
      <c r="BA256" s="93">
        <v>0.0</v>
      </c>
      <c r="BB256" s="93">
        <v>0.0</v>
      </c>
      <c r="BC256" s="93">
        <v>0.0</v>
      </c>
      <c r="BD256" s="93">
        <v>0.0</v>
      </c>
      <c r="BE256" s="93">
        <v>0.0</v>
      </c>
      <c r="BF256" s="93">
        <v>0.0</v>
      </c>
      <c r="BG256" s="5"/>
      <c r="BH256" s="93">
        <v>0.0</v>
      </c>
      <c r="BI256" s="93">
        <v>0.0</v>
      </c>
      <c r="BJ256" s="93">
        <v>0.0</v>
      </c>
      <c r="BK256" s="93">
        <v>0.0</v>
      </c>
      <c r="BL256" s="93">
        <v>0.0</v>
      </c>
      <c r="BM256" s="93">
        <v>0.0</v>
      </c>
      <c r="BN256" s="93">
        <v>0.0</v>
      </c>
      <c r="BO256" s="5"/>
      <c r="BP256" s="5" t="s">
        <v>1770</v>
      </c>
      <c r="BQ256" s="5" t="s">
        <v>1789</v>
      </c>
      <c r="BR256" s="94">
        <v>44425.612233796295</v>
      </c>
      <c r="BS256" s="5">
        <v>40.0</v>
      </c>
      <c r="BT256" s="5" t="s">
        <v>1770</v>
      </c>
      <c r="BU256" s="5" t="s">
        <v>1770</v>
      </c>
      <c r="BV256" s="94">
        <v>44645.52606481482</v>
      </c>
      <c r="BW256" s="5">
        <v>167.0</v>
      </c>
    </row>
    <row r="257" ht="14.25" customHeight="1">
      <c r="A257" s="5">
        <v>256.0</v>
      </c>
      <c r="B257" s="5">
        <v>526.0</v>
      </c>
      <c r="C257" s="5" t="s">
        <v>3713</v>
      </c>
      <c r="D257" s="5" t="s">
        <v>1792</v>
      </c>
      <c r="E257" s="5" t="s">
        <v>1758</v>
      </c>
      <c r="F257" s="5" t="s">
        <v>3714</v>
      </c>
      <c r="G257" s="5" t="s">
        <v>3715</v>
      </c>
      <c r="H257" s="5" t="s">
        <v>1972</v>
      </c>
      <c r="I257" s="5" t="s">
        <v>1782</v>
      </c>
      <c r="J257" s="91">
        <v>35458.0</v>
      </c>
      <c r="K257" s="5">
        <v>549.0</v>
      </c>
      <c r="L257" s="5" t="s">
        <v>3716</v>
      </c>
      <c r="M257" s="5">
        <v>30.0</v>
      </c>
      <c r="N257" s="5"/>
      <c r="O257" s="5">
        <v>43882.0</v>
      </c>
      <c r="P257" s="5" t="s">
        <v>3139</v>
      </c>
      <c r="Q257" s="5" t="s">
        <v>1883</v>
      </c>
      <c r="R257" s="5">
        <v>549.0</v>
      </c>
      <c r="S257" s="5">
        <v>1.234569878E9</v>
      </c>
      <c r="T257" s="5"/>
      <c r="U257" s="5" t="s">
        <v>2340</v>
      </c>
      <c r="V257" s="5">
        <v>1.236594878E9</v>
      </c>
      <c r="W257" s="5" t="s">
        <v>3111</v>
      </c>
      <c r="X257" s="91">
        <v>44456.0</v>
      </c>
      <c r="Y257" s="5">
        <v>3.0</v>
      </c>
      <c r="Z257" s="5">
        <v>17.0</v>
      </c>
      <c r="AA257" s="5">
        <v>61.0</v>
      </c>
      <c r="AB257" s="5"/>
      <c r="AC257" s="5"/>
      <c r="AD257" s="5" t="s">
        <v>1770</v>
      </c>
      <c r="AE257" s="5" t="s">
        <v>1770</v>
      </c>
      <c r="AF257" s="5"/>
      <c r="AG257" s="5"/>
      <c r="AH257" s="5">
        <v>5.219789673E9</v>
      </c>
      <c r="AI257" s="5">
        <v>23.0</v>
      </c>
      <c r="AJ257" s="5"/>
      <c r="AK257" s="5" t="s">
        <v>1773</v>
      </c>
      <c r="AL257" s="92">
        <v>0.0</v>
      </c>
      <c r="AM257" s="5" t="s">
        <v>1770</v>
      </c>
      <c r="AN257" s="5" t="s">
        <v>3077</v>
      </c>
      <c r="AO257" s="5"/>
      <c r="AP257" s="5"/>
      <c r="AQ257" s="5"/>
      <c r="AR257" s="5"/>
      <c r="AS257" s="5"/>
      <c r="AT257" s="5"/>
      <c r="AU257" s="5"/>
      <c r="AV257" s="5"/>
      <c r="AW257" s="5" t="s">
        <v>1770</v>
      </c>
      <c r="AX257" s="5"/>
      <c r="AY257" s="5"/>
      <c r="AZ257" s="5" t="s">
        <v>1770</v>
      </c>
      <c r="BA257" s="93">
        <v>0.0</v>
      </c>
      <c r="BB257" s="93">
        <v>0.0</v>
      </c>
      <c r="BC257" s="93">
        <v>0.0</v>
      </c>
      <c r="BD257" s="93">
        <v>0.0</v>
      </c>
      <c r="BE257" s="93">
        <v>0.0</v>
      </c>
      <c r="BF257" s="93">
        <v>0.0</v>
      </c>
      <c r="BG257" s="5"/>
      <c r="BH257" s="93">
        <v>0.0</v>
      </c>
      <c r="BI257" s="93">
        <v>0.0</v>
      </c>
      <c r="BJ257" s="93">
        <v>0.0</v>
      </c>
      <c r="BK257" s="93">
        <v>0.0</v>
      </c>
      <c r="BL257" s="93">
        <v>0.0</v>
      </c>
      <c r="BM257" s="93">
        <v>0.0</v>
      </c>
      <c r="BN257" s="93">
        <v>0.0</v>
      </c>
      <c r="BO257" s="5"/>
      <c r="BP257" s="5" t="s">
        <v>1770</v>
      </c>
      <c r="BQ257" s="5" t="s">
        <v>1789</v>
      </c>
      <c r="BR257" s="94">
        <v>44460.7409837963</v>
      </c>
      <c r="BS257" s="5">
        <v>40.0</v>
      </c>
      <c r="BT257" s="5" t="s">
        <v>1770</v>
      </c>
      <c r="BU257" s="5" t="s">
        <v>1770</v>
      </c>
      <c r="BV257" s="94">
        <v>44705.556180555555</v>
      </c>
      <c r="BW257" s="5">
        <v>196.0</v>
      </c>
    </row>
    <row r="258" ht="14.25" customHeight="1">
      <c r="A258" s="5">
        <v>257.0</v>
      </c>
      <c r="B258" s="5">
        <v>525.0</v>
      </c>
      <c r="C258" s="5" t="s">
        <v>3717</v>
      </c>
      <c r="D258" s="5" t="s">
        <v>1872</v>
      </c>
      <c r="E258" s="5" t="s">
        <v>1778</v>
      </c>
      <c r="F258" s="5" t="s">
        <v>3718</v>
      </c>
      <c r="G258" s="5"/>
      <c r="H258" s="5" t="s">
        <v>1815</v>
      </c>
      <c r="I258" s="5" t="s">
        <v>1763</v>
      </c>
      <c r="J258" s="91">
        <v>35941.0</v>
      </c>
      <c r="K258" s="5">
        <v>544.0</v>
      </c>
      <c r="L258" s="5" t="s">
        <v>3719</v>
      </c>
      <c r="M258" s="5">
        <v>6.0</v>
      </c>
      <c r="N258" s="5"/>
      <c r="O258" s="5">
        <v>43722.0</v>
      </c>
      <c r="P258" s="5" t="s">
        <v>3720</v>
      </c>
      <c r="Q258" s="5" t="s">
        <v>1850</v>
      </c>
      <c r="R258" s="5">
        <v>544.0</v>
      </c>
      <c r="S258" s="5">
        <v>3.31158742E9</v>
      </c>
      <c r="T258" s="5" t="s">
        <v>3721</v>
      </c>
      <c r="U258" s="5" t="s">
        <v>3722</v>
      </c>
      <c r="V258" s="5">
        <v>3.316137123E9</v>
      </c>
      <c r="W258" s="5" t="s">
        <v>1808</v>
      </c>
      <c r="X258" s="91">
        <v>44425.0</v>
      </c>
      <c r="Y258" s="5" t="s">
        <v>1770</v>
      </c>
      <c r="Z258" s="5">
        <v>17.0</v>
      </c>
      <c r="AA258" s="5">
        <v>44.0</v>
      </c>
      <c r="AB258" s="5" t="s">
        <v>3723</v>
      </c>
      <c r="AC258" s="5" t="s">
        <v>1800</v>
      </c>
      <c r="AD258" s="91">
        <v>42580.0</v>
      </c>
      <c r="AE258" s="91">
        <v>44041.0</v>
      </c>
      <c r="AF258" s="5"/>
      <c r="AG258" s="5"/>
      <c r="AH258" s="5">
        <v>5.219861795E9</v>
      </c>
      <c r="AI258" s="5">
        <v>22.0</v>
      </c>
      <c r="AJ258" s="5"/>
      <c r="AK258" s="5" t="s">
        <v>1773</v>
      </c>
      <c r="AL258" s="92">
        <v>0.0</v>
      </c>
      <c r="AM258" s="5" t="s">
        <v>1770</v>
      </c>
      <c r="AN258" s="5" t="s">
        <v>1830</v>
      </c>
      <c r="AO258" s="5"/>
      <c r="AP258" s="5"/>
      <c r="AQ258" s="5"/>
      <c r="AR258" s="5"/>
      <c r="AS258" s="5"/>
      <c r="AT258" s="5"/>
      <c r="AU258" s="5"/>
      <c r="AV258" s="5"/>
      <c r="AW258" s="5" t="s">
        <v>1770</v>
      </c>
      <c r="AX258" s="5"/>
      <c r="AY258" s="5"/>
      <c r="AZ258" s="5" t="s">
        <v>1770</v>
      </c>
      <c r="BA258" s="93">
        <v>0.0</v>
      </c>
      <c r="BB258" s="93">
        <v>0.0</v>
      </c>
      <c r="BC258" s="93">
        <v>0.0</v>
      </c>
      <c r="BD258" s="93">
        <v>0.0</v>
      </c>
      <c r="BE258" s="93">
        <v>0.0</v>
      </c>
      <c r="BF258" s="93">
        <v>0.0</v>
      </c>
      <c r="BG258" s="5"/>
      <c r="BH258" s="93">
        <v>0.0</v>
      </c>
      <c r="BI258" s="93">
        <v>0.0</v>
      </c>
      <c r="BJ258" s="93">
        <v>0.0</v>
      </c>
      <c r="BK258" s="93">
        <v>0.0</v>
      </c>
      <c r="BL258" s="93">
        <v>0.0</v>
      </c>
      <c r="BM258" s="93">
        <v>0.0</v>
      </c>
      <c r="BN258" s="93">
        <v>0.0</v>
      </c>
      <c r="BO258" s="5"/>
      <c r="BP258" s="5" t="s">
        <v>1770</v>
      </c>
      <c r="BQ258" s="5" t="s">
        <v>1789</v>
      </c>
      <c r="BR258" s="94">
        <v>44460.74927083333</v>
      </c>
      <c r="BS258" s="5">
        <v>40.0</v>
      </c>
      <c r="BT258" s="5" t="s">
        <v>1770</v>
      </c>
      <c r="BU258" s="5" t="s">
        <v>1770</v>
      </c>
      <c r="BV258" s="94">
        <v>45244.658483796295</v>
      </c>
      <c r="BW258" s="5">
        <v>40.0</v>
      </c>
    </row>
    <row r="259" ht="14.25" customHeight="1">
      <c r="A259" s="5">
        <v>258.0</v>
      </c>
      <c r="B259" s="5">
        <v>527.0</v>
      </c>
      <c r="C259" s="5" t="s">
        <v>3724</v>
      </c>
      <c r="D259" s="5" t="s">
        <v>3725</v>
      </c>
      <c r="E259" s="5" t="s">
        <v>1792</v>
      </c>
      <c r="F259" s="5" t="s">
        <v>3726</v>
      </c>
      <c r="G259" s="5" t="s">
        <v>3727</v>
      </c>
      <c r="H259" s="5" t="s">
        <v>1972</v>
      </c>
      <c r="I259" s="5" t="s">
        <v>1782</v>
      </c>
      <c r="J259" s="91">
        <v>35708.0</v>
      </c>
      <c r="K259" s="5">
        <v>404.0</v>
      </c>
      <c r="L259" s="5" t="s">
        <v>3728</v>
      </c>
      <c r="M259" s="5">
        <v>5.0</v>
      </c>
      <c r="N259" s="5"/>
      <c r="O259" s="5">
        <v>52029.0</v>
      </c>
      <c r="P259" s="5" t="s">
        <v>3729</v>
      </c>
      <c r="Q259" s="5" t="s">
        <v>3730</v>
      </c>
      <c r="R259" s="5">
        <v>755.0</v>
      </c>
      <c r="S259" s="5">
        <v>4.112114731E9</v>
      </c>
      <c r="T259" s="5" t="s">
        <v>3731</v>
      </c>
      <c r="U259" s="5" t="s">
        <v>3732</v>
      </c>
      <c r="V259" s="5">
        <v>2.781240306E9</v>
      </c>
      <c r="W259" s="5" t="s">
        <v>1808</v>
      </c>
      <c r="X259" s="91">
        <v>44459.0</v>
      </c>
      <c r="Y259" s="5">
        <v>1.0</v>
      </c>
      <c r="Z259" s="5">
        <v>4.0</v>
      </c>
      <c r="AA259" s="5">
        <v>39.0</v>
      </c>
      <c r="AB259" s="5"/>
      <c r="AC259" s="5" t="s">
        <v>1772</v>
      </c>
      <c r="AD259" s="91">
        <v>44446.0</v>
      </c>
      <c r="AE259" s="91">
        <v>45176.0</v>
      </c>
      <c r="AF259" s="5"/>
      <c r="AG259" s="5"/>
      <c r="AH259" s="5">
        <v>6.7169736179E10</v>
      </c>
      <c r="AI259" s="5">
        <v>23.0</v>
      </c>
      <c r="AJ259" s="5"/>
      <c r="AK259" s="5" t="s">
        <v>1773</v>
      </c>
      <c r="AL259" s="92">
        <v>0.0</v>
      </c>
      <c r="AM259" s="5" t="s">
        <v>1770</v>
      </c>
      <c r="AN259" s="5" t="s">
        <v>1830</v>
      </c>
      <c r="AO259" s="5"/>
      <c r="AP259" s="5"/>
      <c r="AQ259" s="5"/>
      <c r="AR259" s="5"/>
      <c r="AS259" s="5"/>
      <c r="AT259" s="5"/>
      <c r="AU259" s="5"/>
      <c r="AV259" s="5"/>
      <c r="AW259" s="5" t="s">
        <v>1770</v>
      </c>
      <c r="AX259" s="5"/>
      <c r="AY259" s="5"/>
      <c r="AZ259" s="5" t="s">
        <v>1770</v>
      </c>
      <c r="BA259" s="93">
        <v>0.0</v>
      </c>
      <c r="BB259" s="93">
        <v>0.0</v>
      </c>
      <c r="BC259" s="93">
        <v>0.0</v>
      </c>
      <c r="BD259" s="93">
        <v>0.0</v>
      </c>
      <c r="BE259" s="93">
        <v>0.0</v>
      </c>
      <c r="BF259" s="93">
        <v>0.0</v>
      </c>
      <c r="BG259" s="5"/>
      <c r="BH259" s="93">
        <v>0.0</v>
      </c>
      <c r="BI259" s="93">
        <v>0.0</v>
      </c>
      <c r="BJ259" s="93">
        <v>0.0</v>
      </c>
      <c r="BK259" s="93">
        <v>0.0</v>
      </c>
      <c r="BL259" s="93">
        <v>0.0</v>
      </c>
      <c r="BM259" s="93">
        <v>0.0</v>
      </c>
      <c r="BN259" s="93">
        <v>0.0</v>
      </c>
      <c r="BO259" s="5"/>
      <c r="BP259" s="5" t="s">
        <v>1770</v>
      </c>
      <c r="BQ259" s="5" t="s">
        <v>1789</v>
      </c>
      <c r="BR259" s="94">
        <v>44466.55359953704</v>
      </c>
      <c r="BS259" s="5">
        <v>40.0</v>
      </c>
      <c r="BT259" s="94">
        <v>44750.71150462963</v>
      </c>
      <c r="BU259" s="5">
        <v>167.0</v>
      </c>
      <c r="BV259" s="94">
        <v>44770.559594907405</v>
      </c>
      <c r="BW259" s="5">
        <v>40.0</v>
      </c>
    </row>
    <row r="260" ht="14.25" customHeight="1">
      <c r="A260" s="5">
        <v>259.0</v>
      </c>
      <c r="B260" s="5">
        <v>528.0</v>
      </c>
      <c r="C260" s="5" t="s">
        <v>3733</v>
      </c>
      <c r="D260" s="5" t="s">
        <v>2164</v>
      </c>
      <c r="E260" s="5" t="s">
        <v>2158</v>
      </c>
      <c r="F260" s="5" t="s">
        <v>3734</v>
      </c>
      <c r="G260" s="5" t="s">
        <v>3735</v>
      </c>
      <c r="H260" s="5" t="s">
        <v>1972</v>
      </c>
      <c r="I260" s="5" t="s">
        <v>1782</v>
      </c>
      <c r="J260" s="91">
        <v>35806.0</v>
      </c>
      <c r="K260" s="5">
        <v>755.0</v>
      </c>
      <c r="L260" s="5" t="s">
        <v>1941</v>
      </c>
      <c r="M260" s="5">
        <v>204.0</v>
      </c>
      <c r="N260" s="5">
        <v>5.0</v>
      </c>
      <c r="O260" s="5">
        <v>51952.0</v>
      </c>
      <c r="P260" s="5" t="s">
        <v>3736</v>
      </c>
      <c r="Q260" s="5" t="s">
        <v>3730</v>
      </c>
      <c r="R260" s="5">
        <v>755.0</v>
      </c>
      <c r="S260" s="5">
        <v>5.576579581E9</v>
      </c>
      <c r="T260" s="5" t="s">
        <v>3737</v>
      </c>
      <c r="U260" s="5" t="s">
        <v>3738</v>
      </c>
      <c r="V260" s="5">
        <v>5.951149678E9</v>
      </c>
      <c r="W260" s="5" t="s">
        <v>1965</v>
      </c>
      <c r="X260" s="91">
        <v>44972.0</v>
      </c>
      <c r="Y260" s="5">
        <v>1.0</v>
      </c>
      <c r="Z260" s="5">
        <v>4.0</v>
      </c>
      <c r="AA260" s="5">
        <v>39.0</v>
      </c>
      <c r="AB260" s="5" t="s">
        <v>3739</v>
      </c>
      <c r="AC260" s="5" t="s">
        <v>1772</v>
      </c>
      <c r="AD260" s="91">
        <v>43762.0</v>
      </c>
      <c r="AE260" s="91">
        <v>44858.0</v>
      </c>
      <c r="AF260" s="5"/>
      <c r="AG260" s="5"/>
      <c r="AH260" s="5">
        <v>1.5139845893E10</v>
      </c>
      <c r="AI260" s="5">
        <v>23.0</v>
      </c>
      <c r="AJ260" s="5"/>
      <c r="AK260" s="5" t="s">
        <v>1773</v>
      </c>
      <c r="AL260" s="92">
        <v>0.0</v>
      </c>
      <c r="AM260" s="5" t="s">
        <v>1770</v>
      </c>
      <c r="AN260" s="5" t="s">
        <v>2052</v>
      </c>
      <c r="AO260" s="5"/>
      <c r="AP260" s="5"/>
      <c r="AQ260" s="5"/>
      <c r="AR260" s="5"/>
      <c r="AS260" s="5"/>
      <c r="AT260" s="5"/>
      <c r="AU260" s="5"/>
      <c r="AV260" s="5"/>
      <c r="AW260" s="5" t="s">
        <v>1770</v>
      </c>
      <c r="AX260" s="5"/>
      <c r="AY260" s="5"/>
      <c r="AZ260" s="5" t="s">
        <v>1770</v>
      </c>
      <c r="BA260" s="93">
        <v>0.0</v>
      </c>
      <c r="BB260" s="93">
        <v>0.0</v>
      </c>
      <c r="BC260" s="93">
        <v>0.0</v>
      </c>
      <c r="BD260" s="93">
        <v>0.0</v>
      </c>
      <c r="BE260" s="93">
        <v>0.0</v>
      </c>
      <c r="BF260" s="93">
        <v>0.0</v>
      </c>
      <c r="BG260" s="5"/>
      <c r="BH260" s="93">
        <v>0.0</v>
      </c>
      <c r="BI260" s="93">
        <v>0.0</v>
      </c>
      <c r="BJ260" s="93">
        <v>0.0</v>
      </c>
      <c r="BK260" s="93">
        <v>0.0</v>
      </c>
      <c r="BL260" s="93">
        <v>0.0</v>
      </c>
      <c r="BM260" s="93">
        <v>0.0</v>
      </c>
      <c r="BN260" s="93">
        <v>0.0</v>
      </c>
      <c r="BO260" s="5"/>
      <c r="BP260" s="5" t="s">
        <v>1770</v>
      </c>
      <c r="BQ260" s="5" t="s">
        <v>1789</v>
      </c>
      <c r="BR260" s="94">
        <v>44466.559699074074</v>
      </c>
      <c r="BS260" s="5">
        <v>40.0</v>
      </c>
      <c r="BT260" s="94">
        <v>44973.39381944444</v>
      </c>
      <c r="BU260" s="5">
        <v>167.0</v>
      </c>
      <c r="BV260" s="94">
        <v>45252.660891203705</v>
      </c>
      <c r="BW260" s="5">
        <v>40.0</v>
      </c>
    </row>
    <row r="261" ht="14.25" customHeight="1">
      <c r="A261" s="5">
        <v>260.0</v>
      </c>
      <c r="B261" s="5">
        <v>529.0</v>
      </c>
      <c r="C261" s="5" t="s">
        <v>3560</v>
      </c>
      <c r="D261" s="5" t="s">
        <v>2097</v>
      </c>
      <c r="E261" s="5" t="s">
        <v>2335</v>
      </c>
      <c r="F261" s="5" t="s">
        <v>3740</v>
      </c>
      <c r="G261" s="5" t="s">
        <v>3741</v>
      </c>
      <c r="H261" s="5" t="s">
        <v>1781</v>
      </c>
      <c r="I261" s="5" t="s">
        <v>1782</v>
      </c>
      <c r="J261" s="91">
        <v>30022.0</v>
      </c>
      <c r="K261" s="5">
        <v>549.0</v>
      </c>
      <c r="L261" s="100" t="s">
        <v>1953</v>
      </c>
      <c r="M261" s="5">
        <v>471.0</v>
      </c>
      <c r="N261" s="5"/>
      <c r="O261" s="5">
        <v>43882.0</v>
      </c>
      <c r="P261" s="5" t="s">
        <v>2743</v>
      </c>
      <c r="Q261" s="5" t="s">
        <v>1766</v>
      </c>
      <c r="R261" s="5">
        <v>549.0</v>
      </c>
      <c r="S261" s="5">
        <v>3.931053834E9</v>
      </c>
      <c r="T261" s="5" t="s">
        <v>3742</v>
      </c>
      <c r="U261" s="5" t="s">
        <v>3743</v>
      </c>
      <c r="V261" s="5">
        <v>3.931055034E9</v>
      </c>
      <c r="W261" s="5" t="s">
        <v>1787</v>
      </c>
      <c r="X261" s="91">
        <v>44459.0</v>
      </c>
      <c r="Y261" s="5" t="s">
        <v>1770</v>
      </c>
      <c r="Z261" s="5">
        <v>4.0</v>
      </c>
      <c r="AA261" s="5">
        <v>48.0</v>
      </c>
      <c r="AB261" s="5" t="s">
        <v>3744</v>
      </c>
      <c r="AC261" s="5" t="s">
        <v>1800</v>
      </c>
      <c r="AD261" s="91">
        <v>44441.0</v>
      </c>
      <c r="AE261" s="91">
        <v>45902.0</v>
      </c>
      <c r="AF261" s="5"/>
      <c r="AG261" s="5"/>
      <c r="AH261" s="5">
        <v>4.058250533E9</v>
      </c>
      <c r="AI261" s="5">
        <v>23.0</v>
      </c>
      <c r="AJ261" s="5"/>
      <c r="AK261" s="5" t="s">
        <v>1773</v>
      </c>
      <c r="AL261" s="92">
        <v>0.0</v>
      </c>
      <c r="AM261" s="5" t="s">
        <v>1770</v>
      </c>
      <c r="AN261" s="5" t="s">
        <v>1830</v>
      </c>
      <c r="AO261" s="5"/>
      <c r="AP261" s="5"/>
      <c r="AQ261" s="5"/>
      <c r="AR261" s="5"/>
      <c r="AS261" s="5"/>
      <c r="AT261" s="5"/>
      <c r="AU261" s="5"/>
      <c r="AV261" s="5"/>
      <c r="AW261" s="5" t="s">
        <v>1770</v>
      </c>
      <c r="AX261" s="5"/>
      <c r="AY261" s="5"/>
      <c r="AZ261" s="5" t="s">
        <v>1770</v>
      </c>
      <c r="BA261" s="93">
        <v>0.0</v>
      </c>
      <c r="BB261" s="93">
        <v>0.0</v>
      </c>
      <c r="BC261" s="93">
        <v>0.0</v>
      </c>
      <c r="BD261" s="93">
        <v>0.0</v>
      </c>
      <c r="BE261" s="93">
        <v>0.0</v>
      </c>
      <c r="BF261" s="93">
        <v>0.0</v>
      </c>
      <c r="BG261" s="5"/>
      <c r="BH261" s="93">
        <v>0.0</v>
      </c>
      <c r="BI261" s="93">
        <v>0.0</v>
      </c>
      <c r="BJ261" s="93">
        <v>0.0</v>
      </c>
      <c r="BK261" s="93">
        <v>0.0</v>
      </c>
      <c r="BL261" s="93">
        <v>0.0</v>
      </c>
      <c r="BM261" s="93">
        <v>0.0</v>
      </c>
      <c r="BN261" s="93">
        <v>0.0</v>
      </c>
      <c r="BO261" s="5"/>
      <c r="BP261" s="5" t="s">
        <v>1770</v>
      </c>
      <c r="BQ261" s="5" t="s">
        <v>1789</v>
      </c>
      <c r="BR261" s="94">
        <v>44466.569398148145</v>
      </c>
      <c r="BS261" s="5">
        <v>40.0</v>
      </c>
      <c r="BT261" s="5" t="s">
        <v>1770</v>
      </c>
      <c r="BU261" s="5" t="s">
        <v>1770</v>
      </c>
      <c r="BV261" s="94">
        <v>44980.45061342593</v>
      </c>
      <c r="BW261" s="5">
        <v>40.0</v>
      </c>
    </row>
    <row r="262" ht="14.25" customHeight="1">
      <c r="A262" s="5">
        <v>261.0</v>
      </c>
      <c r="B262" s="5">
        <v>530.0</v>
      </c>
      <c r="C262" s="5" t="s">
        <v>3745</v>
      </c>
      <c r="D262" s="5" t="s">
        <v>1926</v>
      </c>
      <c r="E262" s="5" t="s">
        <v>2307</v>
      </c>
      <c r="F262" s="5" t="s">
        <v>3746</v>
      </c>
      <c r="G262" s="5" t="s">
        <v>3747</v>
      </c>
      <c r="H262" s="5" t="s">
        <v>1972</v>
      </c>
      <c r="I262" s="5" t="s">
        <v>1782</v>
      </c>
      <c r="J262" s="91">
        <v>35963.0</v>
      </c>
      <c r="K262" s="5">
        <v>654.0</v>
      </c>
      <c r="L262" s="5" t="s">
        <v>3748</v>
      </c>
      <c r="M262" s="5">
        <v>33.0</v>
      </c>
      <c r="N262" s="5" t="s">
        <v>2340</v>
      </c>
      <c r="O262" s="5">
        <v>41952.0</v>
      </c>
      <c r="P262" s="5" t="s">
        <v>3139</v>
      </c>
      <c r="Q262" s="5" t="s">
        <v>3749</v>
      </c>
      <c r="R262" s="5">
        <v>654.0</v>
      </c>
      <c r="S262" s="5">
        <v>3.32890935E9</v>
      </c>
      <c r="T262" s="5" t="s">
        <v>3750</v>
      </c>
      <c r="U262" s="5" t="s">
        <v>3751</v>
      </c>
      <c r="V262" s="5">
        <v>3.325959903E9</v>
      </c>
      <c r="W262" s="5" t="s">
        <v>1819</v>
      </c>
      <c r="X262" s="91">
        <v>44459.0</v>
      </c>
      <c r="Y262" s="5">
        <v>5.0</v>
      </c>
      <c r="Z262" s="5">
        <v>3.0</v>
      </c>
      <c r="AA262" s="5">
        <v>58.0</v>
      </c>
      <c r="AB262" s="5" t="s">
        <v>3752</v>
      </c>
      <c r="AC262" s="5" t="s">
        <v>1800</v>
      </c>
      <c r="AD262" s="91">
        <v>44319.0</v>
      </c>
      <c r="AE262" s="91">
        <v>45780.0</v>
      </c>
      <c r="AF262" s="5"/>
      <c r="AG262" s="5"/>
      <c r="AH262" s="5">
        <v>4.9169801575E10</v>
      </c>
      <c r="AI262" s="5">
        <v>95.0</v>
      </c>
      <c r="AJ262" s="5"/>
      <c r="AK262" s="5" t="s">
        <v>1773</v>
      </c>
      <c r="AL262" s="92">
        <v>0.0</v>
      </c>
      <c r="AM262" s="5" t="s">
        <v>1770</v>
      </c>
      <c r="AN262" s="5" t="s">
        <v>1830</v>
      </c>
      <c r="AO262" s="5"/>
      <c r="AP262" s="5"/>
      <c r="AQ262" s="5"/>
      <c r="AR262" s="5"/>
      <c r="AS262" s="5"/>
      <c r="AT262" s="5"/>
      <c r="AU262" s="5"/>
      <c r="AV262" s="5"/>
      <c r="AW262" s="5" t="s">
        <v>1770</v>
      </c>
      <c r="AX262" s="5"/>
      <c r="AY262" s="5"/>
      <c r="AZ262" s="5" t="s">
        <v>1770</v>
      </c>
      <c r="BA262" s="93">
        <v>0.0</v>
      </c>
      <c r="BB262" s="93">
        <v>0.0</v>
      </c>
      <c r="BC262" s="93">
        <v>0.0</v>
      </c>
      <c r="BD262" s="93">
        <v>0.0</v>
      </c>
      <c r="BE262" s="93">
        <v>0.0</v>
      </c>
      <c r="BF262" s="93">
        <v>0.0</v>
      </c>
      <c r="BG262" s="5"/>
      <c r="BH262" s="93">
        <v>0.0</v>
      </c>
      <c r="BI262" s="93">
        <v>0.0</v>
      </c>
      <c r="BJ262" s="93">
        <v>0.0</v>
      </c>
      <c r="BK262" s="93">
        <v>0.0</v>
      </c>
      <c r="BL262" s="93">
        <v>0.0</v>
      </c>
      <c r="BM262" s="93">
        <v>0.0</v>
      </c>
      <c r="BN262" s="93">
        <v>0.0</v>
      </c>
      <c r="BO262" s="5"/>
      <c r="BP262" s="5" t="s">
        <v>1770</v>
      </c>
      <c r="BQ262" s="5" t="s">
        <v>1789</v>
      </c>
      <c r="BR262" s="94">
        <v>44466.578252314815</v>
      </c>
      <c r="BS262" s="5">
        <v>40.0</v>
      </c>
      <c r="BT262" s="94">
        <v>44660.40221064815</v>
      </c>
      <c r="BU262" s="5">
        <v>184.0</v>
      </c>
      <c r="BV262" s="94">
        <v>44705.55657407407</v>
      </c>
      <c r="BW262" s="5">
        <v>196.0</v>
      </c>
    </row>
    <row r="263" ht="14.25" customHeight="1">
      <c r="A263" s="5">
        <v>262.0</v>
      </c>
      <c r="B263" s="5">
        <v>531.0</v>
      </c>
      <c r="C263" s="5" t="s">
        <v>1967</v>
      </c>
      <c r="D263" s="5" t="s">
        <v>3753</v>
      </c>
      <c r="E263" s="5" t="s">
        <v>2157</v>
      </c>
      <c r="F263" s="5" t="s">
        <v>3754</v>
      </c>
      <c r="G263" s="5" t="s">
        <v>3755</v>
      </c>
      <c r="H263" s="5" t="s">
        <v>3756</v>
      </c>
      <c r="I263" s="5" t="s">
        <v>1782</v>
      </c>
      <c r="J263" s="91">
        <v>20873.0</v>
      </c>
      <c r="K263" s="5">
        <v>871.0</v>
      </c>
      <c r="L263" s="5" t="s">
        <v>3757</v>
      </c>
      <c r="M263" s="5">
        <v>47.0</v>
      </c>
      <c r="N263" s="5"/>
      <c r="O263" s="5">
        <v>53987.0</v>
      </c>
      <c r="P263" s="5" t="s">
        <v>3758</v>
      </c>
      <c r="Q263" s="5" t="s">
        <v>2041</v>
      </c>
      <c r="R263" s="5">
        <v>834.0</v>
      </c>
      <c r="S263" s="5">
        <v>3.211036988E9</v>
      </c>
      <c r="T263" s="5"/>
      <c r="U263" s="5">
        <v>1.0</v>
      </c>
      <c r="V263" s="5">
        <v>1.236547895E9</v>
      </c>
      <c r="W263" s="5" t="s">
        <v>3759</v>
      </c>
      <c r="X263" s="91">
        <v>44459.0</v>
      </c>
      <c r="Y263" s="5">
        <v>4.0</v>
      </c>
      <c r="Z263" s="5">
        <v>1.0</v>
      </c>
      <c r="AA263" s="5">
        <v>1.0</v>
      </c>
      <c r="AB263" s="5" t="s">
        <v>3760</v>
      </c>
      <c r="AC263" s="5" t="s">
        <v>1772</v>
      </c>
      <c r="AD263" s="91">
        <v>44348.0</v>
      </c>
      <c r="AE263" s="91">
        <v>46174.0</v>
      </c>
      <c r="AF263" s="5"/>
      <c r="AG263" s="5"/>
      <c r="AH263" s="5">
        <v>1.0755757522E10</v>
      </c>
      <c r="AI263" s="5">
        <v>75.0</v>
      </c>
      <c r="AJ263" s="5"/>
      <c r="AK263" s="5" t="s">
        <v>1773</v>
      </c>
      <c r="AL263" s="92">
        <v>0.0</v>
      </c>
      <c r="AM263" s="5" t="s">
        <v>1770</v>
      </c>
      <c r="AN263" s="5" t="s">
        <v>1830</v>
      </c>
      <c r="AO263" s="5"/>
      <c r="AP263" s="5"/>
      <c r="AQ263" s="5"/>
      <c r="AR263" s="5"/>
      <c r="AS263" s="5"/>
      <c r="AT263" s="5"/>
      <c r="AU263" s="5"/>
      <c r="AV263" s="5"/>
      <c r="AW263" s="5" t="s">
        <v>1770</v>
      </c>
      <c r="AX263" s="5"/>
      <c r="AY263" s="5"/>
      <c r="AZ263" s="5" t="s">
        <v>1770</v>
      </c>
      <c r="BA263" s="93">
        <v>0.0</v>
      </c>
      <c r="BB263" s="93">
        <v>0.0</v>
      </c>
      <c r="BC263" s="93">
        <v>0.0</v>
      </c>
      <c r="BD263" s="93">
        <v>0.0</v>
      </c>
      <c r="BE263" s="93">
        <v>0.0</v>
      </c>
      <c r="BF263" s="93">
        <v>0.0</v>
      </c>
      <c r="BG263" s="5"/>
      <c r="BH263" s="93">
        <v>0.0</v>
      </c>
      <c r="BI263" s="93">
        <v>0.0</v>
      </c>
      <c r="BJ263" s="93">
        <v>0.0</v>
      </c>
      <c r="BK263" s="93">
        <v>0.0</v>
      </c>
      <c r="BL263" s="93">
        <v>0.0</v>
      </c>
      <c r="BM263" s="93">
        <v>0.0</v>
      </c>
      <c r="BN263" s="93">
        <v>0.0</v>
      </c>
      <c r="BO263" s="5"/>
      <c r="BP263" s="5" t="s">
        <v>1770</v>
      </c>
      <c r="BQ263" s="5" t="s">
        <v>1789</v>
      </c>
      <c r="BR263" s="94">
        <v>44466.59978009259</v>
      </c>
      <c r="BS263" s="5">
        <v>40.0</v>
      </c>
      <c r="BT263" s="94">
        <v>44494.57025462963</v>
      </c>
      <c r="BU263" s="5">
        <v>40.0</v>
      </c>
      <c r="BV263" s="94">
        <v>44645.66200231481</v>
      </c>
      <c r="BW263" s="5" t="s">
        <v>1770</v>
      </c>
    </row>
    <row r="264" ht="14.25" customHeight="1">
      <c r="A264" s="5">
        <v>263.0</v>
      </c>
      <c r="B264" s="5">
        <v>535.0</v>
      </c>
      <c r="C264" s="5" t="s">
        <v>2057</v>
      </c>
      <c r="D264" s="5" t="s">
        <v>3761</v>
      </c>
      <c r="E264" s="5" t="s">
        <v>3762</v>
      </c>
      <c r="F264" s="5" t="s">
        <v>3763</v>
      </c>
      <c r="G264" s="5" t="s">
        <v>3764</v>
      </c>
      <c r="H264" s="5" t="s">
        <v>1781</v>
      </c>
      <c r="I264" s="5" t="s">
        <v>1782</v>
      </c>
      <c r="J264" s="91">
        <v>30201.0</v>
      </c>
      <c r="K264" s="5">
        <v>594.0</v>
      </c>
      <c r="L264" s="5" t="s">
        <v>3765</v>
      </c>
      <c r="M264" s="5">
        <v>365.0</v>
      </c>
      <c r="N264" s="5"/>
      <c r="O264" s="5">
        <v>43782.0</v>
      </c>
      <c r="P264" s="5" t="s">
        <v>3766</v>
      </c>
      <c r="Q264" s="5" t="s">
        <v>2179</v>
      </c>
      <c r="R264" s="5">
        <v>594.0</v>
      </c>
      <c r="S264" s="5">
        <v>3.921656212E9</v>
      </c>
      <c r="T264" s="5" t="s">
        <v>3767</v>
      </c>
      <c r="U264" s="5" t="s">
        <v>3768</v>
      </c>
      <c r="V264" s="5">
        <v>3.921003524E9</v>
      </c>
      <c r="W264" s="5" t="s">
        <v>1965</v>
      </c>
      <c r="X264" s="91">
        <v>44485.0</v>
      </c>
      <c r="Y264" s="5">
        <v>5.0</v>
      </c>
      <c r="Z264" s="5">
        <v>1.0</v>
      </c>
      <c r="AA264" s="5">
        <v>1.0</v>
      </c>
      <c r="AB264" s="5" t="s">
        <v>3769</v>
      </c>
      <c r="AC264" s="5" t="s">
        <v>1800</v>
      </c>
      <c r="AD264" s="91">
        <v>43747.0</v>
      </c>
      <c r="AE264" s="91">
        <v>45208.0</v>
      </c>
      <c r="AF264" s="5"/>
      <c r="AG264" s="5"/>
      <c r="AH264" s="5">
        <v>4.988259976E9</v>
      </c>
      <c r="AI264" s="5">
        <v>169.0</v>
      </c>
      <c r="AJ264" s="5"/>
      <c r="AK264" s="5" t="s">
        <v>1773</v>
      </c>
      <c r="AL264" s="92">
        <v>0.0</v>
      </c>
      <c r="AM264" s="5" t="s">
        <v>1770</v>
      </c>
      <c r="AN264" s="5" t="s">
        <v>1774</v>
      </c>
      <c r="AO264" s="5"/>
      <c r="AP264" s="5"/>
      <c r="AQ264" s="5"/>
      <c r="AR264" s="5"/>
      <c r="AS264" s="5"/>
      <c r="AT264" s="5"/>
      <c r="AU264" s="5"/>
      <c r="AV264" s="5"/>
      <c r="AW264" s="5" t="s">
        <v>1770</v>
      </c>
      <c r="AX264" s="5"/>
      <c r="AY264" s="5"/>
      <c r="AZ264" s="5" t="s">
        <v>1770</v>
      </c>
      <c r="BA264" s="93">
        <v>0.0</v>
      </c>
      <c r="BB264" s="93">
        <v>0.0</v>
      </c>
      <c r="BC264" s="93">
        <v>0.0</v>
      </c>
      <c r="BD264" s="93">
        <v>0.0</v>
      </c>
      <c r="BE264" s="93">
        <v>0.0</v>
      </c>
      <c r="BF264" s="93">
        <v>0.0</v>
      </c>
      <c r="BG264" s="5"/>
      <c r="BH264" s="93">
        <v>0.0</v>
      </c>
      <c r="BI264" s="93">
        <v>0.0</v>
      </c>
      <c r="BJ264" s="93">
        <v>0.0</v>
      </c>
      <c r="BK264" s="93">
        <v>0.0</v>
      </c>
      <c r="BL264" s="93">
        <v>0.0</v>
      </c>
      <c r="BM264" s="93">
        <v>0.0</v>
      </c>
      <c r="BN264" s="93">
        <v>0.0</v>
      </c>
      <c r="BO264" s="5"/>
      <c r="BP264" s="5" t="s">
        <v>1770</v>
      </c>
      <c r="BQ264" s="5" t="s">
        <v>1789</v>
      </c>
      <c r="BR264" s="94">
        <v>44484.60386574074</v>
      </c>
      <c r="BS264" s="5">
        <v>40.0</v>
      </c>
      <c r="BT264" s="5" t="s">
        <v>1770</v>
      </c>
      <c r="BU264" s="5" t="s">
        <v>1770</v>
      </c>
      <c r="BV264" s="94">
        <v>44705.556863425925</v>
      </c>
      <c r="BW264" s="5">
        <v>196.0</v>
      </c>
    </row>
    <row r="265" ht="14.25" customHeight="1">
      <c r="A265" s="5">
        <v>264.0</v>
      </c>
      <c r="B265" s="5">
        <v>536.0</v>
      </c>
      <c r="C265" s="5" t="s">
        <v>3770</v>
      </c>
      <c r="D265" s="5" t="s">
        <v>3018</v>
      </c>
      <c r="E265" s="5" t="s">
        <v>1822</v>
      </c>
      <c r="F265" s="5" t="s">
        <v>3771</v>
      </c>
      <c r="G265" s="5" t="s">
        <v>3772</v>
      </c>
      <c r="H265" s="5" t="s">
        <v>1781</v>
      </c>
      <c r="I265" s="5" t="s">
        <v>1782</v>
      </c>
      <c r="J265" s="91">
        <v>30712.0</v>
      </c>
      <c r="K265" s="5">
        <v>850.0</v>
      </c>
      <c r="L265" s="5" t="s">
        <v>3773</v>
      </c>
      <c r="M265" s="5">
        <v>94.0</v>
      </c>
      <c r="N265" s="5"/>
      <c r="O265" s="5">
        <v>55194.0</v>
      </c>
      <c r="P265" s="5" t="s">
        <v>3774</v>
      </c>
      <c r="Q265" s="5" t="s">
        <v>234</v>
      </c>
      <c r="R265" s="5">
        <v>850.0</v>
      </c>
      <c r="S265" s="5">
        <v>3.52127256E9</v>
      </c>
      <c r="T265" s="5" t="s">
        <v>3775</v>
      </c>
      <c r="U265" s="5" t="s">
        <v>3776</v>
      </c>
      <c r="V265" s="5">
        <v>3.521025715E9</v>
      </c>
      <c r="W265" s="5" t="s">
        <v>1787</v>
      </c>
      <c r="X265" s="91">
        <v>44480.0</v>
      </c>
      <c r="Y265" s="5">
        <v>3.0</v>
      </c>
      <c r="Z265" s="5">
        <v>1.0</v>
      </c>
      <c r="AA265" s="5">
        <v>1.0</v>
      </c>
      <c r="AB265" s="5"/>
      <c r="AC265" s="5" t="s">
        <v>2274</v>
      </c>
      <c r="AD265" s="91">
        <v>42942.0</v>
      </c>
      <c r="AE265" s="91">
        <v>44767.0</v>
      </c>
      <c r="AF265" s="5"/>
      <c r="AG265" s="5"/>
      <c r="AH265" s="5">
        <v>1.201844214E10</v>
      </c>
      <c r="AI265" s="5">
        <v>77.0</v>
      </c>
      <c r="AJ265" s="5"/>
      <c r="AK265" s="5" t="s">
        <v>1773</v>
      </c>
      <c r="AL265" s="92">
        <v>0.0</v>
      </c>
      <c r="AM265" s="5" t="s">
        <v>1770</v>
      </c>
      <c r="AN265" s="5" t="s">
        <v>1830</v>
      </c>
      <c r="AO265" s="5"/>
      <c r="AP265" s="5"/>
      <c r="AQ265" s="5"/>
      <c r="AR265" s="5"/>
      <c r="AS265" s="5"/>
      <c r="AT265" s="5"/>
      <c r="AU265" s="5"/>
      <c r="AV265" s="5"/>
      <c r="AW265" s="5" t="s">
        <v>1770</v>
      </c>
      <c r="AX265" s="5"/>
      <c r="AY265" s="5"/>
      <c r="AZ265" s="5" t="s">
        <v>1770</v>
      </c>
      <c r="BA265" s="93">
        <v>0.0</v>
      </c>
      <c r="BB265" s="93">
        <v>0.0</v>
      </c>
      <c r="BC265" s="93">
        <v>0.0</v>
      </c>
      <c r="BD265" s="93">
        <v>0.0</v>
      </c>
      <c r="BE265" s="93">
        <v>0.0</v>
      </c>
      <c r="BF265" s="93">
        <v>0.0</v>
      </c>
      <c r="BG265" s="5"/>
      <c r="BH265" s="93">
        <v>0.0</v>
      </c>
      <c r="BI265" s="93">
        <v>0.0</v>
      </c>
      <c r="BJ265" s="93">
        <v>0.0</v>
      </c>
      <c r="BK265" s="93">
        <v>0.0</v>
      </c>
      <c r="BL265" s="93">
        <v>0.0</v>
      </c>
      <c r="BM265" s="93">
        <v>0.0</v>
      </c>
      <c r="BN265" s="93">
        <v>0.0</v>
      </c>
      <c r="BO265" s="5"/>
      <c r="BP265" s="5" t="s">
        <v>1770</v>
      </c>
      <c r="BQ265" s="5" t="s">
        <v>1789</v>
      </c>
      <c r="BR265" s="94">
        <v>44484.6578125</v>
      </c>
      <c r="BS265" s="5">
        <v>40.0</v>
      </c>
      <c r="BT265" s="5" t="s">
        <v>1770</v>
      </c>
      <c r="BU265" s="5" t="s">
        <v>1770</v>
      </c>
      <c r="BV265" s="94">
        <v>44645.52710648148</v>
      </c>
      <c r="BW265" s="5">
        <v>167.0</v>
      </c>
    </row>
    <row r="266" ht="14.25" customHeight="1">
      <c r="A266" s="5">
        <v>265.0</v>
      </c>
      <c r="B266" s="5">
        <v>538.0</v>
      </c>
      <c r="C266" s="5" t="s">
        <v>3777</v>
      </c>
      <c r="D266" s="5" t="s">
        <v>2001</v>
      </c>
      <c r="E266" s="5" t="s">
        <v>3778</v>
      </c>
      <c r="F266" s="5" t="s">
        <v>3779</v>
      </c>
      <c r="G266" s="5" t="s">
        <v>3780</v>
      </c>
      <c r="H266" s="5" t="s">
        <v>1781</v>
      </c>
      <c r="I266" s="5" t="s">
        <v>1782</v>
      </c>
      <c r="J266" s="91">
        <v>28018.0</v>
      </c>
      <c r="K266" s="5">
        <v>1820.0</v>
      </c>
      <c r="L266" s="5" t="s">
        <v>3781</v>
      </c>
      <c r="M266" s="5">
        <v>2.0</v>
      </c>
      <c r="N266" s="5" t="s">
        <v>2624</v>
      </c>
      <c r="O266" s="5">
        <v>55112.0</v>
      </c>
      <c r="P266" s="5" t="s">
        <v>3782</v>
      </c>
      <c r="Q266" s="5" t="s">
        <v>234</v>
      </c>
      <c r="R266" s="5">
        <v>850.0</v>
      </c>
      <c r="S266" s="5">
        <v>3.521271651E9</v>
      </c>
      <c r="T266" s="5" t="s">
        <v>3783</v>
      </c>
      <c r="U266" s="5" t="s">
        <v>3784</v>
      </c>
      <c r="V266" s="5">
        <v>3.52242826E9</v>
      </c>
      <c r="W266" s="5" t="s">
        <v>1787</v>
      </c>
      <c r="X266" s="91">
        <v>44480.0</v>
      </c>
      <c r="Y266" s="5">
        <v>3.0</v>
      </c>
      <c r="Z266" s="5">
        <v>18.0</v>
      </c>
      <c r="AA266" s="5">
        <v>1.0</v>
      </c>
      <c r="AB266" s="5" t="s">
        <v>3785</v>
      </c>
      <c r="AC266" s="5" t="s">
        <v>1800</v>
      </c>
      <c r="AD266" s="91">
        <v>44495.0</v>
      </c>
      <c r="AE266" s="91">
        <v>45225.0</v>
      </c>
      <c r="AF266" s="5"/>
      <c r="AG266" s="5"/>
      <c r="AH266" s="5">
        <v>2.3967609779E10</v>
      </c>
      <c r="AI266" s="5">
        <v>77.0</v>
      </c>
      <c r="AJ266" s="5"/>
      <c r="AK266" s="5" t="s">
        <v>1773</v>
      </c>
      <c r="AL266" s="92">
        <v>0.0</v>
      </c>
      <c r="AM266" s="5" t="s">
        <v>1770</v>
      </c>
      <c r="AN266" s="5" t="s">
        <v>1830</v>
      </c>
      <c r="AO266" s="5"/>
      <c r="AP266" s="5"/>
      <c r="AQ266" s="5"/>
      <c r="AR266" s="5"/>
      <c r="AS266" s="5"/>
      <c r="AT266" s="5"/>
      <c r="AU266" s="5"/>
      <c r="AV266" s="5"/>
      <c r="AW266" s="5" t="s">
        <v>1770</v>
      </c>
      <c r="AX266" s="5"/>
      <c r="AY266" s="5"/>
      <c r="AZ266" s="5" t="s">
        <v>1770</v>
      </c>
      <c r="BA266" s="93">
        <v>0.0</v>
      </c>
      <c r="BB266" s="93">
        <v>0.0</v>
      </c>
      <c r="BC266" s="93">
        <v>0.0</v>
      </c>
      <c r="BD266" s="93">
        <v>0.0</v>
      </c>
      <c r="BE266" s="93">
        <v>0.0</v>
      </c>
      <c r="BF266" s="93">
        <v>0.0</v>
      </c>
      <c r="BG266" s="5"/>
      <c r="BH266" s="93">
        <v>0.0</v>
      </c>
      <c r="BI266" s="93">
        <v>0.0</v>
      </c>
      <c r="BJ266" s="93">
        <v>0.0</v>
      </c>
      <c r="BK266" s="93">
        <v>0.0</v>
      </c>
      <c r="BL266" s="93">
        <v>0.0</v>
      </c>
      <c r="BM266" s="93">
        <v>0.0</v>
      </c>
      <c r="BN266" s="93">
        <v>0.0</v>
      </c>
      <c r="BO266" s="5"/>
      <c r="BP266" s="5" t="s">
        <v>1770</v>
      </c>
      <c r="BQ266" s="5" t="s">
        <v>1789</v>
      </c>
      <c r="BR266" s="94">
        <v>44484.663819444446</v>
      </c>
      <c r="BS266" s="5">
        <v>40.0</v>
      </c>
      <c r="BT266" s="94">
        <v>44495.700891203705</v>
      </c>
      <c r="BU266" s="5" t="s">
        <v>1770</v>
      </c>
      <c r="BV266" s="94">
        <v>44645.51732638889</v>
      </c>
      <c r="BW266" s="5">
        <v>167.0</v>
      </c>
    </row>
    <row r="267" ht="14.25" customHeight="1">
      <c r="A267" s="5">
        <v>266.0</v>
      </c>
      <c r="B267" s="5">
        <v>532.0</v>
      </c>
      <c r="C267" s="5" t="s">
        <v>3601</v>
      </c>
      <c r="D267" s="5" t="s">
        <v>2551</v>
      </c>
      <c r="E267" s="5" t="s">
        <v>3786</v>
      </c>
      <c r="F267" s="5" t="s">
        <v>3787</v>
      </c>
      <c r="G267" s="5" t="s">
        <v>3788</v>
      </c>
      <c r="H267" s="5" t="s">
        <v>1910</v>
      </c>
      <c r="I267" s="5" t="s">
        <v>1782</v>
      </c>
      <c r="J267" s="91">
        <v>32299.0</v>
      </c>
      <c r="K267" s="5">
        <v>594.0</v>
      </c>
      <c r="L267" s="5" t="s">
        <v>3789</v>
      </c>
      <c r="M267" s="5">
        <v>145.0</v>
      </c>
      <c r="N267" s="5"/>
      <c r="O267" s="5">
        <v>43782.0</v>
      </c>
      <c r="P267" s="5" t="s">
        <v>3790</v>
      </c>
      <c r="Q267" s="5" t="s">
        <v>2179</v>
      </c>
      <c r="R267" s="5">
        <v>594.0</v>
      </c>
      <c r="S267" s="5">
        <v>3.921213852E9</v>
      </c>
      <c r="T267" s="5"/>
      <c r="U267" s="5" t="s">
        <v>3791</v>
      </c>
      <c r="V267" s="5">
        <v>3.929282539E9</v>
      </c>
      <c r="W267" s="5" t="s">
        <v>1819</v>
      </c>
      <c r="X267" s="91">
        <v>44470.0</v>
      </c>
      <c r="Y267" s="5">
        <v>5.0</v>
      </c>
      <c r="Z267" s="5">
        <v>19.0</v>
      </c>
      <c r="AA267" s="5">
        <v>1.0</v>
      </c>
      <c r="AB267" s="5" t="s">
        <v>3792</v>
      </c>
      <c r="AC267" s="5" t="s">
        <v>1772</v>
      </c>
      <c r="AD267" s="91">
        <v>43297.0</v>
      </c>
      <c r="AE267" s="91">
        <v>44758.0</v>
      </c>
      <c r="AF267" s="5">
        <v>2.988877289E9</v>
      </c>
      <c r="AG267" s="5">
        <v>1.2370029888772892E16</v>
      </c>
      <c r="AH267" s="5">
        <v>4.068892241E9</v>
      </c>
      <c r="AI267" s="5">
        <v>6.0</v>
      </c>
      <c r="AJ267" s="5"/>
      <c r="AK267" s="5" t="s">
        <v>1773</v>
      </c>
      <c r="AL267" s="92">
        <v>0.0</v>
      </c>
      <c r="AM267" s="5" t="s">
        <v>1770</v>
      </c>
      <c r="AN267" s="5" t="s">
        <v>1830</v>
      </c>
      <c r="AO267" s="5"/>
      <c r="AP267" s="5"/>
      <c r="AQ267" s="5"/>
      <c r="AR267" s="5"/>
      <c r="AS267" s="5" t="s">
        <v>1936</v>
      </c>
      <c r="AT267" s="5" t="s">
        <v>2184</v>
      </c>
      <c r="AU267" s="5" t="s">
        <v>3793</v>
      </c>
      <c r="AV267" s="5" t="s">
        <v>1917</v>
      </c>
      <c r="AW267" s="91">
        <v>39161.0</v>
      </c>
      <c r="AX267" s="5"/>
      <c r="AY267" s="5"/>
      <c r="AZ267" s="5" t="s">
        <v>1770</v>
      </c>
      <c r="BA267" s="93">
        <v>0.0</v>
      </c>
      <c r="BB267" s="93">
        <v>0.0</v>
      </c>
      <c r="BC267" s="93">
        <v>0.0</v>
      </c>
      <c r="BD267" s="93">
        <v>0.0</v>
      </c>
      <c r="BE267" s="93">
        <v>0.0</v>
      </c>
      <c r="BF267" s="93">
        <v>0.0</v>
      </c>
      <c r="BG267" s="5"/>
      <c r="BH267" s="93">
        <v>0.0</v>
      </c>
      <c r="BI267" s="93">
        <v>0.0</v>
      </c>
      <c r="BJ267" s="93">
        <v>0.0</v>
      </c>
      <c r="BK267" s="93">
        <v>0.0</v>
      </c>
      <c r="BL267" s="93">
        <v>0.0</v>
      </c>
      <c r="BM267" s="93">
        <v>0.0</v>
      </c>
      <c r="BN267" s="93">
        <v>0.0</v>
      </c>
      <c r="BO267" s="5"/>
      <c r="BP267" s="5" t="s">
        <v>1770</v>
      </c>
      <c r="BQ267" s="5" t="s">
        <v>1789</v>
      </c>
      <c r="BR267" s="94">
        <v>44484.69474537037</v>
      </c>
      <c r="BS267" s="5">
        <v>40.0</v>
      </c>
      <c r="BT267" s="94">
        <v>44484.70226851852</v>
      </c>
      <c r="BU267" s="5">
        <v>40.0</v>
      </c>
      <c r="BV267" s="94">
        <v>44645.66516203704</v>
      </c>
      <c r="BW267" s="5" t="s">
        <v>1770</v>
      </c>
    </row>
    <row r="268" ht="14.25" customHeight="1">
      <c r="A268" s="5">
        <v>267.0</v>
      </c>
      <c r="B268" s="5">
        <v>533.0</v>
      </c>
      <c r="C268" s="5" t="s">
        <v>2214</v>
      </c>
      <c r="D268" s="5" t="s">
        <v>2399</v>
      </c>
      <c r="E268" s="5" t="s">
        <v>1969</v>
      </c>
      <c r="F268" s="5" t="s">
        <v>3794</v>
      </c>
      <c r="G268" s="5" t="s">
        <v>3795</v>
      </c>
      <c r="H268" s="5" t="s">
        <v>1972</v>
      </c>
      <c r="I268" s="5" t="s">
        <v>1782</v>
      </c>
      <c r="J268" s="91">
        <v>36026.0</v>
      </c>
      <c r="K268" s="5">
        <v>424.0</v>
      </c>
      <c r="L268" s="5" t="s">
        <v>3796</v>
      </c>
      <c r="M268" s="5">
        <v>85.0</v>
      </c>
      <c r="N268" s="5"/>
      <c r="O268" s="5">
        <v>35909.0</v>
      </c>
      <c r="P268" s="5" t="s">
        <v>3797</v>
      </c>
      <c r="Q268" s="5" t="s">
        <v>3798</v>
      </c>
      <c r="R268" s="5">
        <v>424.0</v>
      </c>
      <c r="S268" s="5">
        <v>4.697430745E9</v>
      </c>
      <c r="T268" s="5" t="s">
        <v>3799</v>
      </c>
      <c r="U268" s="5" t="s">
        <v>3800</v>
      </c>
      <c r="V268" s="5">
        <v>4.691001417E9</v>
      </c>
      <c r="W268" s="5" t="s">
        <v>2595</v>
      </c>
      <c r="X268" s="91">
        <v>44473.0</v>
      </c>
      <c r="Y268" s="5">
        <v>2.0</v>
      </c>
      <c r="Z268" s="5">
        <v>18.0</v>
      </c>
      <c r="AA268" s="5">
        <v>101.0</v>
      </c>
      <c r="AB268" s="5" t="s">
        <v>3801</v>
      </c>
      <c r="AC268" s="5" t="s">
        <v>1772</v>
      </c>
      <c r="AD268" s="91">
        <v>45323.0</v>
      </c>
      <c r="AE268" s="91">
        <v>46419.0</v>
      </c>
      <c r="AF268" s="5">
        <v>7.404778515978156E17</v>
      </c>
      <c r="AG268" s="5">
        <v>1.2225015978155844E16</v>
      </c>
      <c r="AH268" s="5">
        <v>4.7169864858E10</v>
      </c>
      <c r="AI268" s="5"/>
      <c r="AJ268" s="5"/>
      <c r="AK268" s="5" t="s">
        <v>1773</v>
      </c>
      <c r="AL268" s="92">
        <v>0.0</v>
      </c>
      <c r="AM268" s="5" t="s">
        <v>1770</v>
      </c>
      <c r="AN268" s="5" t="s">
        <v>1830</v>
      </c>
      <c r="AO268" s="5"/>
      <c r="AP268" s="5"/>
      <c r="AQ268" s="5"/>
      <c r="AR268" s="5"/>
      <c r="AS268" s="5"/>
      <c r="AT268" s="5" t="s">
        <v>2184</v>
      </c>
      <c r="AU268" s="5" t="s">
        <v>3802</v>
      </c>
      <c r="AV268" s="5" t="s">
        <v>3803</v>
      </c>
      <c r="AW268" s="91">
        <v>44402.0</v>
      </c>
      <c r="AX268" s="5"/>
      <c r="AY268" s="5"/>
      <c r="AZ268" s="5" t="s">
        <v>1770</v>
      </c>
      <c r="BA268" s="93">
        <v>0.0</v>
      </c>
      <c r="BB268" s="93">
        <v>0.0</v>
      </c>
      <c r="BC268" s="93">
        <v>0.0</v>
      </c>
      <c r="BD268" s="93">
        <v>0.0</v>
      </c>
      <c r="BE268" s="93">
        <v>0.0</v>
      </c>
      <c r="BF268" s="93">
        <v>0.0</v>
      </c>
      <c r="BG268" s="5"/>
      <c r="BH268" s="93">
        <v>0.0</v>
      </c>
      <c r="BI268" s="93">
        <v>0.0</v>
      </c>
      <c r="BJ268" s="93">
        <v>0.0</v>
      </c>
      <c r="BK268" s="93">
        <v>0.0</v>
      </c>
      <c r="BL268" s="93">
        <v>0.0</v>
      </c>
      <c r="BM268" s="93">
        <v>0.0</v>
      </c>
      <c r="BN268" s="93">
        <v>0.0</v>
      </c>
      <c r="BO268" s="5"/>
      <c r="BP268" s="5" t="s">
        <v>1770</v>
      </c>
      <c r="BQ268" s="5" t="s">
        <v>1789</v>
      </c>
      <c r="BR268" s="94">
        <v>44485.49125</v>
      </c>
      <c r="BS268" s="5">
        <v>40.0</v>
      </c>
      <c r="BT268" s="94">
        <v>45894.41673611111</v>
      </c>
      <c r="BU268" s="5">
        <v>40.0</v>
      </c>
      <c r="BV268" s="94">
        <v>46031.49193287037</v>
      </c>
      <c r="BW268" s="5">
        <v>40.0</v>
      </c>
    </row>
    <row r="269" ht="14.25" customHeight="1">
      <c r="A269" s="5">
        <v>268.0</v>
      </c>
      <c r="B269" s="5">
        <v>534.0</v>
      </c>
      <c r="C269" s="5" t="s">
        <v>3804</v>
      </c>
      <c r="D269" s="5" t="s">
        <v>2157</v>
      </c>
      <c r="E269" s="5" t="s">
        <v>2343</v>
      </c>
      <c r="F269" s="5" t="s">
        <v>3805</v>
      </c>
      <c r="G269" s="5" t="s">
        <v>3806</v>
      </c>
      <c r="H269" s="5" t="s">
        <v>1972</v>
      </c>
      <c r="I269" s="5" t="s">
        <v>1782</v>
      </c>
      <c r="J269" s="91">
        <v>32801.0</v>
      </c>
      <c r="K269" s="5">
        <v>570.0</v>
      </c>
      <c r="L269" s="5" t="s">
        <v>2636</v>
      </c>
      <c r="M269" s="5">
        <v>44.0</v>
      </c>
      <c r="N269" s="5"/>
      <c r="O269" s="5">
        <v>43722.0</v>
      </c>
      <c r="P269" s="5" t="s">
        <v>3807</v>
      </c>
      <c r="Q269" s="5" t="s">
        <v>1850</v>
      </c>
      <c r="R269" s="5">
        <v>544.0</v>
      </c>
      <c r="S269" s="5">
        <v>3.9319773E9</v>
      </c>
      <c r="T269" s="5" t="s">
        <v>3808</v>
      </c>
      <c r="U269" s="5" t="s">
        <v>3809</v>
      </c>
      <c r="V269" s="5">
        <v>3.310417707E9</v>
      </c>
      <c r="W269" s="5" t="s">
        <v>2610</v>
      </c>
      <c r="X269" s="91">
        <v>44473.0</v>
      </c>
      <c r="Y269" s="5">
        <v>1.0</v>
      </c>
      <c r="Z269" s="5">
        <v>18.0</v>
      </c>
      <c r="AA269" s="5">
        <v>100.0</v>
      </c>
      <c r="AB269" s="5" t="s">
        <v>3810</v>
      </c>
      <c r="AC269" s="5" t="s">
        <v>2274</v>
      </c>
      <c r="AD269" s="91">
        <v>45579.0</v>
      </c>
      <c r="AE269" s="91">
        <v>47040.0</v>
      </c>
      <c r="AF269" s="5"/>
      <c r="AG269" s="5">
        <v>2.330904700933733E15</v>
      </c>
      <c r="AH269" s="5">
        <v>2.158939351E9</v>
      </c>
      <c r="AI269" s="5">
        <v>22.0</v>
      </c>
      <c r="AJ269" s="5"/>
      <c r="AK269" s="5" t="s">
        <v>1773</v>
      </c>
      <c r="AL269" s="92">
        <v>0.0</v>
      </c>
      <c r="AM269" s="5" t="s">
        <v>1770</v>
      </c>
      <c r="AN269" s="5" t="s">
        <v>3811</v>
      </c>
      <c r="AO269" s="5"/>
      <c r="AP269" s="5"/>
      <c r="AQ269" s="5"/>
      <c r="AR269" s="5"/>
      <c r="AS269" s="5"/>
      <c r="AT269" s="5" t="s">
        <v>2184</v>
      </c>
      <c r="AU269" s="5" t="s">
        <v>3812</v>
      </c>
      <c r="AV269" s="5" t="s">
        <v>2232</v>
      </c>
      <c r="AW269" s="91">
        <v>44402.0</v>
      </c>
      <c r="AX269" s="5"/>
      <c r="AY269" s="5"/>
      <c r="AZ269" s="5" t="s">
        <v>1770</v>
      </c>
      <c r="BA269" s="93">
        <v>0.0</v>
      </c>
      <c r="BB269" s="93">
        <v>0.0</v>
      </c>
      <c r="BC269" s="93">
        <v>0.0</v>
      </c>
      <c r="BD269" s="93">
        <v>0.0</v>
      </c>
      <c r="BE269" s="93">
        <v>0.0</v>
      </c>
      <c r="BF269" s="93">
        <v>0.0</v>
      </c>
      <c r="BG269" s="5"/>
      <c r="BH269" s="93">
        <v>0.0</v>
      </c>
      <c r="BI269" s="93">
        <v>0.0</v>
      </c>
      <c r="BJ269" s="93">
        <v>0.0</v>
      </c>
      <c r="BK269" s="93">
        <v>0.0</v>
      </c>
      <c r="BL269" s="93">
        <v>0.0</v>
      </c>
      <c r="BM269" s="93">
        <v>0.0</v>
      </c>
      <c r="BN269" s="93">
        <v>0.0</v>
      </c>
      <c r="BO269" s="5"/>
      <c r="BP269" s="5"/>
      <c r="BQ269" s="5" t="s">
        <v>1775</v>
      </c>
      <c r="BR269" s="94">
        <v>44485.537881944445</v>
      </c>
      <c r="BS269" s="5">
        <v>40.0</v>
      </c>
      <c r="BT269" s="94">
        <v>46134.68357638889</v>
      </c>
      <c r="BU269" s="5" t="s">
        <v>1770</v>
      </c>
      <c r="BV269" s="5" t="s">
        <v>1770</v>
      </c>
      <c r="BW269" s="5" t="s">
        <v>1770</v>
      </c>
    </row>
    <row r="270" ht="14.25" customHeight="1">
      <c r="A270" s="5">
        <v>269.0</v>
      </c>
      <c r="B270" s="5">
        <v>537.0</v>
      </c>
      <c r="C270" s="5" t="s">
        <v>3813</v>
      </c>
      <c r="D270" s="5" t="s">
        <v>2005</v>
      </c>
      <c r="E270" s="5" t="s">
        <v>3814</v>
      </c>
      <c r="F270" s="5" t="s">
        <v>3815</v>
      </c>
      <c r="G270" s="5" t="s">
        <v>3816</v>
      </c>
      <c r="H270" s="5" t="s">
        <v>1781</v>
      </c>
      <c r="I270" s="5" t="s">
        <v>1782</v>
      </c>
      <c r="J270" s="91">
        <v>23776.0</v>
      </c>
      <c r="K270" s="5">
        <v>815.0</v>
      </c>
      <c r="L270" s="5" t="s">
        <v>3817</v>
      </c>
      <c r="M270" s="5">
        <v>43.0</v>
      </c>
      <c r="N270" s="5"/>
      <c r="O270" s="5">
        <v>54632.0</v>
      </c>
      <c r="P270" s="5" t="s">
        <v>3818</v>
      </c>
      <c r="Q270" s="5" t="s">
        <v>2041</v>
      </c>
      <c r="R270" s="5">
        <v>834.0</v>
      </c>
      <c r="S270" s="5">
        <v>4.432431501E9</v>
      </c>
      <c r="T270" s="5" t="s">
        <v>3819</v>
      </c>
      <c r="U270" s="5" t="s">
        <v>3820</v>
      </c>
      <c r="V270" s="5">
        <v>5.541918542E9</v>
      </c>
      <c r="W270" s="5" t="s">
        <v>1787</v>
      </c>
      <c r="X270" s="91">
        <v>44480.0</v>
      </c>
      <c r="Y270" s="5">
        <v>4.0</v>
      </c>
      <c r="Z270" s="5">
        <v>4.0</v>
      </c>
      <c r="AA270" s="5">
        <v>40.0</v>
      </c>
      <c r="AB270" s="5" t="s">
        <v>3821</v>
      </c>
      <c r="AC270" s="5" t="s">
        <v>1772</v>
      </c>
      <c r="AD270" s="91">
        <v>43482.0</v>
      </c>
      <c r="AE270" s="91">
        <v>74162.0</v>
      </c>
      <c r="AF270" s="5"/>
      <c r="AG270" s="5"/>
      <c r="AH270" s="5">
        <v>5.395650039E10</v>
      </c>
      <c r="AI270" s="5">
        <v>75.0</v>
      </c>
      <c r="AJ270" s="5"/>
      <c r="AK270" s="5" t="s">
        <v>1773</v>
      </c>
      <c r="AL270" s="92">
        <v>0.0</v>
      </c>
      <c r="AM270" s="5" t="s">
        <v>1770</v>
      </c>
      <c r="AN270" s="5" t="s">
        <v>1830</v>
      </c>
      <c r="AO270" s="5"/>
      <c r="AP270" s="5"/>
      <c r="AQ270" s="5"/>
      <c r="AR270" s="5"/>
      <c r="AS270" s="5"/>
      <c r="AT270" s="5"/>
      <c r="AU270" s="5"/>
      <c r="AV270" s="5"/>
      <c r="AW270" s="5" t="s">
        <v>1770</v>
      </c>
      <c r="AX270" s="5"/>
      <c r="AY270" s="5"/>
      <c r="AZ270" s="5" t="s">
        <v>1770</v>
      </c>
      <c r="BA270" s="93">
        <v>0.0</v>
      </c>
      <c r="BB270" s="93">
        <v>0.0</v>
      </c>
      <c r="BC270" s="93">
        <v>0.0</v>
      </c>
      <c r="BD270" s="93">
        <v>0.0</v>
      </c>
      <c r="BE270" s="93">
        <v>0.0</v>
      </c>
      <c r="BF270" s="93">
        <v>0.0</v>
      </c>
      <c r="BG270" s="5"/>
      <c r="BH270" s="93">
        <v>0.0</v>
      </c>
      <c r="BI270" s="93">
        <v>0.0</v>
      </c>
      <c r="BJ270" s="93">
        <v>0.0</v>
      </c>
      <c r="BK270" s="93">
        <v>0.0</v>
      </c>
      <c r="BL270" s="93">
        <v>0.0</v>
      </c>
      <c r="BM270" s="93">
        <v>0.0</v>
      </c>
      <c r="BN270" s="93">
        <v>0.0</v>
      </c>
      <c r="BO270" s="5"/>
      <c r="BP270" s="5" t="s">
        <v>1770</v>
      </c>
      <c r="BQ270" s="5" t="s">
        <v>1789</v>
      </c>
      <c r="BR270" s="94">
        <v>44490.671793981484</v>
      </c>
      <c r="BS270" s="5">
        <v>40.0</v>
      </c>
      <c r="BT270" s="5" t="s">
        <v>1770</v>
      </c>
      <c r="BU270" s="5" t="s">
        <v>1770</v>
      </c>
      <c r="BV270" s="94">
        <v>44645.52648148148</v>
      </c>
      <c r="BW270" s="5">
        <v>167.0</v>
      </c>
    </row>
    <row r="271" ht="14.25" customHeight="1">
      <c r="A271" s="5">
        <v>270.0</v>
      </c>
      <c r="B271" s="5">
        <v>467.0</v>
      </c>
      <c r="C271" s="5" t="s">
        <v>3822</v>
      </c>
      <c r="D271" s="5" t="s">
        <v>3823</v>
      </c>
      <c r="E271" s="5" t="s">
        <v>1758</v>
      </c>
      <c r="F271" s="5" t="s">
        <v>3824</v>
      </c>
      <c r="G271" s="5" t="s">
        <v>3825</v>
      </c>
      <c r="H271" s="5" t="s">
        <v>1972</v>
      </c>
      <c r="I271" s="5" t="s">
        <v>1763</v>
      </c>
      <c r="J271" s="91">
        <v>35143.0</v>
      </c>
      <c r="K271" s="5">
        <v>594.0</v>
      </c>
      <c r="L271" s="5" t="s">
        <v>3826</v>
      </c>
      <c r="M271" s="5">
        <v>259.0</v>
      </c>
      <c r="N271" s="5"/>
      <c r="O271" s="5">
        <v>43801.0</v>
      </c>
      <c r="P271" s="5" t="s">
        <v>2048</v>
      </c>
      <c r="Q271" s="5" t="s">
        <v>2179</v>
      </c>
      <c r="R271" s="5">
        <v>594.0</v>
      </c>
      <c r="S271" s="5">
        <v>3.921387259E9</v>
      </c>
      <c r="T271" s="5" t="s">
        <v>3827</v>
      </c>
      <c r="U271" s="5" t="s">
        <v>3828</v>
      </c>
      <c r="V271" s="5">
        <v>3.92925068E9</v>
      </c>
      <c r="W271" s="5" t="s">
        <v>1808</v>
      </c>
      <c r="X271" s="91">
        <v>43754.0</v>
      </c>
      <c r="Y271" s="5" t="s">
        <v>1770</v>
      </c>
      <c r="Z271" s="5">
        <v>2.0</v>
      </c>
      <c r="AA271" s="5">
        <v>9.0</v>
      </c>
      <c r="AB271" s="5"/>
      <c r="AC271" s="5"/>
      <c r="AD271" s="5" t="s">
        <v>1770</v>
      </c>
      <c r="AE271" s="5" t="s">
        <v>1770</v>
      </c>
      <c r="AF271" s="5"/>
      <c r="AG271" s="5"/>
      <c r="AH271" s="5">
        <v>7.0159620502E10</v>
      </c>
      <c r="AI271" s="5">
        <v>6.0</v>
      </c>
      <c r="AJ271" s="5"/>
      <c r="AK271" s="5" t="s">
        <v>1773</v>
      </c>
      <c r="AL271" s="92">
        <v>0.0</v>
      </c>
      <c r="AM271" s="5" t="s">
        <v>1770</v>
      </c>
      <c r="AN271" s="5" t="s">
        <v>1830</v>
      </c>
      <c r="AO271" s="5"/>
      <c r="AP271" s="5"/>
      <c r="AQ271" s="5"/>
      <c r="AR271" s="5"/>
      <c r="AS271" s="5"/>
      <c r="AT271" s="5"/>
      <c r="AU271" s="5"/>
      <c r="AV271" s="5"/>
      <c r="AW271" s="5" t="s">
        <v>1770</v>
      </c>
      <c r="AX271" s="5"/>
      <c r="AY271" s="5"/>
      <c r="AZ271" s="5" t="s">
        <v>1770</v>
      </c>
      <c r="BA271" s="93">
        <v>0.0</v>
      </c>
      <c r="BB271" s="93">
        <v>0.0</v>
      </c>
      <c r="BC271" s="93">
        <v>0.0</v>
      </c>
      <c r="BD271" s="93">
        <v>0.0</v>
      </c>
      <c r="BE271" s="93">
        <v>0.0</v>
      </c>
      <c r="BF271" s="93">
        <v>0.0</v>
      </c>
      <c r="BG271" s="5"/>
      <c r="BH271" s="93">
        <v>0.0</v>
      </c>
      <c r="BI271" s="93">
        <v>0.0</v>
      </c>
      <c r="BJ271" s="93">
        <v>0.0</v>
      </c>
      <c r="BK271" s="93">
        <v>0.0</v>
      </c>
      <c r="BL271" s="93">
        <v>0.0</v>
      </c>
      <c r="BM271" s="93">
        <v>0.0</v>
      </c>
      <c r="BN271" s="93">
        <v>0.0</v>
      </c>
      <c r="BO271" s="5"/>
      <c r="BP271" s="5" t="s">
        <v>1770</v>
      </c>
      <c r="BQ271" s="5" t="s">
        <v>1789</v>
      </c>
      <c r="BR271" s="94">
        <v>44494.488391203704</v>
      </c>
      <c r="BS271" s="5">
        <v>40.0</v>
      </c>
      <c r="BT271" s="94">
        <v>44593.68974537037</v>
      </c>
      <c r="BU271" s="5">
        <v>167.0</v>
      </c>
      <c r="BV271" s="94">
        <v>45014.713321759256</v>
      </c>
      <c r="BW271" s="5">
        <v>40.0</v>
      </c>
    </row>
    <row r="272" ht="14.25" customHeight="1">
      <c r="A272" s="5">
        <v>271.0</v>
      </c>
      <c r="B272" s="5">
        <v>539.0</v>
      </c>
      <c r="C272" s="5" t="s">
        <v>3829</v>
      </c>
      <c r="D272" s="100" t="s">
        <v>3830</v>
      </c>
      <c r="E272" s="5" t="s">
        <v>1778</v>
      </c>
      <c r="F272" s="5" t="s">
        <v>3831</v>
      </c>
      <c r="G272" s="5" t="s">
        <v>3832</v>
      </c>
      <c r="H272" s="5" t="s">
        <v>1781</v>
      </c>
      <c r="I272" s="5" t="s">
        <v>1782</v>
      </c>
      <c r="J272" s="91">
        <v>33164.0</v>
      </c>
      <c r="K272" s="5">
        <v>570.0</v>
      </c>
      <c r="L272" s="5" t="s">
        <v>3833</v>
      </c>
      <c r="M272" s="5">
        <v>64.0</v>
      </c>
      <c r="N272" s="5"/>
      <c r="O272" s="5">
        <v>43692.0</v>
      </c>
      <c r="P272" s="5" t="s">
        <v>3834</v>
      </c>
      <c r="Q272" s="5" t="s">
        <v>3834</v>
      </c>
      <c r="R272" s="5">
        <v>624.0</v>
      </c>
      <c r="S272" s="5">
        <v>3.781439643E9</v>
      </c>
      <c r="T272" s="5"/>
      <c r="U272" s="5" t="s">
        <v>3835</v>
      </c>
      <c r="V272" s="5">
        <v>3.310133269E9</v>
      </c>
      <c r="W272" s="5" t="s">
        <v>1787</v>
      </c>
      <c r="X272" s="91">
        <v>44963.0</v>
      </c>
      <c r="Y272" s="5">
        <v>1.0</v>
      </c>
      <c r="Z272" s="5">
        <v>3.0</v>
      </c>
      <c r="AA272" s="5">
        <v>58.0</v>
      </c>
      <c r="AB272" s="5" t="s">
        <v>3836</v>
      </c>
      <c r="AC272" s="5" t="s">
        <v>1800</v>
      </c>
      <c r="AD272" s="91">
        <v>43593.0</v>
      </c>
      <c r="AE272" s="91">
        <v>45054.0</v>
      </c>
      <c r="AF272" s="5">
        <v>7.406487115825665E17</v>
      </c>
      <c r="AG272" s="5">
        <v>1.2396015825665472E16</v>
      </c>
      <c r="AH272" s="5">
        <v>9.01018503E8</v>
      </c>
      <c r="AI272" s="5"/>
      <c r="AJ272" s="5"/>
      <c r="AK272" s="5" t="s">
        <v>1773</v>
      </c>
      <c r="AL272" s="92">
        <v>0.0</v>
      </c>
      <c r="AM272" s="5" t="s">
        <v>1770</v>
      </c>
      <c r="AN272" s="5" t="s">
        <v>1774</v>
      </c>
      <c r="AO272" s="5"/>
      <c r="AP272" s="5"/>
      <c r="AQ272" s="5"/>
      <c r="AR272" s="5"/>
      <c r="AS272" s="5"/>
      <c r="AT272" s="5" t="s">
        <v>3026</v>
      </c>
      <c r="AU272" s="5" t="s">
        <v>3837</v>
      </c>
      <c r="AV272" s="5"/>
      <c r="AW272" s="5" t="s">
        <v>1770</v>
      </c>
      <c r="AX272" s="5"/>
      <c r="AY272" s="5"/>
      <c r="AZ272" s="5" t="s">
        <v>1770</v>
      </c>
      <c r="BA272" s="93">
        <v>0.0</v>
      </c>
      <c r="BB272" s="93">
        <v>0.0</v>
      </c>
      <c r="BC272" s="93">
        <v>0.0</v>
      </c>
      <c r="BD272" s="93">
        <v>0.0</v>
      </c>
      <c r="BE272" s="93">
        <v>0.0</v>
      </c>
      <c r="BF272" s="93">
        <v>0.0</v>
      </c>
      <c r="BG272" s="5"/>
      <c r="BH272" s="93">
        <v>0.0</v>
      </c>
      <c r="BI272" s="93">
        <v>0.0</v>
      </c>
      <c r="BJ272" s="93">
        <v>0.0</v>
      </c>
      <c r="BK272" s="93">
        <v>0.0</v>
      </c>
      <c r="BL272" s="93">
        <v>0.0</v>
      </c>
      <c r="BM272" s="93">
        <v>0.0</v>
      </c>
      <c r="BN272" s="93">
        <v>0.0</v>
      </c>
      <c r="BO272" s="5"/>
      <c r="BP272" s="5" t="s">
        <v>1770</v>
      </c>
      <c r="BQ272" s="5" t="s">
        <v>1789</v>
      </c>
      <c r="BR272" s="94">
        <v>44513.50405092593</v>
      </c>
      <c r="BS272" s="5">
        <v>167.0</v>
      </c>
      <c r="BT272" s="94">
        <v>44973.39335648148</v>
      </c>
      <c r="BU272" s="5">
        <v>167.0</v>
      </c>
      <c r="BV272" s="94">
        <v>45244.65458333334</v>
      </c>
      <c r="BW272" s="5">
        <v>40.0</v>
      </c>
    </row>
    <row r="273" ht="14.25" customHeight="1">
      <c r="A273" s="5">
        <v>272.0</v>
      </c>
      <c r="B273" s="5">
        <v>541.0</v>
      </c>
      <c r="C273" s="5" t="s">
        <v>3838</v>
      </c>
      <c r="D273" s="5" t="s">
        <v>2551</v>
      </c>
      <c r="E273" s="5" t="s">
        <v>3678</v>
      </c>
      <c r="F273" s="5" t="s">
        <v>3839</v>
      </c>
      <c r="G273" s="5" t="s">
        <v>3840</v>
      </c>
      <c r="H273" s="5" t="s">
        <v>1781</v>
      </c>
      <c r="I273" s="5" t="s">
        <v>1782</v>
      </c>
      <c r="J273" s="91">
        <v>28935.0</v>
      </c>
      <c r="K273" s="5">
        <v>278.0</v>
      </c>
      <c r="L273" s="5" t="s">
        <v>3674</v>
      </c>
      <c r="M273" s="5" t="s">
        <v>3841</v>
      </c>
      <c r="N273" s="5"/>
      <c r="O273" s="5">
        <v>16666.0</v>
      </c>
      <c r="P273" s="5" t="s">
        <v>3842</v>
      </c>
      <c r="Q273" s="5" t="s">
        <v>3843</v>
      </c>
      <c r="R273" s="5">
        <v>424.0</v>
      </c>
      <c r="S273" s="5">
        <v>4.696960255E9</v>
      </c>
      <c r="T273" s="5"/>
      <c r="U273" s="5" t="s">
        <v>3844</v>
      </c>
      <c r="V273" s="5">
        <v>3.521062699E9</v>
      </c>
      <c r="W273" s="5" t="s">
        <v>1787</v>
      </c>
      <c r="X273" s="91">
        <v>44516.0</v>
      </c>
      <c r="Y273" s="5">
        <v>2.0</v>
      </c>
      <c r="Z273" s="5">
        <v>19.0</v>
      </c>
      <c r="AA273" s="5">
        <v>1.0</v>
      </c>
      <c r="AB273" s="5" t="s">
        <v>3845</v>
      </c>
      <c r="AC273" s="5" t="s">
        <v>1772</v>
      </c>
      <c r="AD273" s="91">
        <v>45561.0</v>
      </c>
      <c r="AE273" s="91">
        <v>46656.0</v>
      </c>
      <c r="AF273" s="5">
        <v>1.512514692E9</v>
      </c>
      <c r="AG273" s="5">
        <v>1.2513015125146924E16</v>
      </c>
      <c r="AH273" s="5">
        <v>3.9977975224E10</v>
      </c>
      <c r="AI273" s="5"/>
      <c r="AJ273" s="5"/>
      <c r="AK273" s="5" t="s">
        <v>1773</v>
      </c>
      <c r="AL273" s="92">
        <v>0.0</v>
      </c>
      <c r="AM273" s="5" t="s">
        <v>1770</v>
      </c>
      <c r="AN273" s="5" t="s">
        <v>2052</v>
      </c>
      <c r="AO273" s="5"/>
      <c r="AP273" s="5"/>
      <c r="AQ273" s="5"/>
      <c r="AR273" s="5"/>
      <c r="AS273" s="5"/>
      <c r="AT273" s="5" t="s">
        <v>3177</v>
      </c>
      <c r="AU273" s="5" t="s">
        <v>3846</v>
      </c>
      <c r="AV273" s="5" t="s">
        <v>3847</v>
      </c>
      <c r="AW273" s="5" t="s">
        <v>1770</v>
      </c>
      <c r="AX273" s="5"/>
      <c r="AY273" s="5"/>
      <c r="AZ273" s="5" t="s">
        <v>1770</v>
      </c>
      <c r="BA273" s="93">
        <v>0.0</v>
      </c>
      <c r="BB273" s="93">
        <v>0.0</v>
      </c>
      <c r="BC273" s="93">
        <v>0.0</v>
      </c>
      <c r="BD273" s="93">
        <v>0.0</v>
      </c>
      <c r="BE273" s="93">
        <v>0.0</v>
      </c>
      <c r="BF273" s="93">
        <v>0.0</v>
      </c>
      <c r="BG273" s="5"/>
      <c r="BH273" s="93">
        <v>0.0</v>
      </c>
      <c r="BI273" s="93">
        <v>0.0</v>
      </c>
      <c r="BJ273" s="93">
        <v>0.0</v>
      </c>
      <c r="BK273" s="93">
        <v>0.0</v>
      </c>
      <c r="BL273" s="93">
        <v>0.0</v>
      </c>
      <c r="BM273" s="93">
        <v>0.0</v>
      </c>
      <c r="BN273" s="93">
        <v>0.0</v>
      </c>
      <c r="BO273" s="5"/>
      <c r="BP273" s="5" t="s">
        <v>1770</v>
      </c>
      <c r="BQ273" s="5" t="s">
        <v>1789</v>
      </c>
      <c r="BR273" s="94">
        <v>44518.585023148145</v>
      </c>
      <c r="BS273" s="5">
        <v>167.0</v>
      </c>
      <c r="BT273" s="94">
        <v>45561.667280092595</v>
      </c>
      <c r="BU273" s="5">
        <v>40.0</v>
      </c>
      <c r="BV273" s="94">
        <v>45805.59578703704</v>
      </c>
      <c r="BW273" s="5">
        <v>217.0</v>
      </c>
    </row>
    <row r="274" ht="14.25" customHeight="1">
      <c r="A274" s="5">
        <v>273.0</v>
      </c>
      <c r="B274" s="5">
        <v>540.0</v>
      </c>
      <c r="C274" s="5" t="s">
        <v>3848</v>
      </c>
      <c r="D274" s="5" t="s">
        <v>2005</v>
      </c>
      <c r="E274" s="5" t="s">
        <v>2036</v>
      </c>
      <c r="F274" s="5" t="s">
        <v>3849</v>
      </c>
      <c r="G274" s="5" t="s">
        <v>3850</v>
      </c>
      <c r="H274" s="5" t="s">
        <v>1972</v>
      </c>
      <c r="I274" s="5" t="s">
        <v>1782</v>
      </c>
      <c r="J274" s="91">
        <v>33914.0</v>
      </c>
      <c r="K274" s="5">
        <v>841.0</v>
      </c>
      <c r="L274" s="5" t="s">
        <v>3851</v>
      </c>
      <c r="M274" s="5">
        <v>9.0</v>
      </c>
      <c r="N274" s="5"/>
      <c r="O274" s="5">
        <v>55232.0</v>
      </c>
      <c r="P274" s="5" t="s">
        <v>1797</v>
      </c>
      <c r="Q274" s="5" t="s">
        <v>3000</v>
      </c>
      <c r="R274" s="5">
        <v>841.0</v>
      </c>
      <c r="S274" s="5">
        <v>3.481214987E9</v>
      </c>
      <c r="T274" s="5"/>
      <c r="U274" s="5" t="s">
        <v>3852</v>
      </c>
      <c r="V274" s="5">
        <v>3.521935261E9</v>
      </c>
      <c r="W274" s="5" t="s">
        <v>2610</v>
      </c>
      <c r="X274" s="91">
        <v>44511.0</v>
      </c>
      <c r="Y274" s="5">
        <v>3.0</v>
      </c>
      <c r="Z274" s="5">
        <v>3.0</v>
      </c>
      <c r="AA274" s="5">
        <v>58.0</v>
      </c>
      <c r="AB274" s="5" t="s">
        <v>3853</v>
      </c>
      <c r="AC274" s="5" t="s">
        <v>1800</v>
      </c>
      <c r="AD274" s="91">
        <v>44162.0</v>
      </c>
      <c r="AE274" s="91">
        <v>45988.0</v>
      </c>
      <c r="AF274" s="5">
        <v>4.59530371E8</v>
      </c>
      <c r="AG274" s="5">
        <v>1.2496004595303712E16</v>
      </c>
      <c r="AH274" s="5">
        <v>2.7159216483E10</v>
      </c>
      <c r="AI274" s="5"/>
      <c r="AJ274" s="5"/>
      <c r="AK274" s="5" t="s">
        <v>1773</v>
      </c>
      <c r="AL274" s="92">
        <v>0.0</v>
      </c>
      <c r="AM274" s="5" t="s">
        <v>1770</v>
      </c>
      <c r="AN274" s="5" t="s">
        <v>1830</v>
      </c>
      <c r="AO274" s="5"/>
      <c r="AP274" s="5"/>
      <c r="AQ274" s="5"/>
      <c r="AR274" s="5"/>
      <c r="AS274" s="5" t="s">
        <v>3854</v>
      </c>
      <c r="AT274" s="5"/>
      <c r="AU274" s="5"/>
      <c r="AV274" s="5"/>
      <c r="AW274" s="5" t="s">
        <v>1770</v>
      </c>
      <c r="AX274" s="5"/>
      <c r="AY274" s="5"/>
      <c r="AZ274" s="5" t="s">
        <v>1770</v>
      </c>
      <c r="BA274" s="93">
        <v>0.0</v>
      </c>
      <c r="BB274" s="93">
        <v>0.0</v>
      </c>
      <c r="BC274" s="93">
        <v>0.0</v>
      </c>
      <c r="BD274" s="93">
        <v>0.0</v>
      </c>
      <c r="BE274" s="93">
        <v>0.0</v>
      </c>
      <c r="BF274" s="93">
        <v>0.0</v>
      </c>
      <c r="BG274" s="5"/>
      <c r="BH274" s="93">
        <v>0.0</v>
      </c>
      <c r="BI274" s="93">
        <v>0.0</v>
      </c>
      <c r="BJ274" s="93">
        <v>0.0</v>
      </c>
      <c r="BK274" s="93">
        <v>0.0</v>
      </c>
      <c r="BL274" s="93">
        <v>0.0</v>
      </c>
      <c r="BM274" s="93">
        <v>0.0</v>
      </c>
      <c r="BN274" s="93">
        <v>0.0</v>
      </c>
      <c r="BO274" s="5"/>
      <c r="BP274" s="5" t="s">
        <v>1770</v>
      </c>
      <c r="BQ274" s="5" t="s">
        <v>1789</v>
      </c>
      <c r="BR274" s="94">
        <v>44523.72769675926</v>
      </c>
      <c r="BS274" s="5">
        <v>167.0</v>
      </c>
      <c r="BT274" s="5" t="s">
        <v>1770</v>
      </c>
      <c r="BU274" s="5" t="s">
        <v>1770</v>
      </c>
      <c r="BV274" s="94">
        <v>44645.52668981482</v>
      </c>
      <c r="BW274" s="5">
        <v>167.0</v>
      </c>
    </row>
    <row r="275" ht="14.25" customHeight="1">
      <c r="A275" s="5">
        <v>274.0</v>
      </c>
      <c r="B275" s="5">
        <v>544.0</v>
      </c>
      <c r="C275" s="5" t="s">
        <v>3855</v>
      </c>
      <c r="D275" s="5" t="s">
        <v>1792</v>
      </c>
      <c r="E275" s="5" t="s">
        <v>3856</v>
      </c>
      <c r="F275" s="5" t="s">
        <v>3857</v>
      </c>
      <c r="G275" s="5" t="s">
        <v>3858</v>
      </c>
      <c r="H275" s="5" t="s">
        <v>1815</v>
      </c>
      <c r="I275" s="5" t="s">
        <v>1763</v>
      </c>
      <c r="J275" s="91">
        <v>32892.0</v>
      </c>
      <c r="K275" s="5">
        <v>424.0</v>
      </c>
      <c r="L275" s="5" t="s">
        <v>3859</v>
      </c>
      <c r="M275" s="5">
        <v>32.0</v>
      </c>
      <c r="N275" s="5"/>
      <c r="O275" s="5">
        <v>35872.0</v>
      </c>
      <c r="P275" s="5" t="s">
        <v>1931</v>
      </c>
      <c r="Q275" s="5" t="s">
        <v>2406</v>
      </c>
      <c r="R275" s="5">
        <v>424.0</v>
      </c>
      <c r="S275" s="5">
        <v>4.691326715E9</v>
      </c>
      <c r="T275" s="5"/>
      <c r="U275" s="5" t="s">
        <v>3860</v>
      </c>
      <c r="V275" s="5">
        <v>4.691326715E9</v>
      </c>
      <c r="W275" s="5" t="s">
        <v>1924</v>
      </c>
      <c r="X275" s="91">
        <v>44531.0</v>
      </c>
      <c r="Y275" s="5">
        <v>2.0</v>
      </c>
      <c r="Z275" s="5">
        <v>4.0</v>
      </c>
      <c r="AA275" s="5">
        <v>37.0</v>
      </c>
      <c r="AB275" s="5"/>
      <c r="AC275" s="5"/>
      <c r="AD275" s="5" t="s">
        <v>1770</v>
      </c>
      <c r="AE275" s="5" t="s">
        <v>1770</v>
      </c>
      <c r="AF275" s="5">
        <v>5.6821618768E10</v>
      </c>
      <c r="AG275" s="5">
        <v>1.4229568216187686E16</v>
      </c>
      <c r="AH275" s="5">
        <v>3.7099003438E10</v>
      </c>
      <c r="AI275" s="5"/>
      <c r="AJ275" s="5"/>
      <c r="AK275" s="5" t="s">
        <v>1773</v>
      </c>
      <c r="AL275" s="92">
        <v>0.0</v>
      </c>
      <c r="AM275" s="5" t="s">
        <v>1770</v>
      </c>
      <c r="AN275" s="5" t="s">
        <v>1830</v>
      </c>
      <c r="AO275" s="5"/>
      <c r="AP275" s="5"/>
      <c r="AQ275" s="5"/>
      <c r="AR275" s="5"/>
      <c r="AS275" s="5"/>
      <c r="AT275" s="5" t="s">
        <v>2184</v>
      </c>
      <c r="AU275" s="5" t="s">
        <v>3861</v>
      </c>
      <c r="AV275" s="5" t="s">
        <v>3862</v>
      </c>
      <c r="AW275" s="5" t="s">
        <v>1770</v>
      </c>
      <c r="AX275" s="5"/>
      <c r="AY275" s="5"/>
      <c r="AZ275" s="5" t="s">
        <v>1770</v>
      </c>
      <c r="BA275" s="93">
        <v>0.0</v>
      </c>
      <c r="BB275" s="93">
        <v>0.0</v>
      </c>
      <c r="BC275" s="93">
        <v>0.0</v>
      </c>
      <c r="BD275" s="93">
        <v>0.0</v>
      </c>
      <c r="BE275" s="93">
        <v>0.0</v>
      </c>
      <c r="BF275" s="93">
        <v>0.0</v>
      </c>
      <c r="BG275" s="5"/>
      <c r="BH275" s="93">
        <v>0.0</v>
      </c>
      <c r="BI275" s="93">
        <v>0.0</v>
      </c>
      <c r="BJ275" s="93">
        <v>0.0</v>
      </c>
      <c r="BK275" s="93">
        <v>0.0</v>
      </c>
      <c r="BL275" s="93">
        <v>0.0</v>
      </c>
      <c r="BM275" s="93">
        <v>0.0</v>
      </c>
      <c r="BN275" s="93">
        <v>0.0</v>
      </c>
      <c r="BO275" s="5"/>
      <c r="BP275" s="5" t="s">
        <v>1770</v>
      </c>
      <c r="BQ275" s="5" t="s">
        <v>1789</v>
      </c>
      <c r="BR275" s="94">
        <v>44532.479791666665</v>
      </c>
      <c r="BS275" s="5">
        <v>167.0</v>
      </c>
      <c r="BT275" s="94">
        <v>44543.55719907407</v>
      </c>
      <c r="BU275" s="5">
        <v>13.0</v>
      </c>
      <c r="BV275" s="94">
        <v>44742.63061342593</v>
      </c>
      <c r="BW275" s="5">
        <v>167.0</v>
      </c>
    </row>
    <row r="276" ht="14.25" customHeight="1">
      <c r="A276" s="5">
        <v>275.0</v>
      </c>
      <c r="B276" s="5">
        <v>542.0</v>
      </c>
      <c r="C276" s="5" t="s">
        <v>3863</v>
      </c>
      <c r="D276" s="5" t="s">
        <v>1792</v>
      </c>
      <c r="E276" s="5" t="s">
        <v>3864</v>
      </c>
      <c r="F276" s="5" t="s">
        <v>3865</v>
      </c>
      <c r="G276" s="5" t="s">
        <v>3866</v>
      </c>
      <c r="H276" s="5" t="s">
        <v>1781</v>
      </c>
      <c r="I276" s="5" t="s">
        <v>1782</v>
      </c>
      <c r="J276" s="91">
        <v>33056.0</v>
      </c>
      <c r="K276" s="5">
        <v>549.0</v>
      </c>
      <c r="L276" s="5" t="s">
        <v>3867</v>
      </c>
      <c r="M276" s="5">
        <v>202.0</v>
      </c>
      <c r="N276" s="5"/>
      <c r="O276" s="5">
        <v>17732.0</v>
      </c>
      <c r="P276" s="5" t="s">
        <v>1797</v>
      </c>
      <c r="Q276" s="5" t="s">
        <v>3868</v>
      </c>
      <c r="R276" s="5">
        <v>624.0</v>
      </c>
      <c r="S276" s="5">
        <v>3.781326121E9</v>
      </c>
      <c r="T276" s="5"/>
      <c r="U276" s="5" t="s">
        <v>3869</v>
      </c>
      <c r="V276" s="5">
        <v>3.47109257E9</v>
      </c>
      <c r="W276" s="5" t="s">
        <v>1787</v>
      </c>
      <c r="X276" s="91">
        <v>44531.0</v>
      </c>
      <c r="Y276" s="5">
        <v>1.0</v>
      </c>
      <c r="Z276" s="5">
        <v>1.0</v>
      </c>
      <c r="AA276" s="5">
        <v>1.0</v>
      </c>
      <c r="AB276" s="5" t="s">
        <v>3870</v>
      </c>
      <c r="AC276" s="5" t="s">
        <v>1800</v>
      </c>
      <c r="AD276" s="91">
        <v>43284.0</v>
      </c>
      <c r="AE276" s="91">
        <v>44745.0</v>
      </c>
      <c r="AF276" s="5">
        <v>1.526461703E9</v>
      </c>
      <c r="AG276" s="5">
        <v>1.218001526961703E16</v>
      </c>
      <c r="AH276" s="5">
        <v>4.099077184E9</v>
      </c>
      <c r="AI276" s="5"/>
      <c r="AJ276" s="5"/>
      <c r="AK276" s="5" t="s">
        <v>1773</v>
      </c>
      <c r="AL276" s="92">
        <v>0.0</v>
      </c>
      <c r="AM276" s="5" t="s">
        <v>1770</v>
      </c>
      <c r="AN276" s="5" t="s">
        <v>3811</v>
      </c>
      <c r="AO276" s="5"/>
      <c r="AP276" s="5"/>
      <c r="AQ276" s="5"/>
      <c r="AR276" s="5"/>
      <c r="AS276" s="5"/>
      <c r="AT276" s="5" t="s">
        <v>3871</v>
      </c>
      <c r="AU276" s="5" t="s">
        <v>3872</v>
      </c>
      <c r="AV276" s="5"/>
      <c r="AW276" s="5" t="s">
        <v>1770</v>
      </c>
      <c r="AX276" s="5"/>
      <c r="AY276" s="5"/>
      <c r="AZ276" s="5" t="s">
        <v>1770</v>
      </c>
      <c r="BA276" s="103">
        <v>40.0</v>
      </c>
      <c r="BB276" s="103">
        <v>60.0</v>
      </c>
      <c r="BC276" s="103">
        <v>40.0</v>
      </c>
      <c r="BD276" s="93">
        <v>0.0</v>
      </c>
      <c r="BE276" s="93">
        <v>0.0</v>
      </c>
      <c r="BF276" s="93">
        <v>0.0</v>
      </c>
      <c r="BG276" s="5"/>
      <c r="BH276" s="93">
        <v>0.0</v>
      </c>
      <c r="BI276" s="93">
        <v>0.0</v>
      </c>
      <c r="BJ276" s="93">
        <v>0.0</v>
      </c>
      <c r="BK276" s="93">
        <v>0.0</v>
      </c>
      <c r="BL276" s="93">
        <v>0.0</v>
      </c>
      <c r="BM276" s="93">
        <v>0.0</v>
      </c>
      <c r="BN276" s="93">
        <v>0.0</v>
      </c>
      <c r="BO276" s="5"/>
      <c r="BP276" s="5" t="s">
        <v>1770</v>
      </c>
      <c r="BQ276" s="5" t="s">
        <v>1789</v>
      </c>
      <c r="BR276" s="94">
        <v>44532.55217592593</v>
      </c>
      <c r="BS276" s="5">
        <v>167.0</v>
      </c>
      <c r="BT276" s="94">
        <v>44543.55164351852</v>
      </c>
      <c r="BU276" s="5">
        <v>13.0</v>
      </c>
      <c r="BV276" s="94">
        <v>44645.665717592594</v>
      </c>
      <c r="BW276" s="5" t="s">
        <v>1770</v>
      </c>
    </row>
    <row r="277" ht="14.25" customHeight="1">
      <c r="A277" s="5">
        <v>276.0</v>
      </c>
      <c r="B277" s="5">
        <v>543.0</v>
      </c>
      <c r="C277" s="5" t="s">
        <v>3873</v>
      </c>
      <c r="D277" s="5" t="s">
        <v>2132</v>
      </c>
      <c r="E277" s="5" t="s">
        <v>3874</v>
      </c>
      <c r="F277" s="5" t="s">
        <v>3875</v>
      </c>
      <c r="G277" s="5" t="s">
        <v>3876</v>
      </c>
      <c r="H277" s="5" t="s">
        <v>2671</v>
      </c>
      <c r="I277" s="5" t="s">
        <v>1782</v>
      </c>
      <c r="J277" s="91">
        <v>35225.0</v>
      </c>
      <c r="K277" s="5">
        <v>889.0</v>
      </c>
      <c r="L277" s="5" t="s">
        <v>3877</v>
      </c>
      <c r="M277" s="5">
        <v>4.0</v>
      </c>
      <c r="N277" s="5"/>
      <c r="O277" s="5">
        <v>55442.0</v>
      </c>
      <c r="P277" s="5" t="s">
        <v>3877</v>
      </c>
      <c r="Q277" s="5" t="s">
        <v>3878</v>
      </c>
      <c r="R277" s="5">
        <v>889.0</v>
      </c>
      <c r="S277" s="5">
        <v>3.511822797E9</v>
      </c>
      <c r="T277" s="5"/>
      <c r="U277" s="100" t="s">
        <v>3879</v>
      </c>
      <c r="V277" s="5">
        <v>3.511190173E9</v>
      </c>
      <c r="W277" s="5" t="s">
        <v>2675</v>
      </c>
      <c r="X277" s="91">
        <v>44531.0</v>
      </c>
      <c r="Y277" s="5">
        <v>4.0</v>
      </c>
      <c r="Z277" s="5">
        <v>18.0</v>
      </c>
      <c r="AA277" s="5">
        <v>1.0</v>
      </c>
      <c r="AB277" s="5">
        <v>35006.0</v>
      </c>
      <c r="AC277" s="5" t="s">
        <v>2274</v>
      </c>
      <c r="AD277" s="91">
        <v>43481.0</v>
      </c>
      <c r="AE277" s="91">
        <v>45307.0</v>
      </c>
      <c r="AF277" s="5"/>
      <c r="AG277" s="5"/>
      <c r="AH277" s="5">
        <v>5.3129612601E10</v>
      </c>
      <c r="AI277" s="5"/>
      <c r="AJ277" s="5"/>
      <c r="AK277" s="5" t="s">
        <v>1773</v>
      </c>
      <c r="AL277" s="92">
        <v>0.0</v>
      </c>
      <c r="AM277" s="5" t="s">
        <v>1770</v>
      </c>
      <c r="AN277" s="5" t="s">
        <v>1830</v>
      </c>
      <c r="AO277" s="5"/>
      <c r="AP277" s="5"/>
      <c r="AQ277" s="5"/>
      <c r="AR277" s="5"/>
      <c r="AS277" s="5"/>
      <c r="AT277" s="5"/>
      <c r="AU277" s="5"/>
      <c r="AV277" s="5"/>
      <c r="AW277" s="5" t="s">
        <v>1770</v>
      </c>
      <c r="AX277" s="5"/>
      <c r="AY277" s="5"/>
      <c r="AZ277" s="5" t="s">
        <v>1770</v>
      </c>
      <c r="BA277" s="93">
        <v>0.0</v>
      </c>
      <c r="BB277" s="93">
        <v>0.0</v>
      </c>
      <c r="BC277" s="93">
        <v>0.0</v>
      </c>
      <c r="BD277" s="93">
        <v>0.0</v>
      </c>
      <c r="BE277" s="93">
        <v>0.0</v>
      </c>
      <c r="BF277" s="93">
        <v>0.0</v>
      </c>
      <c r="BG277" s="5"/>
      <c r="BH277" s="93">
        <v>0.0</v>
      </c>
      <c r="BI277" s="93">
        <v>0.0</v>
      </c>
      <c r="BJ277" s="93">
        <v>0.0</v>
      </c>
      <c r="BK277" s="93">
        <v>0.0</v>
      </c>
      <c r="BL277" s="93">
        <v>0.0</v>
      </c>
      <c r="BM277" s="93">
        <v>0.0</v>
      </c>
      <c r="BN277" s="93">
        <v>0.0</v>
      </c>
      <c r="BO277" s="5"/>
      <c r="BP277" s="5" t="s">
        <v>1770</v>
      </c>
      <c r="BQ277" s="5" t="s">
        <v>1789</v>
      </c>
      <c r="BR277" s="94">
        <v>44533.56429398148</v>
      </c>
      <c r="BS277" s="5">
        <v>167.0</v>
      </c>
      <c r="BT277" s="94">
        <v>45142.55305555555</v>
      </c>
      <c r="BU277" s="5">
        <v>211.0</v>
      </c>
      <c r="BV277" s="94">
        <v>45142.55320601852</v>
      </c>
      <c r="BW277" s="5">
        <v>211.0</v>
      </c>
    </row>
    <row r="278" ht="14.25" customHeight="1">
      <c r="A278" s="5">
        <v>277.0</v>
      </c>
      <c r="B278" s="5">
        <v>545.0</v>
      </c>
      <c r="C278" s="5" t="s">
        <v>3880</v>
      </c>
      <c r="D278" s="5" t="s">
        <v>2195</v>
      </c>
      <c r="E278" s="5" t="s">
        <v>3881</v>
      </c>
      <c r="F278" s="5" t="s">
        <v>3882</v>
      </c>
      <c r="G278" s="5"/>
      <c r="H278" s="5" t="s">
        <v>1972</v>
      </c>
      <c r="I278" s="5" t="s">
        <v>1782</v>
      </c>
      <c r="J278" s="91">
        <v>29874.0</v>
      </c>
      <c r="K278" s="5">
        <v>886.0</v>
      </c>
      <c r="L278" s="100" t="s">
        <v>3883</v>
      </c>
      <c r="M278" s="5">
        <v>69.0</v>
      </c>
      <c r="N278" s="5"/>
      <c r="O278" s="5">
        <v>55002.0</v>
      </c>
      <c r="P278" s="5" t="s">
        <v>1797</v>
      </c>
      <c r="Q278" s="5" t="s">
        <v>1974</v>
      </c>
      <c r="R278" s="5">
        <v>886.0</v>
      </c>
      <c r="S278" s="5">
        <v>3.935938731E9</v>
      </c>
      <c r="T278" s="5"/>
      <c r="U278" s="5" t="s">
        <v>3884</v>
      </c>
      <c r="V278" s="5">
        <v>2.108150315E9</v>
      </c>
      <c r="W278" s="5" t="s">
        <v>1819</v>
      </c>
      <c r="X278" s="91">
        <v>44531.0</v>
      </c>
      <c r="Y278" s="5">
        <v>3.0</v>
      </c>
      <c r="Z278" s="5">
        <v>1.0</v>
      </c>
      <c r="AA278" s="5">
        <v>1.0</v>
      </c>
      <c r="AB278" s="5"/>
      <c r="AC278" s="5"/>
      <c r="AD278" s="5" t="s">
        <v>1770</v>
      </c>
      <c r="AE278" s="5" t="s">
        <v>1770</v>
      </c>
      <c r="AF278" s="5"/>
      <c r="AG278" s="5"/>
      <c r="AH278" s="5">
        <v>1.2365478915E10</v>
      </c>
      <c r="AI278" s="5"/>
      <c r="AJ278" s="5"/>
      <c r="AK278" s="5" t="s">
        <v>1773</v>
      </c>
      <c r="AL278" s="92">
        <v>0.0</v>
      </c>
      <c r="AM278" s="5" t="s">
        <v>1770</v>
      </c>
      <c r="AN278" s="5" t="s">
        <v>1830</v>
      </c>
      <c r="AO278" s="5"/>
      <c r="AP278" s="5"/>
      <c r="AQ278" s="5"/>
      <c r="AR278" s="5"/>
      <c r="AS278" s="5"/>
      <c r="AT278" s="5"/>
      <c r="AU278" s="5"/>
      <c r="AV278" s="5"/>
      <c r="AW278" s="5" t="s">
        <v>1770</v>
      </c>
      <c r="AX278" s="5"/>
      <c r="AY278" s="5"/>
      <c r="AZ278" s="5" t="s">
        <v>1770</v>
      </c>
      <c r="BA278" s="93">
        <v>0.0</v>
      </c>
      <c r="BB278" s="93">
        <v>0.0</v>
      </c>
      <c r="BC278" s="93">
        <v>0.0</v>
      </c>
      <c r="BD278" s="93">
        <v>0.0</v>
      </c>
      <c r="BE278" s="93">
        <v>0.0</v>
      </c>
      <c r="BF278" s="93">
        <v>0.0</v>
      </c>
      <c r="BG278" s="5"/>
      <c r="BH278" s="93">
        <v>0.0</v>
      </c>
      <c r="BI278" s="93">
        <v>0.0</v>
      </c>
      <c r="BJ278" s="93">
        <v>0.0</v>
      </c>
      <c r="BK278" s="93">
        <v>0.0</v>
      </c>
      <c r="BL278" s="93">
        <v>0.0</v>
      </c>
      <c r="BM278" s="93">
        <v>0.0</v>
      </c>
      <c r="BN278" s="93">
        <v>0.0</v>
      </c>
      <c r="BO278" s="5"/>
      <c r="BP278" s="5" t="s">
        <v>1770</v>
      </c>
      <c r="BQ278" s="5" t="s">
        <v>1789</v>
      </c>
      <c r="BR278" s="94">
        <v>44533.664039351854</v>
      </c>
      <c r="BS278" s="5">
        <v>40.0</v>
      </c>
      <c r="BT278" s="5" t="s">
        <v>1770</v>
      </c>
      <c r="BU278" s="5" t="s">
        <v>1770</v>
      </c>
      <c r="BV278" s="94">
        <v>44645.520324074074</v>
      </c>
      <c r="BW278" s="5">
        <v>167.0</v>
      </c>
    </row>
    <row r="279" ht="14.25" customHeight="1">
      <c r="A279" s="5">
        <v>278.0</v>
      </c>
      <c r="B279" s="5">
        <v>546.0</v>
      </c>
      <c r="C279" s="5" t="s">
        <v>3885</v>
      </c>
      <c r="D279" s="5" t="s">
        <v>2551</v>
      </c>
      <c r="E279" s="5" t="s">
        <v>2494</v>
      </c>
      <c r="F279" s="5" t="s">
        <v>3886</v>
      </c>
      <c r="G279" s="5" t="s">
        <v>3887</v>
      </c>
      <c r="H279" s="5" t="s">
        <v>1815</v>
      </c>
      <c r="I279" s="5" t="s">
        <v>1763</v>
      </c>
      <c r="J279" s="91">
        <v>30507.0</v>
      </c>
      <c r="K279" s="5">
        <v>878.0</v>
      </c>
      <c r="L279" s="5" t="s">
        <v>3888</v>
      </c>
      <c r="M279" s="5">
        <v>94.0</v>
      </c>
      <c r="N279" s="5"/>
      <c r="O279" s="5">
        <v>54106.0</v>
      </c>
      <c r="P279" s="5" t="s">
        <v>3889</v>
      </c>
      <c r="Q279" s="5" t="s">
        <v>3878</v>
      </c>
      <c r="R279" s="5">
        <v>878.0</v>
      </c>
      <c r="S279" s="5">
        <v>4.431344756E9</v>
      </c>
      <c r="T279" s="5"/>
      <c r="U279" s="5" t="s">
        <v>1924</v>
      </c>
      <c r="V279" s="5">
        <v>4.431344756E9</v>
      </c>
      <c r="W279" s="5" t="s">
        <v>1924</v>
      </c>
      <c r="X279" s="91">
        <v>45446.0</v>
      </c>
      <c r="Y279" s="5">
        <v>4.0</v>
      </c>
      <c r="Z279" s="5">
        <v>3.0</v>
      </c>
      <c r="AA279" s="5">
        <v>97.0</v>
      </c>
      <c r="AB279" s="5" t="s">
        <v>3890</v>
      </c>
      <c r="AC279" s="5" t="s">
        <v>1800</v>
      </c>
      <c r="AD279" s="91">
        <v>44195.0</v>
      </c>
      <c r="AE279" s="91">
        <v>55152.0</v>
      </c>
      <c r="AF279" s="5"/>
      <c r="AG279" s="5"/>
      <c r="AH279" s="5">
        <v>5.3018332576E10</v>
      </c>
      <c r="AI279" s="5">
        <v>75.0</v>
      </c>
      <c r="AJ279" s="5"/>
      <c r="AK279" s="5" t="s">
        <v>1773</v>
      </c>
      <c r="AL279" s="92">
        <v>0.0</v>
      </c>
      <c r="AM279" s="5" t="s">
        <v>1770</v>
      </c>
      <c r="AN279" s="5" t="s">
        <v>1830</v>
      </c>
      <c r="AO279" s="5"/>
      <c r="AP279" s="5"/>
      <c r="AQ279" s="5"/>
      <c r="AR279" s="5"/>
      <c r="AS279" s="5"/>
      <c r="AT279" s="5"/>
      <c r="AU279" s="5"/>
      <c r="AV279" s="5"/>
      <c r="AW279" s="5" t="s">
        <v>1770</v>
      </c>
      <c r="AX279" s="5"/>
      <c r="AY279" s="5"/>
      <c r="AZ279" s="5" t="s">
        <v>1770</v>
      </c>
      <c r="BA279" s="93">
        <v>0.0</v>
      </c>
      <c r="BB279" s="93">
        <v>0.0</v>
      </c>
      <c r="BC279" s="93">
        <v>0.0</v>
      </c>
      <c r="BD279" s="93">
        <v>0.0</v>
      </c>
      <c r="BE279" s="93">
        <v>0.0</v>
      </c>
      <c r="BF279" s="93">
        <v>0.0</v>
      </c>
      <c r="BG279" s="5"/>
      <c r="BH279" s="93">
        <v>0.0</v>
      </c>
      <c r="BI279" s="93">
        <v>0.0</v>
      </c>
      <c r="BJ279" s="93">
        <v>0.0</v>
      </c>
      <c r="BK279" s="93">
        <v>0.0</v>
      </c>
      <c r="BL279" s="93">
        <v>0.0</v>
      </c>
      <c r="BM279" s="93">
        <v>0.0</v>
      </c>
      <c r="BN279" s="93">
        <v>0.0</v>
      </c>
      <c r="BO279" s="5"/>
      <c r="BP279" s="5" t="s">
        <v>1770</v>
      </c>
      <c r="BQ279" s="5" t="s">
        <v>1775</v>
      </c>
      <c r="BR279" s="94">
        <v>44538.609444444446</v>
      </c>
      <c r="BS279" s="5">
        <v>167.0</v>
      </c>
      <c r="BT279" s="94">
        <v>45894.413668981484</v>
      </c>
      <c r="BU279" s="5">
        <v>40.0</v>
      </c>
      <c r="BV279" s="5" t="s">
        <v>1770</v>
      </c>
      <c r="BW279" s="5" t="s">
        <v>1770</v>
      </c>
    </row>
    <row r="280" ht="14.25" customHeight="1">
      <c r="A280" s="5">
        <v>279.0</v>
      </c>
      <c r="B280" s="5">
        <v>547.0</v>
      </c>
      <c r="C280" s="5" t="s">
        <v>2125</v>
      </c>
      <c r="D280" s="5" t="s">
        <v>2195</v>
      </c>
      <c r="E280" s="5" t="s">
        <v>1778</v>
      </c>
      <c r="F280" s="5" t="s">
        <v>3891</v>
      </c>
      <c r="G280" s="5" t="s">
        <v>3892</v>
      </c>
      <c r="H280" s="5" t="s">
        <v>1972</v>
      </c>
      <c r="I280" s="5" t="s">
        <v>1782</v>
      </c>
      <c r="J280" s="91">
        <v>34560.0</v>
      </c>
      <c r="K280" s="5">
        <v>850.0</v>
      </c>
      <c r="L280" s="5" t="s">
        <v>3893</v>
      </c>
      <c r="M280" s="5">
        <v>35.0</v>
      </c>
      <c r="N280" s="5"/>
      <c r="O280" s="5">
        <v>55192.0</v>
      </c>
      <c r="P280" s="5" t="s">
        <v>3894</v>
      </c>
      <c r="Q280" s="5" t="s">
        <v>3878</v>
      </c>
      <c r="R280" s="5">
        <v>850.0</v>
      </c>
      <c r="S280" s="5">
        <v>3.521949937E9</v>
      </c>
      <c r="T280" s="5" t="s">
        <v>3895</v>
      </c>
      <c r="U280" s="5" t="s">
        <v>3896</v>
      </c>
      <c r="V280" s="5">
        <v>3.521109804E9</v>
      </c>
      <c r="W280" s="5" t="s">
        <v>1808</v>
      </c>
      <c r="X280" s="91">
        <v>44546.0</v>
      </c>
      <c r="Y280" s="5">
        <v>3.0</v>
      </c>
      <c r="Z280" s="5">
        <v>19.0</v>
      </c>
      <c r="AA280" s="5">
        <v>45.0</v>
      </c>
      <c r="AB280" s="5">
        <v>2.210600583E9</v>
      </c>
      <c r="AC280" s="5" t="s">
        <v>1800</v>
      </c>
      <c r="AD280" s="91">
        <v>44270.0</v>
      </c>
      <c r="AE280" s="91">
        <v>54862.0</v>
      </c>
      <c r="AF280" s="5"/>
      <c r="AG280" s="5"/>
      <c r="AH280" s="5">
        <v>5.310940661E9</v>
      </c>
      <c r="AI280" s="5" t="s">
        <v>3897</v>
      </c>
      <c r="AJ280" s="5"/>
      <c r="AK280" s="5" t="s">
        <v>1773</v>
      </c>
      <c r="AL280" s="92">
        <v>0.0</v>
      </c>
      <c r="AM280" s="5" t="s">
        <v>1770</v>
      </c>
      <c r="AN280" s="5" t="s">
        <v>1830</v>
      </c>
      <c r="AO280" s="5"/>
      <c r="AP280" s="5"/>
      <c r="AQ280" s="5"/>
      <c r="AR280" s="5"/>
      <c r="AS280" s="5"/>
      <c r="AT280" s="5" t="s">
        <v>3004</v>
      </c>
      <c r="AU280" s="5"/>
      <c r="AV280" s="5"/>
      <c r="AW280" s="5" t="s">
        <v>1770</v>
      </c>
      <c r="AX280" s="5"/>
      <c r="AY280" s="5"/>
      <c r="AZ280" s="5" t="s">
        <v>1770</v>
      </c>
      <c r="BA280" s="93">
        <v>0.0</v>
      </c>
      <c r="BB280" s="93">
        <v>0.0</v>
      </c>
      <c r="BC280" s="93">
        <v>0.0</v>
      </c>
      <c r="BD280" s="93">
        <v>0.0</v>
      </c>
      <c r="BE280" s="93">
        <v>0.0</v>
      </c>
      <c r="BF280" s="93">
        <v>0.0</v>
      </c>
      <c r="BG280" s="5"/>
      <c r="BH280" s="93">
        <v>0.0</v>
      </c>
      <c r="BI280" s="93">
        <v>0.0</v>
      </c>
      <c r="BJ280" s="93">
        <v>0.0</v>
      </c>
      <c r="BK280" s="93">
        <v>0.0</v>
      </c>
      <c r="BL280" s="93">
        <v>0.0</v>
      </c>
      <c r="BM280" s="93">
        <v>0.0</v>
      </c>
      <c r="BN280" s="93">
        <v>0.0</v>
      </c>
      <c r="BO280" s="5"/>
      <c r="BP280" s="5"/>
      <c r="BQ280" s="5" t="s">
        <v>1775</v>
      </c>
      <c r="BR280" s="94">
        <v>44550.53581018518</v>
      </c>
      <c r="BS280" s="5">
        <v>167.0</v>
      </c>
      <c r="BT280" s="94">
        <v>46134.66695601852</v>
      </c>
      <c r="BU280" s="5" t="s">
        <v>1770</v>
      </c>
      <c r="BV280" s="5" t="s">
        <v>1770</v>
      </c>
      <c r="BW280" s="5" t="s">
        <v>1770</v>
      </c>
    </row>
    <row r="281" ht="14.25" customHeight="1">
      <c r="A281" s="5">
        <v>280.0</v>
      </c>
      <c r="B281" s="5">
        <v>548.0</v>
      </c>
      <c r="C281" s="5" t="s">
        <v>2469</v>
      </c>
      <c r="D281" s="5" t="s">
        <v>2765</v>
      </c>
      <c r="E281" s="5" t="s">
        <v>3898</v>
      </c>
      <c r="F281" s="5" t="s">
        <v>3899</v>
      </c>
      <c r="G281" s="5" t="s">
        <v>3900</v>
      </c>
      <c r="H281" s="5" t="s">
        <v>1972</v>
      </c>
      <c r="I281" s="5" t="s">
        <v>1782</v>
      </c>
      <c r="J281" s="91">
        <v>35153.0</v>
      </c>
      <c r="K281" s="5">
        <v>624.0</v>
      </c>
      <c r="L281" s="5" t="s">
        <v>3901</v>
      </c>
      <c r="M281" s="5">
        <v>852.0</v>
      </c>
      <c r="N281" s="5"/>
      <c r="O281" s="5">
        <v>43647.0</v>
      </c>
      <c r="P281" s="5" t="s">
        <v>3902</v>
      </c>
      <c r="Q281" s="5" t="s">
        <v>3903</v>
      </c>
      <c r="R281" s="5">
        <v>624.0</v>
      </c>
      <c r="S281" s="5">
        <v>3.781009135E9</v>
      </c>
      <c r="T281" s="5"/>
      <c r="U281" s="100" t="s">
        <v>3904</v>
      </c>
      <c r="V281" s="5">
        <v>3.787813355E9</v>
      </c>
      <c r="W281" s="5" t="s">
        <v>1924</v>
      </c>
      <c r="X281" s="91">
        <v>44564.0</v>
      </c>
      <c r="Y281" s="5">
        <v>6.0</v>
      </c>
      <c r="Z281" s="5">
        <v>19.0</v>
      </c>
      <c r="AA281" s="5">
        <v>58.0</v>
      </c>
      <c r="AB281" s="5" t="s">
        <v>3905</v>
      </c>
      <c r="AC281" s="5" t="s">
        <v>1800</v>
      </c>
      <c r="AD281" s="91">
        <v>43636.0</v>
      </c>
      <c r="AE281" s="91">
        <v>45097.0</v>
      </c>
      <c r="AF281" s="5"/>
      <c r="AG281" s="5"/>
      <c r="AH281" s="5">
        <v>4.13960233E9</v>
      </c>
      <c r="AI281" s="5"/>
      <c r="AJ281" s="5"/>
      <c r="AK281" s="5" t="s">
        <v>1773</v>
      </c>
      <c r="AL281" s="92">
        <v>0.0</v>
      </c>
      <c r="AM281" s="5" t="s">
        <v>1770</v>
      </c>
      <c r="AN281" s="5" t="s">
        <v>1774</v>
      </c>
      <c r="AO281" s="5"/>
      <c r="AP281" s="5"/>
      <c r="AQ281" s="5"/>
      <c r="AR281" s="5"/>
      <c r="AS281" s="5" t="s">
        <v>1936</v>
      </c>
      <c r="AT281" s="5"/>
      <c r="AU281" s="5"/>
      <c r="AV281" s="5"/>
      <c r="AW281" s="5" t="s">
        <v>1770</v>
      </c>
      <c r="AX281" s="5"/>
      <c r="AY281" s="5"/>
      <c r="AZ281" s="5" t="s">
        <v>1770</v>
      </c>
      <c r="BA281" s="93">
        <v>0.0</v>
      </c>
      <c r="BB281" s="93">
        <v>0.0</v>
      </c>
      <c r="BC281" s="93">
        <v>0.0</v>
      </c>
      <c r="BD281" s="93">
        <v>0.0</v>
      </c>
      <c r="BE281" s="93">
        <v>0.0</v>
      </c>
      <c r="BF281" s="93">
        <v>0.0</v>
      </c>
      <c r="BG281" s="5"/>
      <c r="BH281" s="93">
        <v>0.0</v>
      </c>
      <c r="BI281" s="93">
        <v>0.0</v>
      </c>
      <c r="BJ281" s="93">
        <v>0.0</v>
      </c>
      <c r="BK281" s="93">
        <v>0.0</v>
      </c>
      <c r="BL281" s="93">
        <v>0.0</v>
      </c>
      <c r="BM281" s="93">
        <v>0.0</v>
      </c>
      <c r="BN281" s="93">
        <v>0.0</v>
      </c>
      <c r="BO281" s="5"/>
      <c r="BP281" s="5" t="s">
        <v>1770</v>
      </c>
      <c r="BQ281" s="5" t="s">
        <v>1789</v>
      </c>
      <c r="BR281" s="94">
        <v>44565.43405092593</v>
      </c>
      <c r="BS281" s="5">
        <v>167.0</v>
      </c>
      <c r="BT281" s="94">
        <v>44616.52061342593</v>
      </c>
      <c r="BU281" s="5">
        <v>167.0</v>
      </c>
      <c r="BV281" s="94">
        <v>45244.654398148145</v>
      </c>
      <c r="BW281" s="5">
        <v>40.0</v>
      </c>
    </row>
    <row r="282" ht="14.25" customHeight="1">
      <c r="A282" s="5">
        <v>281.0</v>
      </c>
      <c r="B282" s="5">
        <v>549.0</v>
      </c>
      <c r="C282" s="5" t="s">
        <v>3906</v>
      </c>
      <c r="D282" s="100" t="s">
        <v>3629</v>
      </c>
      <c r="E282" s="5" t="s">
        <v>2005</v>
      </c>
      <c r="F282" s="5" t="s">
        <v>3907</v>
      </c>
      <c r="G282" s="5" t="s">
        <v>3908</v>
      </c>
      <c r="H282" s="5" t="s">
        <v>1972</v>
      </c>
      <c r="I282" s="5" t="s">
        <v>1782</v>
      </c>
      <c r="J282" s="91">
        <v>34517.0</v>
      </c>
      <c r="K282" s="5">
        <v>594.0</v>
      </c>
      <c r="L282" s="5" t="s">
        <v>3909</v>
      </c>
      <c r="M282" s="5">
        <v>9.0</v>
      </c>
      <c r="N282" s="5"/>
      <c r="O282" s="5">
        <v>43854.0</v>
      </c>
      <c r="P282" s="5" t="s">
        <v>3910</v>
      </c>
      <c r="Q282" s="5" t="s">
        <v>3903</v>
      </c>
      <c r="R282" s="5">
        <v>594.0</v>
      </c>
      <c r="S282" s="5">
        <v>3.921296325E9</v>
      </c>
      <c r="T282" s="5"/>
      <c r="U282" s="5" t="s">
        <v>3911</v>
      </c>
      <c r="V282" s="5">
        <v>3.921034298E9</v>
      </c>
      <c r="W282" s="5" t="s">
        <v>3911</v>
      </c>
      <c r="X282" s="91">
        <v>44567.0</v>
      </c>
      <c r="Y282" s="5">
        <v>5.0</v>
      </c>
      <c r="Z282" s="5">
        <v>19.0</v>
      </c>
      <c r="AA282" s="5">
        <v>58.0</v>
      </c>
      <c r="AB282" s="5" t="s">
        <v>3912</v>
      </c>
      <c r="AC282" s="5" t="s">
        <v>1800</v>
      </c>
      <c r="AD282" s="91">
        <v>43640.0</v>
      </c>
      <c r="AE282" s="91">
        <v>45101.0</v>
      </c>
      <c r="AF282" s="5"/>
      <c r="AG282" s="5"/>
      <c r="AH282" s="5">
        <v>7.5139464699E10</v>
      </c>
      <c r="AI282" s="5"/>
      <c r="AJ282" s="5"/>
      <c r="AK282" s="5" t="s">
        <v>1773</v>
      </c>
      <c r="AL282" s="92">
        <v>0.0</v>
      </c>
      <c r="AM282" s="5" t="s">
        <v>1770</v>
      </c>
      <c r="AN282" s="5" t="s">
        <v>3913</v>
      </c>
      <c r="AO282" s="5"/>
      <c r="AP282" s="5"/>
      <c r="AQ282" s="5"/>
      <c r="AR282" s="5"/>
      <c r="AS282" s="5"/>
      <c r="AT282" s="5"/>
      <c r="AU282" s="5"/>
      <c r="AV282" s="5"/>
      <c r="AW282" s="5" t="s">
        <v>1770</v>
      </c>
      <c r="AX282" s="5"/>
      <c r="AY282" s="5"/>
      <c r="AZ282" s="5" t="s">
        <v>1770</v>
      </c>
      <c r="BA282" s="93">
        <v>0.0</v>
      </c>
      <c r="BB282" s="93">
        <v>0.0</v>
      </c>
      <c r="BC282" s="93">
        <v>0.0</v>
      </c>
      <c r="BD282" s="93">
        <v>0.0</v>
      </c>
      <c r="BE282" s="93">
        <v>0.0</v>
      </c>
      <c r="BF282" s="93">
        <v>0.0</v>
      </c>
      <c r="BG282" s="5"/>
      <c r="BH282" s="93">
        <v>0.0</v>
      </c>
      <c r="BI282" s="93">
        <v>0.0</v>
      </c>
      <c r="BJ282" s="93">
        <v>0.0</v>
      </c>
      <c r="BK282" s="93">
        <v>0.0</v>
      </c>
      <c r="BL282" s="93">
        <v>0.0</v>
      </c>
      <c r="BM282" s="93">
        <v>0.0</v>
      </c>
      <c r="BN282" s="93">
        <v>0.0</v>
      </c>
      <c r="BO282" s="5"/>
      <c r="BP282" s="5" t="s">
        <v>1770</v>
      </c>
      <c r="BQ282" s="5" t="s">
        <v>1789</v>
      </c>
      <c r="BR282" s="94">
        <v>44569.50701388889</v>
      </c>
      <c r="BS282" s="5">
        <v>167.0</v>
      </c>
      <c r="BT282" s="94">
        <v>44926.48096064815</v>
      </c>
      <c r="BU282" s="5">
        <v>217.0</v>
      </c>
      <c r="BV282" s="94">
        <v>45118.710023148145</v>
      </c>
      <c r="BW282" s="5" t="s">
        <v>1770</v>
      </c>
    </row>
    <row r="283" ht="14.25" customHeight="1">
      <c r="A283" s="5">
        <v>282.0</v>
      </c>
      <c r="B283" s="5">
        <v>550.0</v>
      </c>
      <c r="C283" s="5" t="s">
        <v>3914</v>
      </c>
      <c r="D283" s="5" t="s">
        <v>3915</v>
      </c>
      <c r="E283" s="5" t="s">
        <v>1950</v>
      </c>
      <c r="F283" s="5">
        <v>2.222222222222E12</v>
      </c>
      <c r="G283" s="5" t="s">
        <v>3916</v>
      </c>
      <c r="H283" s="5" t="s">
        <v>1815</v>
      </c>
      <c r="I283" s="5" t="s">
        <v>1763</v>
      </c>
      <c r="J283" s="91">
        <v>36148.0</v>
      </c>
      <c r="K283" s="5">
        <v>570.0</v>
      </c>
      <c r="L283" s="5" t="s">
        <v>2430</v>
      </c>
      <c r="M283" s="5">
        <v>350.0</v>
      </c>
      <c r="N283" s="5"/>
      <c r="O283" s="5">
        <v>41922.0</v>
      </c>
      <c r="P283" s="5" t="s">
        <v>3917</v>
      </c>
      <c r="Q283" s="5" t="s">
        <v>2349</v>
      </c>
      <c r="R283" s="5">
        <v>597.0</v>
      </c>
      <c r="S283" s="5">
        <v>3.315128574E9</v>
      </c>
      <c r="T283" s="5"/>
      <c r="U283" s="5" t="s">
        <v>3918</v>
      </c>
      <c r="V283" s="5">
        <v>3.310382763E9</v>
      </c>
      <c r="W283" s="5" t="s">
        <v>1819</v>
      </c>
      <c r="X283" s="91">
        <v>44582.0</v>
      </c>
      <c r="Y283" s="5">
        <v>5.0</v>
      </c>
      <c r="Z283" s="5">
        <v>19.0</v>
      </c>
      <c r="AA283" s="5">
        <v>9.0</v>
      </c>
      <c r="AB283" s="5">
        <v>0.0</v>
      </c>
      <c r="AC283" s="5"/>
      <c r="AD283" s="5" t="s">
        <v>1770</v>
      </c>
      <c r="AE283" s="5" t="s">
        <v>1770</v>
      </c>
      <c r="AF283" s="5"/>
      <c r="AG283" s="5"/>
      <c r="AH283" s="5">
        <v>4.5169814196E10</v>
      </c>
      <c r="AI283" s="5">
        <v>95.0</v>
      </c>
      <c r="AJ283" s="5"/>
      <c r="AK283" s="5" t="s">
        <v>1773</v>
      </c>
      <c r="AL283" s="92">
        <v>0.0</v>
      </c>
      <c r="AM283" s="5" t="s">
        <v>1770</v>
      </c>
      <c r="AN283" s="5" t="s">
        <v>1774</v>
      </c>
      <c r="AO283" s="5"/>
      <c r="AP283" s="5"/>
      <c r="AQ283" s="5"/>
      <c r="AR283" s="5"/>
      <c r="AS283" s="5"/>
      <c r="AT283" s="5"/>
      <c r="AU283" s="5"/>
      <c r="AV283" s="5"/>
      <c r="AW283" s="5" t="s">
        <v>1770</v>
      </c>
      <c r="AX283" s="5"/>
      <c r="AY283" s="5"/>
      <c r="AZ283" s="5" t="s">
        <v>1770</v>
      </c>
      <c r="BA283" s="93">
        <v>0.0</v>
      </c>
      <c r="BB283" s="93">
        <v>0.0</v>
      </c>
      <c r="BC283" s="93">
        <v>0.0</v>
      </c>
      <c r="BD283" s="93">
        <v>0.0</v>
      </c>
      <c r="BE283" s="93">
        <v>0.0</v>
      </c>
      <c r="BF283" s="93">
        <v>0.0</v>
      </c>
      <c r="BG283" s="5"/>
      <c r="BH283" s="93">
        <v>0.0</v>
      </c>
      <c r="BI283" s="93">
        <v>0.0</v>
      </c>
      <c r="BJ283" s="93">
        <v>0.0</v>
      </c>
      <c r="BK283" s="93">
        <v>0.0</v>
      </c>
      <c r="BL283" s="93">
        <v>0.0</v>
      </c>
      <c r="BM283" s="93">
        <v>0.0</v>
      </c>
      <c r="BN283" s="93">
        <v>0.0</v>
      </c>
      <c r="BO283" s="5"/>
      <c r="BP283" s="5" t="s">
        <v>1770</v>
      </c>
      <c r="BQ283" s="5" t="s">
        <v>1789</v>
      </c>
      <c r="BR283" s="94">
        <v>44582.58336805556</v>
      </c>
      <c r="BS283" s="5">
        <v>167.0</v>
      </c>
      <c r="BT283" s="94">
        <v>44701.38829861111</v>
      </c>
      <c r="BU283" s="5">
        <v>167.0</v>
      </c>
      <c r="BV283" s="94">
        <v>44742.46454861111</v>
      </c>
      <c r="BW283" s="5">
        <v>167.0</v>
      </c>
    </row>
    <row r="284" ht="14.25" customHeight="1">
      <c r="A284" s="5">
        <v>283.0</v>
      </c>
      <c r="B284" s="5">
        <v>551.0</v>
      </c>
      <c r="C284" s="5" t="s">
        <v>3919</v>
      </c>
      <c r="D284" s="5" t="s">
        <v>2132</v>
      </c>
      <c r="E284" s="5" t="s">
        <v>1981</v>
      </c>
      <c r="F284" s="5" t="s">
        <v>3920</v>
      </c>
      <c r="G284" s="5" t="s">
        <v>3921</v>
      </c>
      <c r="H284" s="5" t="s">
        <v>1972</v>
      </c>
      <c r="I284" s="5" t="s">
        <v>1782</v>
      </c>
      <c r="J284" s="91">
        <v>33908.0</v>
      </c>
      <c r="K284" s="5">
        <v>889.0</v>
      </c>
      <c r="L284" s="5" t="s">
        <v>3922</v>
      </c>
      <c r="M284" s="5">
        <v>30.0</v>
      </c>
      <c r="N284" s="5"/>
      <c r="O284" s="5">
        <v>55102.0</v>
      </c>
      <c r="P284" s="5" t="s">
        <v>1797</v>
      </c>
      <c r="Q284" s="5" t="s">
        <v>3878</v>
      </c>
      <c r="R284" s="5">
        <v>850.0</v>
      </c>
      <c r="S284" s="5">
        <v>3.521881254E9</v>
      </c>
      <c r="T284" s="5"/>
      <c r="U284" s="5" t="s">
        <v>3923</v>
      </c>
      <c r="V284" s="5">
        <v>3.525224084E9</v>
      </c>
      <c r="W284" s="5" t="s">
        <v>3408</v>
      </c>
      <c r="X284" s="91">
        <v>44586.0</v>
      </c>
      <c r="Y284" s="5">
        <v>3.0</v>
      </c>
      <c r="Z284" s="5">
        <v>3.0</v>
      </c>
      <c r="AA284" s="5">
        <v>1.0</v>
      </c>
      <c r="AB284" s="5" t="s">
        <v>3924</v>
      </c>
      <c r="AC284" s="5" t="s">
        <v>1772</v>
      </c>
      <c r="AD284" s="91">
        <v>44581.0</v>
      </c>
      <c r="AE284" s="91">
        <v>46042.0</v>
      </c>
      <c r="AF284" s="5"/>
      <c r="AG284" s="5"/>
      <c r="AH284" s="5">
        <v>5.313921106E9</v>
      </c>
      <c r="AI284" s="5">
        <v>1.0</v>
      </c>
      <c r="AJ284" s="5"/>
      <c r="AK284" s="5" t="s">
        <v>1773</v>
      </c>
      <c r="AL284" s="92">
        <v>0.0</v>
      </c>
      <c r="AM284" s="5" t="s">
        <v>1770</v>
      </c>
      <c r="AN284" s="5" t="s">
        <v>1830</v>
      </c>
      <c r="AO284" s="5"/>
      <c r="AP284" s="5"/>
      <c r="AQ284" s="5"/>
      <c r="AR284" s="5"/>
      <c r="AS284" s="5"/>
      <c r="AT284" s="5"/>
      <c r="AU284" s="5"/>
      <c r="AV284" s="5"/>
      <c r="AW284" s="5" t="s">
        <v>1770</v>
      </c>
      <c r="AX284" s="5"/>
      <c r="AY284" s="5"/>
      <c r="AZ284" s="5" t="s">
        <v>1770</v>
      </c>
      <c r="BA284" s="93">
        <v>0.0</v>
      </c>
      <c r="BB284" s="93">
        <v>0.0</v>
      </c>
      <c r="BC284" s="93">
        <v>0.0</v>
      </c>
      <c r="BD284" s="93">
        <v>0.0</v>
      </c>
      <c r="BE284" s="93">
        <v>0.0</v>
      </c>
      <c r="BF284" s="93">
        <v>0.0</v>
      </c>
      <c r="BG284" s="5"/>
      <c r="BH284" s="93">
        <v>0.0</v>
      </c>
      <c r="BI284" s="93">
        <v>0.0</v>
      </c>
      <c r="BJ284" s="93">
        <v>0.0</v>
      </c>
      <c r="BK284" s="93">
        <v>0.0</v>
      </c>
      <c r="BL284" s="93">
        <v>0.0</v>
      </c>
      <c r="BM284" s="93">
        <v>0.0</v>
      </c>
      <c r="BN284" s="93">
        <v>0.0</v>
      </c>
      <c r="BO284" s="5"/>
      <c r="BP284" s="5" t="s">
        <v>1770</v>
      </c>
      <c r="BQ284" s="5" t="s">
        <v>1789</v>
      </c>
      <c r="BR284" s="94">
        <v>44593.71592592593</v>
      </c>
      <c r="BS284" s="5">
        <v>167.0</v>
      </c>
      <c r="BT284" s="5" t="s">
        <v>1770</v>
      </c>
      <c r="BU284" s="5" t="s">
        <v>1770</v>
      </c>
      <c r="BV284" s="94">
        <v>45014.713171296295</v>
      </c>
      <c r="BW284" s="5">
        <v>40.0</v>
      </c>
    </row>
    <row r="285" ht="14.25" customHeight="1">
      <c r="A285" s="5">
        <v>284.0</v>
      </c>
      <c r="B285" s="5">
        <v>552.0</v>
      </c>
      <c r="C285" s="5" t="s">
        <v>3925</v>
      </c>
      <c r="D285" s="5" t="s">
        <v>1792</v>
      </c>
      <c r="E285" s="5" t="s">
        <v>1959</v>
      </c>
      <c r="F285" s="5" t="s">
        <v>3926</v>
      </c>
      <c r="G285" s="5" t="s">
        <v>3927</v>
      </c>
      <c r="H285" s="5" t="s">
        <v>1972</v>
      </c>
      <c r="I285" s="5" t="s">
        <v>1782</v>
      </c>
      <c r="J285" s="91">
        <v>32235.0</v>
      </c>
      <c r="K285" s="5" t="s">
        <v>1770</v>
      </c>
      <c r="L285" s="5" t="s">
        <v>3928</v>
      </c>
      <c r="M285" s="5">
        <v>136.0</v>
      </c>
      <c r="N285" s="5"/>
      <c r="O285" s="5">
        <v>43854.0</v>
      </c>
      <c r="P285" s="5" t="s">
        <v>3929</v>
      </c>
      <c r="Q285" s="5" t="s">
        <v>2179</v>
      </c>
      <c r="R285" s="5">
        <v>594.0</v>
      </c>
      <c r="S285" s="5">
        <v>3.921064342E9</v>
      </c>
      <c r="T285" s="5"/>
      <c r="U285" s="5" t="s">
        <v>3930</v>
      </c>
      <c r="V285" s="5">
        <v>3.921053659E9</v>
      </c>
      <c r="W285" s="5" t="s">
        <v>2610</v>
      </c>
      <c r="X285" s="91">
        <v>44599.0</v>
      </c>
      <c r="Y285" s="5" t="s">
        <v>1770</v>
      </c>
      <c r="Z285" s="5">
        <v>2.0</v>
      </c>
      <c r="AA285" s="5">
        <v>60.0</v>
      </c>
      <c r="AB285" s="5" t="s">
        <v>3931</v>
      </c>
      <c r="AC285" s="5" t="s">
        <v>1800</v>
      </c>
      <c r="AD285" s="91">
        <v>43539.0</v>
      </c>
      <c r="AE285" s="91">
        <v>45000.0</v>
      </c>
      <c r="AF285" s="5"/>
      <c r="AG285" s="5"/>
      <c r="AH285" s="5">
        <v>4.138820867E9</v>
      </c>
      <c r="AI285" s="5"/>
      <c r="AJ285" s="5"/>
      <c r="AK285" s="5" t="s">
        <v>1773</v>
      </c>
      <c r="AL285" s="92">
        <v>0.0</v>
      </c>
      <c r="AM285" s="5" t="s">
        <v>1770</v>
      </c>
      <c r="AN285" s="5" t="s">
        <v>3913</v>
      </c>
      <c r="AO285" s="5"/>
      <c r="AP285" s="5"/>
      <c r="AQ285" s="5"/>
      <c r="AR285" s="5"/>
      <c r="AS285" s="5"/>
      <c r="AT285" s="5"/>
      <c r="AU285" s="5"/>
      <c r="AV285" s="5"/>
      <c r="AW285" s="5" t="s">
        <v>1770</v>
      </c>
      <c r="AX285" s="5"/>
      <c r="AY285" s="5"/>
      <c r="AZ285" s="5" t="s">
        <v>1770</v>
      </c>
      <c r="BA285" s="93">
        <v>0.0</v>
      </c>
      <c r="BB285" s="93">
        <v>0.0</v>
      </c>
      <c r="BC285" s="93">
        <v>0.0</v>
      </c>
      <c r="BD285" s="93">
        <v>0.0</v>
      </c>
      <c r="BE285" s="93">
        <v>0.0</v>
      </c>
      <c r="BF285" s="93">
        <v>0.0</v>
      </c>
      <c r="BG285" s="5"/>
      <c r="BH285" s="93">
        <v>0.0</v>
      </c>
      <c r="BI285" s="93">
        <v>0.0</v>
      </c>
      <c r="BJ285" s="93">
        <v>0.0</v>
      </c>
      <c r="BK285" s="93">
        <v>0.0</v>
      </c>
      <c r="BL285" s="93">
        <v>0.0</v>
      </c>
      <c r="BM285" s="93">
        <v>0.0</v>
      </c>
      <c r="BN285" s="93">
        <v>0.0</v>
      </c>
      <c r="BO285" s="5"/>
      <c r="BP285" s="5" t="s">
        <v>1770</v>
      </c>
      <c r="BQ285" s="5" t="s">
        <v>1789</v>
      </c>
      <c r="BR285" s="94">
        <v>44601.46239583333</v>
      </c>
      <c r="BS285" s="5">
        <v>167.0</v>
      </c>
      <c r="BT285" s="94">
        <v>44785.556597222225</v>
      </c>
      <c r="BU285" s="5">
        <v>167.0</v>
      </c>
      <c r="BV285" s="94">
        <v>44903.59675925926</v>
      </c>
      <c r="BW285" s="5">
        <v>167.0</v>
      </c>
    </row>
    <row r="286" ht="14.25" customHeight="1">
      <c r="A286" s="5">
        <v>285.0</v>
      </c>
      <c r="B286" s="5">
        <v>553.0</v>
      </c>
      <c r="C286" s="5" t="s">
        <v>3932</v>
      </c>
      <c r="D286" s="5" t="s">
        <v>2208</v>
      </c>
      <c r="E286" s="5" t="s">
        <v>2208</v>
      </c>
      <c r="F286" s="5" t="s">
        <v>3933</v>
      </c>
      <c r="G286" s="5" t="s">
        <v>3934</v>
      </c>
      <c r="H286" s="5" t="s">
        <v>1972</v>
      </c>
      <c r="I286" s="5" t="s">
        <v>1782</v>
      </c>
      <c r="J286" s="91">
        <v>33528.0</v>
      </c>
      <c r="K286" s="5">
        <v>594.0</v>
      </c>
      <c r="L286" s="5" t="s">
        <v>3935</v>
      </c>
      <c r="M286" s="5">
        <v>71.0</v>
      </c>
      <c r="N286" s="5"/>
      <c r="O286" s="5">
        <v>43801.0</v>
      </c>
      <c r="P286" s="5" t="s">
        <v>2855</v>
      </c>
      <c r="Q286" s="5" t="s">
        <v>2179</v>
      </c>
      <c r="R286" s="5">
        <v>594.0</v>
      </c>
      <c r="S286" s="5">
        <v>3.929302579E9</v>
      </c>
      <c r="T286" s="5"/>
      <c r="U286" s="5" t="s">
        <v>3936</v>
      </c>
      <c r="V286" s="5">
        <v>3.921004478E9</v>
      </c>
      <c r="W286" s="5" t="s">
        <v>1819</v>
      </c>
      <c r="X286" s="91">
        <v>44599.0</v>
      </c>
      <c r="Y286" s="5" t="s">
        <v>1770</v>
      </c>
      <c r="Z286" s="5">
        <v>11.0</v>
      </c>
      <c r="AA286" s="5">
        <v>48.0</v>
      </c>
      <c r="AB286" s="5" t="s">
        <v>3937</v>
      </c>
      <c r="AC286" s="5" t="s">
        <v>1772</v>
      </c>
      <c r="AD286" s="91">
        <v>44266.0</v>
      </c>
      <c r="AE286" s="91">
        <v>46092.0</v>
      </c>
      <c r="AF286" s="5"/>
      <c r="AG286" s="5"/>
      <c r="AH286" s="5">
        <v>8.159192015E9</v>
      </c>
      <c r="AI286" s="5"/>
      <c r="AJ286" s="5"/>
      <c r="AK286" s="5" t="s">
        <v>1773</v>
      </c>
      <c r="AL286" s="92">
        <v>0.0</v>
      </c>
      <c r="AM286" s="5" t="s">
        <v>1770</v>
      </c>
      <c r="AN286" s="5" t="s">
        <v>1830</v>
      </c>
      <c r="AO286" s="5"/>
      <c r="AP286" s="5"/>
      <c r="AQ286" s="5"/>
      <c r="AR286" s="5"/>
      <c r="AS286" s="5"/>
      <c r="AT286" s="5"/>
      <c r="AU286" s="5"/>
      <c r="AV286" s="5"/>
      <c r="AW286" s="5" t="s">
        <v>1770</v>
      </c>
      <c r="AX286" s="5"/>
      <c r="AY286" s="5"/>
      <c r="AZ286" s="5" t="s">
        <v>1770</v>
      </c>
      <c r="BA286" s="93">
        <v>0.0</v>
      </c>
      <c r="BB286" s="93">
        <v>0.0</v>
      </c>
      <c r="BC286" s="93">
        <v>0.0</v>
      </c>
      <c r="BD286" s="93">
        <v>0.0</v>
      </c>
      <c r="BE286" s="93">
        <v>0.0</v>
      </c>
      <c r="BF286" s="93">
        <v>0.0</v>
      </c>
      <c r="BG286" s="5"/>
      <c r="BH286" s="93">
        <v>0.0</v>
      </c>
      <c r="BI286" s="93">
        <v>0.0</v>
      </c>
      <c r="BJ286" s="93">
        <v>0.0</v>
      </c>
      <c r="BK286" s="93">
        <v>0.0</v>
      </c>
      <c r="BL286" s="93">
        <v>0.0</v>
      </c>
      <c r="BM286" s="93">
        <v>0.0</v>
      </c>
      <c r="BN286" s="93">
        <v>0.0</v>
      </c>
      <c r="BO286" s="5"/>
      <c r="BP286" s="5" t="s">
        <v>1770</v>
      </c>
      <c r="BQ286" s="5" t="s">
        <v>1789</v>
      </c>
      <c r="BR286" s="94">
        <v>44603.69871527778</v>
      </c>
      <c r="BS286" s="5">
        <v>167.0</v>
      </c>
      <c r="BT286" s="5" t="s">
        <v>1770</v>
      </c>
      <c r="BU286" s="5" t="s">
        <v>1770</v>
      </c>
      <c r="BV286" s="94">
        <v>44811.43337962963</v>
      </c>
      <c r="BW286" s="5">
        <v>167.0</v>
      </c>
    </row>
    <row r="287" ht="14.25" customHeight="1">
      <c r="A287" s="5">
        <v>286.0</v>
      </c>
      <c r="B287" s="5">
        <v>555.0</v>
      </c>
      <c r="C287" s="5" t="s">
        <v>3938</v>
      </c>
      <c r="D287" s="5" t="s">
        <v>1926</v>
      </c>
      <c r="E287" s="5" t="s">
        <v>2005</v>
      </c>
      <c r="F287" s="5" t="s">
        <v>3939</v>
      </c>
      <c r="G287" s="5" t="s">
        <v>3940</v>
      </c>
      <c r="H287" s="5" t="s">
        <v>1910</v>
      </c>
      <c r="I287" s="5" t="s">
        <v>1782</v>
      </c>
      <c r="J287" s="91">
        <v>32079.0</v>
      </c>
      <c r="K287" s="5">
        <v>624.0</v>
      </c>
      <c r="L287" s="5" t="s">
        <v>3941</v>
      </c>
      <c r="M287" s="5">
        <v>1235.0</v>
      </c>
      <c r="N287" s="5"/>
      <c r="O287" s="5">
        <v>43572.0</v>
      </c>
      <c r="P287" s="5" t="s">
        <v>3942</v>
      </c>
      <c r="Q287" s="5" t="s">
        <v>3868</v>
      </c>
      <c r="R287" s="5">
        <v>624.0</v>
      </c>
      <c r="S287" s="5">
        <v>3.78109332E9</v>
      </c>
      <c r="T287" s="5"/>
      <c r="U287" s="5" t="s">
        <v>1819</v>
      </c>
      <c r="V287" s="5">
        <v>3.781039573E9</v>
      </c>
      <c r="W287" s="5" t="s">
        <v>1819</v>
      </c>
      <c r="X287" s="91">
        <v>44608.0</v>
      </c>
      <c r="Y287" s="5">
        <v>6.0</v>
      </c>
      <c r="Z287" s="5">
        <v>19.0</v>
      </c>
      <c r="AA287" s="5">
        <v>1.0</v>
      </c>
      <c r="AB287" s="5" t="s">
        <v>3943</v>
      </c>
      <c r="AC287" s="5" t="s">
        <v>1772</v>
      </c>
      <c r="AD287" s="91">
        <v>44761.0</v>
      </c>
      <c r="AE287" s="91">
        <v>46222.0</v>
      </c>
      <c r="AF287" s="5"/>
      <c r="AG287" s="5"/>
      <c r="AH287" s="5">
        <v>7.5038700995E10</v>
      </c>
      <c r="AI287" s="5"/>
      <c r="AJ287" s="5"/>
      <c r="AK287" s="5" t="s">
        <v>1773</v>
      </c>
      <c r="AL287" s="92">
        <v>0.0</v>
      </c>
      <c r="AM287" s="5" t="s">
        <v>1770</v>
      </c>
      <c r="AN287" s="5" t="s">
        <v>1830</v>
      </c>
      <c r="AO287" s="5"/>
      <c r="AP287" s="5"/>
      <c r="AQ287" s="5"/>
      <c r="AR287" s="5"/>
      <c r="AS287" s="5"/>
      <c r="AT287" s="5"/>
      <c r="AU287" s="5"/>
      <c r="AV287" s="5"/>
      <c r="AW287" s="5" t="s">
        <v>1770</v>
      </c>
      <c r="AX287" s="5"/>
      <c r="AY287" s="5"/>
      <c r="AZ287" s="5" t="s">
        <v>1770</v>
      </c>
      <c r="BA287" s="93">
        <v>0.0</v>
      </c>
      <c r="BB287" s="93">
        <v>0.0</v>
      </c>
      <c r="BC287" s="93">
        <v>0.0</v>
      </c>
      <c r="BD287" s="93">
        <v>0.0</v>
      </c>
      <c r="BE287" s="93">
        <v>0.0</v>
      </c>
      <c r="BF287" s="93">
        <v>0.0</v>
      </c>
      <c r="BG287" s="5"/>
      <c r="BH287" s="93">
        <v>0.0</v>
      </c>
      <c r="BI287" s="93">
        <v>0.0</v>
      </c>
      <c r="BJ287" s="93">
        <v>0.0</v>
      </c>
      <c r="BK287" s="93">
        <v>0.0</v>
      </c>
      <c r="BL287" s="93">
        <v>0.0</v>
      </c>
      <c r="BM287" s="93">
        <v>0.0</v>
      </c>
      <c r="BN287" s="93">
        <v>0.0</v>
      </c>
      <c r="BO287" s="5"/>
      <c r="BP287" s="5" t="s">
        <v>1770</v>
      </c>
      <c r="BQ287" s="5" t="s">
        <v>1789</v>
      </c>
      <c r="BR287" s="94">
        <v>44611.53189814815</v>
      </c>
      <c r="BS287" s="5">
        <v>167.0</v>
      </c>
      <c r="BT287" s="94">
        <v>44761.72482638889</v>
      </c>
      <c r="BU287" s="5">
        <v>167.0</v>
      </c>
      <c r="BV287" s="94">
        <v>44803.715092592596</v>
      </c>
      <c r="BW287" s="5" t="s">
        <v>1770</v>
      </c>
    </row>
    <row r="288" ht="14.25" customHeight="1">
      <c r="A288" s="5">
        <v>287.0</v>
      </c>
      <c r="B288" s="5">
        <v>554.0</v>
      </c>
      <c r="C288" s="5" t="s">
        <v>3944</v>
      </c>
      <c r="D288" s="5" t="s">
        <v>2813</v>
      </c>
      <c r="E288" s="5" t="s">
        <v>2494</v>
      </c>
      <c r="F288" s="5" t="s">
        <v>3945</v>
      </c>
      <c r="G288" s="5" t="s">
        <v>3946</v>
      </c>
      <c r="H288" s="5" t="s">
        <v>1815</v>
      </c>
      <c r="I288" s="5" t="s">
        <v>1763</v>
      </c>
      <c r="J288" s="91">
        <v>35961.0</v>
      </c>
      <c r="K288" s="5">
        <v>424.0</v>
      </c>
      <c r="L288" s="5" t="s">
        <v>3947</v>
      </c>
      <c r="M288" s="5">
        <v>24.0</v>
      </c>
      <c r="N288" s="5"/>
      <c r="O288" s="5">
        <v>35872.0</v>
      </c>
      <c r="P288" s="5" t="s">
        <v>2636</v>
      </c>
      <c r="Q288" s="5" t="s">
        <v>2294</v>
      </c>
      <c r="R288" s="5">
        <v>424.0</v>
      </c>
      <c r="S288" s="5">
        <v>4.691414807E9</v>
      </c>
      <c r="T288" s="5"/>
      <c r="U288" s="5" t="s">
        <v>3948</v>
      </c>
      <c r="V288" s="5">
        <v>3.481009413E9</v>
      </c>
      <c r="W288" s="5" t="s">
        <v>2595</v>
      </c>
      <c r="X288" s="91">
        <v>44606.0</v>
      </c>
      <c r="Y288" s="5">
        <v>2.0</v>
      </c>
      <c r="Z288" s="5">
        <v>4.0</v>
      </c>
      <c r="AA288" s="5">
        <v>17.0</v>
      </c>
      <c r="AB288" s="5">
        <v>2.222222222E9</v>
      </c>
      <c r="AC288" s="5" t="s">
        <v>1772</v>
      </c>
      <c r="AD288" s="91">
        <v>41255.0</v>
      </c>
      <c r="AE288" s="91">
        <v>41255.0</v>
      </c>
      <c r="AF288" s="5"/>
      <c r="AG288" s="5"/>
      <c r="AH288" s="5">
        <v>2.9169869269E10</v>
      </c>
      <c r="AI288" s="5">
        <v>9.0</v>
      </c>
      <c r="AJ288" s="5"/>
      <c r="AK288" s="5" t="s">
        <v>1773</v>
      </c>
      <c r="AL288" s="92">
        <v>0.0</v>
      </c>
      <c r="AM288" s="5" t="s">
        <v>1770</v>
      </c>
      <c r="AN288" s="5" t="s">
        <v>1774</v>
      </c>
      <c r="AO288" s="5"/>
      <c r="AP288" s="5"/>
      <c r="AQ288" s="5"/>
      <c r="AR288" s="5"/>
      <c r="AS288" s="5"/>
      <c r="AT288" s="5"/>
      <c r="AU288" s="5"/>
      <c r="AV288" s="5"/>
      <c r="AW288" s="5" t="s">
        <v>1770</v>
      </c>
      <c r="AX288" s="5"/>
      <c r="AY288" s="5"/>
      <c r="AZ288" s="5" t="s">
        <v>1770</v>
      </c>
      <c r="BA288" s="93">
        <v>0.0</v>
      </c>
      <c r="BB288" s="93">
        <v>0.0</v>
      </c>
      <c r="BC288" s="93">
        <v>0.0</v>
      </c>
      <c r="BD288" s="93">
        <v>0.0</v>
      </c>
      <c r="BE288" s="93">
        <v>0.0</v>
      </c>
      <c r="BF288" s="93">
        <v>0.0</v>
      </c>
      <c r="BG288" s="5"/>
      <c r="BH288" s="93">
        <v>0.0</v>
      </c>
      <c r="BI288" s="93">
        <v>0.0</v>
      </c>
      <c r="BJ288" s="93">
        <v>0.0</v>
      </c>
      <c r="BK288" s="93">
        <v>0.0</v>
      </c>
      <c r="BL288" s="93">
        <v>0.0</v>
      </c>
      <c r="BM288" s="93">
        <v>0.0</v>
      </c>
      <c r="BN288" s="93">
        <v>0.0</v>
      </c>
      <c r="BO288" s="5"/>
      <c r="BP288" s="5" t="s">
        <v>1770</v>
      </c>
      <c r="BQ288" s="5" t="s">
        <v>1789</v>
      </c>
      <c r="BR288" s="94">
        <v>44617.54723379629</v>
      </c>
      <c r="BS288" s="5">
        <v>167.0</v>
      </c>
      <c r="BT288" s="94">
        <v>44677.490902777776</v>
      </c>
      <c r="BU288" s="5">
        <v>167.0</v>
      </c>
      <c r="BV288" s="94">
        <v>44980.44920138889</v>
      </c>
      <c r="BW288" s="5">
        <v>40.0</v>
      </c>
    </row>
    <row r="289" ht="14.25" customHeight="1">
      <c r="A289" s="5">
        <v>288.0</v>
      </c>
      <c r="B289" s="5">
        <v>557.0</v>
      </c>
      <c r="C289" s="5" t="s">
        <v>3949</v>
      </c>
      <c r="D289" s="100" t="s">
        <v>3830</v>
      </c>
      <c r="E289" s="5" t="s">
        <v>3950</v>
      </c>
      <c r="F289" s="5" t="s">
        <v>3951</v>
      </c>
      <c r="G289" s="5" t="s">
        <v>3952</v>
      </c>
      <c r="H289" s="5" t="s">
        <v>2671</v>
      </c>
      <c r="I289" s="5" t="s">
        <v>1782</v>
      </c>
      <c r="J289" s="91">
        <v>33395.0</v>
      </c>
      <c r="K289" s="5">
        <v>594.0</v>
      </c>
      <c r="L289" s="5" t="s">
        <v>3953</v>
      </c>
      <c r="M289" s="5">
        <v>68.0</v>
      </c>
      <c r="N289" s="5"/>
      <c r="O289" s="5">
        <v>41937.0</v>
      </c>
      <c r="P289" s="5" t="s">
        <v>1797</v>
      </c>
      <c r="Q289" s="5" t="s">
        <v>2824</v>
      </c>
      <c r="R289" s="5">
        <v>597.0</v>
      </c>
      <c r="S289" s="5">
        <v>3.921066666E9</v>
      </c>
      <c r="T289" s="5" t="s">
        <v>3954</v>
      </c>
      <c r="U289" s="5" t="s">
        <v>3955</v>
      </c>
      <c r="V289" s="5">
        <v>3.921033199E9</v>
      </c>
      <c r="W289" s="5" t="s">
        <v>3956</v>
      </c>
      <c r="X289" s="91">
        <v>44615.0</v>
      </c>
      <c r="Y289" s="5">
        <v>5.0</v>
      </c>
      <c r="Z289" s="5">
        <v>19.0</v>
      </c>
      <c r="AA289" s="5">
        <v>1.0</v>
      </c>
      <c r="AB289" s="5" t="s">
        <v>3957</v>
      </c>
      <c r="AC289" s="5" t="s">
        <v>1800</v>
      </c>
      <c r="AD289" s="91">
        <v>43494.0</v>
      </c>
      <c r="AE289" s="91">
        <v>44955.0</v>
      </c>
      <c r="AF289" s="5"/>
      <c r="AG289" s="5"/>
      <c r="AH289" s="5">
        <v>4.139108338E9</v>
      </c>
      <c r="AI289" s="5">
        <v>95.0</v>
      </c>
      <c r="AJ289" s="5"/>
      <c r="AK289" s="5" t="s">
        <v>1773</v>
      </c>
      <c r="AL289" s="92">
        <v>0.0</v>
      </c>
      <c r="AM289" s="5" t="s">
        <v>1770</v>
      </c>
      <c r="AN289" s="5" t="s">
        <v>2052</v>
      </c>
      <c r="AO289" s="5"/>
      <c r="AP289" s="5"/>
      <c r="AQ289" s="5"/>
      <c r="AR289" s="5"/>
      <c r="AS289" s="5"/>
      <c r="AT289" s="5"/>
      <c r="AU289" s="5"/>
      <c r="AV289" s="5"/>
      <c r="AW289" s="5" t="s">
        <v>1770</v>
      </c>
      <c r="AX289" s="5"/>
      <c r="AY289" s="5"/>
      <c r="AZ289" s="5" t="s">
        <v>1770</v>
      </c>
      <c r="BA289" s="93">
        <v>0.0</v>
      </c>
      <c r="BB289" s="93">
        <v>0.0</v>
      </c>
      <c r="BC289" s="93">
        <v>0.0</v>
      </c>
      <c r="BD289" s="93">
        <v>0.0</v>
      </c>
      <c r="BE289" s="93">
        <v>0.0</v>
      </c>
      <c r="BF289" s="93">
        <v>0.0</v>
      </c>
      <c r="BG289" s="5"/>
      <c r="BH289" s="93">
        <v>0.0</v>
      </c>
      <c r="BI289" s="93">
        <v>0.0</v>
      </c>
      <c r="BJ289" s="93">
        <v>0.0</v>
      </c>
      <c r="BK289" s="93">
        <v>0.0</v>
      </c>
      <c r="BL289" s="93">
        <v>0.0</v>
      </c>
      <c r="BM289" s="93">
        <v>0.0</v>
      </c>
      <c r="BN289" s="93">
        <v>0.0</v>
      </c>
      <c r="BO289" s="5"/>
      <c r="BP289" s="5" t="s">
        <v>1770</v>
      </c>
      <c r="BQ289" s="5" t="s">
        <v>1789</v>
      </c>
      <c r="BR289" s="94">
        <v>44621.747141203705</v>
      </c>
      <c r="BS289" s="5">
        <v>40.0</v>
      </c>
      <c r="BT289" s="5" t="s">
        <v>1770</v>
      </c>
      <c r="BU289" s="5" t="s">
        <v>1770</v>
      </c>
      <c r="BV289" s="94">
        <v>44779.57787037037</v>
      </c>
      <c r="BW289" s="5">
        <v>167.0</v>
      </c>
    </row>
    <row r="290" ht="14.25" customHeight="1">
      <c r="A290" s="5">
        <v>289.0</v>
      </c>
      <c r="B290" s="5">
        <v>556.0</v>
      </c>
      <c r="C290" s="5" t="s">
        <v>3958</v>
      </c>
      <c r="D290" s="5" t="s">
        <v>1778</v>
      </c>
      <c r="E290" s="5" t="s">
        <v>1792</v>
      </c>
      <c r="F290" s="5" t="s">
        <v>3959</v>
      </c>
      <c r="G290" s="5" t="s">
        <v>3960</v>
      </c>
      <c r="H290" s="5" t="s">
        <v>1972</v>
      </c>
      <c r="I290" s="5" t="s">
        <v>1782</v>
      </c>
      <c r="J290" s="91">
        <v>34547.0</v>
      </c>
      <c r="K290" s="5">
        <v>368.0</v>
      </c>
      <c r="L290" s="5" t="s">
        <v>3961</v>
      </c>
      <c r="M290" s="5">
        <v>31.0</v>
      </c>
      <c r="N290" s="5"/>
      <c r="O290" s="5">
        <v>56752.0</v>
      </c>
      <c r="P290" s="5" t="s">
        <v>3962</v>
      </c>
      <c r="Q290" s="5">
        <v>1.0</v>
      </c>
      <c r="R290" s="5">
        <v>833.0</v>
      </c>
      <c r="S290" s="5">
        <v>7.531632855E9</v>
      </c>
      <c r="T290" s="5"/>
      <c r="U290" s="5" t="s">
        <v>1924</v>
      </c>
      <c r="V290" s="5">
        <v>3.333333333E9</v>
      </c>
      <c r="W290" s="5" t="s">
        <v>1924</v>
      </c>
      <c r="X290" s="91">
        <v>44608.0</v>
      </c>
      <c r="Y290" s="5">
        <v>4.0</v>
      </c>
      <c r="Z290" s="5">
        <v>3.0</v>
      </c>
      <c r="AA290" s="5">
        <v>1.0</v>
      </c>
      <c r="AB290" s="5" t="s">
        <v>3963</v>
      </c>
      <c r="AC290" s="5" t="s">
        <v>1800</v>
      </c>
      <c r="AD290" s="91">
        <v>44644.0</v>
      </c>
      <c r="AE290" s="91">
        <v>46501.0</v>
      </c>
      <c r="AF290" s="5"/>
      <c r="AG290" s="5"/>
      <c r="AH290" s="5">
        <v>6.8169445522E10</v>
      </c>
      <c r="AI290" s="5"/>
      <c r="AJ290" s="5"/>
      <c r="AK290" s="5" t="s">
        <v>1773</v>
      </c>
      <c r="AL290" s="92">
        <v>0.0</v>
      </c>
      <c r="AM290" s="5" t="s">
        <v>1770</v>
      </c>
      <c r="AN290" s="5" t="s">
        <v>3811</v>
      </c>
      <c r="AO290" s="5"/>
      <c r="AP290" s="5"/>
      <c r="AQ290" s="5"/>
      <c r="AR290" s="5"/>
      <c r="AS290" s="5"/>
      <c r="AT290" s="5"/>
      <c r="AU290" s="5"/>
      <c r="AV290" s="5"/>
      <c r="AW290" s="5" t="s">
        <v>1770</v>
      </c>
      <c r="AX290" s="5"/>
      <c r="AY290" s="5"/>
      <c r="AZ290" s="5" t="s">
        <v>1770</v>
      </c>
      <c r="BA290" s="93">
        <v>0.0</v>
      </c>
      <c r="BB290" s="93">
        <v>0.0</v>
      </c>
      <c r="BC290" s="93">
        <v>0.0</v>
      </c>
      <c r="BD290" s="93">
        <v>0.0</v>
      </c>
      <c r="BE290" s="93">
        <v>0.0</v>
      </c>
      <c r="BF290" s="93">
        <v>0.0</v>
      </c>
      <c r="BG290" s="5"/>
      <c r="BH290" s="93">
        <v>0.0</v>
      </c>
      <c r="BI290" s="93">
        <v>0.0</v>
      </c>
      <c r="BJ290" s="93">
        <v>0.0</v>
      </c>
      <c r="BK290" s="93">
        <v>0.0</v>
      </c>
      <c r="BL290" s="93">
        <v>0.0</v>
      </c>
      <c r="BM290" s="93">
        <v>0.0</v>
      </c>
      <c r="BN290" s="93">
        <v>0.0</v>
      </c>
      <c r="BO290" s="5"/>
      <c r="BP290" s="5" t="s">
        <v>1770</v>
      </c>
      <c r="BQ290" s="5" t="s">
        <v>1789</v>
      </c>
      <c r="BR290" s="94">
        <v>44622.42208333333</v>
      </c>
      <c r="BS290" s="5">
        <v>167.0</v>
      </c>
      <c r="BT290" s="94">
        <v>44673.541296296295</v>
      </c>
      <c r="BU290" s="5">
        <v>167.0</v>
      </c>
      <c r="BV290" s="94">
        <v>45299.68136574074</v>
      </c>
      <c r="BW290" s="5">
        <v>40.0</v>
      </c>
    </row>
    <row r="291" ht="14.25" customHeight="1">
      <c r="A291" s="5">
        <v>290.0</v>
      </c>
      <c r="B291" s="5">
        <v>558.0</v>
      </c>
      <c r="C291" s="5" t="s">
        <v>3964</v>
      </c>
      <c r="D291" s="5" t="s">
        <v>3267</v>
      </c>
      <c r="E291" s="5" t="s">
        <v>2343</v>
      </c>
      <c r="F291" s="5" t="s">
        <v>3965</v>
      </c>
      <c r="G291" s="5" t="s">
        <v>3966</v>
      </c>
      <c r="H291" s="5" t="s">
        <v>2301</v>
      </c>
      <c r="I291" s="5" t="s">
        <v>1763</v>
      </c>
      <c r="J291" s="91">
        <v>31835.0</v>
      </c>
      <c r="K291" s="5">
        <v>594.0</v>
      </c>
      <c r="L291" s="5" t="s">
        <v>3967</v>
      </c>
      <c r="M291" s="5">
        <v>823.0</v>
      </c>
      <c r="N291" s="5"/>
      <c r="O291" s="5">
        <v>43832.0</v>
      </c>
      <c r="P291" s="5" t="s">
        <v>2178</v>
      </c>
      <c r="Q291" s="5" t="s">
        <v>3903</v>
      </c>
      <c r="R291" s="5">
        <v>594.0</v>
      </c>
      <c r="S291" s="5">
        <v>3.921321707E9</v>
      </c>
      <c r="T291" s="5"/>
      <c r="U291" s="5" t="s">
        <v>3968</v>
      </c>
      <c r="V291" s="5">
        <v>3.921597958E9</v>
      </c>
      <c r="W291" s="5" t="s">
        <v>1924</v>
      </c>
      <c r="X291" s="91">
        <v>44616.0</v>
      </c>
      <c r="Y291" s="5">
        <v>5.0</v>
      </c>
      <c r="Z291" s="5">
        <v>17.0</v>
      </c>
      <c r="AA291" s="5">
        <v>1.0</v>
      </c>
      <c r="AB291" s="5">
        <v>2.222222222E9</v>
      </c>
      <c r="AC291" s="5" t="s">
        <v>1772</v>
      </c>
      <c r="AD291" s="91">
        <v>117662.0</v>
      </c>
      <c r="AE291" s="91">
        <v>117662.0</v>
      </c>
      <c r="AF291" s="5"/>
      <c r="AG291" s="5"/>
      <c r="AH291" s="5">
        <v>5.3068758696E10</v>
      </c>
      <c r="AI291" s="5"/>
      <c r="AJ291" s="5"/>
      <c r="AK291" s="5" t="s">
        <v>1773</v>
      </c>
      <c r="AL291" s="92">
        <v>0.0</v>
      </c>
      <c r="AM291" s="5" t="s">
        <v>1770</v>
      </c>
      <c r="AN291" s="5" t="s">
        <v>1774</v>
      </c>
      <c r="AO291" s="5"/>
      <c r="AP291" s="5"/>
      <c r="AQ291" s="5"/>
      <c r="AR291" s="5"/>
      <c r="AS291" s="5"/>
      <c r="AT291" s="5"/>
      <c r="AU291" s="5"/>
      <c r="AV291" s="5"/>
      <c r="AW291" s="5" t="s">
        <v>1770</v>
      </c>
      <c r="AX291" s="5"/>
      <c r="AY291" s="5"/>
      <c r="AZ291" s="5" t="s">
        <v>1770</v>
      </c>
      <c r="BA291" s="93">
        <v>0.0</v>
      </c>
      <c r="BB291" s="93">
        <v>0.0</v>
      </c>
      <c r="BC291" s="93">
        <v>0.0</v>
      </c>
      <c r="BD291" s="93">
        <v>0.0</v>
      </c>
      <c r="BE291" s="93">
        <v>0.0</v>
      </c>
      <c r="BF291" s="93">
        <v>0.0</v>
      </c>
      <c r="BG291" s="5"/>
      <c r="BH291" s="93">
        <v>0.0</v>
      </c>
      <c r="BI291" s="93">
        <v>0.0</v>
      </c>
      <c r="BJ291" s="93">
        <v>0.0</v>
      </c>
      <c r="BK291" s="93">
        <v>0.0</v>
      </c>
      <c r="BL291" s="93">
        <v>0.0</v>
      </c>
      <c r="BM291" s="93">
        <v>0.0</v>
      </c>
      <c r="BN291" s="93">
        <v>0.0</v>
      </c>
      <c r="BO291" s="5"/>
      <c r="BP291" s="5" t="s">
        <v>1770</v>
      </c>
      <c r="BQ291" s="5" t="s">
        <v>1789</v>
      </c>
      <c r="BR291" s="94">
        <v>44624.42215277778</v>
      </c>
      <c r="BS291" s="5">
        <v>167.0</v>
      </c>
      <c r="BT291" s="94">
        <v>45133.587905092594</v>
      </c>
      <c r="BU291" s="5">
        <v>40.0</v>
      </c>
      <c r="BV291" s="94">
        <v>45244.658125</v>
      </c>
      <c r="BW291" s="5">
        <v>40.0</v>
      </c>
    </row>
    <row r="292" ht="14.25" customHeight="1">
      <c r="A292" s="5">
        <v>291.0</v>
      </c>
      <c r="B292" s="5">
        <v>562.0</v>
      </c>
      <c r="C292" s="5" t="s">
        <v>3969</v>
      </c>
      <c r="D292" s="5" t="s">
        <v>3970</v>
      </c>
      <c r="E292" s="5" t="s">
        <v>2859</v>
      </c>
      <c r="F292" s="5" t="s">
        <v>3971</v>
      </c>
      <c r="G292" s="5" t="s">
        <v>3972</v>
      </c>
      <c r="H292" s="5" t="s">
        <v>1781</v>
      </c>
      <c r="I292" s="5" t="s">
        <v>1782</v>
      </c>
      <c r="J292" s="91">
        <v>30952.0</v>
      </c>
      <c r="K292" s="5">
        <v>549.0</v>
      </c>
      <c r="L292" s="5" t="s">
        <v>3534</v>
      </c>
      <c r="M292" s="5">
        <v>348.0</v>
      </c>
      <c r="N292" s="5"/>
      <c r="O292" s="5">
        <v>43882.0</v>
      </c>
      <c r="P292" s="5" t="s">
        <v>1797</v>
      </c>
      <c r="Q292" s="5" t="s">
        <v>3903</v>
      </c>
      <c r="R292" s="5">
        <v>549.0</v>
      </c>
      <c r="S292" s="5">
        <v>3.121972556E9</v>
      </c>
      <c r="T292" s="5"/>
      <c r="U292" s="5" t="s">
        <v>3973</v>
      </c>
      <c r="V292" s="5">
        <v>3.122992532E9</v>
      </c>
      <c r="W292" s="5" t="s">
        <v>1787</v>
      </c>
      <c r="X292" s="91">
        <v>44636.0</v>
      </c>
      <c r="Y292" s="5">
        <v>1.0</v>
      </c>
      <c r="Z292" s="5">
        <v>1.0</v>
      </c>
      <c r="AA292" s="5">
        <v>1.0</v>
      </c>
      <c r="AB292" s="5" t="s">
        <v>3974</v>
      </c>
      <c r="AC292" s="5" t="s">
        <v>1800</v>
      </c>
      <c r="AD292" s="91">
        <v>44305.0</v>
      </c>
      <c r="AE292" s="91">
        <v>45766.0</v>
      </c>
      <c r="AF292" s="5"/>
      <c r="AG292" s="5"/>
      <c r="AH292" s="5">
        <v>4.07843886E9</v>
      </c>
      <c r="AI292" s="5"/>
      <c r="AJ292" s="5"/>
      <c r="AK292" s="5" t="s">
        <v>1773</v>
      </c>
      <c r="AL292" s="92">
        <v>0.0</v>
      </c>
      <c r="AM292" s="5" t="s">
        <v>1770</v>
      </c>
      <c r="AN292" s="5" t="s">
        <v>1830</v>
      </c>
      <c r="AO292" s="5"/>
      <c r="AP292" s="5"/>
      <c r="AQ292" s="5"/>
      <c r="AR292" s="5"/>
      <c r="AS292" s="5"/>
      <c r="AT292" s="5"/>
      <c r="AU292" s="5"/>
      <c r="AV292" s="5"/>
      <c r="AW292" s="5" t="s">
        <v>1770</v>
      </c>
      <c r="AX292" s="5"/>
      <c r="AY292" s="5"/>
      <c r="AZ292" s="5" t="s">
        <v>1770</v>
      </c>
      <c r="BA292" s="93">
        <v>0.0</v>
      </c>
      <c r="BB292" s="93">
        <v>0.0</v>
      </c>
      <c r="BC292" s="93">
        <v>0.0</v>
      </c>
      <c r="BD292" s="93">
        <v>0.0</v>
      </c>
      <c r="BE292" s="93">
        <v>0.0</v>
      </c>
      <c r="BF292" s="93">
        <v>0.0</v>
      </c>
      <c r="BG292" s="5"/>
      <c r="BH292" s="93">
        <v>0.0</v>
      </c>
      <c r="BI292" s="93">
        <v>0.0</v>
      </c>
      <c r="BJ292" s="93">
        <v>0.0</v>
      </c>
      <c r="BK292" s="93">
        <v>0.0</v>
      </c>
      <c r="BL292" s="93">
        <v>0.0</v>
      </c>
      <c r="BM292" s="93">
        <v>0.0</v>
      </c>
      <c r="BN292" s="93">
        <v>0.0</v>
      </c>
      <c r="BO292" s="5"/>
      <c r="BP292" s="5" t="s">
        <v>1770</v>
      </c>
      <c r="BQ292" s="5" t="s">
        <v>1789</v>
      </c>
      <c r="BR292" s="94">
        <v>44636.62533564815</v>
      </c>
      <c r="BS292" s="5">
        <v>167.0</v>
      </c>
      <c r="BT292" s="94">
        <v>45324.6309375</v>
      </c>
      <c r="BU292" s="5">
        <v>40.0</v>
      </c>
      <c r="BV292" s="94">
        <v>45423.45248842592</v>
      </c>
      <c r="BW292" s="5" t="s">
        <v>1770</v>
      </c>
    </row>
    <row r="293" ht="14.25" customHeight="1">
      <c r="A293" s="5">
        <v>292.0</v>
      </c>
      <c r="B293" s="5">
        <v>560.0</v>
      </c>
      <c r="C293" s="5" t="s">
        <v>3975</v>
      </c>
      <c r="D293" s="5" t="s">
        <v>2265</v>
      </c>
      <c r="E293" s="5" t="s">
        <v>1777</v>
      </c>
      <c r="F293" s="5" t="s">
        <v>3976</v>
      </c>
      <c r="G293" s="5" t="s">
        <v>3977</v>
      </c>
      <c r="H293" s="5" t="s">
        <v>2671</v>
      </c>
      <c r="I293" s="5" t="s">
        <v>1763</v>
      </c>
      <c r="J293" s="91">
        <v>34291.0</v>
      </c>
      <c r="K293" s="5">
        <v>549.0</v>
      </c>
      <c r="L293" s="5" t="s">
        <v>3978</v>
      </c>
      <c r="M293" s="5">
        <v>6.0</v>
      </c>
      <c r="N293" s="5"/>
      <c r="O293" s="5">
        <v>43882.0</v>
      </c>
      <c r="P293" s="5" t="s">
        <v>3979</v>
      </c>
      <c r="Q293" s="5" t="s">
        <v>3903</v>
      </c>
      <c r="R293" s="5">
        <v>549.0</v>
      </c>
      <c r="S293" s="5">
        <v>3.93229146E9</v>
      </c>
      <c r="T293" s="5" t="s">
        <v>3980</v>
      </c>
      <c r="U293" s="5" t="s">
        <v>3981</v>
      </c>
      <c r="V293" s="5">
        <v>3.931071136E9</v>
      </c>
      <c r="W293" s="5" t="s">
        <v>1924</v>
      </c>
      <c r="X293" s="91">
        <v>44636.0</v>
      </c>
      <c r="Y293" s="5">
        <v>1.0</v>
      </c>
      <c r="Z293" s="5">
        <v>17.0</v>
      </c>
      <c r="AA293" s="5">
        <v>27.0</v>
      </c>
      <c r="AB293" s="5">
        <v>2.222222222E9</v>
      </c>
      <c r="AC293" s="5" t="s">
        <v>1772</v>
      </c>
      <c r="AD293" s="91">
        <v>55083.0</v>
      </c>
      <c r="AE293" s="91">
        <v>55083.0</v>
      </c>
      <c r="AF293" s="5"/>
      <c r="AG293" s="5"/>
      <c r="AH293" s="5">
        <v>3.20937726E9</v>
      </c>
      <c r="AI293" s="5"/>
      <c r="AJ293" s="5"/>
      <c r="AK293" s="5" t="s">
        <v>1773</v>
      </c>
      <c r="AL293" s="92">
        <v>0.0</v>
      </c>
      <c r="AM293" s="5" t="s">
        <v>1770</v>
      </c>
      <c r="AN293" s="5" t="s">
        <v>1774</v>
      </c>
      <c r="AO293" s="5" t="s">
        <v>2940</v>
      </c>
      <c r="AP293" s="5"/>
      <c r="AQ293" s="5"/>
      <c r="AR293" s="5"/>
      <c r="AS293" s="5"/>
      <c r="AT293" s="5"/>
      <c r="AU293" s="5"/>
      <c r="AV293" s="5"/>
      <c r="AW293" s="5" t="s">
        <v>1770</v>
      </c>
      <c r="AX293" s="5"/>
      <c r="AY293" s="5"/>
      <c r="AZ293" s="5" t="s">
        <v>1770</v>
      </c>
      <c r="BA293" s="93">
        <v>0.0</v>
      </c>
      <c r="BB293" s="93">
        <v>0.0</v>
      </c>
      <c r="BC293" s="93">
        <v>0.0</v>
      </c>
      <c r="BD293" s="93">
        <v>0.0</v>
      </c>
      <c r="BE293" s="93">
        <v>0.0</v>
      </c>
      <c r="BF293" s="93">
        <v>0.0</v>
      </c>
      <c r="BG293" s="5"/>
      <c r="BH293" s="93">
        <v>0.0</v>
      </c>
      <c r="BI293" s="93">
        <v>0.0</v>
      </c>
      <c r="BJ293" s="93">
        <v>0.0</v>
      </c>
      <c r="BK293" s="93">
        <v>0.0</v>
      </c>
      <c r="BL293" s="93">
        <v>0.0</v>
      </c>
      <c r="BM293" s="93">
        <v>0.0</v>
      </c>
      <c r="BN293" s="93">
        <v>0.0</v>
      </c>
      <c r="BO293" s="5"/>
      <c r="BP293" s="5" t="s">
        <v>3982</v>
      </c>
      <c r="BQ293" s="5" t="s">
        <v>1775</v>
      </c>
      <c r="BR293" s="94">
        <v>44638.60597222222</v>
      </c>
      <c r="BS293" s="5">
        <v>167.0</v>
      </c>
      <c r="BT293" s="94">
        <v>46134.71409722222</v>
      </c>
      <c r="BU293" s="5">
        <v>339.0</v>
      </c>
      <c r="BV293" s="5" t="s">
        <v>1770</v>
      </c>
      <c r="BW293" s="5" t="s">
        <v>1770</v>
      </c>
    </row>
    <row r="294" ht="14.25" customHeight="1">
      <c r="A294" s="5">
        <v>293.0</v>
      </c>
      <c r="B294" s="5">
        <v>561.0</v>
      </c>
      <c r="C294" s="5" t="s">
        <v>2612</v>
      </c>
      <c r="D294" s="5" t="s">
        <v>2765</v>
      </c>
      <c r="E294" s="5" t="s">
        <v>2765</v>
      </c>
      <c r="F294" s="5" t="s">
        <v>3983</v>
      </c>
      <c r="G294" s="5" t="s">
        <v>3984</v>
      </c>
      <c r="H294" s="5" t="s">
        <v>1781</v>
      </c>
      <c r="I294" s="5" t="s">
        <v>1782</v>
      </c>
      <c r="J294" s="91">
        <v>35790.0</v>
      </c>
      <c r="K294" s="5">
        <v>823.0</v>
      </c>
      <c r="L294" s="5" t="s">
        <v>3985</v>
      </c>
      <c r="M294" s="5">
        <v>25.0</v>
      </c>
      <c r="N294" s="5"/>
      <c r="O294" s="5">
        <v>55088.0</v>
      </c>
      <c r="P294" s="5" t="s">
        <v>1797</v>
      </c>
      <c r="Q294" s="5" t="s">
        <v>3986</v>
      </c>
      <c r="R294" s="5">
        <v>823.0</v>
      </c>
      <c r="S294" s="5">
        <v>3.511210946E9</v>
      </c>
      <c r="T294" s="5" t="s">
        <v>3987</v>
      </c>
      <c r="U294" s="5" t="s">
        <v>3988</v>
      </c>
      <c r="V294" s="5">
        <v>3.511004722E9</v>
      </c>
      <c r="W294" s="5" t="s">
        <v>1965</v>
      </c>
      <c r="X294" s="91">
        <v>44636.0</v>
      </c>
      <c r="Y294" s="5">
        <v>1.0</v>
      </c>
      <c r="Z294" s="5">
        <v>19.0</v>
      </c>
      <c r="AA294" s="5">
        <v>81.0</v>
      </c>
      <c r="AB294" s="5" t="s">
        <v>3989</v>
      </c>
      <c r="AC294" s="5" t="s">
        <v>1800</v>
      </c>
      <c r="AD294" s="91">
        <v>45492.0</v>
      </c>
      <c r="AE294" s="91">
        <v>47318.0</v>
      </c>
      <c r="AF294" s="5"/>
      <c r="AG294" s="5"/>
      <c r="AH294" s="5">
        <v>5.1169792432E10</v>
      </c>
      <c r="AI294" s="5">
        <v>23.0</v>
      </c>
      <c r="AJ294" s="5"/>
      <c r="AK294" s="5" t="s">
        <v>1773</v>
      </c>
      <c r="AL294" s="92">
        <v>0.0</v>
      </c>
      <c r="AM294" s="5" t="s">
        <v>1770</v>
      </c>
      <c r="AN294" s="5" t="s">
        <v>1774</v>
      </c>
      <c r="AO294" s="5"/>
      <c r="AP294" s="5"/>
      <c r="AQ294" s="5"/>
      <c r="AR294" s="5"/>
      <c r="AS294" s="5"/>
      <c r="AT294" s="5"/>
      <c r="AU294" s="5"/>
      <c r="AV294" s="5"/>
      <c r="AW294" s="5" t="s">
        <v>1770</v>
      </c>
      <c r="AX294" s="5"/>
      <c r="AY294" s="5"/>
      <c r="AZ294" s="5" t="s">
        <v>1770</v>
      </c>
      <c r="BA294" s="93">
        <v>0.0</v>
      </c>
      <c r="BB294" s="93">
        <v>0.0</v>
      </c>
      <c r="BC294" s="93">
        <v>0.0</v>
      </c>
      <c r="BD294" s="93">
        <v>0.0</v>
      </c>
      <c r="BE294" s="93">
        <v>0.0</v>
      </c>
      <c r="BF294" s="93">
        <v>0.0</v>
      </c>
      <c r="BG294" s="5"/>
      <c r="BH294" s="93">
        <v>0.0</v>
      </c>
      <c r="BI294" s="93">
        <v>0.0</v>
      </c>
      <c r="BJ294" s="93">
        <v>0.0</v>
      </c>
      <c r="BK294" s="93">
        <v>0.0</v>
      </c>
      <c r="BL294" s="93">
        <v>0.0</v>
      </c>
      <c r="BM294" s="93">
        <v>0.0</v>
      </c>
      <c r="BN294" s="93">
        <v>0.0</v>
      </c>
      <c r="BO294" s="5"/>
      <c r="BP294" s="5"/>
      <c r="BQ294" s="5" t="s">
        <v>1775</v>
      </c>
      <c r="BR294" s="94">
        <v>44639.47304398148</v>
      </c>
      <c r="BS294" s="5">
        <v>40.0</v>
      </c>
      <c r="BT294" s="94">
        <v>46134.676087962966</v>
      </c>
      <c r="BU294" s="5" t="s">
        <v>1770</v>
      </c>
      <c r="BV294" s="5" t="s">
        <v>1770</v>
      </c>
      <c r="BW294" s="5" t="s">
        <v>1770</v>
      </c>
    </row>
    <row r="295" ht="14.25" customHeight="1">
      <c r="A295" s="5">
        <v>294.0</v>
      </c>
      <c r="B295" s="5">
        <v>559.0</v>
      </c>
      <c r="C295" s="5" t="s">
        <v>3990</v>
      </c>
      <c r="D295" s="5" t="s">
        <v>1792</v>
      </c>
      <c r="E295" s="5" t="s">
        <v>2132</v>
      </c>
      <c r="F295" s="5" t="s">
        <v>3991</v>
      </c>
      <c r="G295" s="5" t="s">
        <v>3992</v>
      </c>
      <c r="H295" s="5" t="s">
        <v>1910</v>
      </c>
      <c r="I295" s="5" t="s">
        <v>1782</v>
      </c>
      <c r="J295" s="91">
        <v>24370.0</v>
      </c>
      <c r="K295" s="5">
        <v>880.0</v>
      </c>
      <c r="L295" s="5" t="s">
        <v>3008</v>
      </c>
      <c r="M295" s="5">
        <v>28.0</v>
      </c>
      <c r="N295" s="5"/>
      <c r="O295" s="5">
        <v>54106.0</v>
      </c>
      <c r="P295" s="5" t="s">
        <v>3993</v>
      </c>
      <c r="Q295" s="5" t="s">
        <v>3878</v>
      </c>
      <c r="R295" s="5">
        <v>834.0</v>
      </c>
      <c r="S295" s="5">
        <v>4.433580106E9</v>
      </c>
      <c r="T295" s="5" t="s">
        <v>3994</v>
      </c>
      <c r="U295" s="5" t="s">
        <v>3995</v>
      </c>
      <c r="V295" s="5">
        <v>4.77414273E9</v>
      </c>
      <c r="W295" s="5" t="s">
        <v>2284</v>
      </c>
      <c r="X295" s="91">
        <v>44621.0</v>
      </c>
      <c r="Y295" s="5">
        <v>4.0</v>
      </c>
      <c r="Z295" s="5">
        <v>17.0</v>
      </c>
      <c r="AA295" s="5">
        <v>61.0</v>
      </c>
      <c r="AB295" s="5" t="s">
        <v>3996</v>
      </c>
      <c r="AC295" s="5" t="s">
        <v>1800</v>
      </c>
      <c r="AD295" s="91">
        <v>45345.0</v>
      </c>
      <c r="AE295" s="91">
        <v>47172.0</v>
      </c>
      <c r="AF295" s="5"/>
      <c r="AG295" s="5"/>
      <c r="AH295" s="5">
        <v>7.2876608471E10</v>
      </c>
      <c r="AI295" s="5"/>
      <c r="AJ295" s="5"/>
      <c r="AK295" s="5" t="s">
        <v>1773</v>
      </c>
      <c r="AL295" s="92">
        <v>0.0</v>
      </c>
      <c r="AM295" s="5" t="s">
        <v>1770</v>
      </c>
      <c r="AN295" s="5" t="s">
        <v>2052</v>
      </c>
      <c r="AO295" s="5"/>
      <c r="AP295" s="5"/>
      <c r="AQ295" s="5"/>
      <c r="AR295" s="5"/>
      <c r="AS295" s="5"/>
      <c r="AT295" s="5"/>
      <c r="AU295" s="5"/>
      <c r="AV295" s="5"/>
      <c r="AW295" s="5" t="s">
        <v>1770</v>
      </c>
      <c r="AX295" s="5"/>
      <c r="AY295" s="5"/>
      <c r="AZ295" s="5" t="s">
        <v>1770</v>
      </c>
      <c r="BA295" s="93">
        <v>0.0</v>
      </c>
      <c r="BB295" s="93">
        <v>0.0</v>
      </c>
      <c r="BC295" s="93">
        <v>0.0</v>
      </c>
      <c r="BD295" s="93">
        <v>0.0</v>
      </c>
      <c r="BE295" s="93">
        <v>0.0</v>
      </c>
      <c r="BF295" s="93">
        <v>0.0</v>
      </c>
      <c r="BG295" s="5"/>
      <c r="BH295" s="93">
        <v>0.0</v>
      </c>
      <c r="BI295" s="93">
        <v>0.0</v>
      </c>
      <c r="BJ295" s="93">
        <v>0.0</v>
      </c>
      <c r="BK295" s="93">
        <v>0.0</v>
      </c>
      <c r="BL295" s="93">
        <v>0.0</v>
      </c>
      <c r="BM295" s="93">
        <v>0.0</v>
      </c>
      <c r="BN295" s="93">
        <v>0.0</v>
      </c>
      <c r="BO295" s="5"/>
      <c r="BP295" s="5"/>
      <c r="BQ295" s="5" t="s">
        <v>1775</v>
      </c>
      <c r="BR295" s="94">
        <v>44645.412303240744</v>
      </c>
      <c r="BS295" s="5">
        <v>167.0</v>
      </c>
      <c r="BT295" s="94">
        <v>46133.565150462964</v>
      </c>
      <c r="BU295" s="5">
        <v>272.0</v>
      </c>
      <c r="BV295" s="5" t="s">
        <v>1770</v>
      </c>
      <c r="BW295" s="5" t="s">
        <v>1770</v>
      </c>
    </row>
    <row r="296" ht="14.25" customHeight="1">
      <c r="A296" s="5">
        <v>295.0</v>
      </c>
      <c r="B296" s="5">
        <v>563.0</v>
      </c>
      <c r="C296" s="5" t="s">
        <v>3997</v>
      </c>
      <c r="D296" s="5" t="s">
        <v>3998</v>
      </c>
      <c r="E296" s="5" t="s">
        <v>3999</v>
      </c>
      <c r="F296" s="5" t="s">
        <v>4000</v>
      </c>
      <c r="G296" s="5" t="s">
        <v>4001</v>
      </c>
      <c r="H296" s="5" t="s">
        <v>1815</v>
      </c>
      <c r="I296" s="5" t="s">
        <v>1763</v>
      </c>
      <c r="J296" s="91">
        <v>34938.0</v>
      </c>
      <c r="K296" s="5">
        <v>869.0</v>
      </c>
      <c r="L296" s="5" t="s">
        <v>4002</v>
      </c>
      <c r="M296" s="5">
        <v>12.0</v>
      </c>
      <c r="N296" s="5"/>
      <c r="O296" s="5">
        <v>54693.0</v>
      </c>
      <c r="P296" s="5" t="s">
        <v>4003</v>
      </c>
      <c r="Q296" s="5"/>
      <c r="R296" s="5">
        <v>869.0</v>
      </c>
      <c r="S296" s="5">
        <v>4.436164566E9</v>
      </c>
      <c r="T296" s="5"/>
      <c r="U296" s="5" t="s">
        <v>4004</v>
      </c>
      <c r="V296" s="5">
        <v>4.431345122E9</v>
      </c>
      <c r="W296" s="5" t="s">
        <v>1808</v>
      </c>
      <c r="X296" s="91">
        <v>44636.0</v>
      </c>
      <c r="Y296" s="5">
        <v>4.0</v>
      </c>
      <c r="Z296" s="5">
        <v>4.0</v>
      </c>
      <c r="AA296" s="5">
        <v>17.0</v>
      </c>
      <c r="AB296" s="5"/>
      <c r="AC296" s="5"/>
      <c r="AD296" s="5" t="s">
        <v>1770</v>
      </c>
      <c r="AE296" s="5" t="s">
        <v>1770</v>
      </c>
      <c r="AF296" s="5"/>
      <c r="AG296" s="5"/>
      <c r="AH296" s="5">
        <v>4.4149518472E10</v>
      </c>
      <c r="AI296" s="5">
        <v>80.0</v>
      </c>
      <c r="AJ296" s="5"/>
      <c r="AK296" s="5" t="s">
        <v>1773</v>
      </c>
      <c r="AL296" s="92">
        <v>0.0</v>
      </c>
      <c r="AM296" s="5" t="s">
        <v>1770</v>
      </c>
      <c r="AN296" s="5" t="s">
        <v>1774</v>
      </c>
      <c r="AO296" s="5"/>
      <c r="AP296" s="5"/>
      <c r="AQ296" s="5"/>
      <c r="AR296" s="5"/>
      <c r="AS296" s="5"/>
      <c r="AT296" s="5"/>
      <c r="AU296" s="5"/>
      <c r="AV296" s="5"/>
      <c r="AW296" s="5" t="s">
        <v>1770</v>
      </c>
      <c r="AX296" s="5"/>
      <c r="AY296" s="5"/>
      <c r="AZ296" s="5" t="s">
        <v>1770</v>
      </c>
      <c r="BA296" s="93">
        <v>0.0</v>
      </c>
      <c r="BB296" s="93">
        <v>0.0</v>
      </c>
      <c r="BC296" s="93">
        <v>0.0</v>
      </c>
      <c r="BD296" s="93">
        <v>0.0</v>
      </c>
      <c r="BE296" s="93">
        <v>0.0</v>
      </c>
      <c r="BF296" s="93">
        <v>0.0</v>
      </c>
      <c r="BG296" s="5"/>
      <c r="BH296" s="93">
        <v>0.0</v>
      </c>
      <c r="BI296" s="93">
        <v>0.0</v>
      </c>
      <c r="BJ296" s="93">
        <v>0.0</v>
      </c>
      <c r="BK296" s="93">
        <v>0.0</v>
      </c>
      <c r="BL296" s="93">
        <v>0.0</v>
      </c>
      <c r="BM296" s="93">
        <v>0.0</v>
      </c>
      <c r="BN296" s="93">
        <v>0.0</v>
      </c>
      <c r="BO296" s="5"/>
      <c r="BP296" s="5" t="s">
        <v>1770</v>
      </c>
      <c r="BQ296" s="5" t="s">
        <v>1789</v>
      </c>
      <c r="BR296" s="94">
        <v>44645.43019675926</v>
      </c>
      <c r="BS296" s="5">
        <v>167.0</v>
      </c>
      <c r="BT296" s="94">
        <v>44645.43475694444</v>
      </c>
      <c r="BU296" s="5">
        <v>167.0</v>
      </c>
      <c r="BV296" s="94">
        <v>44980.455717592595</v>
      </c>
      <c r="BW296" s="5">
        <v>40.0</v>
      </c>
    </row>
    <row r="297" ht="14.25" customHeight="1">
      <c r="A297" s="5">
        <v>296.0</v>
      </c>
      <c r="B297" s="5">
        <v>564.0</v>
      </c>
      <c r="C297" s="5" t="s">
        <v>4005</v>
      </c>
      <c r="D297" s="5" t="s">
        <v>4006</v>
      </c>
      <c r="E297" s="5" t="s">
        <v>2133</v>
      </c>
      <c r="F297" s="5" t="s">
        <v>4007</v>
      </c>
      <c r="G297" s="5" t="s">
        <v>4008</v>
      </c>
      <c r="H297" s="5" t="s">
        <v>1972</v>
      </c>
      <c r="I297" s="5" t="s">
        <v>1782</v>
      </c>
      <c r="J297" s="91">
        <v>35067.0</v>
      </c>
      <c r="K297" s="5">
        <v>549.0</v>
      </c>
      <c r="L297" s="5" t="s">
        <v>4009</v>
      </c>
      <c r="M297" s="5">
        <v>34.0</v>
      </c>
      <c r="N297" s="5"/>
      <c r="O297" s="5">
        <v>43886.0</v>
      </c>
      <c r="P297" s="5" t="s">
        <v>2530</v>
      </c>
      <c r="Q297" s="5" t="s">
        <v>3903</v>
      </c>
      <c r="R297" s="5">
        <v>549.0</v>
      </c>
      <c r="S297" s="5">
        <v>3.931325516E9</v>
      </c>
      <c r="T297" s="5" t="s">
        <v>4010</v>
      </c>
      <c r="U297" s="5" t="s">
        <v>4011</v>
      </c>
      <c r="V297" s="5">
        <v>3.931329455E9</v>
      </c>
      <c r="W297" s="5" t="s">
        <v>1787</v>
      </c>
      <c r="X297" s="91">
        <v>44641.0</v>
      </c>
      <c r="Y297" s="5">
        <v>1.0</v>
      </c>
      <c r="Z297" s="5">
        <v>18.0</v>
      </c>
      <c r="AA297" s="5">
        <v>101.0</v>
      </c>
      <c r="AB297" s="5" t="s">
        <v>4012</v>
      </c>
      <c r="AC297" s="5" t="s">
        <v>1800</v>
      </c>
      <c r="AD297" s="91">
        <v>45016.0</v>
      </c>
      <c r="AE297" s="91">
        <v>46477.0</v>
      </c>
      <c r="AF297" s="5"/>
      <c r="AG297" s="5"/>
      <c r="AH297" s="5">
        <v>7.169653289E9</v>
      </c>
      <c r="AI297" s="5">
        <v>23.0</v>
      </c>
      <c r="AJ297" s="5"/>
      <c r="AK297" s="5" t="s">
        <v>1773</v>
      </c>
      <c r="AL297" s="92">
        <v>0.0</v>
      </c>
      <c r="AM297" s="5" t="s">
        <v>1770</v>
      </c>
      <c r="AN297" s="5" t="s">
        <v>1830</v>
      </c>
      <c r="AO297" s="5"/>
      <c r="AP297" s="5"/>
      <c r="AQ297" s="5"/>
      <c r="AR297" s="5"/>
      <c r="AS297" s="5"/>
      <c r="AT297" s="5"/>
      <c r="AU297" s="5"/>
      <c r="AV297" s="5"/>
      <c r="AW297" s="5" t="s">
        <v>1770</v>
      </c>
      <c r="AX297" s="5"/>
      <c r="AY297" s="5"/>
      <c r="AZ297" s="5" t="s">
        <v>1770</v>
      </c>
      <c r="BA297" s="93">
        <v>0.0</v>
      </c>
      <c r="BB297" s="93">
        <v>0.0</v>
      </c>
      <c r="BC297" s="93">
        <v>0.0</v>
      </c>
      <c r="BD297" s="93">
        <v>0.0</v>
      </c>
      <c r="BE297" s="93">
        <v>0.0</v>
      </c>
      <c r="BF297" s="93">
        <v>0.0</v>
      </c>
      <c r="BG297" s="5"/>
      <c r="BH297" s="93">
        <v>0.0</v>
      </c>
      <c r="BI297" s="93">
        <v>0.0</v>
      </c>
      <c r="BJ297" s="93">
        <v>0.0</v>
      </c>
      <c r="BK297" s="93">
        <v>0.0</v>
      </c>
      <c r="BL297" s="93">
        <v>0.0</v>
      </c>
      <c r="BM297" s="93">
        <v>0.0</v>
      </c>
      <c r="BN297" s="93">
        <v>0.0</v>
      </c>
      <c r="BO297" s="5"/>
      <c r="BP297" s="5"/>
      <c r="BQ297" s="5" t="s">
        <v>1775</v>
      </c>
      <c r="BR297" s="94">
        <v>44645.4718287037</v>
      </c>
      <c r="BS297" s="5">
        <v>167.0</v>
      </c>
      <c r="BT297" s="94">
        <v>46133.41991898148</v>
      </c>
      <c r="BU297" s="5">
        <v>272.0</v>
      </c>
      <c r="BV297" s="5" t="s">
        <v>1770</v>
      </c>
      <c r="BW297" s="5" t="s">
        <v>1770</v>
      </c>
    </row>
    <row r="298" ht="14.25" customHeight="1">
      <c r="A298" s="5">
        <v>297.0</v>
      </c>
      <c r="B298" s="5">
        <v>565.0</v>
      </c>
      <c r="C298" s="5" t="s">
        <v>4013</v>
      </c>
      <c r="D298" s="5" t="s">
        <v>1950</v>
      </c>
      <c r="E298" s="5" t="s">
        <v>2001</v>
      </c>
      <c r="F298" s="5" t="s">
        <v>4014</v>
      </c>
      <c r="G298" s="5" t="s">
        <v>4015</v>
      </c>
      <c r="H298" s="5" t="s">
        <v>1972</v>
      </c>
      <c r="I298" s="5" t="s">
        <v>1782</v>
      </c>
      <c r="J298" s="91">
        <v>35738.0</v>
      </c>
      <c r="K298" s="5">
        <v>842.0</v>
      </c>
      <c r="L298" s="5" t="s">
        <v>4016</v>
      </c>
      <c r="M298" s="5">
        <v>138.0</v>
      </c>
      <c r="N298" s="5"/>
      <c r="O298" s="5">
        <v>53859.0</v>
      </c>
      <c r="P298" s="5" t="s">
        <v>3623</v>
      </c>
      <c r="Q298" s="5">
        <v>1.0</v>
      </c>
      <c r="R298" s="5">
        <v>834.0</v>
      </c>
      <c r="S298" s="5">
        <v>4.431678834E9</v>
      </c>
      <c r="T298" s="5"/>
      <c r="U298" s="5" t="s">
        <v>4017</v>
      </c>
      <c r="V298" s="5">
        <v>4.431340815E9</v>
      </c>
      <c r="W298" s="5" t="s">
        <v>2595</v>
      </c>
      <c r="X298" s="91">
        <v>44636.0</v>
      </c>
      <c r="Y298" s="5">
        <v>4.0</v>
      </c>
      <c r="Z298" s="5">
        <v>4.0</v>
      </c>
      <c r="AA298" s="5">
        <v>39.0</v>
      </c>
      <c r="AB298" s="5" t="s">
        <v>4018</v>
      </c>
      <c r="AC298" s="5" t="s">
        <v>1772</v>
      </c>
      <c r="AD298" s="5" t="s">
        <v>1770</v>
      </c>
      <c r="AE298" s="5" t="s">
        <v>1770</v>
      </c>
      <c r="AF298" s="5"/>
      <c r="AG298" s="5"/>
      <c r="AH298" s="5">
        <v>1.0179768634E10</v>
      </c>
      <c r="AI298" s="5"/>
      <c r="AJ298" s="5"/>
      <c r="AK298" s="5" t="s">
        <v>1773</v>
      </c>
      <c r="AL298" s="92">
        <v>0.0</v>
      </c>
      <c r="AM298" s="5" t="s">
        <v>1770</v>
      </c>
      <c r="AN298" s="5" t="s">
        <v>1809</v>
      </c>
      <c r="AO298" s="5"/>
      <c r="AP298" s="5"/>
      <c r="AQ298" s="5"/>
      <c r="AR298" s="5"/>
      <c r="AS298" s="5"/>
      <c r="AT298" s="5"/>
      <c r="AU298" s="5"/>
      <c r="AV298" s="5"/>
      <c r="AW298" s="5" t="s">
        <v>1770</v>
      </c>
      <c r="AX298" s="5"/>
      <c r="AY298" s="5"/>
      <c r="AZ298" s="5" t="s">
        <v>1770</v>
      </c>
      <c r="BA298" s="93">
        <v>0.0</v>
      </c>
      <c r="BB298" s="93">
        <v>0.0</v>
      </c>
      <c r="BC298" s="93">
        <v>0.0</v>
      </c>
      <c r="BD298" s="93">
        <v>0.0</v>
      </c>
      <c r="BE298" s="93">
        <v>0.0</v>
      </c>
      <c r="BF298" s="93">
        <v>0.0</v>
      </c>
      <c r="BG298" s="5"/>
      <c r="BH298" s="93">
        <v>0.0</v>
      </c>
      <c r="BI298" s="93">
        <v>0.0</v>
      </c>
      <c r="BJ298" s="93">
        <v>0.0</v>
      </c>
      <c r="BK298" s="93">
        <v>0.0</v>
      </c>
      <c r="BL298" s="93">
        <v>0.0</v>
      </c>
      <c r="BM298" s="93">
        <v>0.0</v>
      </c>
      <c r="BN298" s="93">
        <v>0.0</v>
      </c>
      <c r="BO298" s="5"/>
      <c r="BP298" s="5" t="s">
        <v>1770</v>
      </c>
      <c r="BQ298" s="5" t="s">
        <v>1789</v>
      </c>
      <c r="BR298" s="94">
        <v>44645.48166666667</v>
      </c>
      <c r="BS298" s="5">
        <v>167.0</v>
      </c>
      <c r="BT298" s="94">
        <v>44649.598020833335</v>
      </c>
      <c r="BU298" s="5">
        <v>167.0</v>
      </c>
      <c r="BV298" s="94">
        <v>44770.560381944444</v>
      </c>
      <c r="BW298" s="5">
        <v>40.0</v>
      </c>
    </row>
    <row r="299" ht="14.25" customHeight="1">
      <c r="A299" s="5">
        <v>298.0</v>
      </c>
      <c r="B299" s="5">
        <v>567.0</v>
      </c>
      <c r="C299" s="5" t="s">
        <v>4019</v>
      </c>
      <c r="D299" s="5" t="s">
        <v>4020</v>
      </c>
      <c r="E299" s="5" t="s">
        <v>2691</v>
      </c>
      <c r="F299" s="5" t="s">
        <v>4021</v>
      </c>
      <c r="G299" s="5" t="s">
        <v>4022</v>
      </c>
      <c r="H299" s="5" t="s">
        <v>1762</v>
      </c>
      <c r="I299" s="5" t="s">
        <v>1763</v>
      </c>
      <c r="J299" s="91">
        <v>32940.0</v>
      </c>
      <c r="K299" s="5">
        <v>784.0</v>
      </c>
      <c r="L299" s="5" t="s">
        <v>4023</v>
      </c>
      <c r="M299" s="5">
        <v>85.0</v>
      </c>
      <c r="N299" s="5"/>
      <c r="O299" s="5">
        <v>54693.0</v>
      </c>
      <c r="P299" s="5" t="s">
        <v>4024</v>
      </c>
      <c r="Q299" s="5"/>
      <c r="R299" s="5">
        <v>869.0</v>
      </c>
      <c r="S299" s="5">
        <v>4.431208098E9</v>
      </c>
      <c r="T299" s="5"/>
      <c r="U299" s="5" t="s">
        <v>4025</v>
      </c>
      <c r="V299" s="5">
        <v>4.431878482E9</v>
      </c>
      <c r="W299" s="5" t="s">
        <v>1769</v>
      </c>
      <c r="X299" s="91">
        <v>44662.0</v>
      </c>
      <c r="Y299" s="5">
        <v>4.0</v>
      </c>
      <c r="Z299" s="5">
        <v>17.0</v>
      </c>
      <c r="AA299" s="5">
        <v>18.0</v>
      </c>
      <c r="AB299" s="5"/>
      <c r="AC299" s="5"/>
      <c r="AD299" s="5" t="s">
        <v>1770</v>
      </c>
      <c r="AE299" s="5" t="s">
        <v>1770</v>
      </c>
      <c r="AF299" s="5"/>
      <c r="AG299" s="5"/>
      <c r="AH299" s="5">
        <v>5.31090546E10</v>
      </c>
      <c r="AI299" s="5">
        <v>85.0</v>
      </c>
      <c r="AJ299" s="5"/>
      <c r="AK299" s="5" t="s">
        <v>1773</v>
      </c>
      <c r="AL299" s="92">
        <v>0.0</v>
      </c>
      <c r="AM299" s="5" t="s">
        <v>1770</v>
      </c>
      <c r="AN299" s="5" t="s">
        <v>1830</v>
      </c>
      <c r="AO299" s="5"/>
      <c r="AP299" s="5"/>
      <c r="AQ299" s="5"/>
      <c r="AR299" s="5"/>
      <c r="AS299" s="5"/>
      <c r="AT299" s="5"/>
      <c r="AU299" s="5"/>
      <c r="AV299" s="5"/>
      <c r="AW299" s="5" t="s">
        <v>1770</v>
      </c>
      <c r="AX299" s="5"/>
      <c r="AY299" s="5"/>
      <c r="AZ299" s="5" t="s">
        <v>1770</v>
      </c>
      <c r="BA299" s="93">
        <v>0.0</v>
      </c>
      <c r="BB299" s="93">
        <v>0.0</v>
      </c>
      <c r="BC299" s="93">
        <v>0.0</v>
      </c>
      <c r="BD299" s="93">
        <v>0.0</v>
      </c>
      <c r="BE299" s="93">
        <v>0.0</v>
      </c>
      <c r="BF299" s="93">
        <v>0.0</v>
      </c>
      <c r="BG299" s="5"/>
      <c r="BH299" s="93">
        <v>0.0</v>
      </c>
      <c r="BI299" s="93">
        <v>0.0</v>
      </c>
      <c r="BJ299" s="93">
        <v>0.0</v>
      </c>
      <c r="BK299" s="93">
        <v>0.0</v>
      </c>
      <c r="BL299" s="93">
        <v>0.0</v>
      </c>
      <c r="BM299" s="93">
        <v>0.0</v>
      </c>
      <c r="BN299" s="93">
        <v>0.0</v>
      </c>
      <c r="BO299" s="5"/>
      <c r="BP299" s="5"/>
      <c r="BQ299" s="5" t="s">
        <v>1775</v>
      </c>
      <c r="BR299" s="94">
        <v>44671.413125</v>
      </c>
      <c r="BS299" s="5">
        <v>167.0</v>
      </c>
      <c r="BT299" s="94">
        <v>46134.70475694445</v>
      </c>
      <c r="BU299" s="5" t="s">
        <v>1770</v>
      </c>
      <c r="BV299" s="5" t="s">
        <v>1770</v>
      </c>
      <c r="BW299" s="5" t="s">
        <v>1770</v>
      </c>
    </row>
    <row r="300" ht="14.25" customHeight="1">
      <c r="A300" s="5">
        <v>299.0</v>
      </c>
      <c r="B300" s="5">
        <v>566.0</v>
      </c>
      <c r="C300" s="5" t="s">
        <v>4026</v>
      </c>
      <c r="D300" s="5" t="s">
        <v>1823</v>
      </c>
      <c r="E300" s="100" t="s">
        <v>3483</v>
      </c>
      <c r="F300" s="5" t="s">
        <v>4027</v>
      </c>
      <c r="G300" s="5" t="s">
        <v>4028</v>
      </c>
      <c r="H300" s="5" t="s">
        <v>1762</v>
      </c>
      <c r="I300" s="5" t="s">
        <v>1763</v>
      </c>
      <c r="J300" s="91">
        <v>30419.0</v>
      </c>
      <c r="K300" s="5">
        <v>859.0</v>
      </c>
      <c r="L300" s="5" t="s">
        <v>4029</v>
      </c>
      <c r="M300" s="5" t="s">
        <v>4030</v>
      </c>
      <c r="N300" s="5"/>
      <c r="O300" s="5">
        <v>54682.0</v>
      </c>
      <c r="P300" s="5" t="s">
        <v>4031</v>
      </c>
      <c r="Q300" s="5">
        <v>25.0</v>
      </c>
      <c r="R300" s="5">
        <v>869.0</v>
      </c>
      <c r="S300" s="5">
        <v>4.432651716E9</v>
      </c>
      <c r="T300" s="5"/>
      <c r="U300" s="5" t="s">
        <v>1924</v>
      </c>
      <c r="V300" s="5">
        <v>3.333333333E9</v>
      </c>
      <c r="W300" s="5" t="s">
        <v>1924</v>
      </c>
      <c r="X300" s="91">
        <v>30407.0</v>
      </c>
      <c r="Y300" s="5">
        <v>4.0</v>
      </c>
      <c r="Z300" s="5">
        <v>17.0</v>
      </c>
      <c r="AA300" s="5">
        <v>27.0</v>
      </c>
      <c r="AB300" s="5"/>
      <c r="AC300" s="5"/>
      <c r="AD300" s="5" t="s">
        <v>1770</v>
      </c>
      <c r="AE300" s="5" t="s">
        <v>1770</v>
      </c>
      <c r="AF300" s="5"/>
      <c r="AG300" s="5"/>
      <c r="AH300" s="5">
        <v>2.208381661E9</v>
      </c>
      <c r="AI300" s="5">
        <v>85.0</v>
      </c>
      <c r="AJ300" s="5"/>
      <c r="AK300" s="5" t="s">
        <v>1773</v>
      </c>
      <c r="AL300" s="92">
        <v>0.0</v>
      </c>
      <c r="AM300" s="5" t="s">
        <v>1770</v>
      </c>
      <c r="AN300" s="5" t="s">
        <v>4032</v>
      </c>
      <c r="AO300" s="5"/>
      <c r="AP300" s="5"/>
      <c r="AQ300" s="5"/>
      <c r="AR300" s="5"/>
      <c r="AS300" s="5"/>
      <c r="AT300" s="5"/>
      <c r="AU300" s="5"/>
      <c r="AV300" s="5"/>
      <c r="AW300" s="5" t="s">
        <v>1770</v>
      </c>
      <c r="AX300" s="5"/>
      <c r="AY300" s="5"/>
      <c r="AZ300" s="5" t="s">
        <v>1770</v>
      </c>
      <c r="BA300" s="93">
        <v>0.0</v>
      </c>
      <c r="BB300" s="93">
        <v>0.0</v>
      </c>
      <c r="BC300" s="93">
        <v>0.0</v>
      </c>
      <c r="BD300" s="93">
        <v>0.0</v>
      </c>
      <c r="BE300" s="93">
        <v>0.0</v>
      </c>
      <c r="BF300" s="93">
        <v>0.0</v>
      </c>
      <c r="BG300" s="5"/>
      <c r="BH300" s="93">
        <v>0.0</v>
      </c>
      <c r="BI300" s="93">
        <v>0.0</v>
      </c>
      <c r="BJ300" s="93">
        <v>0.0</v>
      </c>
      <c r="BK300" s="93">
        <v>0.0</v>
      </c>
      <c r="BL300" s="93">
        <v>0.0</v>
      </c>
      <c r="BM300" s="93">
        <v>0.0</v>
      </c>
      <c r="BN300" s="93">
        <v>0.0</v>
      </c>
      <c r="BO300" s="5"/>
      <c r="BP300" s="5" t="s">
        <v>1770</v>
      </c>
      <c r="BQ300" s="5" t="s">
        <v>1789</v>
      </c>
      <c r="BR300" s="94">
        <v>44671.50402777778</v>
      </c>
      <c r="BS300" s="5">
        <v>167.0</v>
      </c>
      <c r="BT300" s="94">
        <v>44803.7544212963</v>
      </c>
      <c r="BU300" s="5" t="s">
        <v>1770</v>
      </c>
      <c r="BV300" s="94">
        <v>45555.504791666666</v>
      </c>
      <c r="BW300" s="5">
        <v>40.0</v>
      </c>
    </row>
    <row r="301" ht="14.25" customHeight="1">
      <c r="A301" s="5">
        <v>300.0</v>
      </c>
      <c r="B301" s="5">
        <v>568.0</v>
      </c>
      <c r="C301" s="5" t="s">
        <v>4033</v>
      </c>
      <c r="D301" s="5" t="s">
        <v>4034</v>
      </c>
      <c r="E301" s="5" t="s">
        <v>2067</v>
      </c>
      <c r="F301" s="5" t="s">
        <v>4035</v>
      </c>
      <c r="G301" s="5" t="s">
        <v>4036</v>
      </c>
      <c r="H301" s="5" t="s">
        <v>1815</v>
      </c>
      <c r="I301" s="5" t="s">
        <v>1763</v>
      </c>
      <c r="J301" s="91">
        <v>36289.0</v>
      </c>
      <c r="K301" s="5">
        <v>549.0</v>
      </c>
      <c r="L301" s="5" t="s">
        <v>3342</v>
      </c>
      <c r="M301" s="5">
        <v>87.0</v>
      </c>
      <c r="N301" s="5"/>
      <c r="O301" s="5">
        <v>43882.0</v>
      </c>
      <c r="P301" s="5" t="s">
        <v>4037</v>
      </c>
      <c r="Q301" s="5"/>
      <c r="R301" s="5">
        <v>549.0</v>
      </c>
      <c r="S301" s="5">
        <v>3.931062844E9</v>
      </c>
      <c r="T301" s="5" t="s">
        <v>4038</v>
      </c>
      <c r="U301" s="5" t="s">
        <v>4039</v>
      </c>
      <c r="V301" s="5">
        <v>3.317210693E9</v>
      </c>
      <c r="W301" s="5" t="s">
        <v>4040</v>
      </c>
      <c r="X301" s="91">
        <v>44662.0</v>
      </c>
      <c r="Y301" s="5">
        <v>1.0</v>
      </c>
      <c r="Z301" s="5">
        <v>17.0</v>
      </c>
      <c r="AA301" s="5">
        <v>86.0</v>
      </c>
      <c r="AB301" s="5"/>
      <c r="AC301" s="5"/>
      <c r="AD301" s="5" t="s">
        <v>1770</v>
      </c>
      <c r="AE301" s="5" t="s">
        <v>1770</v>
      </c>
      <c r="AF301" s="5"/>
      <c r="AG301" s="5"/>
      <c r="AH301" s="5">
        <v>6.7169929287E10</v>
      </c>
      <c r="AI301" s="5">
        <v>23.0</v>
      </c>
      <c r="AJ301" s="5"/>
      <c r="AK301" s="5" t="s">
        <v>1773</v>
      </c>
      <c r="AL301" s="92">
        <v>0.0</v>
      </c>
      <c r="AM301" s="5" t="s">
        <v>1770</v>
      </c>
      <c r="AN301" s="5" t="s">
        <v>3077</v>
      </c>
      <c r="AO301" s="5"/>
      <c r="AP301" s="5"/>
      <c r="AQ301" s="5"/>
      <c r="AR301" s="5"/>
      <c r="AS301" s="5"/>
      <c r="AT301" s="5"/>
      <c r="AU301" s="5"/>
      <c r="AV301" s="5"/>
      <c r="AW301" s="5" t="s">
        <v>1770</v>
      </c>
      <c r="AX301" s="5"/>
      <c r="AY301" s="5"/>
      <c r="AZ301" s="5" t="s">
        <v>1770</v>
      </c>
      <c r="BA301" s="93">
        <v>0.0</v>
      </c>
      <c r="BB301" s="93">
        <v>0.0</v>
      </c>
      <c r="BC301" s="93">
        <v>0.0</v>
      </c>
      <c r="BD301" s="93">
        <v>0.0</v>
      </c>
      <c r="BE301" s="93">
        <v>0.0</v>
      </c>
      <c r="BF301" s="93">
        <v>0.0</v>
      </c>
      <c r="BG301" s="5"/>
      <c r="BH301" s="93">
        <v>0.0</v>
      </c>
      <c r="BI301" s="93">
        <v>0.0</v>
      </c>
      <c r="BJ301" s="93">
        <v>0.0</v>
      </c>
      <c r="BK301" s="93">
        <v>0.0</v>
      </c>
      <c r="BL301" s="93">
        <v>0.0</v>
      </c>
      <c r="BM301" s="93">
        <v>0.0</v>
      </c>
      <c r="BN301" s="93">
        <v>0.0</v>
      </c>
      <c r="BO301" s="5"/>
      <c r="BP301" s="5"/>
      <c r="BQ301" s="5" t="s">
        <v>1775</v>
      </c>
      <c r="BR301" s="94">
        <v>44671.52155092593</v>
      </c>
      <c r="BS301" s="5">
        <v>167.0</v>
      </c>
      <c r="BT301" s="94">
        <v>46134.6893287037</v>
      </c>
      <c r="BU301" s="5" t="s">
        <v>1770</v>
      </c>
      <c r="BV301" s="5" t="s">
        <v>1770</v>
      </c>
      <c r="BW301" s="5" t="s">
        <v>1770</v>
      </c>
    </row>
    <row r="302" ht="14.25" customHeight="1">
      <c r="A302" s="5">
        <v>301.0</v>
      </c>
      <c r="B302" s="5">
        <v>569.0</v>
      </c>
      <c r="C302" s="5" t="s">
        <v>4041</v>
      </c>
      <c r="D302" s="5" t="s">
        <v>2452</v>
      </c>
      <c r="E302" s="5" t="s">
        <v>2067</v>
      </c>
      <c r="F302" s="5" t="s">
        <v>4042</v>
      </c>
      <c r="G302" s="5" t="s">
        <v>4043</v>
      </c>
      <c r="H302" s="5" t="s">
        <v>2301</v>
      </c>
      <c r="I302" s="5" t="s">
        <v>1763</v>
      </c>
      <c r="J302" s="91">
        <v>29660.0</v>
      </c>
      <c r="K302" s="5">
        <v>850.0</v>
      </c>
      <c r="L302" s="5" t="s">
        <v>4044</v>
      </c>
      <c r="M302" s="5">
        <v>3.0</v>
      </c>
      <c r="N302" s="5"/>
      <c r="O302" s="5">
        <v>55112.0</v>
      </c>
      <c r="P302" s="5" t="s">
        <v>4045</v>
      </c>
      <c r="Q302" s="5">
        <v>22.0</v>
      </c>
      <c r="R302" s="5">
        <v>850.0</v>
      </c>
      <c r="S302" s="5">
        <v>3.521006542E9</v>
      </c>
      <c r="T302" s="5"/>
      <c r="U302" s="5" t="s">
        <v>4046</v>
      </c>
      <c r="V302" s="5">
        <v>3.521450412E9</v>
      </c>
      <c r="W302" s="5" t="s">
        <v>1924</v>
      </c>
      <c r="X302" s="91">
        <v>44685.0</v>
      </c>
      <c r="Y302" s="5">
        <v>3.0</v>
      </c>
      <c r="Z302" s="5">
        <v>17.0</v>
      </c>
      <c r="AA302" s="5">
        <v>18.0</v>
      </c>
      <c r="AB302" s="5"/>
      <c r="AC302" s="5"/>
      <c r="AD302" s="5" t="s">
        <v>1770</v>
      </c>
      <c r="AE302" s="5" t="s">
        <v>1770</v>
      </c>
      <c r="AF302" s="5"/>
      <c r="AG302" s="5"/>
      <c r="AH302" s="5">
        <v>5.3108109215E10</v>
      </c>
      <c r="AI302" s="5">
        <v>77.0</v>
      </c>
      <c r="AJ302" s="5"/>
      <c r="AK302" s="5" t="s">
        <v>1773</v>
      </c>
      <c r="AL302" s="92">
        <v>0.0</v>
      </c>
      <c r="AM302" s="5" t="s">
        <v>1770</v>
      </c>
      <c r="AN302" s="5" t="s">
        <v>1830</v>
      </c>
      <c r="AO302" s="5"/>
      <c r="AP302" s="5"/>
      <c r="AQ302" s="5"/>
      <c r="AR302" s="5"/>
      <c r="AS302" s="5"/>
      <c r="AT302" s="5"/>
      <c r="AU302" s="5"/>
      <c r="AV302" s="5"/>
      <c r="AW302" s="5" t="s">
        <v>1770</v>
      </c>
      <c r="AX302" s="5"/>
      <c r="AY302" s="5"/>
      <c r="AZ302" s="5" t="s">
        <v>1770</v>
      </c>
      <c r="BA302" s="93">
        <v>0.0</v>
      </c>
      <c r="BB302" s="93">
        <v>0.0</v>
      </c>
      <c r="BC302" s="93">
        <v>0.0</v>
      </c>
      <c r="BD302" s="93">
        <v>0.0</v>
      </c>
      <c r="BE302" s="93">
        <v>0.0</v>
      </c>
      <c r="BF302" s="93">
        <v>0.0</v>
      </c>
      <c r="BG302" s="5"/>
      <c r="BH302" s="93">
        <v>0.0</v>
      </c>
      <c r="BI302" s="93">
        <v>0.0</v>
      </c>
      <c r="BJ302" s="93">
        <v>0.0</v>
      </c>
      <c r="BK302" s="93">
        <v>0.0</v>
      </c>
      <c r="BL302" s="93">
        <v>0.0</v>
      </c>
      <c r="BM302" s="93">
        <v>0.0</v>
      </c>
      <c r="BN302" s="93">
        <v>0.0</v>
      </c>
      <c r="BO302" s="5"/>
      <c r="BP302" s="5" t="s">
        <v>1770</v>
      </c>
      <c r="BQ302" s="5" t="s">
        <v>1789</v>
      </c>
      <c r="BR302" s="94">
        <v>44688.513344907406</v>
      </c>
      <c r="BS302" s="5">
        <v>167.0</v>
      </c>
      <c r="BT302" s="94">
        <v>44699.59546296296</v>
      </c>
      <c r="BU302" s="5">
        <v>167.0</v>
      </c>
      <c r="BV302" s="94">
        <v>44770.560902777775</v>
      </c>
      <c r="BW302" s="5">
        <v>40.0</v>
      </c>
    </row>
    <row r="303" ht="14.25" customHeight="1">
      <c r="A303" s="5">
        <v>302.0</v>
      </c>
      <c r="B303" s="5">
        <v>571.0</v>
      </c>
      <c r="C303" s="5" t="s">
        <v>4047</v>
      </c>
      <c r="D303" s="5" t="s">
        <v>2382</v>
      </c>
      <c r="E303" s="5" t="s">
        <v>1857</v>
      </c>
      <c r="F303" s="5" t="s">
        <v>4048</v>
      </c>
      <c r="G303" s="5" t="s">
        <v>4049</v>
      </c>
      <c r="H303" s="5" t="s">
        <v>1972</v>
      </c>
      <c r="I303" s="5" t="s">
        <v>1782</v>
      </c>
      <c r="J303" s="91">
        <v>35729.0</v>
      </c>
      <c r="K303" s="5">
        <v>164.0</v>
      </c>
      <c r="L303" s="5" t="s">
        <v>4050</v>
      </c>
      <c r="M303" s="5">
        <v>384.0</v>
      </c>
      <c r="N303" s="5"/>
      <c r="O303" s="5">
        <v>55102.0</v>
      </c>
      <c r="P303" s="5" t="s">
        <v>4051</v>
      </c>
      <c r="Q303" s="5"/>
      <c r="R303" s="5">
        <v>850.0</v>
      </c>
      <c r="S303" s="5">
        <v>9.161139643E9</v>
      </c>
      <c r="T303" s="5"/>
      <c r="U303" s="5" t="s">
        <v>4052</v>
      </c>
      <c r="V303" s="5">
        <v>9.162320377E9</v>
      </c>
      <c r="W303" s="5" t="s">
        <v>1965</v>
      </c>
      <c r="X303" s="91">
        <v>44690.0</v>
      </c>
      <c r="Y303" s="5">
        <v>3.0</v>
      </c>
      <c r="Z303" s="5">
        <v>4.0</v>
      </c>
      <c r="AA303" s="5">
        <v>2.0</v>
      </c>
      <c r="AB303" s="5" t="s">
        <v>4053</v>
      </c>
      <c r="AC303" s="5" t="s">
        <v>1800</v>
      </c>
      <c r="AD303" s="91">
        <v>44614.0</v>
      </c>
      <c r="AE303" s="91">
        <v>45344.0</v>
      </c>
      <c r="AF303" s="5"/>
      <c r="AG303" s="5"/>
      <c r="AH303" s="5">
        <v>4.0169742398E10</v>
      </c>
      <c r="AI303" s="5">
        <v>7.0</v>
      </c>
      <c r="AJ303" s="5"/>
      <c r="AK303" s="5" t="s">
        <v>1773</v>
      </c>
      <c r="AL303" s="92">
        <v>0.0</v>
      </c>
      <c r="AM303" s="5" t="s">
        <v>1770</v>
      </c>
      <c r="AN303" s="5" t="s">
        <v>1830</v>
      </c>
      <c r="AO303" s="5"/>
      <c r="AP303" s="5"/>
      <c r="AQ303" s="5"/>
      <c r="AR303" s="5"/>
      <c r="AS303" s="5"/>
      <c r="AT303" s="5"/>
      <c r="AU303" s="5"/>
      <c r="AV303" s="5"/>
      <c r="AW303" s="5" t="s">
        <v>1770</v>
      </c>
      <c r="AX303" s="5"/>
      <c r="AY303" s="5"/>
      <c r="AZ303" s="5" t="s">
        <v>1770</v>
      </c>
      <c r="BA303" s="93">
        <v>0.0</v>
      </c>
      <c r="BB303" s="93">
        <v>0.0</v>
      </c>
      <c r="BC303" s="93">
        <v>0.0</v>
      </c>
      <c r="BD303" s="93">
        <v>0.0</v>
      </c>
      <c r="BE303" s="93">
        <v>0.0</v>
      </c>
      <c r="BF303" s="93">
        <v>0.0</v>
      </c>
      <c r="BG303" s="5"/>
      <c r="BH303" s="93">
        <v>0.0</v>
      </c>
      <c r="BI303" s="93">
        <v>0.0</v>
      </c>
      <c r="BJ303" s="93">
        <v>0.0</v>
      </c>
      <c r="BK303" s="93">
        <v>0.0</v>
      </c>
      <c r="BL303" s="93">
        <v>0.0</v>
      </c>
      <c r="BM303" s="93">
        <v>0.0</v>
      </c>
      <c r="BN303" s="93">
        <v>0.0</v>
      </c>
      <c r="BO303" s="5"/>
      <c r="BP303" s="5" t="s">
        <v>1770</v>
      </c>
      <c r="BQ303" s="5" t="s">
        <v>1789</v>
      </c>
      <c r="BR303" s="94">
        <v>44699.57611111111</v>
      </c>
      <c r="BS303" s="5">
        <v>167.0</v>
      </c>
      <c r="BT303" s="94">
        <v>44785.55752314815</v>
      </c>
      <c r="BU303" s="5">
        <v>167.0</v>
      </c>
      <c r="BV303" s="94">
        <v>45454.43703703704</v>
      </c>
      <c r="BW303" s="5" t="s">
        <v>1770</v>
      </c>
    </row>
    <row r="304" ht="14.25" customHeight="1">
      <c r="A304" s="5">
        <v>303.0</v>
      </c>
      <c r="B304" s="5">
        <v>570.0</v>
      </c>
      <c r="C304" s="5" t="s">
        <v>4054</v>
      </c>
      <c r="D304" s="5" t="s">
        <v>2859</v>
      </c>
      <c r="E304" s="5" t="s">
        <v>2289</v>
      </c>
      <c r="F304" s="5" t="s">
        <v>4055</v>
      </c>
      <c r="G304" s="5" t="s">
        <v>4055</v>
      </c>
      <c r="H304" s="5" t="s">
        <v>1972</v>
      </c>
      <c r="I304" s="5" t="s">
        <v>1782</v>
      </c>
      <c r="J304" s="91">
        <v>35913.0</v>
      </c>
      <c r="K304" s="5">
        <v>549.0</v>
      </c>
      <c r="L304" s="5" t="s">
        <v>4056</v>
      </c>
      <c r="M304" s="5">
        <v>9.0</v>
      </c>
      <c r="N304" s="5"/>
      <c r="O304" s="5">
        <v>43882.0</v>
      </c>
      <c r="P304" s="5" t="s">
        <v>1797</v>
      </c>
      <c r="Q304" s="5"/>
      <c r="R304" s="5">
        <v>549.0</v>
      </c>
      <c r="S304" s="5">
        <v>3.931005586E9</v>
      </c>
      <c r="T304" s="5"/>
      <c r="U304" s="5" t="s">
        <v>4057</v>
      </c>
      <c r="V304" s="5">
        <v>3.931202629E9</v>
      </c>
      <c r="W304" s="5" t="s">
        <v>1965</v>
      </c>
      <c r="X304" s="91">
        <v>44683.0</v>
      </c>
      <c r="Y304" s="5">
        <v>1.0</v>
      </c>
      <c r="Z304" s="5">
        <v>17.0</v>
      </c>
      <c r="AA304" s="5">
        <v>66.0</v>
      </c>
      <c r="AB304" s="5"/>
      <c r="AC304" s="5"/>
      <c r="AD304" s="5" t="s">
        <v>1770</v>
      </c>
      <c r="AE304" s="5" t="s">
        <v>1770</v>
      </c>
      <c r="AF304" s="5"/>
      <c r="AG304" s="5"/>
      <c r="AH304" s="5">
        <v>5.3169882734E10</v>
      </c>
      <c r="AI304" s="5"/>
      <c r="AJ304" s="5"/>
      <c r="AK304" s="5" t="s">
        <v>1773</v>
      </c>
      <c r="AL304" s="92">
        <v>0.0</v>
      </c>
      <c r="AM304" s="5" t="s">
        <v>1770</v>
      </c>
      <c r="AN304" s="5" t="s">
        <v>1830</v>
      </c>
      <c r="AO304" s="5"/>
      <c r="AP304" s="5"/>
      <c r="AQ304" s="5"/>
      <c r="AR304" s="5"/>
      <c r="AS304" s="5"/>
      <c r="AT304" s="5"/>
      <c r="AU304" s="5"/>
      <c r="AV304" s="5"/>
      <c r="AW304" s="5" t="s">
        <v>1770</v>
      </c>
      <c r="AX304" s="5"/>
      <c r="AY304" s="5"/>
      <c r="AZ304" s="5" t="s">
        <v>1770</v>
      </c>
      <c r="BA304" s="93">
        <v>0.0</v>
      </c>
      <c r="BB304" s="93">
        <v>0.0</v>
      </c>
      <c r="BC304" s="93">
        <v>0.0</v>
      </c>
      <c r="BD304" s="93">
        <v>0.0</v>
      </c>
      <c r="BE304" s="93">
        <v>0.0</v>
      </c>
      <c r="BF304" s="93">
        <v>0.0</v>
      </c>
      <c r="BG304" s="5"/>
      <c r="BH304" s="93">
        <v>0.0</v>
      </c>
      <c r="BI304" s="93">
        <v>0.0</v>
      </c>
      <c r="BJ304" s="93">
        <v>0.0</v>
      </c>
      <c r="BK304" s="93">
        <v>0.0</v>
      </c>
      <c r="BL304" s="93">
        <v>0.0</v>
      </c>
      <c r="BM304" s="93">
        <v>0.0</v>
      </c>
      <c r="BN304" s="93">
        <v>0.0</v>
      </c>
      <c r="BO304" s="5"/>
      <c r="BP304" s="5" t="s">
        <v>1770</v>
      </c>
      <c r="BQ304" s="5" t="s">
        <v>1789</v>
      </c>
      <c r="BR304" s="94">
        <v>44699.59391203704</v>
      </c>
      <c r="BS304" s="5">
        <v>167.0</v>
      </c>
      <c r="BT304" s="5" t="s">
        <v>1770</v>
      </c>
      <c r="BU304" s="5" t="s">
        <v>1770</v>
      </c>
      <c r="BV304" s="94">
        <v>44980.452152777776</v>
      </c>
      <c r="BW304" s="5">
        <v>40.0</v>
      </c>
    </row>
    <row r="305" ht="14.25" customHeight="1">
      <c r="A305" s="5">
        <v>304.0</v>
      </c>
      <c r="B305" s="5">
        <v>572.0</v>
      </c>
      <c r="C305" s="5" t="s">
        <v>4058</v>
      </c>
      <c r="D305" s="5" t="s">
        <v>4059</v>
      </c>
      <c r="E305" s="5" t="s">
        <v>4060</v>
      </c>
      <c r="F305" s="5" t="s">
        <v>4061</v>
      </c>
      <c r="G305" s="5" t="s">
        <v>4062</v>
      </c>
      <c r="H305" s="5" t="s">
        <v>1762</v>
      </c>
      <c r="I305" s="5" t="s">
        <v>1763</v>
      </c>
      <c r="J305" s="91">
        <v>34756.0</v>
      </c>
      <c r="K305" s="5">
        <v>1601.0</v>
      </c>
      <c r="L305" s="5" t="s">
        <v>4063</v>
      </c>
      <c r="M305" s="5">
        <v>3.0</v>
      </c>
      <c r="N305" s="5"/>
      <c r="O305" s="5">
        <v>43890.0</v>
      </c>
      <c r="P305" s="5" t="s">
        <v>3139</v>
      </c>
      <c r="Q305" s="5" t="s">
        <v>3535</v>
      </c>
      <c r="R305" s="5">
        <v>549.0</v>
      </c>
      <c r="S305" s="5">
        <v>3.931973624E9</v>
      </c>
      <c r="T305" s="5" t="s">
        <v>4064</v>
      </c>
      <c r="U305" s="5" t="s">
        <v>4065</v>
      </c>
      <c r="V305" s="5">
        <v>3.320271435E9</v>
      </c>
      <c r="W305" s="5" t="s">
        <v>2675</v>
      </c>
      <c r="X305" s="91">
        <v>44704.0</v>
      </c>
      <c r="Y305" s="5">
        <v>1.0</v>
      </c>
      <c r="Z305" s="5">
        <v>18.0</v>
      </c>
      <c r="AA305" s="5">
        <v>1.0</v>
      </c>
      <c r="AB305" s="5">
        <v>1.7158523E7</v>
      </c>
      <c r="AC305" s="5" t="s">
        <v>1800</v>
      </c>
      <c r="AD305" s="91">
        <v>44503.0</v>
      </c>
      <c r="AE305" s="91">
        <v>45964.0</v>
      </c>
      <c r="AF305" s="5"/>
      <c r="AG305" s="5"/>
      <c r="AH305" s="5">
        <v>6.4169580202E10</v>
      </c>
      <c r="AI305" s="5">
        <v>23.0</v>
      </c>
      <c r="AJ305" s="5"/>
      <c r="AK305" s="5" t="s">
        <v>1773</v>
      </c>
      <c r="AL305" s="92">
        <v>0.0</v>
      </c>
      <c r="AM305" s="5" t="s">
        <v>1770</v>
      </c>
      <c r="AN305" s="5" t="s">
        <v>2052</v>
      </c>
      <c r="AO305" s="5"/>
      <c r="AP305" s="5"/>
      <c r="AQ305" s="5"/>
      <c r="AR305" s="5"/>
      <c r="AS305" s="5"/>
      <c r="AT305" s="5"/>
      <c r="AU305" s="5"/>
      <c r="AV305" s="5"/>
      <c r="AW305" s="5" t="s">
        <v>1770</v>
      </c>
      <c r="AX305" s="5"/>
      <c r="AY305" s="5"/>
      <c r="AZ305" s="5" t="s">
        <v>1770</v>
      </c>
      <c r="BA305" s="93">
        <v>0.0</v>
      </c>
      <c r="BB305" s="93">
        <v>0.0</v>
      </c>
      <c r="BC305" s="93">
        <v>0.0</v>
      </c>
      <c r="BD305" s="93">
        <v>0.0</v>
      </c>
      <c r="BE305" s="93">
        <v>0.0</v>
      </c>
      <c r="BF305" s="93">
        <v>0.0</v>
      </c>
      <c r="BG305" s="5"/>
      <c r="BH305" s="93">
        <v>0.0</v>
      </c>
      <c r="BI305" s="93">
        <v>0.0</v>
      </c>
      <c r="BJ305" s="93">
        <v>0.0</v>
      </c>
      <c r="BK305" s="93">
        <v>0.0</v>
      </c>
      <c r="BL305" s="93">
        <v>0.0</v>
      </c>
      <c r="BM305" s="93">
        <v>0.0</v>
      </c>
      <c r="BN305" s="93">
        <v>0.0</v>
      </c>
      <c r="BO305" s="5"/>
      <c r="BP305" s="5" t="s">
        <v>1770</v>
      </c>
      <c r="BQ305" s="5" t="s">
        <v>1789</v>
      </c>
      <c r="BR305" s="94">
        <v>44713.715844907405</v>
      </c>
      <c r="BS305" s="5">
        <v>40.0</v>
      </c>
      <c r="BT305" s="5" t="s">
        <v>1770</v>
      </c>
      <c r="BU305" s="5" t="s">
        <v>1770</v>
      </c>
      <c r="BV305" s="94">
        <v>44742.628958333335</v>
      </c>
      <c r="BW305" s="5">
        <v>167.0</v>
      </c>
    </row>
    <row r="306" ht="14.25" customHeight="1">
      <c r="A306" s="5">
        <v>305.0</v>
      </c>
      <c r="B306" s="5">
        <v>573.0</v>
      </c>
      <c r="C306" s="5" t="s">
        <v>2117</v>
      </c>
      <c r="D306" s="5" t="s">
        <v>2552</v>
      </c>
      <c r="E306" s="5" t="s">
        <v>2788</v>
      </c>
      <c r="F306" s="5" t="s">
        <v>4066</v>
      </c>
      <c r="G306" s="5" t="s">
        <v>4067</v>
      </c>
      <c r="H306" s="5" t="s">
        <v>1972</v>
      </c>
      <c r="I306" s="5" t="s">
        <v>1782</v>
      </c>
      <c r="J306" s="91">
        <v>35680.0</v>
      </c>
      <c r="K306" s="5">
        <v>282.0</v>
      </c>
      <c r="L306" s="5" t="s">
        <v>4068</v>
      </c>
      <c r="M306" s="5">
        <v>301.0</v>
      </c>
      <c r="N306" s="5"/>
      <c r="O306" s="5">
        <v>30426.0</v>
      </c>
      <c r="P306" s="5" t="s">
        <v>3423</v>
      </c>
      <c r="Q306" s="5" t="s">
        <v>4069</v>
      </c>
      <c r="R306" s="5">
        <v>282.0</v>
      </c>
      <c r="S306" s="5">
        <v>5.516057965E9</v>
      </c>
      <c r="T306" s="5" t="s">
        <v>4070</v>
      </c>
      <c r="U306" s="5" t="s">
        <v>4071</v>
      </c>
      <c r="V306" s="5">
        <v>5.534701067E9</v>
      </c>
      <c r="W306" s="5" t="s">
        <v>1808</v>
      </c>
      <c r="X306" s="91">
        <v>44707.0</v>
      </c>
      <c r="Y306" s="5">
        <v>2.0</v>
      </c>
      <c r="Z306" s="5">
        <v>4.0</v>
      </c>
      <c r="AA306" s="5">
        <v>39.0</v>
      </c>
      <c r="AB306" s="5">
        <v>2.479758E7</v>
      </c>
      <c r="AC306" s="5" t="s">
        <v>1772</v>
      </c>
      <c r="AD306" s="91">
        <v>44700.0</v>
      </c>
      <c r="AE306" s="91">
        <v>45796.0</v>
      </c>
      <c r="AF306" s="5"/>
      <c r="AG306" s="5"/>
      <c r="AH306" s="5">
        <v>2.615971202E10</v>
      </c>
      <c r="AI306" s="5">
        <v>9.0</v>
      </c>
      <c r="AJ306" s="5"/>
      <c r="AK306" s="5" t="s">
        <v>1773</v>
      </c>
      <c r="AL306" s="92">
        <v>0.0</v>
      </c>
      <c r="AM306" s="5" t="s">
        <v>1770</v>
      </c>
      <c r="AN306" s="5" t="s">
        <v>1830</v>
      </c>
      <c r="AO306" s="5"/>
      <c r="AP306" s="5"/>
      <c r="AQ306" s="5"/>
      <c r="AR306" s="5"/>
      <c r="AS306" s="5"/>
      <c r="AT306" s="5"/>
      <c r="AU306" s="5"/>
      <c r="AV306" s="5"/>
      <c r="AW306" s="5" t="s">
        <v>1770</v>
      </c>
      <c r="AX306" s="5"/>
      <c r="AY306" s="5"/>
      <c r="AZ306" s="5" t="s">
        <v>1770</v>
      </c>
      <c r="BA306" s="93">
        <v>0.0</v>
      </c>
      <c r="BB306" s="93">
        <v>0.0</v>
      </c>
      <c r="BC306" s="93">
        <v>0.0</v>
      </c>
      <c r="BD306" s="93">
        <v>0.0</v>
      </c>
      <c r="BE306" s="93">
        <v>0.0</v>
      </c>
      <c r="BF306" s="93">
        <v>0.0</v>
      </c>
      <c r="BG306" s="5"/>
      <c r="BH306" s="93">
        <v>0.0</v>
      </c>
      <c r="BI306" s="93">
        <v>0.0</v>
      </c>
      <c r="BJ306" s="93">
        <v>0.0</v>
      </c>
      <c r="BK306" s="93">
        <v>0.0</v>
      </c>
      <c r="BL306" s="93">
        <v>0.0</v>
      </c>
      <c r="BM306" s="93">
        <v>0.0</v>
      </c>
      <c r="BN306" s="93">
        <v>0.0</v>
      </c>
      <c r="BO306" s="5"/>
      <c r="BP306" s="5" t="s">
        <v>1770</v>
      </c>
      <c r="BQ306" s="5" t="s">
        <v>1789</v>
      </c>
      <c r="BR306" s="94">
        <v>44713.725011574075</v>
      </c>
      <c r="BS306" s="5">
        <v>40.0</v>
      </c>
      <c r="BT306" s="94">
        <v>45324.648206018515</v>
      </c>
      <c r="BU306" s="5">
        <v>40.0</v>
      </c>
      <c r="BV306" s="94">
        <v>45532.66572916666</v>
      </c>
      <c r="BW306" s="5">
        <v>275.0</v>
      </c>
    </row>
    <row r="307" ht="14.25" customHeight="1">
      <c r="A307" s="5">
        <v>306.0</v>
      </c>
      <c r="B307" s="5">
        <v>574.0</v>
      </c>
      <c r="C307" s="5" t="s">
        <v>4072</v>
      </c>
      <c r="D307" s="5" t="s">
        <v>1792</v>
      </c>
      <c r="E307" s="5" t="s">
        <v>2522</v>
      </c>
      <c r="F307" s="5" t="s">
        <v>4073</v>
      </c>
      <c r="G307" s="5" t="s">
        <v>4074</v>
      </c>
      <c r="H307" s="5" t="s">
        <v>1781</v>
      </c>
      <c r="I307" s="5" t="s">
        <v>1782</v>
      </c>
      <c r="J307" s="91">
        <v>36049.0</v>
      </c>
      <c r="K307" s="5">
        <v>834.0</v>
      </c>
      <c r="L307" s="5" t="s">
        <v>4075</v>
      </c>
      <c r="M307" s="5" t="s">
        <v>2913</v>
      </c>
      <c r="N307" s="5"/>
      <c r="O307" s="5">
        <v>54682.0</v>
      </c>
      <c r="P307" s="5" t="s">
        <v>4076</v>
      </c>
      <c r="Q307" s="5" t="s">
        <v>2342</v>
      </c>
      <c r="R307" s="5">
        <v>869.0</v>
      </c>
      <c r="S307" s="5">
        <v>4.436939491E9</v>
      </c>
      <c r="T307" s="5" t="s">
        <v>4077</v>
      </c>
      <c r="U307" s="5" t="s">
        <v>2340</v>
      </c>
      <c r="V307" s="5">
        <v>2.222222222E9</v>
      </c>
      <c r="W307" s="5" t="s">
        <v>3506</v>
      </c>
      <c r="X307" s="91">
        <v>45827.0</v>
      </c>
      <c r="Y307" s="5">
        <v>4.0</v>
      </c>
      <c r="Z307" s="5">
        <v>4.0</v>
      </c>
      <c r="AA307" s="5">
        <v>12.0</v>
      </c>
      <c r="AB307" s="5">
        <v>271574.0</v>
      </c>
      <c r="AC307" s="5" t="s">
        <v>2274</v>
      </c>
      <c r="AD307" s="91">
        <v>44139.0</v>
      </c>
      <c r="AE307" s="91">
        <v>45965.0</v>
      </c>
      <c r="AF307" s="5"/>
      <c r="AG307" s="5"/>
      <c r="AH307" s="5">
        <v>8.6169858734E10</v>
      </c>
      <c r="AI307" s="5">
        <v>80.0</v>
      </c>
      <c r="AJ307" s="5"/>
      <c r="AK307" s="5" t="s">
        <v>1773</v>
      </c>
      <c r="AL307" s="92">
        <v>0.0</v>
      </c>
      <c r="AM307" s="5" t="s">
        <v>1770</v>
      </c>
      <c r="AN307" s="5" t="s">
        <v>3012</v>
      </c>
      <c r="AO307" s="5"/>
      <c r="AP307" s="5"/>
      <c r="AQ307" s="5"/>
      <c r="AR307" s="5"/>
      <c r="AS307" s="5"/>
      <c r="AT307" s="5"/>
      <c r="AU307" s="5"/>
      <c r="AV307" s="5"/>
      <c r="AW307" s="5" t="s">
        <v>1770</v>
      </c>
      <c r="AX307" s="5"/>
      <c r="AY307" s="5"/>
      <c r="AZ307" s="5" t="s">
        <v>1770</v>
      </c>
      <c r="BA307" s="93">
        <v>0.0</v>
      </c>
      <c r="BB307" s="93">
        <v>0.0</v>
      </c>
      <c r="BC307" s="93">
        <v>0.0</v>
      </c>
      <c r="BD307" s="93">
        <v>0.0</v>
      </c>
      <c r="BE307" s="93">
        <v>0.0</v>
      </c>
      <c r="BF307" s="93">
        <v>0.0</v>
      </c>
      <c r="BG307" s="5"/>
      <c r="BH307" s="93">
        <v>0.0</v>
      </c>
      <c r="BI307" s="93">
        <v>0.0</v>
      </c>
      <c r="BJ307" s="93">
        <v>0.0</v>
      </c>
      <c r="BK307" s="93">
        <v>0.0</v>
      </c>
      <c r="BL307" s="93">
        <v>0.0</v>
      </c>
      <c r="BM307" s="93">
        <v>0.0</v>
      </c>
      <c r="BN307" s="93">
        <v>0.0</v>
      </c>
      <c r="BO307" s="5"/>
      <c r="BP307" s="5" t="s">
        <v>1770</v>
      </c>
      <c r="BQ307" s="5" t="s">
        <v>1789</v>
      </c>
      <c r="BR307" s="94">
        <v>44713.729467592595</v>
      </c>
      <c r="BS307" s="5">
        <v>40.0</v>
      </c>
      <c r="BT307" s="94">
        <v>45892.55788194444</v>
      </c>
      <c r="BU307" s="5">
        <v>40.0</v>
      </c>
      <c r="BV307" s="94">
        <v>46147.40309027778</v>
      </c>
      <c r="BW307" s="5">
        <v>40.0</v>
      </c>
    </row>
    <row r="308" ht="14.25" customHeight="1">
      <c r="A308" s="5">
        <v>307.0</v>
      </c>
      <c r="B308" s="5">
        <v>575.0</v>
      </c>
      <c r="C308" s="5" t="s">
        <v>4078</v>
      </c>
      <c r="D308" s="5" t="s">
        <v>4079</v>
      </c>
      <c r="E308" s="5" t="s">
        <v>2842</v>
      </c>
      <c r="F308" s="5" t="s">
        <v>4080</v>
      </c>
      <c r="G308" s="5" t="s">
        <v>4081</v>
      </c>
      <c r="H308" s="5" t="s">
        <v>1781</v>
      </c>
      <c r="I308" s="5" t="s">
        <v>1782</v>
      </c>
      <c r="J308" s="91">
        <v>33346.0</v>
      </c>
      <c r="K308" s="5">
        <v>561.0</v>
      </c>
      <c r="L308" s="5" t="s">
        <v>4082</v>
      </c>
      <c r="M308" s="5">
        <v>89.0</v>
      </c>
      <c r="N308" s="5" t="s">
        <v>2340</v>
      </c>
      <c r="O308" s="5">
        <v>41772.0</v>
      </c>
      <c r="P308" s="5" t="s">
        <v>4083</v>
      </c>
      <c r="Q308" s="5" t="s">
        <v>4084</v>
      </c>
      <c r="R308" s="5">
        <v>581.0</v>
      </c>
      <c r="S308" s="5">
        <v>3.331305144E9</v>
      </c>
      <c r="T308" s="5" t="s">
        <v>4085</v>
      </c>
      <c r="U308" s="5" t="s">
        <v>4086</v>
      </c>
      <c r="V308" s="5">
        <v>3.320585551E9</v>
      </c>
      <c r="W308" s="5" t="s">
        <v>1787</v>
      </c>
      <c r="X308" s="91">
        <v>44713.0</v>
      </c>
      <c r="Y308" s="5">
        <v>5.0</v>
      </c>
      <c r="Z308" s="5">
        <v>19.0</v>
      </c>
      <c r="AA308" s="5">
        <v>1.0</v>
      </c>
      <c r="AB308" s="5">
        <v>1.4572281E7</v>
      </c>
      <c r="AC308" s="5" t="s">
        <v>2274</v>
      </c>
      <c r="AD308" s="91">
        <v>44621.0</v>
      </c>
      <c r="AE308" s="91">
        <v>46082.0</v>
      </c>
      <c r="AF308" s="5"/>
      <c r="AG308" s="5"/>
      <c r="AH308" s="5">
        <v>2.6149117959E10</v>
      </c>
      <c r="AI308" s="5">
        <v>95.0</v>
      </c>
      <c r="AJ308" s="5">
        <v>1.420314904E9</v>
      </c>
      <c r="AK308" s="5" t="s">
        <v>2907</v>
      </c>
      <c r="AL308" s="92">
        <v>0.0</v>
      </c>
      <c r="AM308" s="5" t="s">
        <v>1770</v>
      </c>
      <c r="AN308" s="5" t="s">
        <v>1830</v>
      </c>
      <c r="AO308" s="5"/>
      <c r="AP308" s="5"/>
      <c r="AQ308" s="5"/>
      <c r="AR308" s="5"/>
      <c r="AS308" s="5"/>
      <c r="AT308" s="5"/>
      <c r="AU308" s="5"/>
      <c r="AV308" s="5"/>
      <c r="AW308" s="5" t="s">
        <v>1770</v>
      </c>
      <c r="AX308" s="5"/>
      <c r="AY308" s="5"/>
      <c r="AZ308" s="5" t="s">
        <v>1770</v>
      </c>
      <c r="BA308" s="93">
        <v>0.0</v>
      </c>
      <c r="BB308" s="93">
        <v>0.0</v>
      </c>
      <c r="BC308" s="93">
        <v>0.0</v>
      </c>
      <c r="BD308" s="93">
        <v>0.0</v>
      </c>
      <c r="BE308" s="93">
        <v>0.0</v>
      </c>
      <c r="BF308" s="93">
        <v>0.0</v>
      </c>
      <c r="BG308" s="5"/>
      <c r="BH308" s="93">
        <v>0.0</v>
      </c>
      <c r="BI308" s="93">
        <v>0.0</v>
      </c>
      <c r="BJ308" s="93">
        <v>0.0</v>
      </c>
      <c r="BK308" s="93">
        <v>0.0</v>
      </c>
      <c r="BL308" s="93">
        <v>0.0</v>
      </c>
      <c r="BM308" s="93">
        <v>0.0</v>
      </c>
      <c r="BN308" s="93">
        <v>0.0</v>
      </c>
      <c r="BO308" s="5"/>
      <c r="BP308" s="5" t="s">
        <v>1770</v>
      </c>
      <c r="BQ308" s="5" t="s">
        <v>1789</v>
      </c>
      <c r="BR308" s="94">
        <v>44713.73533564815</v>
      </c>
      <c r="BS308" s="5">
        <v>40.0</v>
      </c>
      <c r="BT308" s="5" t="s">
        <v>1770</v>
      </c>
      <c r="BU308" s="5" t="s">
        <v>1770</v>
      </c>
      <c r="BV308" s="94">
        <v>44980.45181712963</v>
      </c>
      <c r="BW308" s="5">
        <v>40.0</v>
      </c>
    </row>
    <row r="309" ht="14.25" customHeight="1">
      <c r="A309" s="5">
        <v>308.0</v>
      </c>
      <c r="B309" s="5">
        <v>576.0</v>
      </c>
      <c r="C309" s="5" t="s">
        <v>4087</v>
      </c>
      <c r="D309" s="5" t="s">
        <v>4088</v>
      </c>
      <c r="E309" s="100" t="s">
        <v>1898</v>
      </c>
      <c r="F309" s="5" t="s">
        <v>4089</v>
      </c>
      <c r="G309" s="5" t="s">
        <v>4090</v>
      </c>
      <c r="H309" s="5" t="s">
        <v>1815</v>
      </c>
      <c r="I309" s="5" t="s">
        <v>1763</v>
      </c>
      <c r="J309" s="91">
        <v>32399.0</v>
      </c>
      <c r="K309" s="5">
        <v>594.0</v>
      </c>
      <c r="L309" s="5" t="s">
        <v>4091</v>
      </c>
      <c r="M309" s="5">
        <v>75.0</v>
      </c>
      <c r="N309" s="5"/>
      <c r="O309" s="5">
        <v>43801.0</v>
      </c>
      <c r="P309" s="5" t="s">
        <v>4092</v>
      </c>
      <c r="Q309" s="5" t="s">
        <v>2179</v>
      </c>
      <c r="R309" s="5">
        <v>594.0</v>
      </c>
      <c r="S309" s="5">
        <v>3.921092798E9</v>
      </c>
      <c r="T309" s="5" t="s">
        <v>4093</v>
      </c>
      <c r="U309" s="100" t="s">
        <v>4094</v>
      </c>
      <c r="V309" s="5">
        <v>3.929289277E9</v>
      </c>
      <c r="W309" s="5" t="s">
        <v>1808</v>
      </c>
      <c r="X309" s="91">
        <v>44713.0</v>
      </c>
      <c r="Y309" s="5">
        <v>5.0</v>
      </c>
      <c r="Z309" s="5">
        <v>3.0</v>
      </c>
      <c r="AA309" s="5">
        <v>3.0</v>
      </c>
      <c r="AB309" s="5"/>
      <c r="AC309" s="5"/>
      <c r="AD309" s="5" t="s">
        <v>1770</v>
      </c>
      <c r="AE309" s="5" t="s">
        <v>1770</v>
      </c>
      <c r="AF309" s="5"/>
      <c r="AG309" s="5"/>
      <c r="AH309" s="5">
        <v>4.128836766E9</v>
      </c>
      <c r="AI309" s="5">
        <v>95.0</v>
      </c>
      <c r="AJ309" s="5"/>
      <c r="AK309" s="5" t="s">
        <v>1773</v>
      </c>
      <c r="AL309" s="92">
        <v>0.0</v>
      </c>
      <c r="AM309" s="5" t="s">
        <v>1770</v>
      </c>
      <c r="AN309" s="5" t="s">
        <v>1830</v>
      </c>
      <c r="AO309" s="5"/>
      <c r="AP309" s="5"/>
      <c r="AQ309" s="5"/>
      <c r="AR309" s="5"/>
      <c r="AS309" s="5"/>
      <c r="AT309" s="5"/>
      <c r="AU309" s="5"/>
      <c r="AV309" s="5"/>
      <c r="AW309" s="5" t="s">
        <v>1770</v>
      </c>
      <c r="AX309" s="5"/>
      <c r="AY309" s="5"/>
      <c r="AZ309" s="5" t="s">
        <v>1770</v>
      </c>
      <c r="BA309" s="93">
        <v>0.0</v>
      </c>
      <c r="BB309" s="93">
        <v>0.0</v>
      </c>
      <c r="BC309" s="93">
        <v>0.0</v>
      </c>
      <c r="BD309" s="93">
        <v>0.0</v>
      </c>
      <c r="BE309" s="93">
        <v>0.0</v>
      </c>
      <c r="BF309" s="93">
        <v>0.0</v>
      </c>
      <c r="BG309" s="5"/>
      <c r="BH309" s="93">
        <v>0.0</v>
      </c>
      <c r="BI309" s="93">
        <v>0.0</v>
      </c>
      <c r="BJ309" s="93">
        <v>0.0</v>
      </c>
      <c r="BK309" s="93">
        <v>0.0</v>
      </c>
      <c r="BL309" s="93">
        <v>0.0</v>
      </c>
      <c r="BM309" s="93">
        <v>0.0</v>
      </c>
      <c r="BN309" s="93">
        <v>0.0</v>
      </c>
      <c r="BO309" s="5"/>
      <c r="BP309" s="5" t="s">
        <v>1770</v>
      </c>
      <c r="BQ309" s="5" t="s">
        <v>1789</v>
      </c>
      <c r="BR309" s="94">
        <v>44713.7437037037</v>
      </c>
      <c r="BS309" s="5">
        <v>40.0</v>
      </c>
      <c r="BT309" s="5" t="s">
        <v>1770</v>
      </c>
      <c r="BU309" s="5" t="s">
        <v>1770</v>
      </c>
      <c r="BV309" s="94">
        <v>45118.70989583333</v>
      </c>
      <c r="BW309" s="5" t="s">
        <v>1770</v>
      </c>
    </row>
    <row r="310" ht="14.25" customHeight="1">
      <c r="A310" s="5">
        <v>309.0</v>
      </c>
      <c r="B310" s="5">
        <v>577.0</v>
      </c>
      <c r="C310" s="5" t="s">
        <v>4095</v>
      </c>
      <c r="D310" s="5" t="s">
        <v>1926</v>
      </c>
      <c r="E310" s="5" t="s">
        <v>2215</v>
      </c>
      <c r="F310" s="5" t="s">
        <v>4096</v>
      </c>
      <c r="G310" s="5" t="s">
        <v>4097</v>
      </c>
      <c r="H310" s="5" t="s">
        <v>1815</v>
      </c>
      <c r="I310" s="5" t="s">
        <v>1763</v>
      </c>
      <c r="J310" s="91">
        <v>36111.0</v>
      </c>
      <c r="K310" s="5">
        <v>424.0</v>
      </c>
      <c r="L310" s="5" t="s">
        <v>2137</v>
      </c>
      <c r="M310" s="5">
        <v>17.0</v>
      </c>
      <c r="N310" s="5"/>
      <c r="O310" s="5">
        <v>35910.0</v>
      </c>
      <c r="P310" s="5" t="s">
        <v>4098</v>
      </c>
      <c r="Q310" s="5" t="s">
        <v>4098</v>
      </c>
      <c r="R310" s="5">
        <v>424.0</v>
      </c>
      <c r="S310" s="5">
        <v>4.696034937E9</v>
      </c>
      <c r="T310" s="5" t="s">
        <v>4099</v>
      </c>
      <c r="U310" s="5" t="s">
        <v>4100</v>
      </c>
      <c r="V310" s="5">
        <v>4.69103284E9</v>
      </c>
      <c r="W310" s="5" t="s">
        <v>2595</v>
      </c>
      <c r="X310" s="91">
        <v>44725.0</v>
      </c>
      <c r="Y310" s="5">
        <v>2.0</v>
      </c>
      <c r="Z310" s="5">
        <v>4.0</v>
      </c>
      <c r="AA310" s="5">
        <v>73.0</v>
      </c>
      <c r="AB310" s="5"/>
      <c r="AC310" s="5"/>
      <c r="AD310" s="5" t="s">
        <v>1770</v>
      </c>
      <c r="AE310" s="5" t="s">
        <v>1770</v>
      </c>
      <c r="AF310" s="5"/>
      <c r="AG310" s="5"/>
      <c r="AH310" s="5">
        <v>2.8169884591E10</v>
      </c>
      <c r="AI310" s="5"/>
      <c r="AJ310" s="5"/>
      <c r="AK310" s="5" t="s">
        <v>1773</v>
      </c>
      <c r="AL310" s="92">
        <v>0.0</v>
      </c>
      <c r="AM310" s="5" t="s">
        <v>1770</v>
      </c>
      <c r="AN310" s="5" t="s">
        <v>1830</v>
      </c>
      <c r="AO310" s="5"/>
      <c r="AP310" s="5"/>
      <c r="AQ310" s="5"/>
      <c r="AR310" s="5"/>
      <c r="AS310" s="5"/>
      <c r="AT310" s="5"/>
      <c r="AU310" s="5"/>
      <c r="AV310" s="5"/>
      <c r="AW310" s="5" t="s">
        <v>1770</v>
      </c>
      <c r="AX310" s="5"/>
      <c r="AY310" s="5"/>
      <c r="AZ310" s="5" t="s">
        <v>1770</v>
      </c>
      <c r="BA310" s="93">
        <v>0.0</v>
      </c>
      <c r="BB310" s="93">
        <v>0.0</v>
      </c>
      <c r="BC310" s="93">
        <v>0.0</v>
      </c>
      <c r="BD310" s="93">
        <v>0.0</v>
      </c>
      <c r="BE310" s="93">
        <v>0.0</v>
      </c>
      <c r="BF310" s="93">
        <v>0.0</v>
      </c>
      <c r="BG310" s="5"/>
      <c r="BH310" s="93">
        <v>0.0</v>
      </c>
      <c r="BI310" s="93">
        <v>0.0</v>
      </c>
      <c r="BJ310" s="93">
        <v>0.0</v>
      </c>
      <c r="BK310" s="93">
        <v>0.0</v>
      </c>
      <c r="BL310" s="93">
        <v>0.0</v>
      </c>
      <c r="BM310" s="93">
        <v>0.0</v>
      </c>
      <c r="BN310" s="93">
        <v>0.0</v>
      </c>
      <c r="BO310" s="5"/>
      <c r="BP310" s="5"/>
      <c r="BQ310" s="5" t="s">
        <v>1775</v>
      </c>
      <c r="BR310" s="94">
        <v>44713.75560185185</v>
      </c>
      <c r="BS310" s="5">
        <v>40.0</v>
      </c>
      <c r="BT310" s="94">
        <v>46133.544537037036</v>
      </c>
      <c r="BU310" s="5">
        <v>272.0</v>
      </c>
      <c r="BV310" s="5" t="s">
        <v>1770</v>
      </c>
      <c r="BW310" s="5" t="s">
        <v>1770</v>
      </c>
    </row>
    <row r="311" ht="14.25" customHeight="1">
      <c r="A311" s="5">
        <v>310.0</v>
      </c>
      <c r="B311" s="5">
        <v>578.0</v>
      </c>
      <c r="C311" s="5" t="s">
        <v>4101</v>
      </c>
      <c r="D311" s="5" t="s">
        <v>4102</v>
      </c>
      <c r="E311" s="5" t="s">
        <v>3838</v>
      </c>
      <c r="F311" s="5" t="s">
        <v>4103</v>
      </c>
      <c r="G311" s="5" t="s">
        <v>4104</v>
      </c>
      <c r="H311" s="5" t="s">
        <v>1781</v>
      </c>
      <c r="I311" s="5" t="s">
        <v>1782</v>
      </c>
      <c r="J311" s="91">
        <v>31564.0</v>
      </c>
      <c r="K311" s="5">
        <v>570.0</v>
      </c>
      <c r="L311" s="5" t="s">
        <v>4105</v>
      </c>
      <c r="M311" s="5">
        <v>335.0</v>
      </c>
      <c r="N311" s="5"/>
      <c r="O311" s="5">
        <v>41929.0</v>
      </c>
      <c r="P311" s="5" t="s">
        <v>4106</v>
      </c>
      <c r="Q311" s="5" t="s">
        <v>2349</v>
      </c>
      <c r="R311" s="5">
        <v>597.0</v>
      </c>
      <c r="S311" s="5">
        <v>3.322531404E9</v>
      </c>
      <c r="T311" s="5"/>
      <c r="U311" s="5" t="s">
        <v>4107</v>
      </c>
      <c r="V311" s="5">
        <v>3.921105939E9</v>
      </c>
      <c r="W311" s="5" t="s">
        <v>1787</v>
      </c>
      <c r="X311" s="91">
        <v>44725.0</v>
      </c>
      <c r="Y311" s="5">
        <v>5.0</v>
      </c>
      <c r="Z311" s="5">
        <v>4.0</v>
      </c>
      <c r="AA311" s="5">
        <v>45.0</v>
      </c>
      <c r="AB311" s="5" t="s">
        <v>4108</v>
      </c>
      <c r="AC311" s="5" t="s">
        <v>4109</v>
      </c>
      <c r="AD311" s="91">
        <v>44462.0</v>
      </c>
      <c r="AE311" s="91">
        <v>45192.0</v>
      </c>
      <c r="AF311" s="5"/>
      <c r="AG311" s="5"/>
      <c r="AH311" s="5">
        <v>4.028652826E9</v>
      </c>
      <c r="AI311" s="5">
        <v>95.0</v>
      </c>
      <c r="AJ311" s="5"/>
      <c r="AK311" s="5" t="s">
        <v>1773</v>
      </c>
      <c r="AL311" s="92">
        <v>0.0</v>
      </c>
      <c r="AM311" s="5" t="s">
        <v>1770</v>
      </c>
      <c r="AN311" s="5" t="s">
        <v>1830</v>
      </c>
      <c r="AO311" s="5"/>
      <c r="AP311" s="5"/>
      <c r="AQ311" s="5"/>
      <c r="AR311" s="5"/>
      <c r="AS311" s="5"/>
      <c r="AT311" s="5"/>
      <c r="AU311" s="5"/>
      <c r="AV311" s="5"/>
      <c r="AW311" s="5" t="s">
        <v>1770</v>
      </c>
      <c r="AX311" s="5"/>
      <c r="AY311" s="5"/>
      <c r="AZ311" s="5" t="s">
        <v>1770</v>
      </c>
      <c r="BA311" s="93">
        <v>0.0</v>
      </c>
      <c r="BB311" s="93">
        <v>0.0</v>
      </c>
      <c r="BC311" s="93">
        <v>0.0</v>
      </c>
      <c r="BD311" s="93">
        <v>0.0</v>
      </c>
      <c r="BE311" s="93">
        <v>0.0</v>
      </c>
      <c r="BF311" s="93">
        <v>0.0</v>
      </c>
      <c r="BG311" s="5"/>
      <c r="BH311" s="93">
        <v>0.0</v>
      </c>
      <c r="BI311" s="93">
        <v>0.0</v>
      </c>
      <c r="BJ311" s="93">
        <v>0.0</v>
      </c>
      <c r="BK311" s="93">
        <v>0.0</v>
      </c>
      <c r="BL311" s="93">
        <v>0.0</v>
      </c>
      <c r="BM311" s="93">
        <v>0.0</v>
      </c>
      <c r="BN311" s="93">
        <v>0.0</v>
      </c>
      <c r="BO311" s="5"/>
      <c r="BP311" s="5" t="s">
        <v>1770</v>
      </c>
      <c r="BQ311" s="5" t="s">
        <v>1789</v>
      </c>
      <c r="BR311" s="94">
        <v>44728.5408912037</v>
      </c>
      <c r="BS311" s="5">
        <v>167.0</v>
      </c>
      <c r="BT311" s="5" t="s">
        <v>1770</v>
      </c>
      <c r="BU311" s="5" t="s">
        <v>1770</v>
      </c>
      <c r="BV311" s="94">
        <v>44770.55945601852</v>
      </c>
      <c r="BW311" s="5">
        <v>40.0</v>
      </c>
    </row>
    <row r="312" ht="14.25" customHeight="1">
      <c r="A312" s="5">
        <v>311.0</v>
      </c>
      <c r="B312" s="5">
        <v>580.0</v>
      </c>
      <c r="C312" s="5" t="s">
        <v>4110</v>
      </c>
      <c r="D312" s="5" t="s">
        <v>2132</v>
      </c>
      <c r="E312" s="5" t="s">
        <v>2382</v>
      </c>
      <c r="F312" s="5" t="s">
        <v>4111</v>
      </c>
      <c r="G312" s="5" t="s">
        <v>4112</v>
      </c>
      <c r="H312" s="5" t="s">
        <v>1781</v>
      </c>
      <c r="I312" s="5" t="s">
        <v>1782</v>
      </c>
      <c r="J312" s="91">
        <v>33241.0</v>
      </c>
      <c r="K312" s="5">
        <v>424.0</v>
      </c>
      <c r="L312" s="5" t="s">
        <v>4113</v>
      </c>
      <c r="M312" s="5" t="s">
        <v>2913</v>
      </c>
      <c r="N312" s="5"/>
      <c r="O312" s="5">
        <v>35896.0</v>
      </c>
      <c r="P312" s="5" t="s">
        <v>2636</v>
      </c>
      <c r="Q312" s="5" t="s">
        <v>2406</v>
      </c>
      <c r="R312" s="5">
        <v>424.0</v>
      </c>
      <c r="S312" s="5">
        <v>3.511883156E9</v>
      </c>
      <c r="T312" s="5"/>
      <c r="U312" s="5" t="s">
        <v>4114</v>
      </c>
      <c r="V312" s="5">
        <v>4.69141761E9</v>
      </c>
      <c r="W312" s="5" t="s">
        <v>1787</v>
      </c>
      <c r="X312" s="91">
        <v>44734.0</v>
      </c>
      <c r="Y312" s="5">
        <v>2.0</v>
      </c>
      <c r="Z312" s="5">
        <v>18.0</v>
      </c>
      <c r="AA312" s="5">
        <v>1.0</v>
      </c>
      <c r="AB312" s="5">
        <v>144547.0</v>
      </c>
      <c r="AC312" s="5" t="s">
        <v>2274</v>
      </c>
      <c r="AD312" s="91">
        <v>43860.0</v>
      </c>
      <c r="AE312" s="91">
        <v>45687.0</v>
      </c>
      <c r="AF312" s="5"/>
      <c r="AG312" s="5"/>
      <c r="AH312" s="5">
        <v>3.189147295E9</v>
      </c>
      <c r="AI312" s="5"/>
      <c r="AJ312" s="5"/>
      <c r="AK312" s="5" t="s">
        <v>1773</v>
      </c>
      <c r="AL312" s="92">
        <v>0.0</v>
      </c>
      <c r="AM312" s="5" t="s">
        <v>1770</v>
      </c>
      <c r="AN312" s="5" t="s">
        <v>1774</v>
      </c>
      <c r="AO312" s="5"/>
      <c r="AP312" s="5"/>
      <c r="AQ312" s="5"/>
      <c r="AR312" s="5"/>
      <c r="AS312" s="5"/>
      <c r="AT312" s="5"/>
      <c r="AU312" s="5"/>
      <c r="AV312" s="5"/>
      <c r="AW312" s="5" t="s">
        <v>1770</v>
      </c>
      <c r="AX312" s="5"/>
      <c r="AY312" s="5"/>
      <c r="AZ312" s="5" t="s">
        <v>1770</v>
      </c>
      <c r="BA312" s="93">
        <v>0.0</v>
      </c>
      <c r="BB312" s="93">
        <v>0.0</v>
      </c>
      <c r="BC312" s="93">
        <v>0.0</v>
      </c>
      <c r="BD312" s="93">
        <v>0.0</v>
      </c>
      <c r="BE312" s="93">
        <v>0.0</v>
      </c>
      <c r="BF312" s="93">
        <v>0.0</v>
      </c>
      <c r="BG312" s="5"/>
      <c r="BH312" s="93">
        <v>0.0</v>
      </c>
      <c r="BI312" s="93">
        <v>0.0</v>
      </c>
      <c r="BJ312" s="93">
        <v>0.0</v>
      </c>
      <c r="BK312" s="93">
        <v>0.0</v>
      </c>
      <c r="BL312" s="93">
        <v>0.0</v>
      </c>
      <c r="BM312" s="93">
        <v>0.0</v>
      </c>
      <c r="BN312" s="93">
        <v>0.0</v>
      </c>
      <c r="BO312" s="5"/>
      <c r="BP312" s="5" t="s">
        <v>1770</v>
      </c>
      <c r="BQ312" s="5" t="s">
        <v>1789</v>
      </c>
      <c r="BR312" s="94">
        <v>44734.45017361111</v>
      </c>
      <c r="BS312" s="5">
        <v>167.0</v>
      </c>
      <c r="BT312" s="94">
        <v>45324.56765046297</v>
      </c>
      <c r="BU312" s="5">
        <v>40.0</v>
      </c>
      <c r="BV312" s="94">
        <v>45671.696805555555</v>
      </c>
      <c r="BW312" s="5" t="s">
        <v>1770</v>
      </c>
    </row>
    <row r="313" ht="14.25" customHeight="1">
      <c r="A313" s="5">
        <v>312.0</v>
      </c>
      <c r="B313" s="5">
        <v>581.0</v>
      </c>
      <c r="C313" s="5" t="s">
        <v>4115</v>
      </c>
      <c r="D313" s="5" t="s">
        <v>1758</v>
      </c>
      <c r="E313" s="5" t="s">
        <v>2603</v>
      </c>
      <c r="F313" s="5" t="s">
        <v>4116</v>
      </c>
      <c r="G313" s="5" t="s">
        <v>4117</v>
      </c>
      <c r="H313" s="5" t="s">
        <v>4118</v>
      </c>
      <c r="I313" s="5" t="s">
        <v>1763</v>
      </c>
      <c r="J313" s="91">
        <v>36493.0</v>
      </c>
      <c r="K313" s="5">
        <v>549.0</v>
      </c>
      <c r="L313" s="5" t="s">
        <v>4119</v>
      </c>
      <c r="M313" s="5">
        <v>26.0</v>
      </c>
      <c r="N313" s="5"/>
      <c r="O313" s="5">
        <v>43882.0</v>
      </c>
      <c r="P313" s="5" t="s">
        <v>4120</v>
      </c>
      <c r="Q313" s="5" t="s">
        <v>1766</v>
      </c>
      <c r="R313" s="5">
        <v>549.0</v>
      </c>
      <c r="S313" s="5">
        <v>3.326234659E9</v>
      </c>
      <c r="T313" s="5"/>
      <c r="U313" s="5" t="s">
        <v>4121</v>
      </c>
      <c r="V313" s="5">
        <v>3.931507175E9</v>
      </c>
      <c r="W313" s="5" t="s">
        <v>1808</v>
      </c>
      <c r="X313" s="91">
        <v>44732.0</v>
      </c>
      <c r="Y313" s="5">
        <v>1.0</v>
      </c>
      <c r="Z313" s="5">
        <v>3.0</v>
      </c>
      <c r="AA313" s="5">
        <v>9.0</v>
      </c>
      <c r="AB313" s="5"/>
      <c r="AC313" s="5"/>
      <c r="AD313" s="5" t="s">
        <v>1770</v>
      </c>
      <c r="AE313" s="5" t="s">
        <v>1770</v>
      </c>
      <c r="AF313" s="5"/>
      <c r="AG313" s="5"/>
      <c r="AH313" s="5">
        <v>6.7169947982E10</v>
      </c>
      <c r="AI313" s="5"/>
      <c r="AJ313" s="5"/>
      <c r="AK313" s="5" t="s">
        <v>1773</v>
      </c>
      <c r="AL313" s="92">
        <v>0.0</v>
      </c>
      <c r="AM313" s="5" t="s">
        <v>1770</v>
      </c>
      <c r="AN313" s="5" t="s">
        <v>4122</v>
      </c>
      <c r="AO313" s="5"/>
      <c r="AP313" s="5"/>
      <c r="AQ313" s="5"/>
      <c r="AR313" s="5"/>
      <c r="AS313" s="5"/>
      <c r="AT313" s="5"/>
      <c r="AU313" s="5"/>
      <c r="AV313" s="5"/>
      <c r="AW313" s="5" t="s">
        <v>1770</v>
      </c>
      <c r="AX313" s="5"/>
      <c r="AY313" s="5"/>
      <c r="AZ313" s="5" t="s">
        <v>1770</v>
      </c>
      <c r="BA313" s="93">
        <v>0.0</v>
      </c>
      <c r="BB313" s="93">
        <v>0.0</v>
      </c>
      <c r="BC313" s="93">
        <v>0.0</v>
      </c>
      <c r="BD313" s="93">
        <v>0.0</v>
      </c>
      <c r="BE313" s="93">
        <v>0.0</v>
      </c>
      <c r="BF313" s="93">
        <v>0.0</v>
      </c>
      <c r="BG313" s="5"/>
      <c r="BH313" s="93">
        <v>0.0</v>
      </c>
      <c r="BI313" s="93">
        <v>0.0</v>
      </c>
      <c r="BJ313" s="93">
        <v>0.0</v>
      </c>
      <c r="BK313" s="93">
        <v>0.0</v>
      </c>
      <c r="BL313" s="93">
        <v>0.0</v>
      </c>
      <c r="BM313" s="93">
        <v>0.0</v>
      </c>
      <c r="BN313" s="93">
        <v>0.0</v>
      </c>
      <c r="BO313" s="5"/>
      <c r="BP313" s="5" t="s">
        <v>1770</v>
      </c>
      <c r="BQ313" s="5" t="s">
        <v>1789</v>
      </c>
      <c r="BR313" s="94">
        <v>44740.526504629626</v>
      </c>
      <c r="BS313" s="5">
        <v>167.0</v>
      </c>
      <c r="BT313" s="94">
        <v>44804.50111111111</v>
      </c>
      <c r="BU313" s="5" t="s">
        <v>1770</v>
      </c>
      <c r="BV313" s="94">
        <v>45532.66648148148</v>
      </c>
      <c r="BW313" s="5">
        <v>275.0</v>
      </c>
    </row>
    <row r="314" ht="14.25" customHeight="1">
      <c r="A314" s="5">
        <v>313.0</v>
      </c>
      <c r="B314" s="5">
        <v>579.0</v>
      </c>
      <c r="C314" s="5" t="s">
        <v>4123</v>
      </c>
      <c r="D314" s="5" t="s">
        <v>2098</v>
      </c>
      <c r="E314" s="5" t="s">
        <v>2157</v>
      </c>
      <c r="F314" s="5" t="s">
        <v>4124</v>
      </c>
      <c r="G314" s="5" t="s">
        <v>4125</v>
      </c>
      <c r="H314" s="5" t="s">
        <v>1781</v>
      </c>
      <c r="I314" s="5" t="s">
        <v>1782</v>
      </c>
      <c r="J314" s="5" t="s">
        <v>1770</v>
      </c>
      <c r="K314" s="5" t="s">
        <v>1770</v>
      </c>
      <c r="L314" s="5" t="s">
        <v>4126</v>
      </c>
      <c r="M314" s="5">
        <v>217.0</v>
      </c>
      <c r="N314" s="5"/>
      <c r="O314" s="5">
        <v>55228.0</v>
      </c>
      <c r="P314" s="5" t="s">
        <v>4127</v>
      </c>
      <c r="Q314" s="5" t="s">
        <v>234</v>
      </c>
      <c r="R314" s="5">
        <v>850.0</v>
      </c>
      <c r="S314" s="5">
        <v>3.525237619E9</v>
      </c>
      <c r="T314" s="5"/>
      <c r="U314" s="5" t="s">
        <v>1924</v>
      </c>
      <c r="V314" s="5">
        <v>3.333333333E9</v>
      </c>
      <c r="W314" s="5" t="s">
        <v>4128</v>
      </c>
      <c r="X314" s="91">
        <v>44725.0</v>
      </c>
      <c r="Y314" s="5">
        <v>3.0</v>
      </c>
      <c r="Z314" s="5">
        <v>17.0</v>
      </c>
      <c r="AA314" s="5">
        <v>61.0</v>
      </c>
      <c r="AB314" s="5"/>
      <c r="AC314" s="5"/>
      <c r="AD314" s="5" t="s">
        <v>1770</v>
      </c>
      <c r="AE314" s="5" t="s">
        <v>1770</v>
      </c>
      <c r="AF314" s="5"/>
      <c r="AG314" s="5"/>
      <c r="AH314" s="5">
        <v>1.694752405E9</v>
      </c>
      <c r="AI314" s="5"/>
      <c r="AJ314" s="5"/>
      <c r="AK314" s="5" t="s">
        <v>1773</v>
      </c>
      <c r="AL314" s="92">
        <v>0.0</v>
      </c>
      <c r="AM314" s="5" t="s">
        <v>1770</v>
      </c>
      <c r="AN314" s="5" t="s">
        <v>4122</v>
      </c>
      <c r="AO314" s="5"/>
      <c r="AP314" s="5"/>
      <c r="AQ314" s="5"/>
      <c r="AR314" s="5"/>
      <c r="AS314" s="5"/>
      <c r="AT314" s="5"/>
      <c r="AU314" s="5"/>
      <c r="AV314" s="5"/>
      <c r="AW314" s="5" t="s">
        <v>1770</v>
      </c>
      <c r="AX314" s="5"/>
      <c r="AY314" s="5"/>
      <c r="AZ314" s="5" t="s">
        <v>1770</v>
      </c>
      <c r="BA314" s="93">
        <v>0.0</v>
      </c>
      <c r="BB314" s="93">
        <v>0.0</v>
      </c>
      <c r="BC314" s="93">
        <v>0.0</v>
      </c>
      <c r="BD314" s="93">
        <v>0.0</v>
      </c>
      <c r="BE314" s="93">
        <v>0.0</v>
      </c>
      <c r="BF314" s="93">
        <v>0.0</v>
      </c>
      <c r="BG314" s="5"/>
      <c r="BH314" s="93">
        <v>0.0</v>
      </c>
      <c r="BI314" s="93">
        <v>0.0</v>
      </c>
      <c r="BJ314" s="93">
        <v>0.0</v>
      </c>
      <c r="BK314" s="93">
        <v>0.0</v>
      </c>
      <c r="BL314" s="93">
        <v>0.0</v>
      </c>
      <c r="BM314" s="93">
        <v>0.0</v>
      </c>
      <c r="BN314" s="93">
        <v>0.0</v>
      </c>
      <c r="BO314" s="5"/>
      <c r="BP314" s="5" t="s">
        <v>1770</v>
      </c>
      <c r="BQ314" s="5" t="s">
        <v>1789</v>
      </c>
      <c r="BR314" s="94">
        <v>44740.53538194444</v>
      </c>
      <c r="BS314" s="5">
        <v>167.0</v>
      </c>
      <c r="BT314" s="5" t="s">
        <v>1770</v>
      </c>
      <c r="BU314" s="5" t="s">
        <v>1770</v>
      </c>
      <c r="BV314" s="94">
        <v>44770.56162037037</v>
      </c>
      <c r="BW314" s="5">
        <v>40.0</v>
      </c>
    </row>
    <row r="315" ht="14.25" customHeight="1">
      <c r="A315" s="5">
        <v>314.0</v>
      </c>
      <c r="B315" s="5">
        <v>582.0</v>
      </c>
      <c r="C315" s="5" t="s">
        <v>4129</v>
      </c>
      <c r="D315" s="5" t="s">
        <v>2399</v>
      </c>
      <c r="E315" s="5" t="s">
        <v>2765</v>
      </c>
      <c r="F315" s="5" t="s">
        <v>4130</v>
      </c>
      <c r="G315" s="5" t="s">
        <v>4131</v>
      </c>
      <c r="H315" s="5" t="s">
        <v>1815</v>
      </c>
      <c r="I315" s="5" t="s">
        <v>1763</v>
      </c>
      <c r="J315" s="91">
        <v>35830.0</v>
      </c>
      <c r="K315" s="5">
        <v>129.0</v>
      </c>
      <c r="L315" s="5" t="s">
        <v>4075</v>
      </c>
      <c r="M315" s="5" t="s">
        <v>2913</v>
      </c>
      <c r="N315" s="5"/>
      <c r="O315" s="5">
        <v>9120.0</v>
      </c>
      <c r="P315" s="5" t="s">
        <v>4132</v>
      </c>
      <c r="Q315" s="5" t="s">
        <v>4133</v>
      </c>
      <c r="R315" s="5">
        <v>129.0</v>
      </c>
      <c r="S315" s="5">
        <v>9.631541288E9</v>
      </c>
      <c r="T315" s="5"/>
      <c r="U315" s="5" t="s">
        <v>4134</v>
      </c>
      <c r="V315" s="5">
        <v>9.632303423E9</v>
      </c>
      <c r="W315" s="5" t="s">
        <v>1924</v>
      </c>
      <c r="X315" s="91">
        <v>44736.0</v>
      </c>
      <c r="Y315" s="5">
        <v>2.0</v>
      </c>
      <c r="Z315" s="5">
        <v>4.0</v>
      </c>
      <c r="AA315" s="5">
        <v>40.0</v>
      </c>
      <c r="AB315" s="5"/>
      <c r="AC315" s="5"/>
      <c r="AD315" s="5" t="s">
        <v>1770</v>
      </c>
      <c r="AE315" s="5" t="s">
        <v>1770</v>
      </c>
      <c r="AF315" s="5"/>
      <c r="AG315" s="5"/>
      <c r="AH315" s="5">
        <v>4.7169868156E10</v>
      </c>
      <c r="AI315" s="5"/>
      <c r="AJ315" s="5"/>
      <c r="AK315" s="5" t="s">
        <v>1773</v>
      </c>
      <c r="AL315" s="92">
        <v>0.0</v>
      </c>
      <c r="AM315" s="5" t="s">
        <v>1770</v>
      </c>
      <c r="AN315" s="5" t="s">
        <v>4135</v>
      </c>
      <c r="AO315" s="5"/>
      <c r="AP315" s="5"/>
      <c r="AQ315" s="5"/>
      <c r="AR315" s="5"/>
      <c r="AS315" s="5"/>
      <c r="AT315" s="5"/>
      <c r="AU315" s="5"/>
      <c r="AV315" s="5"/>
      <c r="AW315" s="5" t="s">
        <v>1770</v>
      </c>
      <c r="AX315" s="5"/>
      <c r="AY315" s="5"/>
      <c r="AZ315" s="5" t="s">
        <v>1770</v>
      </c>
      <c r="BA315" s="93">
        <v>0.0</v>
      </c>
      <c r="BB315" s="93">
        <v>0.0</v>
      </c>
      <c r="BC315" s="93">
        <v>0.0</v>
      </c>
      <c r="BD315" s="93">
        <v>0.0</v>
      </c>
      <c r="BE315" s="93">
        <v>0.0</v>
      </c>
      <c r="BF315" s="93">
        <v>0.0</v>
      </c>
      <c r="BG315" s="5"/>
      <c r="BH315" s="93">
        <v>0.0</v>
      </c>
      <c r="BI315" s="93">
        <v>0.0</v>
      </c>
      <c r="BJ315" s="93">
        <v>0.0</v>
      </c>
      <c r="BK315" s="93">
        <v>0.0</v>
      </c>
      <c r="BL315" s="93">
        <v>0.0</v>
      </c>
      <c r="BM315" s="93">
        <v>0.0</v>
      </c>
      <c r="BN315" s="93">
        <v>0.0</v>
      </c>
      <c r="BO315" s="5"/>
      <c r="BP315" s="5" t="s">
        <v>1770</v>
      </c>
      <c r="BQ315" s="5" t="s">
        <v>1789</v>
      </c>
      <c r="BR315" s="94">
        <v>44740.55503472222</v>
      </c>
      <c r="BS315" s="5">
        <v>167.0</v>
      </c>
      <c r="BT315" s="94">
        <v>45118.717002314814</v>
      </c>
      <c r="BU315" s="5" t="s">
        <v>1770</v>
      </c>
      <c r="BV315" s="94">
        <v>45532.664872685185</v>
      </c>
      <c r="BW315" s="5">
        <v>275.0</v>
      </c>
    </row>
    <row r="316" ht="14.25" customHeight="1">
      <c r="A316" s="5">
        <v>315.0</v>
      </c>
      <c r="B316" s="5">
        <v>583.0</v>
      </c>
      <c r="C316" s="5" t="s">
        <v>4136</v>
      </c>
      <c r="D316" s="5" t="s">
        <v>2765</v>
      </c>
      <c r="E316" s="5" t="s">
        <v>3856</v>
      </c>
      <c r="F316" s="5" t="s">
        <v>4137</v>
      </c>
      <c r="G316" s="5" t="s">
        <v>4138</v>
      </c>
      <c r="H316" s="5" t="s">
        <v>1972</v>
      </c>
      <c r="I316" s="5" t="s">
        <v>1782</v>
      </c>
      <c r="J316" s="91">
        <v>44892.0</v>
      </c>
      <c r="K316" s="5">
        <v>133.0</v>
      </c>
      <c r="L316" s="5" t="s">
        <v>4139</v>
      </c>
      <c r="M316" s="5" t="s">
        <v>2913</v>
      </c>
      <c r="N316" s="5"/>
      <c r="O316" s="5">
        <v>9140.0</v>
      </c>
      <c r="P316" s="5" t="s">
        <v>4140</v>
      </c>
      <c r="Q316" s="5" t="s">
        <v>4133</v>
      </c>
      <c r="R316" s="5">
        <v>133.0</v>
      </c>
      <c r="S316" s="5">
        <v>9.631618827E9</v>
      </c>
      <c r="T316" s="5"/>
      <c r="U316" s="5" t="s">
        <v>4141</v>
      </c>
      <c r="V316" s="5">
        <v>6.643616735E9</v>
      </c>
      <c r="W316" s="5" t="s">
        <v>2595</v>
      </c>
      <c r="X316" s="91">
        <v>44739.0</v>
      </c>
      <c r="Y316" s="5">
        <v>3.0</v>
      </c>
      <c r="Z316" s="5">
        <v>4.0</v>
      </c>
      <c r="AA316" s="5">
        <v>39.0</v>
      </c>
      <c r="AB316" s="5" t="s">
        <v>4142</v>
      </c>
      <c r="AC316" s="5" t="s">
        <v>1800</v>
      </c>
      <c r="AD316" s="91">
        <v>45145.0</v>
      </c>
      <c r="AE316" s="91">
        <v>45876.0</v>
      </c>
      <c r="AF316" s="5"/>
      <c r="AG316" s="5"/>
      <c r="AH316" s="5">
        <v>3.9169898648E10</v>
      </c>
      <c r="AI316" s="5">
        <v>77.0</v>
      </c>
      <c r="AJ316" s="5"/>
      <c r="AK316" s="5" t="s">
        <v>1773</v>
      </c>
      <c r="AL316" s="92">
        <v>0.0</v>
      </c>
      <c r="AM316" s="5" t="s">
        <v>1770</v>
      </c>
      <c r="AN316" s="5" t="s">
        <v>1830</v>
      </c>
      <c r="AO316" s="5"/>
      <c r="AP316" s="5"/>
      <c r="AQ316" s="5"/>
      <c r="AR316" s="5"/>
      <c r="AS316" s="5"/>
      <c r="AT316" s="5"/>
      <c r="AU316" s="5"/>
      <c r="AV316" s="5"/>
      <c r="AW316" s="5" t="s">
        <v>1770</v>
      </c>
      <c r="AX316" s="5"/>
      <c r="AY316" s="5"/>
      <c r="AZ316" s="5" t="s">
        <v>1770</v>
      </c>
      <c r="BA316" s="93">
        <v>0.0</v>
      </c>
      <c r="BB316" s="93">
        <v>0.0</v>
      </c>
      <c r="BC316" s="93">
        <v>0.0</v>
      </c>
      <c r="BD316" s="93">
        <v>0.0</v>
      </c>
      <c r="BE316" s="93">
        <v>0.0</v>
      </c>
      <c r="BF316" s="93">
        <v>0.0</v>
      </c>
      <c r="BG316" s="5"/>
      <c r="BH316" s="93">
        <v>0.0</v>
      </c>
      <c r="BI316" s="93">
        <v>0.0</v>
      </c>
      <c r="BJ316" s="93">
        <v>0.0</v>
      </c>
      <c r="BK316" s="93">
        <v>0.0</v>
      </c>
      <c r="BL316" s="93">
        <v>0.0</v>
      </c>
      <c r="BM316" s="93">
        <v>0.0</v>
      </c>
      <c r="BN316" s="93">
        <v>0.0</v>
      </c>
      <c r="BO316" s="5"/>
      <c r="BP316" s="5" t="s">
        <v>1770</v>
      </c>
      <c r="BQ316" s="5" t="s">
        <v>1789</v>
      </c>
      <c r="BR316" s="94">
        <v>44740.5649537037</v>
      </c>
      <c r="BS316" s="5">
        <v>167.0</v>
      </c>
      <c r="BT316" s="94">
        <v>45324.63921296296</v>
      </c>
      <c r="BU316" s="5">
        <v>40.0</v>
      </c>
      <c r="BV316" s="94">
        <v>45532.666921296295</v>
      </c>
      <c r="BW316" s="5">
        <v>275.0</v>
      </c>
    </row>
    <row r="317" ht="14.25" customHeight="1">
      <c r="A317" s="5">
        <v>316.0</v>
      </c>
      <c r="B317" s="5">
        <v>584.0</v>
      </c>
      <c r="C317" s="5" t="s">
        <v>4143</v>
      </c>
      <c r="D317" s="5" t="s">
        <v>4144</v>
      </c>
      <c r="E317" s="5" t="s">
        <v>1777</v>
      </c>
      <c r="F317" s="5" t="s">
        <v>4145</v>
      </c>
      <c r="G317" s="5" t="s">
        <v>4146</v>
      </c>
      <c r="H317" s="5" t="s">
        <v>1972</v>
      </c>
      <c r="I317" s="5" t="s">
        <v>1782</v>
      </c>
      <c r="J317" s="91">
        <v>35576.0</v>
      </c>
      <c r="K317" s="5">
        <v>549.0</v>
      </c>
      <c r="L317" s="5" t="s">
        <v>4147</v>
      </c>
      <c r="M317" s="5">
        <v>67.0</v>
      </c>
      <c r="N317" s="5"/>
      <c r="O317" s="5">
        <v>43884.0</v>
      </c>
      <c r="P317" s="5" t="s">
        <v>2048</v>
      </c>
      <c r="Q317" s="5" t="s">
        <v>1766</v>
      </c>
      <c r="R317" s="5">
        <v>549.0</v>
      </c>
      <c r="S317" s="5">
        <v>3.931040868E9</v>
      </c>
      <c r="T317" s="5"/>
      <c r="U317" s="5" t="s">
        <v>4148</v>
      </c>
      <c r="V317" s="5">
        <v>3.931070801E9</v>
      </c>
      <c r="W317" s="5" t="s">
        <v>1924</v>
      </c>
      <c r="X317" s="91">
        <v>44739.0</v>
      </c>
      <c r="Y317" s="5">
        <v>1.0</v>
      </c>
      <c r="Z317" s="5">
        <v>17.0</v>
      </c>
      <c r="AA317" s="5">
        <v>17.0</v>
      </c>
      <c r="AB317" s="5"/>
      <c r="AC317" s="5"/>
      <c r="AD317" s="5" t="s">
        <v>1770</v>
      </c>
      <c r="AE317" s="5" t="s">
        <v>1770</v>
      </c>
      <c r="AF317" s="5"/>
      <c r="AG317" s="5"/>
      <c r="AH317" s="5">
        <v>1.4169785244E10</v>
      </c>
      <c r="AI317" s="5"/>
      <c r="AJ317" s="5"/>
      <c r="AK317" s="5" t="s">
        <v>1773</v>
      </c>
      <c r="AL317" s="92">
        <v>0.0</v>
      </c>
      <c r="AM317" s="5" t="s">
        <v>1770</v>
      </c>
      <c r="AN317" s="5" t="s">
        <v>1830</v>
      </c>
      <c r="AO317" s="5"/>
      <c r="AP317" s="5"/>
      <c r="AQ317" s="5"/>
      <c r="AR317" s="5"/>
      <c r="AS317" s="5"/>
      <c r="AT317" s="5"/>
      <c r="AU317" s="5"/>
      <c r="AV317" s="5"/>
      <c r="AW317" s="5" t="s">
        <v>1770</v>
      </c>
      <c r="AX317" s="5"/>
      <c r="AY317" s="5"/>
      <c r="AZ317" s="5" t="s">
        <v>1770</v>
      </c>
      <c r="BA317" s="93">
        <v>0.0</v>
      </c>
      <c r="BB317" s="93">
        <v>0.0</v>
      </c>
      <c r="BC317" s="93">
        <v>0.0</v>
      </c>
      <c r="BD317" s="93">
        <v>0.0</v>
      </c>
      <c r="BE317" s="93">
        <v>0.0</v>
      </c>
      <c r="BF317" s="93">
        <v>0.0</v>
      </c>
      <c r="BG317" s="5"/>
      <c r="BH317" s="93">
        <v>0.0</v>
      </c>
      <c r="BI317" s="93">
        <v>0.0</v>
      </c>
      <c r="BJ317" s="93">
        <v>0.0</v>
      </c>
      <c r="BK317" s="93">
        <v>0.0</v>
      </c>
      <c r="BL317" s="93">
        <v>0.0</v>
      </c>
      <c r="BM317" s="93">
        <v>0.0</v>
      </c>
      <c r="BN317" s="93">
        <v>0.0</v>
      </c>
      <c r="BO317" s="5"/>
      <c r="BP317" s="5" t="s">
        <v>1770</v>
      </c>
      <c r="BQ317" s="5" t="s">
        <v>1789</v>
      </c>
      <c r="BR317" s="94">
        <v>44740.57443287037</v>
      </c>
      <c r="BS317" s="5">
        <v>167.0</v>
      </c>
      <c r="BT317" s="5" t="s">
        <v>1770</v>
      </c>
      <c r="BU317" s="5" t="s">
        <v>1770</v>
      </c>
      <c r="BV317" s="94">
        <v>44980.4509375</v>
      </c>
      <c r="BW317" s="5">
        <v>40.0</v>
      </c>
    </row>
    <row r="318" ht="14.25" customHeight="1">
      <c r="A318" s="5">
        <v>317.0</v>
      </c>
      <c r="B318" s="5">
        <v>585.0</v>
      </c>
      <c r="C318" s="5" t="s">
        <v>2251</v>
      </c>
      <c r="D318" s="100" t="s">
        <v>2377</v>
      </c>
      <c r="E318" s="5" t="s">
        <v>1777</v>
      </c>
      <c r="F318" s="5" t="s">
        <v>4149</v>
      </c>
      <c r="G318" s="5" t="s">
        <v>4150</v>
      </c>
      <c r="H318" s="5"/>
      <c r="I318" s="5" t="s">
        <v>1763</v>
      </c>
      <c r="J318" s="91">
        <v>34967.0</v>
      </c>
      <c r="K318" s="5">
        <v>792.0</v>
      </c>
      <c r="L318" s="5" t="s">
        <v>4151</v>
      </c>
      <c r="M318" s="5">
        <v>649.0</v>
      </c>
      <c r="N318" s="5"/>
      <c r="O318" s="5">
        <v>43882.0</v>
      </c>
      <c r="P318" s="5" t="s">
        <v>2743</v>
      </c>
      <c r="Q318" s="5" t="s">
        <v>1766</v>
      </c>
      <c r="R318" s="5">
        <v>549.0</v>
      </c>
      <c r="S318" s="5">
        <v>3.931008343E9</v>
      </c>
      <c r="T318" s="5"/>
      <c r="U318" s="5" t="s">
        <v>4152</v>
      </c>
      <c r="V318" s="5">
        <v>3.939396692E9</v>
      </c>
      <c r="W318" s="5" t="s">
        <v>1924</v>
      </c>
      <c r="X318" s="91">
        <v>44739.0</v>
      </c>
      <c r="Y318" s="5">
        <v>1.0</v>
      </c>
      <c r="Z318" s="5">
        <v>17.0</v>
      </c>
      <c r="AA318" s="5">
        <v>21.0</v>
      </c>
      <c r="AB318" s="5"/>
      <c r="AC318" s="5"/>
      <c r="AD318" s="5" t="s">
        <v>1770</v>
      </c>
      <c r="AE318" s="5" t="s">
        <v>1770</v>
      </c>
      <c r="AF318" s="5"/>
      <c r="AG318" s="5"/>
      <c r="AH318" s="5">
        <v>6.16950879E9</v>
      </c>
      <c r="AI318" s="5">
        <v>23.0</v>
      </c>
      <c r="AJ318" s="5"/>
      <c r="AK318" s="5" t="s">
        <v>1773</v>
      </c>
      <c r="AL318" s="92">
        <v>0.0</v>
      </c>
      <c r="AM318" s="5" t="s">
        <v>1770</v>
      </c>
      <c r="AN318" s="5" t="s">
        <v>1774</v>
      </c>
      <c r="AO318" s="5"/>
      <c r="AP318" s="5"/>
      <c r="AQ318" s="5"/>
      <c r="AR318" s="5"/>
      <c r="AS318" s="5"/>
      <c r="AT318" s="5"/>
      <c r="AU318" s="5"/>
      <c r="AV318" s="5"/>
      <c r="AW318" s="5" t="s">
        <v>1770</v>
      </c>
      <c r="AX318" s="5"/>
      <c r="AY318" s="5"/>
      <c r="AZ318" s="5" t="s">
        <v>1770</v>
      </c>
      <c r="BA318" s="93">
        <v>0.0</v>
      </c>
      <c r="BB318" s="93">
        <v>0.0</v>
      </c>
      <c r="BC318" s="93">
        <v>0.0</v>
      </c>
      <c r="BD318" s="93">
        <v>0.0</v>
      </c>
      <c r="BE318" s="93">
        <v>0.0</v>
      </c>
      <c r="BF318" s="93">
        <v>0.0</v>
      </c>
      <c r="BG318" s="5"/>
      <c r="BH318" s="93">
        <v>0.0</v>
      </c>
      <c r="BI318" s="93">
        <v>0.0</v>
      </c>
      <c r="BJ318" s="93">
        <v>0.0</v>
      </c>
      <c r="BK318" s="93">
        <v>0.0</v>
      </c>
      <c r="BL318" s="93">
        <v>0.0</v>
      </c>
      <c r="BM318" s="93">
        <v>0.0</v>
      </c>
      <c r="BN318" s="93">
        <v>0.0</v>
      </c>
      <c r="BO318" s="5"/>
      <c r="BP318" s="5" t="s">
        <v>1770</v>
      </c>
      <c r="BQ318" s="5" t="s">
        <v>1789</v>
      </c>
      <c r="BR318" s="94">
        <v>44740.605671296296</v>
      </c>
      <c r="BS318" s="5">
        <v>167.0</v>
      </c>
      <c r="BT318" s="5" t="s">
        <v>1770</v>
      </c>
      <c r="BU318" s="5" t="s">
        <v>1770</v>
      </c>
      <c r="BV318" s="94">
        <v>45671.69648148148</v>
      </c>
      <c r="BW318" s="5" t="s">
        <v>1770</v>
      </c>
    </row>
    <row r="319" ht="14.25" customHeight="1">
      <c r="A319" s="5">
        <v>318.0</v>
      </c>
      <c r="B319" s="5">
        <v>586.0</v>
      </c>
      <c r="C319" s="5" t="s">
        <v>4153</v>
      </c>
      <c r="D319" s="5" t="s">
        <v>4154</v>
      </c>
      <c r="E319" s="100" t="s">
        <v>2527</v>
      </c>
      <c r="F319" s="5" t="s">
        <v>4155</v>
      </c>
      <c r="G319" s="5" t="s">
        <v>4156</v>
      </c>
      <c r="H319" s="5" t="s">
        <v>1972</v>
      </c>
      <c r="I319" s="5" t="s">
        <v>1782</v>
      </c>
      <c r="J319" s="91">
        <v>35766.0</v>
      </c>
      <c r="K319" s="5">
        <v>549.0</v>
      </c>
      <c r="L319" s="5" t="s">
        <v>4157</v>
      </c>
      <c r="M319" s="5">
        <v>45.0</v>
      </c>
      <c r="N319" s="5"/>
      <c r="O319" s="5">
        <v>43882.0</v>
      </c>
      <c r="P319" s="5" t="s">
        <v>3694</v>
      </c>
      <c r="Q319" s="5" t="s">
        <v>1766</v>
      </c>
      <c r="R319" s="5">
        <v>549.0</v>
      </c>
      <c r="S319" s="5">
        <v>3.931068361E9</v>
      </c>
      <c r="T319" s="5" t="s">
        <v>4158</v>
      </c>
      <c r="U319" s="5" t="s">
        <v>4159</v>
      </c>
      <c r="V319" s="5">
        <v>3.931000952E9</v>
      </c>
      <c r="W319" s="5" t="s">
        <v>2595</v>
      </c>
      <c r="X319" s="91">
        <v>44734.0</v>
      </c>
      <c r="Y319" s="5">
        <v>5.0</v>
      </c>
      <c r="Z319" s="5">
        <v>3.0</v>
      </c>
      <c r="AA319" s="5">
        <v>58.0</v>
      </c>
      <c r="AB319" s="5" t="s">
        <v>4160</v>
      </c>
      <c r="AC319" s="5" t="s">
        <v>1772</v>
      </c>
      <c r="AD319" s="91">
        <v>45504.0</v>
      </c>
      <c r="AE319" s="91">
        <v>46965.0</v>
      </c>
      <c r="AF319" s="5"/>
      <c r="AG319" s="5"/>
      <c r="AH319" s="5">
        <v>5.139759194E9</v>
      </c>
      <c r="AI319" s="5">
        <v>23.0</v>
      </c>
      <c r="AJ319" s="5"/>
      <c r="AK319" s="5" t="s">
        <v>1773</v>
      </c>
      <c r="AL319" s="92">
        <v>0.0</v>
      </c>
      <c r="AM319" s="5" t="s">
        <v>1770</v>
      </c>
      <c r="AN319" s="5" t="s">
        <v>2052</v>
      </c>
      <c r="AO319" s="5"/>
      <c r="AP319" s="5"/>
      <c r="AQ319" s="5"/>
      <c r="AR319" s="5"/>
      <c r="AS319" s="5"/>
      <c r="AT319" s="5"/>
      <c r="AU319" s="5"/>
      <c r="AV319" s="5"/>
      <c r="AW319" s="5" t="s">
        <v>1770</v>
      </c>
      <c r="AX319" s="5"/>
      <c r="AY319" s="5"/>
      <c r="AZ319" s="5" t="s">
        <v>1770</v>
      </c>
      <c r="BA319" s="93">
        <v>0.0</v>
      </c>
      <c r="BB319" s="93">
        <v>0.0</v>
      </c>
      <c r="BC319" s="93">
        <v>0.0</v>
      </c>
      <c r="BD319" s="93">
        <v>0.0</v>
      </c>
      <c r="BE319" s="93">
        <v>0.0</v>
      </c>
      <c r="BF319" s="93">
        <v>0.0</v>
      </c>
      <c r="BG319" s="5"/>
      <c r="BH319" s="93">
        <v>0.0</v>
      </c>
      <c r="BI319" s="93">
        <v>0.0</v>
      </c>
      <c r="BJ319" s="93">
        <v>0.0</v>
      </c>
      <c r="BK319" s="93">
        <v>0.0</v>
      </c>
      <c r="BL319" s="93">
        <v>0.0</v>
      </c>
      <c r="BM319" s="93">
        <v>0.0</v>
      </c>
      <c r="BN319" s="93">
        <v>0.0</v>
      </c>
      <c r="BO319" s="5"/>
      <c r="BP319" s="5"/>
      <c r="BQ319" s="5" t="s">
        <v>1775</v>
      </c>
      <c r="BR319" s="94">
        <v>44742.43880787037</v>
      </c>
      <c r="BS319" s="5">
        <v>167.0</v>
      </c>
      <c r="BT319" s="94">
        <v>46133.50013888889</v>
      </c>
      <c r="BU319" s="5">
        <v>272.0</v>
      </c>
      <c r="BV319" s="5" t="s">
        <v>1770</v>
      </c>
      <c r="BW319" s="5" t="s">
        <v>1770</v>
      </c>
    </row>
    <row r="320" ht="14.25" customHeight="1">
      <c r="A320" s="5">
        <v>319.0</v>
      </c>
      <c r="B320" s="5">
        <v>587.0</v>
      </c>
      <c r="C320" s="5" t="s">
        <v>4161</v>
      </c>
      <c r="D320" s="5" t="s">
        <v>4162</v>
      </c>
      <c r="E320" s="5" t="s">
        <v>1778</v>
      </c>
      <c r="F320" s="5" t="s">
        <v>4163</v>
      </c>
      <c r="G320" s="5" t="s">
        <v>4164</v>
      </c>
      <c r="H320" s="5" t="s">
        <v>1815</v>
      </c>
      <c r="I320" s="5" t="s">
        <v>1763</v>
      </c>
      <c r="J320" s="91">
        <v>34944.0</v>
      </c>
      <c r="K320" s="5">
        <v>850.0</v>
      </c>
      <c r="L320" s="5" t="s">
        <v>4165</v>
      </c>
      <c r="M320" s="5">
        <v>83.0</v>
      </c>
      <c r="N320" s="5"/>
      <c r="O320" s="5">
        <v>55142.0</v>
      </c>
      <c r="P320" s="5" t="s">
        <v>4166</v>
      </c>
      <c r="Q320" s="5" t="s">
        <v>234</v>
      </c>
      <c r="R320" s="5">
        <v>850.0</v>
      </c>
      <c r="S320" s="5">
        <v>3.521151111E9</v>
      </c>
      <c r="T320" s="5" t="s">
        <v>4167</v>
      </c>
      <c r="U320" s="5" t="s">
        <v>4168</v>
      </c>
      <c r="V320" s="5">
        <v>3.521055769E9</v>
      </c>
      <c r="W320" s="5" t="s">
        <v>4169</v>
      </c>
      <c r="X320" s="91">
        <v>44746.0</v>
      </c>
      <c r="Y320" s="5">
        <v>3.0</v>
      </c>
      <c r="Z320" s="5">
        <v>17.0</v>
      </c>
      <c r="AA320" s="5">
        <v>18.0</v>
      </c>
      <c r="AB320" s="5" t="s">
        <v>4170</v>
      </c>
      <c r="AC320" s="5" t="s">
        <v>1772</v>
      </c>
      <c r="AD320" s="91">
        <v>44342.0</v>
      </c>
      <c r="AE320" s="91">
        <v>45803.0</v>
      </c>
      <c r="AF320" s="5"/>
      <c r="AG320" s="5"/>
      <c r="AH320" s="5">
        <v>2.5169555882E10</v>
      </c>
      <c r="AI320" s="5">
        <v>77.0</v>
      </c>
      <c r="AJ320" s="5"/>
      <c r="AK320" s="5" t="s">
        <v>1773</v>
      </c>
      <c r="AL320" s="92">
        <v>0.0</v>
      </c>
      <c r="AM320" s="5" t="s">
        <v>1770</v>
      </c>
      <c r="AN320" s="5" t="s">
        <v>1809</v>
      </c>
      <c r="AO320" s="5"/>
      <c r="AP320" s="5"/>
      <c r="AQ320" s="5"/>
      <c r="AR320" s="5"/>
      <c r="AS320" s="5"/>
      <c r="AT320" s="5"/>
      <c r="AU320" s="5"/>
      <c r="AV320" s="5"/>
      <c r="AW320" s="5" t="s">
        <v>1770</v>
      </c>
      <c r="AX320" s="5"/>
      <c r="AY320" s="5"/>
      <c r="AZ320" s="5" t="s">
        <v>1770</v>
      </c>
      <c r="BA320" s="93">
        <v>0.0</v>
      </c>
      <c r="BB320" s="93">
        <v>0.0</v>
      </c>
      <c r="BC320" s="93">
        <v>0.0</v>
      </c>
      <c r="BD320" s="93">
        <v>0.0</v>
      </c>
      <c r="BE320" s="93">
        <v>0.0</v>
      </c>
      <c r="BF320" s="93">
        <v>0.0</v>
      </c>
      <c r="BG320" s="5"/>
      <c r="BH320" s="93">
        <v>0.0</v>
      </c>
      <c r="BI320" s="93">
        <v>0.0</v>
      </c>
      <c r="BJ320" s="93">
        <v>0.0</v>
      </c>
      <c r="BK320" s="93">
        <v>0.0</v>
      </c>
      <c r="BL320" s="93">
        <v>0.0</v>
      </c>
      <c r="BM320" s="93">
        <v>0.0</v>
      </c>
      <c r="BN320" s="93">
        <v>0.0</v>
      </c>
      <c r="BO320" s="5"/>
      <c r="BP320" s="5"/>
      <c r="BQ320" s="5" t="s">
        <v>1775</v>
      </c>
      <c r="BR320" s="94">
        <v>44749.442557870374</v>
      </c>
      <c r="BS320" s="5">
        <v>40.0</v>
      </c>
      <c r="BT320" s="94">
        <v>46134.67422453704</v>
      </c>
      <c r="BU320" s="5" t="s">
        <v>1770</v>
      </c>
      <c r="BV320" s="5" t="s">
        <v>1770</v>
      </c>
      <c r="BW320" s="5" t="s">
        <v>1770</v>
      </c>
    </row>
    <row r="321" ht="14.25" customHeight="1">
      <c r="A321" s="5">
        <v>320.0</v>
      </c>
      <c r="B321" s="5">
        <v>588.0</v>
      </c>
      <c r="C321" s="5" t="s">
        <v>1897</v>
      </c>
      <c r="D321" s="5" t="s">
        <v>2414</v>
      </c>
      <c r="E321" s="5" t="s">
        <v>2414</v>
      </c>
      <c r="F321" s="5" t="s">
        <v>4171</v>
      </c>
      <c r="G321" s="5" t="s">
        <v>4172</v>
      </c>
      <c r="H321" s="5" t="s">
        <v>2671</v>
      </c>
      <c r="I321" s="5" t="s">
        <v>1782</v>
      </c>
      <c r="J321" s="91">
        <v>29411.0</v>
      </c>
      <c r="K321" s="5">
        <v>784.0</v>
      </c>
      <c r="L321" s="5" t="s">
        <v>4173</v>
      </c>
      <c r="M321" s="5" t="s">
        <v>2913</v>
      </c>
      <c r="N321" s="5"/>
      <c r="O321" s="5">
        <v>54722.0</v>
      </c>
      <c r="P321" s="5" t="s">
        <v>4174</v>
      </c>
      <c r="Q321" s="5" t="s">
        <v>4174</v>
      </c>
      <c r="R321" s="5">
        <v>784.0</v>
      </c>
      <c r="S321" s="5">
        <v>4.431107706E9</v>
      </c>
      <c r="T321" s="5" t="s">
        <v>4175</v>
      </c>
      <c r="U321" s="5" t="s">
        <v>4176</v>
      </c>
      <c r="V321" s="5">
        <v>4.434126441E9</v>
      </c>
      <c r="W321" s="5" t="s">
        <v>4177</v>
      </c>
      <c r="X321" s="91">
        <v>44746.0</v>
      </c>
      <c r="Y321" s="5">
        <v>4.0</v>
      </c>
      <c r="Z321" s="5">
        <v>19.0</v>
      </c>
      <c r="AA321" s="5">
        <v>1.0</v>
      </c>
      <c r="AB321" s="5" t="s">
        <v>4178</v>
      </c>
      <c r="AC321" s="5" t="s">
        <v>1800</v>
      </c>
      <c r="AD321" s="91">
        <v>44257.0</v>
      </c>
      <c r="AE321" s="91">
        <v>54849.0</v>
      </c>
      <c r="AF321" s="5"/>
      <c r="AG321" s="5"/>
      <c r="AH321" s="5">
        <v>1.405801034E10</v>
      </c>
      <c r="AI321" s="5">
        <v>75.0</v>
      </c>
      <c r="AJ321" s="5"/>
      <c r="AK321" s="5" t="s">
        <v>1773</v>
      </c>
      <c r="AL321" s="92">
        <v>0.0</v>
      </c>
      <c r="AM321" s="5" t="s">
        <v>1770</v>
      </c>
      <c r="AN321" s="5" t="s">
        <v>4179</v>
      </c>
      <c r="AO321" s="5"/>
      <c r="AP321" s="5"/>
      <c r="AQ321" s="5"/>
      <c r="AR321" s="5"/>
      <c r="AS321" s="5"/>
      <c r="AT321" s="5"/>
      <c r="AU321" s="5"/>
      <c r="AV321" s="5"/>
      <c r="AW321" s="5" t="s">
        <v>1770</v>
      </c>
      <c r="AX321" s="5"/>
      <c r="AY321" s="5"/>
      <c r="AZ321" s="5" t="s">
        <v>1770</v>
      </c>
      <c r="BA321" s="93">
        <v>0.0</v>
      </c>
      <c r="BB321" s="93">
        <v>0.0</v>
      </c>
      <c r="BC321" s="93">
        <v>0.0</v>
      </c>
      <c r="BD321" s="93">
        <v>0.0</v>
      </c>
      <c r="BE321" s="93">
        <v>0.0</v>
      </c>
      <c r="BF321" s="93">
        <v>0.0</v>
      </c>
      <c r="BG321" s="5"/>
      <c r="BH321" s="93">
        <v>0.0</v>
      </c>
      <c r="BI321" s="93">
        <v>0.0</v>
      </c>
      <c r="BJ321" s="93">
        <v>0.0</v>
      </c>
      <c r="BK321" s="93">
        <v>0.0</v>
      </c>
      <c r="BL321" s="93">
        <v>0.0</v>
      </c>
      <c r="BM321" s="93">
        <v>0.0</v>
      </c>
      <c r="BN321" s="93">
        <v>0.0</v>
      </c>
      <c r="BO321" s="5"/>
      <c r="BP321" s="5" t="s">
        <v>1770</v>
      </c>
      <c r="BQ321" s="5" t="s">
        <v>1789</v>
      </c>
      <c r="BR321" s="94">
        <v>44749.45585648148</v>
      </c>
      <c r="BS321" s="5">
        <v>40.0</v>
      </c>
      <c r="BT321" s="5" t="s">
        <v>1770</v>
      </c>
      <c r="BU321" s="5" t="s">
        <v>1770</v>
      </c>
      <c r="BV321" s="94">
        <v>44980.446226851855</v>
      </c>
      <c r="BW321" s="5">
        <v>40.0</v>
      </c>
    </row>
    <row r="322" ht="14.25" customHeight="1">
      <c r="A322" s="5">
        <v>321.0</v>
      </c>
      <c r="B322" s="5">
        <v>589.0</v>
      </c>
      <c r="C322" s="5" t="s">
        <v>4180</v>
      </c>
      <c r="D322" s="5" t="s">
        <v>1758</v>
      </c>
      <c r="E322" s="5" t="s">
        <v>4181</v>
      </c>
      <c r="F322" s="5" t="s">
        <v>4182</v>
      </c>
      <c r="G322" s="5" t="s">
        <v>4183</v>
      </c>
      <c r="H322" s="5" t="s">
        <v>2671</v>
      </c>
      <c r="I322" s="5" t="s">
        <v>1763</v>
      </c>
      <c r="J322" s="91">
        <v>33545.0</v>
      </c>
      <c r="K322" s="5">
        <v>850.0</v>
      </c>
      <c r="L322" s="5" t="s">
        <v>4184</v>
      </c>
      <c r="M322" s="5">
        <v>409.0</v>
      </c>
      <c r="N322" s="5" t="s">
        <v>2340</v>
      </c>
      <c r="O322" s="5">
        <v>55162.0</v>
      </c>
      <c r="P322" s="5" t="s">
        <v>4185</v>
      </c>
      <c r="Q322" s="5" t="s">
        <v>234</v>
      </c>
      <c r="R322" s="5">
        <v>850.0</v>
      </c>
      <c r="S322" s="5">
        <v>3.525286826E9</v>
      </c>
      <c r="T322" s="5" t="s">
        <v>4186</v>
      </c>
      <c r="U322" s="5" t="s">
        <v>4187</v>
      </c>
      <c r="V322" s="5">
        <v>3.521166862E9</v>
      </c>
      <c r="W322" s="5" t="s">
        <v>2675</v>
      </c>
      <c r="X322" s="91">
        <v>44747.0</v>
      </c>
      <c r="Y322" s="5">
        <v>3.0</v>
      </c>
      <c r="Z322" s="5">
        <v>19.0</v>
      </c>
      <c r="AA322" s="5">
        <v>74.0</v>
      </c>
      <c r="AB322" s="5"/>
      <c r="AC322" s="5"/>
      <c r="AD322" s="5" t="s">
        <v>1770</v>
      </c>
      <c r="AE322" s="5" t="s">
        <v>1770</v>
      </c>
      <c r="AF322" s="5"/>
      <c r="AG322" s="5"/>
      <c r="AH322" s="5">
        <v>1.7149120762E10</v>
      </c>
      <c r="AI322" s="5">
        <v>77.0</v>
      </c>
      <c r="AJ322" s="5"/>
      <c r="AK322" s="5" t="s">
        <v>1773</v>
      </c>
      <c r="AL322" s="92">
        <v>0.0</v>
      </c>
      <c r="AM322" s="5" t="s">
        <v>1770</v>
      </c>
      <c r="AN322" s="5" t="s">
        <v>1830</v>
      </c>
      <c r="AO322" s="5"/>
      <c r="AP322" s="5"/>
      <c r="AQ322" s="5"/>
      <c r="AR322" s="5"/>
      <c r="AS322" s="5"/>
      <c r="AT322" s="5"/>
      <c r="AU322" s="5"/>
      <c r="AV322" s="5"/>
      <c r="AW322" s="5" t="s">
        <v>1770</v>
      </c>
      <c r="AX322" s="5"/>
      <c r="AY322" s="5"/>
      <c r="AZ322" s="5" t="s">
        <v>1770</v>
      </c>
      <c r="BA322" s="93">
        <v>0.0</v>
      </c>
      <c r="BB322" s="93">
        <v>0.0</v>
      </c>
      <c r="BC322" s="93">
        <v>0.0</v>
      </c>
      <c r="BD322" s="93">
        <v>0.0</v>
      </c>
      <c r="BE322" s="93">
        <v>0.0</v>
      </c>
      <c r="BF322" s="93">
        <v>0.0</v>
      </c>
      <c r="BG322" s="5"/>
      <c r="BH322" s="93">
        <v>0.0</v>
      </c>
      <c r="BI322" s="93">
        <v>0.0</v>
      </c>
      <c r="BJ322" s="93">
        <v>0.0</v>
      </c>
      <c r="BK322" s="93">
        <v>0.0</v>
      </c>
      <c r="BL322" s="93">
        <v>0.0</v>
      </c>
      <c r="BM322" s="93">
        <v>0.0</v>
      </c>
      <c r="BN322" s="93">
        <v>0.0</v>
      </c>
      <c r="BO322" s="5"/>
      <c r="BP322" s="5"/>
      <c r="BQ322" s="5" t="s">
        <v>1775</v>
      </c>
      <c r="BR322" s="94">
        <v>44749.46450231481</v>
      </c>
      <c r="BS322" s="5">
        <v>40.0</v>
      </c>
      <c r="BT322" s="94">
        <v>46134.70732638889</v>
      </c>
      <c r="BU322" s="5" t="s">
        <v>1770</v>
      </c>
      <c r="BV322" s="5" t="s">
        <v>1770</v>
      </c>
      <c r="BW322" s="5" t="s">
        <v>1770</v>
      </c>
    </row>
    <row r="323" ht="14.25" customHeight="1">
      <c r="A323" s="5">
        <v>322.0</v>
      </c>
      <c r="B323" s="5">
        <v>590.0</v>
      </c>
      <c r="C323" s="5" t="s">
        <v>4188</v>
      </c>
      <c r="D323" s="5" t="s">
        <v>2859</v>
      </c>
      <c r="E323" s="5" t="s">
        <v>1758</v>
      </c>
      <c r="F323" s="5" t="s">
        <v>4189</v>
      </c>
      <c r="G323" s="5" t="s">
        <v>4190</v>
      </c>
      <c r="H323" s="5" t="s">
        <v>1972</v>
      </c>
      <c r="I323" s="5" t="s">
        <v>1763</v>
      </c>
      <c r="J323" s="91">
        <v>35539.0</v>
      </c>
      <c r="K323" s="5">
        <v>549.0</v>
      </c>
      <c r="L323" s="5" t="s">
        <v>4191</v>
      </c>
      <c r="M323" s="5">
        <v>21.0</v>
      </c>
      <c r="N323" s="5"/>
      <c r="O323" s="5">
        <v>43886.0</v>
      </c>
      <c r="P323" s="5" t="s">
        <v>4192</v>
      </c>
      <c r="Q323" s="5" t="s">
        <v>4192</v>
      </c>
      <c r="R323" s="5">
        <v>549.0</v>
      </c>
      <c r="S323" s="5">
        <v>3.931007089E9</v>
      </c>
      <c r="T323" s="5" t="s">
        <v>4193</v>
      </c>
      <c r="U323" s="5" t="s">
        <v>4194</v>
      </c>
      <c r="V323" s="5">
        <v>3.931049954E9</v>
      </c>
      <c r="W323" s="5" t="s">
        <v>1965</v>
      </c>
      <c r="X323" s="91">
        <v>44747.0</v>
      </c>
      <c r="Y323" s="5" t="s">
        <v>1770</v>
      </c>
      <c r="Z323" s="5">
        <v>11.0</v>
      </c>
      <c r="AA323" s="5">
        <v>88.0</v>
      </c>
      <c r="AB323" s="5"/>
      <c r="AC323" s="5"/>
      <c r="AD323" s="5" t="s">
        <v>1770</v>
      </c>
      <c r="AE323" s="5" t="s">
        <v>1770</v>
      </c>
      <c r="AF323" s="5"/>
      <c r="AG323" s="5"/>
      <c r="AH323" s="5">
        <v>2.2169787722E10</v>
      </c>
      <c r="AI323" s="5">
        <v>23.0</v>
      </c>
      <c r="AJ323" s="5"/>
      <c r="AK323" s="5" t="s">
        <v>1773</v>
      </c>
      <c r="AL323" s="92">
        <v>0.0</v>
      </c>
      <c r="AM323" s="5" t="s">
        <v>1770</v>
      </c>
      <c r="AN323" s="5" t="s">
        <v>1830</v>
      </c>
      <c r="AO323" s="5"/>
      <c r="AP323" s="5"/>
      <c r="AQ323" s="5"/>
      <c r="AR323" s="5"/>
      <c r="AS323" s="5"/>
      <c r="AT323" s="5"/>
      <c r="AU323" s="5"/>
      <c r="AV323" s="5"/>
      <c r="AW323" s="5" t="s">
        <v>1770</v>
      </c>
      <c r="AX323" s="5"/>
      <c r="AY323" s="5"/>
      <c r="AZ323" s="5" t="s">
        <v>1770</v>
      </c>
      <c r="BA323" s="93">
        <v>0.0</v>
      </c>
      <c r="BB323" s="93">
        <v>0.0</v>
      </c>
      <c r="BC323" s="93">
        <v>0.0</v>
      </c>
      <c r="BD323" s="93">
        <v>0.0</v>
      </c>
      <c r="BE323" s="93">
        <v>0.0</v>
      </c>
      <c r="BF323" s="93">
        <v>0.0</v>
      </c>
      <c r="BG323" s="5"/>
      <c r="BH323" s="93">
        <v>0.0</v>
      </c>
      <c r="BI323" s="93">
        <v>0.0</v>
      </c>
      <c r="BJ323" s="93">
        <v>0.0</v>
      </c>
      <c r="BK323" s="93">
        <v>0.0</v>
      </c>
      <c r="BL323" s="93">
        <v>0.0</v>
      </c>
      <c r="BM323" s="93">
        <v>0.0</v>
      </c>
      <c r="BN323" s="93">
        <v>0.0</v>
      </c>
      <c r="BO323" s="5"/>
      <c r="BP323" s="5"/>
      <c r="BQ323" s="5" t="s">
        <v>1775</v>
      </c>
      <c r="BR323" s="94">
        <v>44749.481412037036</v>
      </c>
      <c r="BS323" s="5">
        <v>40.0</v>
      </c>
      <c r="BT323" s="94">
        <v>46134.582094907404</v>
      </c>
      <c r="BU323" s="5" t="s">
        <v>1770</v>
      </c>
      <c r="BV323" s="5" t="s">
        <v>1770</v>
      </c>
      <c r="BW323" s="5" t="s">
        <v>1770</v>
      </c>
    </row>
    <row r="324" ht="14.25" customHeight="1">
      <c r="A324" s="5">
        <v>323.0</v>
      </c>
      <c r="B324" s="5">
        <v>591.0</v>
      </c>
      <c r="C324" s="5" t="s">
        <v>4195</v>
      </c>
      <c r="D324" s="5" t="s">
        <v>2235</v>
      </c>
      <c r="E324" s="5" t="s">
        <v>4196</v>
      </c>
      <c r="F324" s="5" t="s">
        <v>4197</v>
      </c>
      <c r="G324" s="5" t="s">
        <v>4198</v>
      </c>
      <c r="H324" s="5" t="s">
        <v>1815</v>
      </c>
      <c r="I324" s="5" t="s">
        <v>1763</v>
      </c>
      <c r="J324" s="91">
        <v>44693.0</v>
      </c>
      <c r="K324" s="5">
        <v>889.0</v>
      </c>
      <c r="L324" s="5" t="s">
        <v>4199</v>
      </c>
      <c r="M324" s="5">
        <v>57.0</v>
      </c>
      <c r="N324" s="5"/>
      <c r="O324" s="5">
        <v>55177.0</v>
      </c>
      <c r="P324" s="5" t="s">
        <v>4200</v>
      </c>
      <c r="Q324" s="5" t="s">
        <v>234</v>
      </c>
      <c r="R324" s="5">
        <v>850.0</v>
      </c>
      <c r="S324" s="5">
        <v>3.525277511E9</v>
      </c>
      <c r="T324" s="5"/>
      <c r="U324" s="5" t="s">
        <v>1924</v>
      </c>
      <c r="V324" s="5">
        <v>3.521120202E9</v>
      </c>
      <c r="W324" s="5" t="s">
        <v>1924</v>
      </c>
      <c r="X324" s="91">
        <v>44763.0</v>
      </c>
      <c r="Y324" s="5">
        <v>3.0</v>
      </c>
      <c r="Z324" s="5">
        <v>4.0</v>
      </c>
      <c r="AA324" s="5">
        <v>17.0</v>
      </c>
      <c r="AB324" s="5"/>
      <c r="AC324" s="5"/>
      <c r="AD324" s="5" t="s">
        <v>1770</v>
      </c>
      <c r="AE324" s="5" t="s">
        <v>1770</v>
      </c>
      <c r="AF324" s="5"/>
      <c r="AG324" s="5"/>
      <c r="AH324" s="5">
        <v>6.9160083783E10</v>
      </c>
      <c r="AI324" s="5">
        <v>77.0</v>
      </c>
      <c r="AJ324" s="5"/>
      <c r="AK324" s="5" t="s">
        <v>1773</v>
      </c>
      <c r="AL324" s="92">
        <v>0.0</v>
      </c>
      <c r="AM324" s="5" t="s">
        <v>1770</v>
      </c>
      <c r="AN324" s="5" t="s">
        <v>1830</v>
      </c>
      <c r="AO324" s="5"/>
      <c r="AP324" s="5"/>
      <c r="AQ324" s="5"/>
      <c r="AR324" s="5"/>
      <c r="AS324" s="5"/>
      <c r="AT324" s="5"/>
      <c r="AU324" s="5"/>
      <c r="AV324" s="5"/>
      <c r="AW324" s="5" t="s">
        <v>1770</v>
      </c>
      <c r="AX324" s="5"/>
      <c r="AY324" s="5"/>
      <c r="AZ324" s="5" t="s">
        <v>1770</v>
      </c>
      <c r="BA324" s="93">
        <v>0.0</v>
      </c>
      <c r="BB324" s="93">
        <v>0.0</v>
      </c>
      <c r="BC324" s="93">
        <v>0.0</v>
      </c>
      <c r="BD324" s="93">
        <v>0.0</v>
      </c>
      <c r="BE324" s="93">
        <v>0.0</v>
      </c>
      <c r="BF324" s="93">
        <v>0.0</v>
      </c>
      <c r="BG324" s="5"/>
      <c r="BH324" s="93">
        <v>0.0</v>
      </c>
      <c r="BI324" s="93">
        <v>0.0</v>
      </c>
      <c r="BJ324" s="93">
        <v>0.0</v>
      </c>
      <c r="BK324" s="93">
        <v>0.0</v>
      </c>
      <c r="BL324" s="93">
        <v>0.0</v>
      </c>
      <c r="BM324" s="93">
        <v>0.0</v>
      </c>
      <c r="BN324" s="93">
        <v>0.0</v>
      </c>
      <c r="BO324" s="5"/>
      <c r="BP324" s="5" t="s">
        <v>1770</v>
      </c>
      <c r="BQ324" s="5" t="s">
        <v>1789</v>
      </c>
      <c r="BR324" s="94">
        <v>44767.474270833336</v>
      </c>
      <c r="BS324" s="5">
        <v>167.0</v>
      </c>
      <c r="BT324" s="94">
        <v>44903.68966435185</v>
      </c>
      <c r="BU324" s="5">
        <v>40.0</v>
      </c>
      <c r="BV324" s="94">
        <v>44980.452835648146</v>
      </c>
      <c r="BW324" s="5">
        <v>40.0</v>
      </c>
    </row>
    <row r="325" ht="14.25" customHeight="1">
      <c r="A325" s="5">
        <v>324.0</v>
      </c>
      <c r="B325" s="5">
        <v>592.0</v>
      </c>
      <c r="C325" s="5" t="s">
        <v>2738</v>
      </c>
      <c r="D325" s="5" t="s">
        <v>1777</v>
      </c>
      <c r="E325" s="5" t="s">
        <v>2011</v>
      </c>
      <c r="F325" s="5" t="s">
        <v>4201</v>
      </c>
      <c r="G325" s="5" t="s">
        <v>4202</v>
      </c>
      <c r="H325" s="5" t="s">
        <v>1815</v>
      </c>
      <c r="I325" s="5" t="s">
        <v>1763</v>
      </c>
      <c r="J325" s="91">
        <v>28631.0</v>
      </c>
      <c r="K325" s="5">
        <v>594.0</v>
      </c>
      <c r="L325" s="5">
        <v>1910.0</v>
      </c>
      <c r="M325" s="5">
        <v>212.0</v>
      </c>
      <c r="N325" s="5"/>
      <c r="O325" s="5">
        <v>43772.0</v>
      </c>
      <c r="P325" s="5" t="s">
        <v>1797</v>
      </c>
      <c r="Q325" s="5" t="s">
        <v>2179</v>
      </c>
      <c r="R325" s="5">
        <v>594.0</v>
      </c>
      <c r="S325" s="5">
        <v>3.929272851E9</v>
      </c>
      <c r="T325" s="5"/>
      <c r="U325" s="5" t="s">
        <v>4203</v>
      </c>
      <c r="V325" s="5">
        <v>3.314700185E9</v>
      </c>
      <c r="W325" s="5" t="s">
        <v>2780</v>
      </c>
      <c r="X325" s="91">
        <v>44767.0</v>
      </c>
      <c r="Y325" s="5">
        <v>5.0</v>
      </c>
      <c r="Z325" s="5">
        <v>19.0</v>
      </c>
      <c r="AA325" s="5">
        <v>8.0</v>
      </c>
      <c r="AB325" s="5"/>
      <c r="AC325" s="5"/>
      <c r="AD325" s="5" t="s">
        <v>1770</v>
      </c>
      <c r="AE325" s="5" t="s">
        <v>1770</v>
      </c>
      <c r="AF325" s="5"/>
      <c r="AG325" s="5"/>
      <c r="AH325" s="5">
        <v>4.947807717E9</v>
      </c>
      <c r="AI325" s="5"/>
      <c r="AJ325" s="5"/>
      <c r="AK325" s="5" t="s">
        <v>1773</v>
      </c>
      <c r="AL325" s="92">
        <v>0.0</v>
      </c>
      <c r="AM325" s="5" t="s">
        <v>1770</v>
      </c>
      <c r="AN325" s="5" t="s">
        <v>1830</v>
      </c>
      <c r="AO325" s="5"/>
      <c r="AP325" s="5"/>
      <c r="AQ325" s="5"/>
      <c r="AR325" s="5"/>
      <c r="AS325" s="5"/>
      <c r="AT325" s="5"/>
      <c r="AU325" s="5"/>
      <c r="AV325" s="5"/>
      <c r="AW325" s="5" t="s">
        <v>1770</v>
      </c>
      <c r="AX325" s="5"/>
      <c r="AY325" s="5"/>
      <c r="AZ325" s="5" t="s">
        <v>1770</v>
      </c>
      <c r="BA325" s="93">
        <v>0.0</v>
      </c>
      <c r="BB325" s="93">
        <v>0.0</v>
      </c>
      <c r="BC325" s="93">
        <v>0.0</v>
      </c>
      <c r="BD325" s="93">
        <v>0.0</v>
      </c>
      <c r="BE325" s="93">
        <v>0.0</v>
      </c>
      <c r="BF325" s="93">
        <v>0.0</v>
      </c>
      <c r="BG325" s="5"/>
      <c r="BH325" s="93">
        <v>0.0</v>
      </c>
      <c r="BI325" s="93">
        <v>0.0</v>
      </c>
      <c r="BJ325" s="93">
        <v>0.0</v>
      </c>
      <c r="BK325" s="93">
        <v>0.0</v>
      </c>
      <c r="BL325" s="93">
        <v>0.0</v>
      </c>
      <c r="BM325" s="93">
        <v>0.0</v>
      </c>
      <c r="BN325" s="93">
        <v>0.0</v>
      </c>
      <c r="BO325" s="5"/>
      <c r="BP325" s="5" t="s">
        <v>1770</v>
      </c>
      <c r="BQ325" s="5" t="s">
        <v>1789</v>
      </c>
      <c r="BR325" s="94">
        <v>44767.48842592593</v>
      </c>
      <c r="BS325" s="5">
        <v>167.0</v>
      </c>
      <c r="BT325" s="94">
        <v>44915.43534722222</v>
      </c>
      <c r="BU325" s="5">
        <v>211.0</v>
      </c>
      <c r="BV325" s="94">
        <v>44915.43549768518</v>
      </c>
      <c r="BW325" s="5">
        <v>211.0</v>
      </c>
    </row>
    <row r="326" ht="14.25" customHeight="1">
      <c r="A326" s="5">
        <v>325.0</v>
      </c>
      <c r="B326" s="5">
        <v>593.0</v>
      </c>
      <c r="C326" s="5" t="s">
        <v>4204</v>
      </c>
      <c r="D326" s="5" t="s">
        <v>1792</v>
      </c>
      <c r="E326" s="5" t="s">
        <v>2132</v>
      </c>
      <c r="F326" s="5" t="s">
        <v>4205</v>
      </c>
      <c r="G326" s="5" t="s">
        <v>4206</v>
      </c>
      <c r="H326" s="5" t="s">
        <v>1972</v>
      </c>
      <c r="I326" s="5" t="s">
        <v>1782</v>
      </c>
      <c r="J326" s="91">
        <v>35708.0</v>
      </c>
      <c r="K326" s="5">
        <v>305.0</v>
      </c>
      <c r="L326" s="5" t="s">
        <v>1984</v>
      </c>
      <c r="M326" s="5" t="s">
        <v>2913</v>
      </c>
      <c r="N326" s="5"/>
      <c r="O326" s="5">
        <v>31683.0</v>
      </c>
      <c r="P326" s="5" t="s">
        <v>3139</v>
      </c>
      <c r="Q326" s="5" t="s">
        <v>2636</v>
      </c>
      <c r="R326" s="5">
        <v>296.0</v>
      </c>
      <c r="S326" s="5">
        <v>6.711132651E9</v>
      </c>
      <c r="T326" s="5" t="s">
        <v>4207</v>
      </c>
      <c r="U326" s="100" t="s">
        <v>4208</v>
      </c>
      <c r="V326" s="5">
        <v>6.711106615E9</v>
      </c>
      <c r="W326" s="5" t="s">
        <v>1965</v>
      </c>
      <c r="X326" s="91">
        <v>44789.0</v>
      </c>
      <c r="Y326" s="5">
        <v>3.0</v>
      </c>
      <c r="Z326" s="5">
        <v>4.0</v>
      </c>
      <c r="AA326" s="5">
        <v>39.0</v>
      </c>
      <c r="AB326" s="5">
        <v>2.4807876E7</v>
      </c>
      <c r="AC326" s="5" t="s">
        <v>1772</v>
      </c>
      <c r="AD326" s="91">
        <v>44782.0</v>
      </c>
      <c r="AE326" s="91">
        <v>45878.0</v>
      </c>
      <c r="AF326" s="5"/>
      <c r="AG326" s="5"/>
      <c r="AH326" s="5">
        <v>3.1149714748E10</v>
      </c>
      <c r="AI326" s="5">
        <v>77.0</v>
      </c>
      <c r="AJ326" s="5"/>
      <c r="AK326" s="5" t="s">
        <v>1773</v>
      </c>
      <c r="AL326" s="92">
        <v>0.0</v>
      </c>
      <c r="AM326" s="5" t="s">
        <v>1770</v>
      </c>
      <c r="AN326" s="5" t="s">
        <v>1809</v>
      </c>
      <c r="AO326" s="5"/>
      <c r="AP326" s="5"/>
      <c r="AQ326" s="5"/>
      <c r="AR326" s="5"/>
      <c r="AS326" s="5"/>
      <c r="AT326" s="5"/>
      <c r="AU326" s="5"/>
      <c r="AV326" s="5"/>
      <c r="AW326" s="5" t="s">
        <v>1770</v>
      </c>
      <c r="AX326" s="5"/>
      <c r="AY326" s="5"/>
      <c r="AZ326" s="5" t="s">
        <v>1770</v>
      </c>
      <c r="BA326" s="93">
        <v>0.0</v>
      </c>
      <c r="BB326" s="93">
        <v>0.0</v>
      </c>
      <c r="BC326" s="93">
        <v>0.0</v>
      </c>
      <c r="BD326" s="93">
        <v>0.0</v>
      </c>
      <c r="BE326" s="93">
        <v>0.0</v>
      </c>
      <c r="BF326" s="93">
        <v>0.0</v>
      </c>
      <c r="BG326" s="5"/>
      <c r="BH326" s="93">
        <v>0.0</v>
      </c>
      <c r="BI326" s="93">
        <v>0.0</v>
      </c>
      <c r="BJ326" s="93">
        <v>0.0</v>
      </c>
      <c r="BK326" s="93">
        <v>0.0</v>
      </c>
      <c r="BL326" s="93">
        <v>0.0</v>
      </c>
      <c r="BM326" s="93">
        <v>0.0</v>
      </c>
      <c r="BN326" s="93">
        <v>0.0</v>
      </c>
      <c r="BO326" s="5"/>
      <c r="BP326" s="5" t="s">
        <v>1770</v>
      </c>
      <c r="BQ326" s="5" t="s">
        <v>1789</v>
      </c>
      <c r="BR326" s="94">
        <v>44788.628842592596</v>
      </c>
      <c r="BS326" s="5">
        <v>40.0</v>
      </c>
      <c r="BT326" s="94">
        <v>45324.64026620371</v>
      </c>
      <c r="BU326" s="5">
        <v>40.0</v>
      </c>
      <c r="BV326" s="94">
        <v>45407.38260416667</v>
      </c>
      <c r="BW326" s="5">
        <v>40.0</v>
      </c>
    </row>
    <row r="327" ht="14.25" customHeight="1">
      <c r="A327" s="5">
        <v>326.0</v>
      </c>
      <c r="B327" s="5">
        <v>594.0</v>
      </c>
      <c r="C327" s="5" t="s">
        <v>4209</v>
      </c>
      <c r="D327" s="5" t="s">
        <v>4210</v>
      </c>
      <c r="E327" s="100" t="s">
        <v>3602</v>
      </c>
      <c r="F327" s="5" t="s">
        <v>4211</v>
      </c>
      <c r="G327" s="5" t="s">
        <v>4212</v>
      </c>
      <c r="H327" s="5" t="s">
        <v>2671</v>
      </c>
      <c r="I327" s="5" t="s">
        <v>1782</v>
      </c>
      <c r="J327" s="91">
        <v>33708.0</v>
      </c>
      <c r="K327" s="5">
        <v>834.0</v>
      </c>
      <c r="L327" s="5" t="s">
        <v>4213</v>
      </c>
      <c r="M327" s="5">
        <v>464.0</v>
      </c>
      <c r="N327" s="5"/>
      <c r="O327" s="5">
        <v>54682.0</v>
      </c>
      <c r="P327" s="5" t="s">
        <v>4214</v>
      </c>
      <c r="Q327" s="5"/>
      <c r="R327" s="5">
        <v>869.0</v>
      </c>
      <c r="S327" s="5">
        <v>4.431746659E9</v>
      </c>
      <c r="T327" s="5" t="s">
        <v>4215</v>
      </c>
      <c r="U327" s="5" t="s">
        <v>4216</v>
      </c>
      <c r="V327" s="5">
        <v>4.43681991E9</v>
      </c>
      <c r="W327" s="5" t="s">
        <v>1787</v>
      </c>
      <c r="X327" s="91">
        <v>44797.0</v>
      </c>
      <c r="Y327" s="5">
        <v>4.0</v>
      </c>
      <c r="Z327" s="5">
        <v>19.0</v>
      </c>
      <c r="AA327" s="5">
        <v>81.0</v>
      </c>
      <c r="AB327" s="5" t="s">
        <v>4217</v>
      </c>
      <c r="AC327" s="5" t="s">
        <v>1772</v>
      </c>
      <c r="AD327" s="91">
        <v>45295.0</v>
      </c>
      <c r="AE327" s="91">
        <v>46756.0</v>
      </c>
      <c r="AF327" s="5"/>
      <c r="AG327" s="5"/>
      <c r="AH327" s="5">
        <v>5.3129215538E10</v>
      </c>
      <c r="AI327" s="5">
        <v>85.0</v>
      </c>
      <c r="AJ327" s="5"/>
      <c r="AK327" s="5" t="s">
        <v>1773</v>
      </c>
      <c r="AL327" s="92">
        <v>0.0</v>
      </c>
      <c r="AM327" s="5" t="s">
        <v>1770</v>
      </c>
      <c r="AN327" s="5" t="s">
        <v>1935</v>
      </c>
      <c r="AO327" s="5"/>
      <c r="AP327" s="5"/>
      <c r="AQ327" s="5"/>
      <c r="AR327" s="5"/>
      <c r="AS327" s="5"/>
      <c r="AT327" s="5"/>
      <c r="AU327" s="5"/>
      <c r="AV327" s="5"/>
      <c r="AW327" s="5" t="s">
        <v>1770</v>
      </c>
      <c r="AX327" s="5"/>
      <c r="AY327" s="5"/>
      <c r="AZ327" s="5" t="s">
        <v>1770</v>
      </c>
      <c r="BA327" s="93">
        <v>0.0</v>
      </c>
      <c r="BB327" s="93">
        <v>0.0</v>
      </c>
      <c r="BC327" s="93">
        <v>0.0</v>
      </c>
      <c r="BD327" s="93">
        <v>0.0</v>
      </c>
      <c r="BE327" s="93">
        <v>0.0</v>
      </c>
      <c r="BF327" s="93">
        <v>0.0</v>
      </c>
      <c r="BG327" s="5"/>
      <c r="BH327" s="93">
        <v>0.0</v>
      </c>
      <c r="BI327" s="93">
        <v>0.0</v>
      </c>
      <c r="BJ327" s="93">
        <v>0.0</v>
      </c>
      <c r="BK327" s="93">
        <v>0.0</v>
      </c>
      <c r="BL327" s="93">
        <v>0.0</v>
      </c>
      <c r="BM327" s="93">
        <v>0.0</v>
      </c>
      <c r="BN327" s="93">
        <v>0.0</v>
      </c>
      <c r="BO327" s="5"/>
      <c r="BP327" s="5"/>
      <c r="BQ327" s="5" t="s">
        <v>1775</v>
      </c>
      <c r="BR327" s="94">
        <v>44806.70967592593</v>
      </c>
      <c r="BS327" s="5">
        <v>167.0</v>
      </c>
      <c r="BT327" s="94">
        <v>46133.53601851852</v>
      </c>
      <c r="BU327" s="5">
        <v>272.0</v>
      </c>
      <c r="BV327" s="5" t="s">
        <v>1770</v>
      </c>
      <c r="BW327" s="5" t="s">
        <v>1770</v>
      </c>
    </row>
    <row r="328" ht="14.25" customHeight="1">
      <c r="A328" s="5">
        <v>327.0</v>
      </c>
      <c r="B328" s="5">
        <v>595.0</v>
      </c>
      <c r="C328" s="5" t="s">
        <v>4218</v>
      </c>
      <c r="D328" s="5" t="s">
        <v>4219</v>
      </c>
      <c r="E328" s="5" t="s">
        <v>2722</v>
      </c>
      <c r="F328" s="5" t="s">
        <v>4220</v>
      </c>
      <c r="G328" s="5" t="s">
        <v>4221</v>
      </c>
      <c r="H328" s="5" t="s">
        <v>1910</v>
      </c>
      <c r="I328" s="5" t="s">
        <v>1782</v>
      </c>
      <c r="J328" s="91">
        <v>32604.0</v>
      </c>
      <c r="K328" s="5">
        <v>594.0</v>
      </c>
      <c r="L328" s="5" t="s">
        <v>4222</v>
      </c>
      <c r="M328" s="5">
        <v>50.0</v>
      </c>
      <c r="N328" s="5"/>
      <c r="O328" s="5">
        <v>43882.0</v>
      </c>
      <c r="P328" s="5" t="s">
        <v>4223</v>
      </c>
      <c r="Q328" s="5" t="s">
        <v>1766</v>
      </c>
      <c r="R328" s="5">
        <v>549.0</v>
      </c>
      <c r="S328" s="5">
        <v>3.346399475E9</v>
      </c>
      <c r="T328" s="5" t="s">
        <v>4224</v>
      </c>
      <c r="U328" s="5" t="s">
        <v>4225</v>
      </c>
      <c r="V328" s="5">
        <v>3.939358061E9</v>
      </c>
      <c r="W328" s="5" t="s">
        <v>1965</v>
      </c>
      <c r="X328" s="91">
        <v>44798.0</v>
      </c>
      <c r="Y328" s="5" t="s">
        <v>1770</v>
      </c>
      <c r="Z328" s="5">
        <v>17.0</v>
      </c>
      <c r="AA328" s="5">
        <v>50.0</v>
      </c>
      <c r="AB328" s="5" t="s">
        <v>4226</v>
      </c>
      <c r="AC328" s="5" t="s">
        <v>1772</v>
      </c>
      <c r="AD328" s="91">
        <v>45693.0</v>
      </c>
      <c r="AE328" s="91">
        <v>47154.0</v>
      </c>
      <c r="AF328" s="5"/>
      <c r="AG328" s="5"/>
      <c r="AH328" s="5">
        <v>5.3088934038E10</v>
      </c>
      <c r="AI328" s="5">
        <v>23.0</v>
      </c>
      <c r="AJ328" s="5"/>
      <c r="AK328" s="5" t="s">
        <v>1773</v>
      </c>
      <c r="AL328" s="92">
        <v>0.0</v>
      </c>
      <c r="AM328" s="5" t="s">
        <v>1770</v>
      </c>
      <c r="AN328" s="5" t="s">
        <v>2052</v>
      </c>
      <c r="AO328" s="5"/>
      <c r="AP328" s="5"/>
      <c r="AQ328" s="5"/>
      <c r="AR328" s="5"/>
      <c r="AS328" s="5"/>
      <c r="AT328" s="5"/>
      <c r="AU328" s="5"/>
      <c r="AV328" s="5"/>
      <c r="AW328" s="5" t="s">
        <v>1770</v>
      </c>
      <c r="AX328" s="5"/>
      <c r="AY328" s="5"/>
      <c r="AZ328" s="5" t="s">
        <v>1770</v>
      </c>
      <c r="BA328" s="93">
        <v>0.0</v>
      </c>
      <c r="BB328" s="93">
        <v>0.0</v>
      </c>
      <c r="BC328" s="93">
        <v>0.0</v>
      </c>
      <c r="BD328" s="93">
        <v>0.0</v>
      </c>
      <c r="BE328" s="93">
        <v>0.0</v>
      </c>
      <c r="BF328" s="93">
        <v>0.0</v>
      </c>
      <c r="BG328" s="5"/>
      <c r="BH328" s="93">
        <v>0.0</v>
      </c>
      <c r="BI328" s="93">
        <v>0.0</v>
      </c>
      <c r="BJ328" s="93">
        <v>0.0</v>
      </c>
      <c r="BK328" s="93">
        <v>0.0</v>
      </c>
      <c r="BL328" s="93">
        <v>0.0</v>
      </c>
      <c r="BM328" s="93">
        <v>0.0</v>
      </c>
      <c r="BN328" s="93">
        <v>0.0</v>
      </c>
      <c r="BO328" s="5"/>
      <c r="BP328" s="5"/>
      <c r="BQ328" s="5" t="s">
        <v>1775</v>
      </c>
      <c r="BR328" s="94">
        <v>44811.43298611111</v>
      </c>
      <c r="BS328" s="5">
        <v>167.0</v>
      </c>
      <c r="BT328" s="94">
        <v>46214.44258101852</v>
      </c>
      <c r="BU328" s="5">
        <v>211.0</v>
      </c>
      <c r="BV328" s="5" t="s">
        <v>1770</v>
      </c>
      <c r="BW328" s="5" t="s">
        <v>1770</v>
      </c>
    </row>
    <row r="329" ht="14.25" customHeight="1">
      <c r="A329" s="5">
        <v>328.0</v>
      </c>
      <c r="B329" s="5">
        <v>596.0</v>
      </c>
      <c r="C329" s="5" t="s">
        <v>4227</v>
      </c>
      <c r="D329" s="5" t="s">
        <v>4228</v>
      </c>
      <c r="E329" s="5" t="s">
        <v>1959</v>
      </c>
      <c r="F329" s="5" t="s">
        <v>4229</v>
      </c>
      <c r="G329" s="5" t="s">
        <v>4230</v>
      </c>
      <c r="H329" s="5" t="s">
        <v>4231</v>
      </c>
      <c r="I329" s="5" t="s">
        <v>1782</v>
      </c>
      <c r="J329" s="91">
        <v>28158.0</v>
      </c>
      <c r="K329" s="5">
        <v>274.0</v>
      </c>
      <c r="L329" s="5" t="s">
        <v>4232</v>
      </c>
      <c r="M329" s="5">
        <v>149.0</v>
      </c>
      <c r="N329" s="5"/>
      <c r="O329" s="5">
        <v>54682.0</v>
      </c>
      <c r="P329" s="5" t="s">
        <v>4214</v>
      </c>
      <c r="Q329" s="5" t="s">
        <v>4233</v>
      </c>
      <c r="R329" s="5">
        <v>869.0</v>
      </c>
      <c r="S329" s="5">
        <v>9.811687078E9</v>
      </c>
      <c r="T329" s="5" t="s">
        <v>4234</v>
      </c>
      <c r="U329" s="5" t="s">
        <v>4235</v>
      </c>
      <c r="V329" s="5">
        <v>4.432383647E9</v>
      </c>
      <c r="W329" s="5" t="s">
        <v>1787</v>
      </c>
      <c r="X329" s="91">
        <v>44809.0</v>
      </c>
      <c r="Y329" s="5">
        <v>4.0</v>
      </c>
      <c r="Z329" s="5">
        <v>17.0</v>
      </c>
      <c r="AA329" s="5">
        <v>6.0</v>
      </c>
      <c r="AB329" s="5" t="s">
        <v>4236</v>
      </c>
      <c r="AC329" s="5" t="s">
        <v>1800</v>
      </c>
      <c r="AD329" s="91">
        <v>44202.0</v>
      </c>
      <c r="AE329" s="91">
        <v>45663.0</v>
      </c>
      <c r="AF329" s="5"/>
      <c r="AG329" s="5"/>
      <c r="AH329" s="5">
        <v>6.0967777537E10</v>
      </c>
      <c r="AI329" s="5"/>
      <c r="AJ329" s="5"/>
      <c r="AK329" s="5" t="s">
        <v>1773</v>
      </c>
      <c r="AL329" s="92">
        <v>0.0</v>
      </c>
      <c r="AM329" s="5" t="s">
        <v>1770</v>
      </c>
      <c r="AN329" s="5" t="s">
        <v>1774</v>
      </c>
      <c r="AO329" s="5"/>
      <c r="AP329" s="5"/>
      <c r="AQ329" s="5"/>
      <c r="AR329" s="5"/>
      <c r="AS329" s="5"/>
      <c r="AT329" s="5"/>
      <c r="AU329" s="5"/>
      <c r="AV329" s="5"/>
      <c r="AW329" s="5" t="s">
        <v>1770</v>
      </c>
      <c r="AX329" s="5"/>
      <c r="AY329" s="5"/>
      <c r="AZ329" s="5" t="s">
        <v>1770</v>
      </c>
      <c r="BA329" s="93">
        <v>0.0</v>
      </c>
      <c r="BB329" s="93">
        <v>0.0</v>
      </c>
      <c r="BC329" s="93">
        <v>0.0</v>
      </c>
      <c r="BD329" s="93">
        <v>0.0</v>
      </c>
      <c r="BE329" s="93">
        <v>0.0</v>
      </c>
      <c r="BF329" s="93">
        <v>0.0</v>
      </c>
      <c r="BG329" s="5"/>
      <c r="BH329" s="93">
        <v>0.0</v>
      </c>
      <c r="BI329" s="93">
        <v>0.0</v>
      </c>
      <c r="BJ329" s="93">
        <v>0.0</v>
      </c>
      <c r="BK329" s="93">
        <v>0.0</v>
      </c>
      <c r="BL329" s="93">
        <v>0.0</v>
      </c>
      <c r="BM329" s="93">
        <v>0.0</v>
      </c>
      <c r="BN329" s="93">
        <v>0.0</v>
      </c>
      <c r="BO329" s="5"/>
      <c r="BP329" s="5" t="s">
        <v>1770</v>
      </c>
      <c r="BQ329" s="5" t="s">
        <v>1789</v>
      </c>
      <c r="BR329" s="94">
        <v>44814.40975694444</v>
      </c>
      <c r="BS329" s="5">
        <v>167.0</v>
      </c>
      <c r="BT329" s="94">
        <v>44832.750706018516</v>
      </c>
      <c r="BU329" s="5">
        <v>196.0</v>
      </c>
      <c r="BV329" s="94">
        <v>45035.458090277774</v>
      </c>
      <c r="BW329" s="5">
        <v>40.0</v>
      </c>
    </row>
    <row r="330" ht="14.25" customHeight="1">
      <c r="A330" s="5">
        <v>329.0</v>
      </c>
      <c r="B330" s="5">
        <v>597.0</v>
      </c>
      <c r="C330" s="5" t="s">
        <v>4237</v>
      </c>
      <c r="D330" s="5" t="s">
        <v>2020</v>
      </c>
      <c r="E330" s="5" t="s">
        <v>4238</v>
      </c>
      <c r="F330" s="5" t="s">
        <v>4239</v>
      </c>
      <c r="G330" s="5" t="s">
        <v>4240</v>
      </c>
      <c r="H330" s="5" t="s">
        <v>1815</v>
      </c>
      <c r="I330" s="5" t="s">
        <v>1763</v>
      </c>
      <c r="J330" s="91">
        <v>36853.0</v>
      </c>
      <c r="K330" s="5">
        <v>570.0</v>
      </c>
      <c r="L330" s="5" t="s">
        <v>4241</v>
      </c>
      <c r="M330" s="5">
        <v>432.0</v>
      </c>
      <c r="N330" s="5"/>
      <c r="O330" s="5">
        <v>41922.0</v>
      </c>
      <c r="P330" s="5" t="s">
        <v>4241</v>
      </c>
      <c r="Q330" s="5" t="s">
        <v>2349</v>
      </c>
      <c r="R330" s="5">
        <v>597.0</v>
      </c>
      <c r="S330" s="5">
        <v>3.32595525E9</v>
      </c>
      <c r="T330" s="5" t="s">
        <v>4242</v>
      </c>
      <c r="U330" s="5" t="s">
        <v>4243</v>
      </c>
      <c r="V330" s="5">
        <v>3.311453222E9</v>
      </c>
      <c r="W330" s="5" t="s">
        <v>1924</v>
      </c>
      <c r="X330" s="91">
        <v>44817.0</v>
      </c>
      <c r="Y330" s="5">
        <v>5.0</v>
      </c>
      <c r="Z330" s="5">
        <v>17.0</v>
      </c>
      <c r="AA330" s="5">
        <v>17.0</v>
      </c>
      <c r="AB330" s="5"/>
      <c r="AC330" s="5"/>
      <c r="AD330" s="5" t="s">
        <v>1770</v>
      </c>
      <c r="AE330" s="5" t="s">
        <v>1770</v>
      </c>
      <c r="AF330" s="5"/>
      <c r="AG330" s="5"/>
      <c r="AH330" s="5">
        <v>1.4130058481E10</v>
      </c>
      <c r="AI330" s="5"/>
      <c r="AJ330" s="5"/>
      <c r="AK330" s="5" t="s">
        <v>1773</v>
      </c>
      <c r="AL330" s="92">
        <v>0.0</v>
      </c>
      <c r="AM330" s="5" t="s">
        <v>1770</v>
      </c>
      <c r="AN330" s="5" t="s">
        <v>1830</v>
      </c>
      <c r="AO330" s="5"/>
      <c r="AP330" s="5"/>
      <c r="AQ330" s="5"/>
      <c r="AR330" s="5"/>
      <c r="AS330" s="5"/>
      <c r="AT330" s="5" t="s">
        <v>2184</v>
      </c>
      <c r="AU330" s="5"/>
      <c r="AV330" s="5"/>
      <c r="AW330" s="5" t="s">
        <v>1770</v>
      </c>
      <c r="AX330" s="5"/>
      <c r="AY330" s="5"/>
      <c r="AZ330" s="5" t="s">
        <v>1770</v>
      </c>
      <c r="BA330" s="93">
        <v>0.0</v>
      </c>
      <c r="BB330" s="93">
        <v>0.0</v>
      </c>
      <c r="BC330" s="93">
        <v>0.0</v>
      </c>
      <c r="BD330" s="93">
        <v>0.0</v>
      </c>
      <c r="BE330" s="93">
        <v>0.0</v>
      </c>
      <c r="BF330" s="93">
        <v>0.0</v>
      </c>
      <c r="BG330" s="5"/>
      <c r="BH330" s="93">
        <v>0.0</v>
      </c>
      <c r="BI330" s="93">
        <v>0.0</v>
      </c>
      <c r="BJ330" s="93">
        <v>0.0</v>
      </c>
      <c r="BK330" s="93">
        <v>0.0</v>
      </c>
      <c r="BL330" s="93">
        <v>0.0</v>
      </c>
      <c r="BM330" s="93">
        <v>0.0</v>
      </c>
      <c r="BN330" s="93">
        <v>0.0</v>
      </c>
      <c r="BO330" s="5"/>
      <c r="BP330" s="5" t="s">
        <v>1770</v>
      </c>
      <c r="BQ330" s="5" t="s">
        <v>1789</v>
      </c>
      <c r="BR330" s="94">
        <v>44834.49434027778</v>
      </c>
      <c r="BS330" s="5">
        <v>167.0</v>
      </c>
      <c r="BT330" s="5" t="s">
        <v>1770</v>
      </c>
      <c r="BU330" s="5" t="s">
        <v>1770</v>
      </c>
      <c r="BV330" s="94">
        <v>45407.383680555555</v>
      </c>
      <c r="BW330" s="5">
        <v>40.0</v>
      </c>
    </row>
    <row r="331" ht="14.25" customHeight="1">
      <c r="A331" s="5">
        <v>330.0</v>
      </c>
      <c r="B331" s="5">
        <v>599.0</v>
      </c>
      <c r="C331" s="5" t="s">
        <v>1967</v>
      </c>
      <c r="D331" s="100" t="s">
        <v>4244</v>
      </c>
      <c r="E331" s="5" t="s">
        <v>1926</v>
      </c>
      <c r="F331" s="5" t="s">
        <v>4245</v>
      </c>
      <c r="G331" s="5" t="s">
        <v>4246</v>
      </c>
      <c r="H331" s="5" t="s">
        <v>1781</v>
      </c>
      <c r="I331" s="5" t="s">
        <v>1782</v>
      </c>
      <c r="J331" s="91">
        <v>31312.0</v>
      </c>
      <c r="K331" s="5">
        <v>762.0</v>
      </c>
      <c r="L331" s="5" t="s">
        <v>4247</v>
      </c>
      <c r="M331" s="5">
        <v>14.0</v>
      </c>
      <c r="N331" s="5"/>
      <c r="O331" s="5">
        <v>46199.0</v>
      </c>
      <c r="P331" s="5" t="s">
        <v>4248</v>
      </c>
      <c r="Q331" s="5" t="s">
        <v>4249</v>
      </c>
      <c r="R331" s="5">
        <v>762.0</v>
      </c>
      <c r="S331" s="5">
        <v>7.226165413E9</v>
      </c>
      <c r="T331" s="5" t="s">
        <v>4250</v>
      </c>
      <c r="U331" s="5" t="s">
        <v>4251</v>
      </c>
      <c r="V331" s="5">
        <v>1.234567891E9</v>
      </c>
      <c r="W331" s="5" t="s">
        <v>1787</v>
      </c>
      <c r="X331" s="91">
        <v>44837.0</v>
      </c>
      <c r="Y331" s="5" t="s">
        <v>1770</v>
      </c>
      <c r="Z331" s="5">
        <v>8.0</v>
      </c>
      <c r="AA331" s="5">
        <v>59.0</v>
      </c>
      <c r="AB331" s="5">
        <v>1.01810247E8</v>
      </c>
      <c r="AC331" s="5" t="s">
        <v>1772</v>
      </c>
      <c r="AD331" s="91">
        <v>43858.0</v>
      </c>
      <c r="AE331" s="91">
        <v>44954.0</v>
      </c>
      <c r="AF331" s="5"/>
      <c r="AG331" s="5"/>
      <c r="AH331" s="5">
        <v>1.6088525353E10</v>
      </c>
      <c r="AI331" s="5">
        <v>23.0</v>
      </c>
      <c r="AJ331" s="5"/>
      <c r="AK331" s="5" t="s">
        <v>1773</v>
      </c>
      <c r="AL331" s="92">
        <v>0.0</v>
      </c>
      <c r="AM331" s="5" t="s">
        <v>1770</v>
      </c>
      <c r="AN331" s="5" t="s">
        <v>3506</v>
      </c>
      <c r="AO331" s="5"/>
      <c r="AP331" s="5"/>
      <c r="AQ331" s="5"/>
      <c r="AR331" s="5"/>
      <c r="AS331" s="5"/>
      <c r="AT331" s="5"/>
      <c r="AU331" s="5"/>
      <c r="AV331" s="5"/>
      <c r="AW331" s="5" t="s">
        <v>1770</v>
      </c>
      <c r="AX331" s="5"/>
      <c r="AY331" s="5"/>
      <c r="AZ331" s="5" t="s">
        <v>1770</v>
      </c>
      <c r="BA331" s="93">
        <v>0.0</v>
      </c>
      <c r="BB331" s="93">
        <v>0.0</v>
      </c>
      <c r="BC331" s="93">
        <v>0.0</v>
      </c>
      <c r="BD331" s="93">
        <v>0.0</v>
      </c>
      <c r="BE331" s="93">
        <v>0.0</v>
      </c>
      <c r="BF331" s="93">
        <v>0.0</v>
      </c>
      <c r="BG331" s="5"/>
      <c r="BH331" s="93">
        <v>0.0</v>
      </c>
      <c r="BI331" s="93">
        <v>0.0</v>
      </c>
      <c r="BJ331" s="93">
        <v>0.0</v>
      </c>
      <c r="BK331" s="93">
        <v>0.0</v>
      </c>
      <c r="BL331" s="93">
        <v>0.0</v>
      </c>
      <c r="BM331" s="93">
        <v>0.0</v>
      </c>
      <c r="BN331" s="93">
        <v>0.0</v>
      </c>
      <c r="BO331" s="5"/>
      <c r="BP331" s="5" t="s">
        <v>1770</v>
      </c>
      <c r="BQ331" s="5" t="s">
        <v>1789</v>
      </c>
      <c r="BR331" s="94">
        <v>44840.71127314815</v>
      </c>
      <c r="BS331" s="5">
        <v>40.0</v>
      </c>
      <c r="BT331" s="94">
        <v>45175.68052083333</v>
      </c>
      <c r="BU331" s="5">
        <v>40.0</v>
      </c>
      <c r="BV331" s="94">
        <v>45240.6652662037</v>
      </c>
      <c r="BW331" s="5" t="s">
        <v>1770</v>
      </c>
    </row>
    <row r="332" ht="14.25" customHeight="1">
      <c r="A332" s="5">
        <v>331.0</v>
      </c>
      <c r="B332" s="5">
        <v>598.0</v>
      </c>
      <c r="C332" s="5" t="s">
        <v>2533</v>
      </c>
      <c r="D332" s="5" t="s">
        <v>4252</v>
      </c>
      <c r="E332" s="5" t="s">
        <v>4253</v>
      </c>
      <c r="F332" s="5" t="s">
        <v>4254</v>
      </c>
      <c r="G332" s="5" t="s">
        <v>4255</v>
      </c>
      <c r="H332" s="5" t="s">
        <v>1972</v>
      </c>
      <c r="I332" s="5" t="s">
        <v>1782</v>
      </c>
      <c r="J332" s="91">
        <v>27047.0</v>
      </c>
      <c r="K332" s="5">
        <v>834.0</v>
      </c>
      <c r="L332" s="5" t="s">
        <v>4256</v>
      </c>
      <c r="M332" s="5">
        <v>44.0</v>
      </c>
      <c r="N332" s="5"/>
      <c r="O332" s="5">
        <v>53889.0</v>
      </c>
      <c r="P332" s="5" t="s">
        <v>4257</v>
      </c>
      <c r="Q332" s="5" t="s">
        <v>2041</v>
      </c>
      <c r="R332" s="5">
        <v>834.0</v>
      </c>
      <c r="S332" s="5">
        <v>7.551244033E9</v>
      </c>
      <c r="T332" s="5" t="s">
        <v>4258</v>
      </c>
      <c r="U332" s="5" t="s">
        <v>4259</v>
      </c>
      <c r="V332" s="5">
        <v>4.431110823E9</v>
      </c>
      <c r="W332" s="5" t="s">
        <v>1965</v>
      </c>
      <c r="X332" s="91">
        <v>44837.0</v>
      </c>
      <c r="Y332" s="5">
        <v>4.0</v>
      </c>
      <c r="Z332" s="5">
        <v>1.0</v>
      </c>
      <c r="AA332" s="5">
        <v>1.0</v>
      </c>
      <c r="AB332" s="5">
        <v>1134720.0</v>
      </c>
      <c r="AC332" s="5" t="s">
        <v>1800</v>
      </c>
      <c r="AD332" s="91">
        <v>44823.0</v>
      </c>
      <c r="AE332" s="91">
        <v>45554.0</v>
      </c>
      <c r="AF332" s="5"/>
      <c r="AG332" s="5"/>
      <c r="AH332" s="5">
        <v>5.3917403734E10</v>
      </c>
      <c r="AI332" s="5">
        <v>75.0</v>
      </c>
      <c r="AJ332" s="5"/>
      <c r="AK332" s="5" t="s">
        <v>1773</v>
      </c>
      <c r="AL332" s="92">
        <v>0.0</v>
      </c>
      <c r="AM332" s="5" t="s">
        <v>1770</v>
      </c>
      <c r="AN332" s="5" t="s">
        <v>1830</v>
      </c>
      <c r="AO332" s="5"/>
      <c r="AP332" s="5"/>
      <c r="AQ332" s="5"/>
      <c r="AR332" s="5"/>
      <c r="AS332" s="5"/>
      <c r="AT332" s="5"/>
      <c r="AU332" s="5"/>
      <c r="AV332" s="5"/>
      <c r="AW332" s="5" t="s">
        <v>1770</v>
      </c>
      <c r="AX332" s="5"/>
      <c r="AY332" s="5"/>
      <c r="AZ332" s="5" t="s">
        <v>1770</v>
      </c>
      <c r="BA332" s="93">
        <v>0.0</v>
      </c>
      <c r="BB332" s="93">
        <v>0.0</v>
      </c>
      <c r="BC332" s="93">
        <v>0.0</v>
      </c>
      <c r="BD332" s="93">
        <v>0.0</v>
      </c>
      <c r="BE332" s="93">
        <v>0.0</v>
      </c>
      <c r="BF332" s="93">
        <v>0.0</v>
      </c>
      <c r="BG332" s="5"/>
      <c r="BH332" s="93">
        <v>0.0</v>
      </c>
      <c r="BI332" s="93">
        <v>0.0</v>
      </c>
      <c r="BJ332" s="93">
        <v>0.0</v>
      </c>
      <c r="BK332" s="93">
        <v>0.0</v>
      </c>
      <c r="BL332" s="93">
        <v>0.0</v>
      </c>
      <c r="BM332" s="93">
        <v>0.0</v>
      </c>
      <c r="BN332" s="93">
        <v>0.0</v>
      </c>
      <c r="BO332" s="5"/>
      <c r="BP332" s="5" t="s">
        <v>1770</v>
      </c>
      <c r="BQ332" s="5" t="s">
        <v>1789</v>
      </c>
      <c r="BR332" s="94">
        <v>44840.730104166665</v>
      </c>
      <c r="BS332" s="5">
        <v>40.0</v>
      </c>
      <c r="BT332" s="5" t="s">
        <v>1770</v>
      </c>
      <c r="BU332" s="5" t="s">
        <v>1770</v>
      </c>
      <c r="BV332" s="94">
        <v>44980.446493055555</v>
      </c>
      <c r="BW332" s="5">
        <v>40.0</v>
      </c>
    </row>
    <row r="333" ht="14.25" customHeight="1">
      <c r="A333" s="5">
        <v>332.0</v>
      </c>
      <c r="B333" s="5">
        <v>622.0</v>
      </c>
      <c r="C333" s="5" t="s">
        <v>4260</v>
      </c>
      <c r="D333" s="5" t="s">
        <v>4261</v>
      </c>
      <c r="E333" s="5" t="s">
        <v>2001</v>
      </c>
      <c r="F333" s="5" t="s">
        <v>4262</v>
      </c>
      <c r="G333" s="5" t="s">
        <v>4263</v>
      </c>
      <c r="H333" s="5" t="s">
        <v>1972</v>
      </c>
      <c r="I333" s="5" t="s">
        <v>1782</v>
      </c>
      <c r="J333" s="91">
        <v>38019.0</v>
      </c>
      <c r="K333" s="5">
        <v>549.0</v>
      </c>
      <c r="L333" s="5" t="s">
        <v>2846</v>
      </c>
      <c r="M333" s="5">
        <v>55.0</v>
      </c>
      <c r="N333" s="5" t="s">
        <v>2340</v>
      </c>
      <c r="O333" s="5">
        <v>43896.0</v>
      </c>
      <c r="P333" s="5" t="s">
        <v>3139</v>
      </c>
      <c r="Q333" s="5" t="s">
        <v>4264</v>
      </c>
      <c r="R333" s="5">
        <v>549.0</v>
      </c>
      <c r="S333" s="5">
        <v>3.931002309E9</v>
      </c>
      <c r="T333" s="5" t="s">
        <v>4265</v>
      </c>
      <c r="U333" s="5" t="s">
        <v>4266</v>
      </c>
      <c r="V333" s="5">
        <v>3.931243717E9</v>
      </c>
      <c r="W333" s="5" t="s">
        <v>1924</v>
      </c>
      <c r="X333" s="91">
        <v>44755.0</v>
      </c>
      <c r="Y333" s="5">
        <v>1.0</v>
      </c>
      <c r="Z333" s="5">
        <v>19.0</v>
      </c>
      <c r="AA333" s="5">
        <v>99.0</v>
      </c>
      <c r="AB333" s="5" t="s">
        <v>4267</v>
      </c>
      <c r="AC333" s="5" t="s">
        <v>1800</v>
      </c>
      <c r="AD333" s="91">
        <v>45932.0</v>
      </c>
      <c r="AE333" s="91">
        <v>47393.0</v>
      </c>
      <c r="AF333" s="5"/>
      <c r="AG333" s="5"/>
      <c r="AH333" s="5">
        <v>1.2345678945E10</v>
      </c>
      <c r="AI333" s="5">
        <v>23.0</v>
      </c>
      <c r="AJ333" s="5"/>
      <c r="AK333" s="5" t="s">
        <v>1773</v>
      </c>
      <c r="AL333" s="92">
        <v>0.0</v>
      </c>
      <c r="AM333" s="5" t="s">
        <v>1770</v>
      </c>
      <c r="AN333" s="5" t="s">
        <v>3012</v>
      </c>
      <c r="AO333" s="5"/>
      <c r="AP333" s="5"/>
      <c r="AQ333" s="5"/>
      <c r="AR333" s="5"/>
      <c r="AS333" s="5"/>
      <c r="AT333" s="5"/>
      <c r="AU333" s="5"/>
      <c r="AV333" s="5"/>
      <c r="AW333" s="5" t="s">
        <v>1770</v>
      </c>
      <c r="AX333" s="5"/>
      <c r="AY333" s="5"/>
      <c r="AZ333" s="5" t="s">
        <v>1770</v>
      </c>
      <c r="BA333" s="93">
        <v>0.0</v>
      </c>
      <c r="BB333" s="93">
        <v>0.0</v>
      </c>
      <c r="BC333" s="93">
        <v>0.0</v>
      </c>
      <c r="BD333" s="93">
        <v>0.0</v>
      </c>
      <c r="BE333" s="93">
        <v>0.0</v>
      </c>
      <c r="BF333" s="93">
        <v>0.0</v>
      </c>
      <c r="BG333" s="5"/>
      <c r="BH333" s="93">
        <v>0.0</v>
      </c>
      <c r="BI333" s="93">
        <v>0.0</v>
      </c>
      <c r="BJ333" s="93">
        <v>0.0</v>
      </c>
      <c r="BK333" s="93">
        <v>0.0</v>
      </c>
      <c r="BL333" s="93">
        <v>0.0</v>
      </c>
      <c r="BM333" s="93">
        <v>0.0</v>
      </c>
      <c r="BN333" s="93">
        <v>0.0</v>
      </c>
      <c r="BO333" s="5"/>
      <c r="BP333" s="5"/>
      <c r="BQ333" s="5" t="s">
        <v>1775</v>
      </c>
      <c r="BR333" s="94">
        <v>44854.399097222224</v>
      </c>
      <c r="BS333" s="5">
        <v>40.0</v>
      </c>
      <c r="BT333" s="94">
        <v>46134.40179398148</v>
      </c>
      <c r="BU333" s="5" t="s">
        <v>1770</v>
      </c>
      <c r="BV333" s="5" t="s">
        <v>1770</v>
      </c>
      <c r="BW333" s="5" t="s">
        <v>1770</v>
      </c>
    </row>
    <row r="334" ht="14.25" customHeight="1">
      <c r="A334" s="5">
        <v>333.0</v>
      </c>
      <c r="B334" s="5">
        <v>996.0</v>
      </c>
      <c r="C334" s="5" t="s">
        <v>4268</v>
      </c>
      <c r="D334" s="5" t="s">
        <v>3115</v>
      </c>
      <c r="E334" s="5" t="s">
        <v>2074</v>
      </c>
      <c r="F334" s="5" t="s">
        <v>4269</v>
      </c>
      <c r="G334" s="5" t="s">
        <v>4270</v>
      </c>
      <c r="H334" s="5" t="s">
        <v>1972</v>
      </c>
      <c r="I334" s="5" t="s">
        <v>1763</v>
      </c>
      <c r="J334" s="91">
        <v>37468.0</v>
      </c>
      <c r="K334" s="5">
        <v>594.0</v>
      </c>
      <c r="L334" s="5" t="s">
        <v>4271</v>
      </c>
      <c r="M334" s="5">
        <v>9.0</v>
      </c>
      <c r="N334" s="5"/>
      <c r="O334" s="5">
        <v>43884.0</v>
      </c>
      <c r="P334" s="5" t="s">
        <v>2032</v>
      </c>
      <c r="Q334" s="5" t="s">
        <v>1766</v>
      </c>
      <c r="R334" s="5">
        <v>549.0</v>
      </c>
      <c r="S334" s="5">
        <v>3.93123894E9</v>
      </c>
      <c r="T334" s="5" t="s">
        <v>4272</v>
      </c>
      <c r="U334" s="5" t="s">
        <v>4273</v>
      </c>
      <c r="V334" s="5">
        <v>3.781381323E9</v>
      </c>
      <c r="W334" s="5" t="s">
        <v>1965</v>
      </c>
      <c r="X334" s="91">
        <v>44791.0</v>
      </c>
      <c r="Y334" s="5" t="s">
        <v>1770</v>
      </c>
      <c r="Z334" s="5">
        <v>2.0</v>
      </c>
      <c r="AA334" s="5">
        <v>9.0</v>
      </c>
      <c r="AB334" s="5"/>
      <c r="AC334" s="5"/>
      <c r="AD334" s="5" t="s">
        <v>1770</v>
      </c>
      <c r="AE334" s="5" t="s">
        <v>1770</v>
      </c>
      <c r="AF334" s="5"/>
      <c r="AG334" s="5"/>
      <c r="AH334" s="5">
        <v>3.160289199E9</v>
      </c>
      <c r="AI334" s="5">
        <v>23.0</v>
      </c>
      <c r="AJ334" s="5"/>
      <c r="AK334" s="5" t="s">
        <v>1773</v>
      </c>
      <c r="AL334" s="92">
        <v>0.0</v>
      </c>
      <c r="AM334" s="5" t="s">
        <v>1770</v>
      </c>
      <c r="AN334" s="5" t="s">
        <v>1830</v>
      </c>
      <c r="AO334" s="5"/>
      <c r="AP334" s="5"/>
      <c r="AQ334" s="5"/>
      <c r="AR334" s="5"/>
      <c r="AS334" s="5"/>
      <c r="AT334" s="5"/>
      <c r="AU334" s="5"/>
      <c r="AV334" s="5"/>
      <c r="AW334" s="5" t="s">
        <v>1770</v>
      </c>
      <c r="AX334" s="5"/>
      <c r="AY334" s="5"/>
      <c r="AZ334" s="5" t="s">
        <v>1770</v>
      </c>
      <c r="BA334" s="93">
        <v>0.0</v>
      </c>
      <c r="BB334" s="93">
        <v>0.0</v>
      </c>
      <c r="BC334" s="93">
        <v>0.0</v>
      </c>
      <c r="BD334" s="93">
        <v>0.0</v>
      </c>
      <c r="BE334" s="93">
        <v>0.0</v>
      </c>
      <c r="BF334" s="93">
        <v>0.0</v>
      </c>
      <c r="BG334" s="5"/>
      <c r="BH334" s="93">
        <v>0.0</v>
      </c>
      <c r="BI334" s="93">
        <v>0.0</v>
      </c>
      <c r="BJ334" s="93">
        <v>0.0</v>
      </c>
      <c r="BK334" s="93">
        <v>0.0</v>
      </c>
      <c r="BL334" s="93">
        <v>0.0</v>
      </c>
      <c r="BM334" s="93">
        <v>0.0</v>
      </c>
      <c r="BN334" s="93">
        <v>0.0</v>
      </c>
      <c r="BO334" s="5"/>
      <c r="BP334" s="5" t="s">
        <v>1770</v>
      </c>
      <c r="BQ334" s="5" t="s">
        <v>1789</v>
      </c>
      <c r="BR334" s="94">
        <v>44859.5616087963</v>
      </c>
      <c r="BS334" s="5">
        <v>40.0</v>
      </c>
      <c r="BT334" s="94">
        <v>44859.56298611111</v>
      </c>
      <c r="BU334" s="5">
        <v>40.0</v>
      </c>
      <c r="BV334" s="94">
        <v>44980.44931712963</v>
      </c>
      <c r="BW334" s="5">
        <v>40.0</v>
      </c>
    </row>
    <row r="335" ht="14.25" customHeight="1">
      <c r="A335" s="5">
        <v>334.0</v>
      </c>
      <c r="B335" s="5">
        <v>69.0</v>
      </c>
      <c r="C335" s="5" t="s">
        <v>2685</v>
      </c>
      <c r="D335" s="5" t="s">
        <v>1778</v>
      </c>
      <c r="E335" s="5" t="s">
        <v>1778</v>
      </c>
      <c r="F335" s="5" t="s">
        <v>4274</v>
      </c>
      <c r="G335" s="5" t="s">
        <v>4275</v>
      </c>
      <c r="H335" s="5" t="s">
        <v>1781</v>
      </c>
      <c r="I335" s="5" t="s">
        <v>1782</v>
      </c>
      <c r="J335" s="91">
        <v>32953.0</v>
      </c>
      <c r="K335" s="5">
        <v>424.0</v>
      </c>
      <c r="L335" s="5" t="s">
        <v>4276</v>
      </c>
      <c r="M335" s="5">
        <v>11.0</v>
      </c>
      <c r="N335" s="5"/>
      <c r="O335" s="5">
        <v>35876.0</v>
      </c>
      <c r="P335" s="5" t="s">
        <v>4277</v>
      </c>
      <c r="Q335" s="5" t="s">
        <v>2406</v>
      </c>
      <c r="R335" s="5">
        <v>424.0</v>
      </c>
      <c r="S335" s="5">
        <v>8.351132669E9</v>
      </c>
      <c r="T335" s="5"/>
      <c r="U335" s="5" t="s">
        <v>1924</v>
      </c>
      <c r="V335" s="5">
        <v>3.333333333E9</v>
      </c>
      <c r="W335" s="5" t="s">
        <v>1924</v>
      </c>
      <c r="X335" s="91">
        <v>44876.0</v>
      </c>
      <c r="Y335" s="5">
        <v>2.0</v>
      </c>
      <c r="Z335" s="5">
        <v>4.0</v>
      </c>
      <c r="AA335" s="5">
        <v>2.0</v>
      </c>
      <c r="AB335" s="5" t="s">
        <v>4278</v>
      </c>
      <c r="AC335" s="5" t="s">
        <v>1800</v>
      </c>
      <c r="AD335" s="91">
        <v>43591.0</v>
      </c>
      <c r="AE335" s="91">
        <v>45052.0</v>
      </c>
      <c r="AF335" s="5"/>
      <c r="AG335" s="5">
        <v>3.022290002620273E16</v>
      </c>
      <c r="AH335" s="5">
        <v>4.109056459E9</v>
      </c>
      <c r="AI335" s="5">
        <v>9.0</v>
      </c>
      <c r="AJ335" s="5"/>
      <c r="AK335" s="5" t="s">
        <v>1773</v>
      </c>
      <c r="AL335" s="92">
        <v>0.0</v>
      </c>
      <c r="AM335" s="5" t="s">
        <v>1770</v>
      </c>
      <c r="AN335" s="5" t="s">
        <v>2340</v>
      </c>
      <c r="AO335" s="5"/>
      <c r="AP335" s="5"/>
      <c r="AQ335" s="5"/>
      <c r="AR335" s="5"/>
      <c r="AS335" s="5"/>
      <c r="AT335" s="5"/>
      <c r="AU335" s="5"/>
      <c r="AV335" s="5"/>
      <c r="AW335" s="5" t="s">
        <v>1770</v>
      </c>
      <c r="AX335" s="5"/>
      <c r="AY335" s="5"/>
      <c r="AZ335" s="5" t="s">
        <v>1770</v>
      </c>
      <c r="BA335" s="93">
        <v>0.0</v>
      </c>
      <c r="BB335" s="93">
        <v>0.0</v>
      </c>
      <c r="BC335" s="93">
        <v>0.0</v>
      </c>
      <c r="BD335" s="93">
        <v>0.0</v>
      </c>
      <c r="BE335" s="93">
        <v>0.0</v>
      </c>
      <c r="BF335" s="93">
        <v>0.0</v>
      </c>
      <c r="BG335" s="5"/>
      <c r="BH335" s="93">
        <v>0.0</v>
      </c>
      <c r="BI335" s="93">
        <v>0.0</v>
      </c>
      <c r="BJ335" s="93">
        <v>0.0</v>
      </c>
      <c r="BK335" s="93">
        <v>0.0</v>
      </c>
      <c r="BL335" s="93">
        <v>0.0</v>
      </c>
      <c r="BM335" s="93">
        <v>0.0</v>
      </c>
      <c r="BN335" s="93">
        <v>0.0</v>
      </c>
      <c r="BO335" s="5"/>
      <c r="BP335" s="5" t="s">
        <v>1770</v>
      </c>
      <c r="BQ335" s="5" t="s">
        <v>1789</v>
      </c>
      <c r="BR335" s="94">
        <v>44880.51136574074</v>
      </c>
      <c r="BS335" s="5">
        <v>167.0</v>
      </c>
      <c r="BT335" s="5" t="s">
        <v>1770</v>
      </c>
      <c r="BU335" s="5" t="s">
        <v>1770</v>
      </c>
      <c r="BV335" s="94">
        <v>44980.44905092593</v>
      </c>
      <c r="BW335" s="5">
        <v>40.0</v>
      </c>
    </row>
    <row r="336" ht="14.25" customHeight="1">
      <c r="A336" s="5">
        <v>335.0</v>
      </c>
      <c r="B336" s="5">
        <v>9998.0</v>
      </c>
      <c r="C336" s="5" t="s">
        <v>2486</v>
      </c>
      <c r="D336" s="5" t="s">
        <v>4279</v>
      </c>
      <c r="E336" s="5" t="s">
        <v>4280</v>
      </c>
      <c r="F336" s="5" t="s">
        <v>4281</v>
      </c>
      <c r="G336" s="5" t="s">
        <v>4282</v>
      </c>
      <c r="H336" s="5" t="s">
        <v>1781</v>
      </c>
      <c r="I336" s="5" t="s">
        <v>1782</v>
      </c>
      <c r="J336" s="91">
        <v>28539.0</v>
      </c>
      <c r="K336" s="5">
        <v>632.0</v>
      </c>
      <c r="L336" s="5" t="s">
        <v>4283</v>
      </c>
      <c r="M336" s="5">
        <v>8.0</v>
      </c>
      <c r="N336" s="5"/>
      <c r="O336" s="5">
        <v>41401.0</v>
      </c>
      <c r="P336" s="5" t="s">
        <v>4284</v>
      </c>
      <c r="Q336" s="5" t="s">
        <v>4285</v>
      </c>
      <c r="R336" s="5">
        <v>632.0</v>
      </c>
      <c r="S336" s="5">
        <v>3.931042265E9</v>
      </c>
      <c r="T336" s="5" t="s">
        <v>4286</v>
      </c>
      <c r="U336" s="5">
        <v>1.0</v>
      </c>
      <c r="V336" s="5">
        <v>1.596321458E9</v>
      </c>
      <c r="W336" s="5">
        <v>3.0</v>
      </c>
      <c r="X336" s="91">
        <v>44866.0</v>
      </c>
      <c r="Y336" s="5">
        <v>1.0</v>
      </c>
      <c r="Z336" s="5">
        <v>19.0</v>
      </c>
      <c r="AA336" s="5">
        <v>1.0</v>
      </c>
      <c r="AB336" s="5" t="s">
        <v>2230</v>
      </c>
      <c r="AC336" s="5" t="s">
        <v>1800</v>
      </c>
      <c r="AD336" s="5" t="s">
        <v>1770</v>
      </c>
      <c r="AE336" s="5" t="s">
        <v>1770</v>
      </c>
      <c r="AF336" s="5"/>
      <c r="AG336" s="5"/>
      <c r="AH336" s="5">
        <v>1.2345698745E10</v>
      </c>
      <c r="AI336" s="5"/>
      <c r="AJ336" s="5"/>
      <c r="AK336" s="5" t="s">
        <v>1773</v>
      </c>
      <c r="AL336" s="92">
        <v>0.0</v>
      </c>
      <c r="AM336" s="5" t="s">
        <v>1770</v>
      </c>
      <c r="AN336" s="5" t="s">
        <v>1830</v>
      </c>
      <c r="AO336" s="5"/>
      <c r="AP336" s="5"/>
      <c r="AQ336" s="5"/>
      <c r="AR336" s="5"/>
      <c r="AS336" s="5"/>
      <c r="AT336" s="5"/>
      <c r="AU336" s="5"/>
      <c r="AV336" s="5"/>
      <c r="AW336" s="5" t="s">
        <v>1770</v>
      </c>
      <c r="AX336" s="5"/>
      <c r="AY336" s="5"/>
      <c r="AZ336" s="5" t="s">
        <v>1770</v>
      </c>
      <c r="BA336" s="93">
        <v>0.0</v>
      </c>
      <c r="BB336" s="93">
        <v>0.0</v>
      </c>
      <c r="BC336" s="93">
        <v>0.0</v>
      </c>
      <c r="BD336" s="93">
        <v>0.0</v>
      </c>
      <c r="BE336" s="93">
        <v>0.0</v>
      </c>
      <c r="BF336" s="93">
        <v>0.0</v>
      </c>
      <c r="BG336" s="5"/>
      <c r="BH336" s="93">
        <v>0.0</v>
      </c>
      <c r="BI336" s="93">
        <v>0.0</v>
      </c>
      <c r="BJ336" s="93">
        <v>0.0</v>
      </c>
      <c r="BK336" s="93">
        <v>0.0</v>
      </c>
      <c r="BL336" s="93">
        <v>0.0</v>
      </c>
      <c r="BM336" s="93">
        <v>0.0</v>
      </c>
      <c r="BN336" s="93">
        <v>0.0</v>
      </c>
      <c r="BO336" s="5"/>
      <c r="BP336" s="5" t="s">
        <v>1770</v>
      </c>
      <c r="BQ336" s="5" t="s">
        <v>1789</v>
      </c>
      <c r="BR336" s="94">
        <v>44882.523888888885</v>
      </c>
      <c r="BS336" s="5">
        <v>40.0</v>
      </c>
      <c r="BT336" s="5" t="s">
        <v>1770</v>
      </c>
      <c r="BU336" s="5" t="s">
        <v>1770</v>
      </c>
      <c r="BV336" s="94">
        <v>44964.48405092592</v>
      </c>
      <c r="BW336" s="5">
        <v>211.0</v>
      </c>
    </row>
    <row r="337" ht="14.25" customHeight="1">
      <c r="A337" s="5">
        <v>336.0</v>
      </c>
      <c r="B337" s="5">
        <v>603.0</v>
      </c>
      <c r="C337" s="5" t="s">
        <v>4287</v>
      </c>
      <c r="D337" s="5" t="s">
        <v>2551</v>
      </c>
      <c r="E337" s="5" t="s">
        <v>4288</v>
      </c>
      <c r="F337" s="5" t="s">
        <v>4289</v>
      </c>
      <c r="G337" s="5" t="s">
        <v>4290</v>
      </c>
      <c r="H337" s="5" t="s">
        <v>1972</v>
      </c>
      <c r="I337" s="5" t="s">
        <v>1782</v>
      </c>
      <c r="J337" s="91">
        <v>36054.0</v>
      </c>
      <c r="K337" s="5">
        <v>413.0</v>
      </c>
      <c r="L337" s="5" t="s">
        <v>4291</v>
      </c>
      <c r="M337" s="5">
        <v>4.0</v>
      </c>
      <c r="N337" s="5"/>
      <c r="O337" s="5">
        <v>35942.0</v>
      </c>
      <c r="P337" s="5" t="s">
        <v>3139</v>
      </c>
      <c r="Q337" s="5" t="s">
        <v>4292</v>
      </c>
      <c r="R337" s="5">
        <v>402.0</v>
      </c>
      <c r="S337" s="5">
        <v>4.291018785E9</v>
      </c>
      <c r="T337" s="5" t="s">
        <v>4293</v>
      </c>
      <c r="U337" s="5" t="s">
        <v>4294</v>
      </c>
      <c r="V337" s="5">
        <v>4.291207435E9</v>
      </c>
      <c r="W337" s="5" t="s">
        <v>1965</v>
      </c>
      <c r="X337" s="91">
        <v>44879.0</v>
      </c>
      <c r="Y337" s="5">
        <v>2.0</v>
      </c>
      <c r="Z337" s="5">
        <v>1.0</v>
      </c>
      <c r="AA337" s="5">
        <v>1.0</v>
      </c>
      <c r="AB337" s="5">
        <v>3654958.0</v>
      </c>
      <c r="AC337" s="5" t="s">
        <v>1772</v>
      </c>
      <c r="AD337" s="91">
        <v>44874.0</v>
      </c>
      <c r="AE337" s="91">
        <v>46700.0</v>
      </c>
      <c r="AF337" s="5"/>
      <c r="AG337" s="5"/>
      <c r="AH337" s="5">
        <v>1.3139887064E10</v>
      </c>
      <c r="AI337" s="5">
        <v>9.0</v>
      </c>
      <c r="AJ337" s="5"/>
      <c r="AK337" s="5" t="s">
        <v>1773</v>
      </c>
      <c r="AL337" s="92">
        <v>0.0</v>
      </c>
      <c r="AM337" s="5" t="s">
        <v>1770</v>
      </c>
      <c r="AN337" s="5" t="s">
        <v>1774</v>
      </c>
      <c r="AO337" s="5"/>
      <c r="AP337" s="5"/>
      <c r="AQ337" s="5"/>
      <c r="AR337" s="5"/>
      <c r="AS337" s="5"/>
      <c r="AT337" s="5"/>
      <c r="AU337" s="5"/>
      <c r="AV337" s="5"/>
      <c r="AW337" s="5" t="s">
        <v>1770</v>
      </c>
      <c r="AX337" s="5"/>
      <c r="AY337" s="5"/>
      <c r="AZ337" s="5" t="s">
        <v>1770</v>
      </c>
      <c r="BA337" s="93">
        <v>0.0</v>
      </c>
      <c r="BB337" s="93">
        <v>0.0</v>
      </c>
      <c r="BC337" s="93">
        <v>0.0</v>
      </c>
      <c r="BD337" s="93">
        <v>0.0</v>
      </c>
      <c r="BE337" s="93">
        <v>0.0</v>
      </c>
      <c r="BF337" s="93">
        <v>0.0</v>
      </c>
      <c r="BG337" s="5"/>
      <c r="BH337" s="93">
        <v>0.0</v>
      </c>
      <c r="BI337" s="93">
        <v>0.0</v>
      </c>
      <c r="BJ337" s="93">
        <v>0.0</v>
      </c>
      <c r="BK337" s="93">
        <v>0.0</v>
      </c>
      <c r="BL337" s="93">
        <v>0.0</v>
      </c>
      <c r="BM337" s="93">
        <v>0.0</v>
      </c>
      <c r="BN337" s="93">
        <v>0.0</v>
      </c>
      <c r="BO337" s="5"/>
      <c r="BP337" s="5" t="s">
        <v>1770</v>
      </c>
      <c r="BQ337" s="5" t="s">
        <v>1789</v>
      </c>
      <c r="BR337" s="94">
        <v>44883.451585648145</v>
      </c>
      <c r="BS337" s="5">
        <v>40.0</v>
      </c>
      <c r="BT337" s="5" t="s">
        <v>1770</v>
      </c>
      <c r="BU337" s="5" t="s">
        <v>1770</v>
      </c>
      <c r="BV337" s="94">
        <v>45035.45793981481</v>
      </c>
      <c r="BW337" s="5">
        <v>40.0</v>
      </c>
    </row>
    <row r="338" ht="14.25" customHeight="1">
      <c r="A338" s="5">
        <v>337.0</v>
      </c>
      <c r="B338" s="5">
        <v>600.0</v>
      </c>
      <c r="C338" s="5" t="s">
        <v>4295</v>
      </c>
      <c r="D338" s="5" t="s">
        <v>4296</v>
      </c>
      <c r="E338" s="5" t="s">
        <v>4297</v>
      </c>
      <c r="F338" s="5" t="s">
        <v>4298</v>
      </c>
      <c r="G338" s="5" t="s">
        <v>4299</v>
      </c>
      <c r="H338" s="5" t="s">
        <v>4300</v>
      </c>
      <c r="I338" s="5" t="s">
        <v>1782</v>
      </c>
      <c r="J338" s="91">
        <v>27486.0</v>
      </c>
      <c r="K338" s="5">
        <v>549.0</v>
      </c>
      <c r="L338" s="5" t="s">
        <v>2784</v>
      </c>
      <c r="M338" s="5" t="s">
        <v>2913</v>
      </c>
      <c r="N338" s="5" t="s">
        <v>2913</v>
      </c>
      <c r="O338" s="5">
        <v>43896.0</v>
      </c>
      <c r="P338" s="5" t="s">
        <v>4301</v>
      </c>
      <c r="Q338" s="5" t="s">
        <v>4301</v>
      </c>
      <c r="R338" s="5">
        <v>549.0</v>
      </c>
      <c r="S338" s="5">
        <v>3.93131193E9</v>
      </c>
      <c r="T338" s="5"/>
      <c r="U338" s="5" t="s">
        <v>4302</v>
      </c>
      <c r="V338" s="5">
        <v>6.561662328E9</v>
      </c>
      <c r="W338" s="5" t="s">
        <v>2780</v>
      </c>
      <c r="X338" s="91">
        <v>44844.0</v>
      </c>
      <c r="Y338" s="5">
        <v>1.0</v>
      </c>
      <c r="Z338" s="5">
        <v>17.0</v>
      </c>
      <c r="AA338" s="5">
        <v>61.0</v>
      </c>
      <c r="AB338" s="5" t="s">
        <v>4303</v>
      </c>
      <c r="AC338" s="5" t="s">
        <v>1800</v>
      </c>
      <c r="AD338" s="91">
        <v>40121.0</v>
      </c>
      <c r="AE338" s="91">
        <v>41582.0</v>
      </c>
      <c r="AF338" s="5"/>
      <c r="AG338" s="5"/>
      <c r="AH338" s="5">
        <v>3.197521341E9</v>
      </c>
      <c r="AI338" s="5">
        <v>23.0</v>
      </c>
      <c r="AJ338" s="5"/>
      <c r="AK338" s="5" t="s">
        <v>1773</v>
      </c>
      <c r="AL338" s="92">
        <v>0.0</v>
      </c>
      <c r="AM338" s="5" t="s">
        <v>1770</v>
      </c>
      <c r="AN338" s="5" t="s">
        <v>1830</v>
      </c>
      <c r="AO338" s="5"/>
      <c r="AP338" s="5"/>
      <c r="AQ338" s="5"/>
      <c r="AR338" s="5"/>
      <c r="AS338" s="5"/>
      <c r="AT338" s="5" t="s">
        <v>3285</v>
      </c>
      <c r="AU338" s="5"/>
      <c r="AV338" s="5"/>
      <c r="AW338" s="5" t="s">
        <v>1770</v>
      </c>
      <c r="AX338" s="5"/>
      <c r="AY338" s="5"/>
      <c r="AZ338" s="5" t="s">
        <v>1770</v>
      </c>
      <c r="BA338" s="93">
        <v>0.0</v>
      </c>
      <c r="BB338" s="93">
        <v>0.0</v>
      </c>
      <c r="BC338" s="93">
        <v>0.0</v>
      </c>
      <c r="BD338" s="93">
        <v>0.0</v>
      </c>
      <c r="BE338" s="93">
        <v>0.0</v>
      </c>
      <c r="BF338" s="93">
        <v>0.0</v>
      </c>
      <c r="BG338" s="5"/>
      <c r="BH338" s="93">
        <v>0.0</v>
      </c>
      <c r="BI338" s="93">
        <v>0.0</v>
      </c>
      <c r="BJ338" s="93">
        <v>0.0</v>
      </c>
      <c r="BK338" s="93">
        <v>0.0</v>
      </c>
      <c r="BL338" s="93">
        <v>0.0</v>
      </c>
      <c r="BM338" s="93">
        <v>0.0</v>
      </c>
      <c r="BN338" s="93">
        <v>0.0</v>
      </c>
      <c r="BO338" s="5"/>
      <c r="BP338" s="5" t="s">
        <v>1770</v>
      </c>
      <c r="BQ338" s="5" t="s">
        <v>1789</v>
      </c>
      <c r="BR338" s="94">
        <v>44902.47670138889</v>
      </c>
      <c r="BS338" s="5">
        <v>221.0</v>
      </c>
      <c r="BT338" s="5" t="s">
        <v>1770</v>
      </c>
      <c r="BU338" s="5" t="s">
        <v>1770</v>
      </c>
      <c r="BV338" s="94">
        <v>44902.477175925924</v>
      </c>
      <c r="BW338" s="5">
        <v>221.0</v>
      </c>
    </row>
    <row r="339" ht="14.25" customHeight="1">
      <c r="A339" s="5">
        <v>338.0</v>
      </c>
      <c r="B339" s="5">
        <v>601.0</v>
      </c>
      <c r="C339" s="5" t="s">
        <v>4304</v>
      </c>
      <c r="D339" s="5" t="s">
        <v>4305</v>
      </c>
      <c r="E339" s="5" t="s">
        <v>2105</v>
      </c>
      <c r="F339" s="5" t="s">
        <v>4306</v>
      </c>
      <c r="G339" s="5" t="s">
        <v>4307</v>
      </c>
      <c r="H339" s="5" t="s">
        <v>1781</v>
      </c>
      <c r="I339" s="5" t="s">
        <v>1782</v>
      </c>
      <c r="J339" s="91">
        <v>30978.0</v>
      </c>
      <c r="K339" s="5">
        <v>2126.0</v>
      </c>
      <c r="L339" s="5" t="s">
        <v>4308</v>
      </c>
      <c r="M339" s="5">
        <v>321.0</v>
      </c>
      <c r="N339" s="5"/>
      <c r="O339" s="5">
        <v>43854.0</v>
      </c>
      <c r="P339" s="5" t="s">
        <v>4309</v>
      </c>
      <c r="Q339" s="5"/>
      <c r="R339" s="5">
        <v>594.0</v>
      </c>
      <c r="S339" s="5">
        <v>3.921000126E9</v>
      </c>
      <c r="T339" s="5" t="s">
        <v>4310</v>
      </c>
      <c r="U339" s="100" t="s">
        <v>4311</v>
      </c>
      <c r="V339" s="5">
        <v>3.921297401E9</v>
      </c>
      <c r="W339" s="5" t="s">
        <v>1787</v>
      </c>
      <c r="X339" s="91">
        <v>44858.0</v>
      </c>
      <c r="Y339" s="5">
        <v>5.0</v>
      </c>
      <c r="Z339" s="5">
        <v>19.0</v>
      </c>
      <c r="AA339" s="5">
        <v>45.0</v>
      </c>
      <c r="AB339" s="5"/>
      <c r="AC339" s="5"/>
      <c r="AD339" s="5" t="s">
        <v>1770</v>
      </c>
      <c r="AE339" s="5" t="s">
        <v>1770</v>
      </c>
      <c r="AF339" s="5"/>
      <c r="AG339" s="5"/>
      <c r="AH339" s="5">
        <v>4.038414456E9</v>
      </c>
      <c r="AI339" s="5">
        <v>95.0</v>
      </c>
      <c r="AJ339" s="5">
        <v>1.420035117E9</v>
      </c>
      <c r="AK339" s="5" t="s">
        <v>2907</v>
      </c>
      <c r="AL339" s="92">
        <v>0.0</v>
      </c>
      <c r="AM339" s="91">
        <v>44858.0</v>
      </c>
      <c r="AN339" s="5" t="s">
        <v>1830</v>
      </c>
      <c r="AO339" s="5"/>
      <c r="AP339" s="5"/>
      <c r="AQ339" s="5"/>
      <c r="AR339" s="5"/>
      <c r="AS339" s="5"/>
      <c r="AT339" s="5" t="s">
        <v>2996</v>
      </c>
      <c r="AU339" s="5"/>
      <c r="AV339" s="5"/>
      <c r="AW339" s="5" t="s">
        <v>1770</v>
      </c>
      <c r="AX339" s="5"/>
      <c r="AY339" s="5"/>
      <c r="AZ339" s="5" t="s">
        <v>1770</v>
      </c>
      <c r="BA339" s="93">
        <v>0.0</v>
      </c>
      <c r="BB339" s="93">
        <v>0.0</v>
      </c>
      <c r="BC339" s="93">
        <v>0.0</v>
      </c>
      <c r="BD339" s="93">
        <v>0.0</v>
      </c>
      <c r="BE339" s="93">
        <v>0.0</v>
      </c>
      <c r="BF339" s="93">
        <v>0.0</v>
      </c>
      <c r="BG339" s="5"/>
      <c r="BH339" s="93">
        <v>0.0</v>
      </c>
      <c r="BI339" s="93">
        <v>0.0</v>
      </c>
      <c r="BJ339" s="93">
        <v>0.0</v>
      </c>
      <c r="BK339" s="93">
        <v>0.0</v>
      </c>
      <c r="BL339" s="93">
        <v>0.0</v>
      </c>
      <c r="BM339" s="93">
        <v>0.0</v>
      </c>
      <c r="BN339" s="93">
        <v>0.0</v>
      </c>
      <c r="BO339" s="5"/>
      <c r="BP339" s="5" t="s">
        <v>1770</v>
      </c>
      <c r="BQ339" s="5" t="s">
        <v>1789</v>
      </c>
      <c r="BR339" s="94">
        <v>44902.50861111111</v>
      </c>
      <c r="BS339" s="5">
        <v>221.0</v>
      </c>
      <c r="BT339" s="5" t="s">
        <v>1770</v>
      </c>
      <c r="BU339" s="5" t="s">
        <v>1770</v>
      </c>
      <c r="BV339" s="94">
        <v>44902.509039351855</v>
      </c>
      <c r="BW339" s="5">
        <v>221.0</v>
      </c>
    </row>
    <row r="340" ht="14.25" customHeight="1">
      <c r="A340" s="5">
        <v>339.0</v>
      </c>
      <c r="B340" s="5">
        <v>602.0</v>
      </c>
      <c r="C340" s="5" t="s">
        <v>4312</v>
      </c>
      <c r="D340" s="5" t="s">
        <v>1778</v>
      </c>
      <c r="E340" s="5" t="s">
        <v>2165</v>
      </c>
      <c r="F340" s="5" t="s">
        <v>4313</v>
      </c>
      <c r="G340" s="5" t="s">
        <v>4314</v>
      </c>
      <c r="H340" s="5" t="s">
        <v>1815</v>
      </c>
      <c r="I340" s="5" t="s">
        <v>1763</v>
      </c>
      <c r="J340" s="91">
        <v>36768.0</v>
      </c>
      <c r="K340" s="5">
        <v>850.0</v>
      </c>
      <c r="L340" s="5" t="s">
        <v>4315</v>
      </c>
      <c r="M340" s="5">
        <v>26.0</v>
      </c>
      <c r="N340" s="5"/>
      <c r="O340" s="5">
        <v>35872.0</v>
      </c>
      <c r="P340" s="5" t="s">
        <v>1797</v>
      </c>
      <c r="Q340" s="5"/>
      <c r="R340" s="5">
        <v>424.0</v>
      </c>
      <c r="S340" s="5">
        <v>4.621766214E9</v>
      </c>
      <c r="T340" s="5" t="s">
        <v>4316</v>
      </c>
      <c r="U340" s="5" t="s">
        <v>4317</v>
      </c>
      <c r="V340" s="5">
        <v>4.691044885E9</v>
      </c>
      <c r="W340" s="5" t="s">
        <v>4318</v>
      </c>
      <c r="X340" s="91">
        <v>44859.0</v>
      </c>
      <c r="Y340" s="5">
        <v>2.0</v>
      </c>
      <c r="Z340" s="5">
        <v>19.0</v>
      </c>
      <c r="AA340" s="5">
        <v>9.0</v>
      </c>
      <c r="AB340" s="5"/>
      <c r="AC340" s="5"/>
      <c r="AD340" s="5" t="s">
        <v>1770</v>
      </c>
      <c r="AE340" s="5" t="s">
        <v>1770</v>
      </c>
      <c r="AF340" s="5"/>
      <c r="AG340" s="5"/>
      <c r="AH340" s="5">
        <v>6.8160034267E10</v>
      </c>
      <c r="AI340" s="5">
        <v>9.0</v>
      </c>
      <c r="AJ340" s="5"/>
      <c r="AK340" s="5" t="s">
        <v>1773</v>
      </c>
      <c r="AL340" s="92">
        <v>0.0</v>
      </c>
      <c r="AM340" s="5" t="s">
        <v>1770</v>
      </c>
      <c r="AN340" s="5" t="s">
        <v>3236</v>
      </c>
      <c r="AO340" s="5"/>
      <c r="AP340" s="5"/>
      <c r="AQ340" s="5"/>
      <c r="AR340" s="5"/>
      <c r="AS340" s="5"/>
      <c r="AT340" s="5"/>
      <c r="AU340" s="5" t="s">
        <v>4319</v>
      </c>
      <c r="AV340" s="5" t="s">
        <v>3201</v>
      </c>
      <c r="AW340" s="5" t="s">
        <v>1770</v>
      </c>
      <c r="AX340" s="5"/>
      <c r="AY340" s="5"/>
      <c r="AZ340" s="5" t="s">
        <v>1770</v>
      </c>
      <c r="BA340" s="93">
        <v>0.0</v>
      </c>
      <c r="BB340" s="93">
        <v>0.0</v>
      </c>
      <c r="BC340" s="93">
        <v>0.0</v>
      </c>
      <c r="BD340" s="93">
        <v>0.0</v>
      </c>
      <c r="BE340" s="93">
        <v>0.0</v>
      </c>
      <c r="BF340" s="93">
        <v>0.0</v>
      </c>
      <c r="BG340" s="5"/>
      <c r="BH340" s="93">
        <v>0.0</v>
      </c>
      <c r="BI340" s="93">
        <v>0.0</v>
      </c>
      <c r="BJ340" s="93">
        <v>0.0</v>
      </c>
      <c r="BK340" s="93">
        <v>0.0</v>
      </c>
      <c r="BL340" s="93">
        <v>0.0</v>
      </c>
      <c r="BM340" s="93">
        <v>0.0</v>
      </c>
      <c r="BN340" s="93">
        <v>0.0</v>
      </c>
      <c r="BO340" s="5"/>
      <c r="BP340" s="5" t="s">
        <v>1770</v>
      </c>
      <c r="BQ340" s="5" t="s">
        <v>1789</v>
      </c>
      <c r="BR340" s="94">
        <v>44902.535625</v>
      </c>
      <c r="BS340" s="5">
        <v>221.0</v>
      </c>
      <c r="BT340" s="94">
        <v>45693.44887731481</v>
      </c>
      <c r="BU340" s="5">
        <v>275.0</v>
      </c>
      <c r="BV340" s="94">
        <v>45707.6856712963</v>
      </c>
      <c r="BW340" s="5">
        <v>275.0</v>
      </c>
    </row>
    <row r="341" ht="14.25" customHeight="1">
      <c r="A341" s="5">
        <v>340.0</v>
      </c>
      <c r="B341" s="5">
        <v>604.0</v>
      </c>
      <c r="C341" s="5" t="s">
        <v>4320</v>
      </c>
      <c r="D341" s="5" t="s">
        <v>1792</v>
      </c>
      <c r="E341" s="5" t="s">
        <v>4321</v>
      </c>
      <c r="F341" s="5" t="s">
        <v>4322</v>
      </c>
      <c r="G341" s="5" t="s">
        <v>4323</v>
      </c>
      <c r="H341" s="5" t="s">
        <v>1972</v>
      </c>
      <c r="I341" s="5" t="s">
        <v>1782</v>
      </c>
      <c r="J341" s="91">
        <v>35734.0</v>
      </c>
      <c r="K341" s="5">
        <v>1132.0</v>
      </c>
      <c r="L341" s="5" t="s">
        <v>2430</v>
      </c>
      <c r="M341" s="5" t="s">
        <v>2913</v>
      </c>
      <c r="N341" s="5" t="s">
        <v>2913</v>
      </c>
      <c r="O341" s="5">
        <v>64262.0</v>
      </c>
      <c r="P341" s="5" t="s">
        <v>4324</v>
      </c>
      <c r="Q341" s="5"/>
      <c r="R341" s="5">
        <v>1132.0</v>
      </c>
      <c r="S341" s="5">
        <v>2.871516435E9</v>
      </c>
      <c r="T341" s="5" t="s">
        <v>4325</v>
      </c>
      <c r="U341" s="5" t="s">
        <v>4326</v>
      </c>
      <c r="V341" s="5">
        <v>2.871448445E9</v>
      </c>
      <c r="W341" s="5" t="s">
        <v>1965</v>
      </c>
      <c r="X341" s="91">
        <v>44888.0</v>
      </c>
      <c r="Y341" s="5">
        <v>2.0</v>
      </c>
      <c r="Z341" s="5">
        <v>4.0</v>
      </c>
      <c r="AA341" s="5">
        <v>2.0</v>
      </c>
      <c r="AB341" s="5" t="s">
        <v>1773</v>
      </c>
      <c r="AC341" s="5"/>
      <c r="AD341" s="5" t="s">
        <v>1770</v>
      </c>
      <c r="AE341" s="5" t="s">
        <v>1770</v>
      </c>
      <c r="AF341" s="5"/>
      <c r="AG341" s="5"/>
      <c r="AH341" s="5">
        <v>7.8129739922E10</v>
      </c>
      <c r="AI341" s="5">
        <v>9.0</v>
      </c>
      <c r="AJ341" s="5"/>
      <c r="AK341" s="5" t="s">
        <v>1773</v>
      </c>
      <c r="AL341" s="92">
        <v>0.0</v>
      </c>
      <c r="AM341" s="5" t="s">
        <v>1770</v>
      </c>
      <c r="AN341" s="5" t="s">
        <v>3236</v>
      </c>
      <c r="AO341" s="5"/>
      <c r="AP341" s="5"/>
      <c r="AQ341" s="5"/>
      <c r="AR341" s="5"/>
      <c r="AS341" s="5"/>
      <c r="AT341" s="5"/>
      <c r="AU341" s="5" t="s">
        <v>4327</v>
      </c>
      <c r="AV341" s="5" t="s">
        <v>4328</v>
      </c>
      <c r="AW341" s="91">
        <v>44848.0</v>
      </c>
      <c r="AX341" s="5"/>
      <c r="AY341" s="5"/>
      <c r="AZ341" s="5" t="s">
        <v>1770</v>
      </c>
      <c r="BA341" s="93">
        <v>0.0</v>
      </c>
      <c r="BB341" s="93">
        <v>0.0</v>
      </c>
      <c r="BC341" s="93">
        <v>0.0</v>
      </c>
      <c r="BD341" s="93">
        <v>0.0</v>
      </c>
      <c r="BE341" s="93">
        <v>0.0</v>
      </c>
      <c r="BF341" s="93">
        <v>0.0</v>
      </c>
      <c r="BG341" s="5"/>
      <c r="BH341" s="93">
        <v>0.0</v>
      </c>
      <c r="BI341" s="93">
        <v>0.0</v>
      </c>
      <c r="BJ341" s="93">
        <v>0.0</v>
      </c>
      <c r="BK341" s="93">
        <v>0.0</v>
      </c>
      <c r="BL341" s="93">
        <v>0.0</v>
      </c>
      <c r="BM341" s="93">
        <v>0.0</v>
      </c>
      <c r="BN341" s="93">
        <v>0.0</v>
      </c>
      <c r="BO341" s="5"/>
      <c r="BP341" s="5" t="s">
        <v>1770</v>
      </c>
      <c r="BQ341" s="5" t="s">
        <v>1789</v>
      </c>
      <c r="BR341" s="94">
        <v>44902.559270833335</v>
      </c>
      <c r="BS341" s="5">
        <v>221.0</v>
      </c>
      <c r="BT341" s="5" t="s">
        <v>1770</v>
      </c>
      <c r="BU341" s="5" t="s">
        <v>1770</v>
      </c>
      <c r="BV341" s="94">
        <v>44980.453368055554</v>
      </c>
      <c r="BW341" s="5">
        <v>40.0</v>
      </c>
    </row>
    <row r="342" ht="14.25" customHeight="1">
      <c r="A342" s="5">
        <v>341.0</v>
      </c>
      <c r="B342" s="5">
        <v>605.0</v>
      </c>
      <c r="C342" s="5" t="s">
        <v>4329</v>
      </c>
      <c r="D342" s="5" t="s">
        <v>1777</v>
      </c>
      <c r="E342" s="5" t="s">
        <v>1758</v>
      </c>
      <c r="F342" s="5" t="s">
        <v>4330</v>
      </c>
      <c r="G342" s="5" t="s">
        <v>4331</v>
      </c>
      <c r="H342" s="5" t="s">
        <v>1972</v>
      </c>
      <c r="I342" s="5" t="s">
        <v>1782</v>
      </c>
      <c r="J342" s="91">
        <v>31324.0</v>
      </c>
      <c r="K342" s="5">
        <v>570.0</v>
      </c>
      <c r="L342" s="5" t="s">
        <v>2430</v>
      </c>
      <c r="M342" s="5">
        <v>76.0</v>
      </c>
      <c r="N342" s="5"/>
      <c r="O342" s="5">
        <v>41783.0</v>
      </c>
      <c r="P342" s="5" t="s">
        <v>4332</v>
      </c>
      <c r="Q342" s="5"/>
      <c r="R342" s="5">
        <v>581.0</v>
      </c>
      <c r="S342" s="5">
        <v>3.334116535E9</v>
      </c>
      <c r="T342" s="5" t="s">
        <v>4333</v>
      </c>
      <c r="U342" s="5" t="s">
        <v>4334</v>
      </c>
      <c r="V342" s="5">
        <v>3.329216644E9</v>
      </c>
      <c r="W342" s="5" t="s">
        <v>4335</v>
      </c>
      <c r="X342" s="91">
        <v>44893.0</v>
      </c>
      <c r="Y342" s="5">
        <v>5.0</v>
      </c>
      <c r="Z342" s="5">
        <v>19.0</v>
      </c>
      <c r="AA342" s="5">
        <v>1.0</v>
      </c>
      <c r="AB342" s="5" t="s">
        <v>4336</v>
      </c>
      <c r="AC342" s="5" t="s">
        <v>1800</v>
      </c>
      <c r="AD342" s="91">
        <v>44601.0</v>
      </c>
      <c r="AE342" s="91">
        <v>46062.0</v>
      </c>
      <c r="AF342" s="5"/>
      <c r="AG342" s="5"/>
      <c r="AH342" s="5">
        <v>7.5048542858E10</v>
      </c>
      <c r="AI342" s="5">
        <v>95.0</v>
      </c>
      <c r="AJ342" s="5"/>
      <c r="AK342" s="5" t="s">
        <v>1773</v>
      </c>
      <c r="AL342" s="92">
        <v>0.0</v>
      </c>
      <c r="AM342" s="5" t="s">
        <v>1770</v>
      </c>
      <c r="AN342" s="5" t="s">
        <v>1830</v>
      </c>
      <c r="AO342" s="5"/>
      <c r="AP342" s="5"/>
      <c r="AQ342" s="5"/>
      <c r="AR342" s="5"/>
      <c r="AS342" s="5"/>
      <c r="AT342" s="5" t="s">
        <v>3285</v>
      </c>
      <c r="AU342" s="5"/>
      <c r="AV342" s="5"/>
      <c r="AW342" s="5" t="s">
        <v>1770</v>
      </c>
      <c r="AX342" s="5"/>
      <c r="AY342" s="5"/>
      <c r="AZ342" s="5" t="s">
        <v>1770</v>
      </c>
      <c r="BA342" s="93">
        <v>0.0</v>
      </c>
      <c r="BB342" s="93">
        <v>0.0</v>
      </c>
      <c r="BC342" s="93">
        <v>0.0</v>
      </c>
      <c r="BD342" s="93">
        <v>0.0</v>
      </c>
      <c r="BE342" s="93">
        <v>0.0</v>
      </c>
      <c r="BF342" s="93">
        <v>0.0</v>
      </c>
      <c r="BG342" s="5"/>
      <c r="BH342" s="93">
        <v>0.0</v>
      </c>
      <c r="BI342" s="93">
        <v>0.0</v>
      </c>
      <c r="BJ342" s="93">
        <v>0.0</v>
      </c>
      <c r="BK342" s="93">
        <v>0.0</v>
      </c>
      <c r="BL342" s="93">
        <v>0.0</v>
      </c>
      <c r="BM342" s="93">
        <v>0.0</v>
      </c>
      <c r="BN342" s="93">
        <v>0.0</v>
      </c>
      <c r="BO342" s="5"/>
      <c r="BP342" s="5" t="s">
        <v>1770</v>
      </c>
      <c r="BQ342" s="5" t="s">
        <v>1789</v>
      </c>
      <c r="BR342" s="94">
        <v>44902.57158564815</v>
      </c>
      <c r="BS342" s="5">
        <v>221.0</v>
      </c>
      <c r="BT342" s="5" t="s">
        <v>1770</v>
      </c>
      <c r="BU342" s="5" t="s">
        <v>1770</v>
      </c>
      <c r="BV342" s="94">
        <v>44980.44793981482</v>
      </c>
      <c r="BW342" s="5">
        <v>40.0</v>
      </c>
    </row>
    <row r="343" ht="14.25" customHeight="1">
      <c r="A343" s="5">
        <v>342.0</v>
      </c>
      <c r="B343" s="5">
        <v>606.0</v>
      </c>
      <c r="C343" s="5" t="s">
        <v>1810</v>
      </c>
      <c r="D343" s="5" t="s">
        <v>1777</v>
      </c>
      <c r="E343" s="5" t="s">
        <v>3502</v>
      </c>
      <c r="F343" s="5" t="s">
        <v>4337</v>
      </c>
      <c r="G343" s="5" t="s">
        <v>4338</v>
      </c>
      <c r="H343" s="5" t="s">
        <v>1815</v>
      </c>
      <c r="I343" s="5" t="s">
        <v>1763</v>
      </c>
      <c r="J343" s="91">
        <v>34710.0</v>
      </c>
      <c r="K343" s="5">
        <v>549.0</v>
      </c>
      <c r="L343" s="5" t="s">
        <v>4339</v>
      </c>
      <c r="M343" s="5">
        <v>6.0</v>
      </c>
      <c r="N343" s="5"/>
      <c r="O343" s="5">
        <v>43884.0</v>
      </c>
      <c r="P343" s="5" t="s">
        <v>1902</v>
      </c>
      <c r="Q343" s="5"/>
      <c r="R343" s="5">
        <v>549.0</v>
      </c>
      <c r="S343" s="5">
        <v>3.931172621E9</v>
      </c>
      <c r="T343" s="5" t="s">
        <v>4340</v>
      </c>
      <c r="U343" s="5" t="s">
        <v>4341</v>
      </c>
      <c r="V343" s="5">
        <v>3.931071136E9</v>
      </c>
      <c r="W343" s="5" t="s">
        <v>3011</v>
      </c>
      <c r="X343" s="91">
        <v>44896.0</v>
      </c>
      <c r="Y343" s="5">
        <v>1.0</v>
      </c>
      <c r="Z343" s="5">
        <v>17.0</v>
      </c>
      <c r="AA343" s="5">
        <v>25.0</v>
      </c>
      <c r="AB343" s="5" t="s">
        <v>1773</v>
      </c>
      <c r="AC343" s="5"/>
      <c r="AD343" s="5" t="s">
        <v>1770</v>
      </c>
      <c r="AE343" s="5" t="s">
        <v>1770</v>
      </c>
      <c r="AF343" s="5"/>
      <c r="AG343" s="5"/>
      <c r="AH343" s="5">
        <v>1.8189545942E10</v>
      </c>
      <c r="AI343" s="5">
        <v>23.0</v>
      </c>
      <c r="AJ343" s="5"/>
      <c r="AK343" s="5" t="s">
        <v>1773</v>
      </c>
      <c r="AL343" s="92">
        <v>0.0</v>
      </c>
      <c r="AM343" s="5" t="s">
        <v>1770</v>
      </c>
      <c r="AN343" s="5" t="s">
        <v>1830</v>
      </c>
      <c r="AO343" s="5"/>
      <c r="AP343" s="5"/>
      <c r="AQ343" s="5"/>
      <c r="AR343" s="5"/>
      <c r="AS343" s="5"/>
      <c r="AT343" s="5" t="s">
        <v>3285</v>
      </c>
      <c r="AU343" s="5"/>
      <c r="AV343" s="5"/>
      <c r="AW343" s="5" t="s">
        <v>1770</v>
      </c>
      <c r="AX343" s="5"/>
      <c r="AY343" s="5"/>
      <c r="AZ343" s="5" t="s">
        <v>1770</v>
      </c>
      <c r="BA343" s="93">
        <v>0.0</v>
      </c>
      <c r="BB343" s="93">
        <v>0.0</v>
      </c>
      <c r="BC343" s="93">
        <v>0.0</v>
      </c>
      <c r="BD343" s="93">
        <v>0.0</v>
      </c>
      <c r="BE343" s="93">
        <v>0.0</v>
      </c>
      <c r="BF343" s="93">
        <v>0.0</v>
      </c>
      <c r="BG343" s="5"/>
      <c r="BH343" s="93">
        <v>0.0</v>
      </c>
      <c r="BI343" s="93">
        <v>0.0</v>
      </c>
      <c r="BJ343" s="93">
        <v>0.0</v>
      </c>
      <c r="BK343" s="93">
        <v>0.0</v>
      </c>
      <c r="BL343" s="93">
        <v>0.0</v>
      </c>
      <c r="BM343" s="93">
        <v>0.0</v>
      </c>
      <c r="BN343" s="93">
        <v>0.0</v>
      </c>
      <c r="BO343" s="5"/>
      <c r="BP343" s="5" t="s">
        <v>1770</v>
      </c>
      <c r="BQ343" s="5" t="s">
        <v>1789</v>
      </c>
      <c r="BR343" s="94">
        <v>44902.58149305556</v>
      </c>
      <c r="BS343" s="5">
        <v>221.0</v>
      </c>
      <c r="BT343" s="5" t="s">
        <v>1770</v>
      </c>
      <c r="BU343" s="5" t="s">
        <v>1770</v>
      </c>
      <c r="BV343" s="94">
        <v>45343.413831018515</v>
      </c>
      <c r="BW343" s="5">
        <v>40.0</v>
      </c>
    </row>
    <row r="344" ht="14.25" customHeight="1">
      <c r="A344" s="5">
        <v>343.0</v>
      </c>
      <c r="B344" s="5">
        <v>608.0</v>
      </c>
      <c r="C344" s="5" t="s">
        <v>2715</v>
      </c>
      <c r="D344" s="5" t="s">
        <v>2382</v>
      </c>
      <c r="E344" s="5" t="s">
        <v>4342</v>
      </c>
      <c r="F344" s="5" t="s">
        <v>4343</v>
      </c>
      <c r="G344" s="5" t="s">
        <v>4344</v>
      </c>
      <c r="H344" s="5" t="s">
        <v>1972</v>
      </c>
      <c r="I344" s="5" t="s">
        <v>1782</v>
      </c>
      <c r="J344" s="91">
        <v>35718.0</v>
      </c>
      <c r="K344" s="5">
        <v>1513.0</v>
      </c>
      <c r="L344" s="5" t="s">
        <v>4345</v>
      </c>
      <c r="M344" s="5">
        <v>225.0</v>
      </c>
      <c r="N344" s="5"/>
      <c r="O344" s="5">
        <v>66532.0</v>
      </c>
      <c r="P344" s="5" t="s">
        <v>4346</v>
      </c>
      <c r="Q344" s="5"/>
      <c r="R344" s="5">
        <v>1050.0</v>
      </c>
      <c r="S344" s="5">
        <v>9.931655684E9</v>
      </c>
      <c r="T344" s="5" t="s">
        <v>4347</v>
      </c>
      <c r="U344" s="5" t="s">
        <v>4348</v>
      </c>
      <c r="V344" s="5">
        <v>9.931031689E9</v>
      </c>
      <c r="W344" s="5" t="s">
        <v>1808</v>
      </c>
      <c r="X344" s="91">
        <v>44847.0</v>
      </c>
      <c r="Y344" s="5">
        <v>5.0</v>
      </c>
      <c r="Z344" s="5">
        <v>4.0</v>
      </c>
      <c r="AA344" s="5">
        <v>40.0</v>
      </c>
      <c r="AB344" s="5"/>
      <c r="AC344" s="5"/>
      <c r="AD344" s="5" t="s">
        <v>1770</v>
      </c>
      <c r="AE344" s="5" t="s">
        <v>1770</v>
      </c>
      <c r="AF344" s="5"/>
      <c r="AG344" s="5"/>
      <c r="AH344" s="5">
        <v>6.6159778266E10</v>
      </c>
      <c r="AI344" s="5">
        <v>95.0</v>
      </c>
      <c r="AJ344" s="5"/>
      <c r="AK344" s="5" t="s">
        <v>1773</v>
      </c>
      <c r="AL344" s="92">
        <v>0.0</v>
      </c>
      <c r="AM344" s="5" t="s">
        <v>1770</v>
      </c>
      <c r="AN344" s="5" t="s">
        <v>3236</v>
      </c>
      <c r="AO344" s="5"/>
      <c r="AP344" s="5"/>
      <c r="AQ344" s="5"/>
      <c r="AR344" s="5"/>
      <c r="AS344" s="5"/>
      <c r="AT344" s="5"/>
      <c r="AU344" s="5" t="s">
        <v>4327</v>
      </c>
      <c r="AV344" s="5" t="s">
        <v>4349</v>
      </c>
      <c r="AW344" s="91">
        <v>44432.0</v>
      </c>
      <c r="AX344" s="5"/>
      <c r="AY344" s="5"/>
      <c r="AZ344" s="5" t="s">
        <v>1770</v>
      </c>
      <c r="BA344" s="93">
        <v>0.0</v>
      </c>
      <c r="BB344" s="93">
        <v>0.0</v>
      </c>
      <c r="BC344" s="93">
        <v>0.0</v>
      </c>
      <c r="BD344" s="93">
        <v>0.0</v>
      </c>
      <c r="BE344" s="93">
        <v>0.0</v>
      </c>
      <c r="BF344" s="93">
        <v>0.0</v>
      </c>
      <c r="BG344" s="5"/>
      <c r="BH344" s="93">
        <v>0.0</v>
      </c>
      <c r="BI344" s="93">
        <v>0.0</v>
      </c>
      <c r="BJ344" s="93">
        <v>0.0</v>
      </c>
      <c r="BK344" s="93">
        <v>0.0</v>
      </c>
      <c r="BL344" s="93">
        <v>0.0</v>
      </c>
      <c r="BM344" s="93">
        <v>0.0</v>
      </c>
      <c r="BN344" s="93">
        <v>0.0</v>
      </c>
      <c r="BO344" s="5"/>
      <c r="BP344" s="5" t="s">
        <v>1770</v>
      </c>
      <c r="BQ344" s="5" t="s">
        <v>1789</v>
      </c>
      <c r="BR344" s="94">
        <v>44909.46666666667</v>
      </c>
      <c r="BS344" s="5">
        <v>221.0</v>
      </c>
      <c r="BT344" s="5" t="s">
        <v>1770</v>
      </c>
      <c r="BU344" s="5" t="s">
        <v>1770</v>
      </c>
      <c r="BV344" s="94">
        <v>45176.50466435185</v>
      </c>
      <c r="BW344" s="5">
        <v>40.0</v>
      </c>
    </row>
    <row r="345" ht="14.25" customHeight="1">
      <c r="A345" s="5">
        <v>344.0</v>
      </c>
      <c r="B345" s="5">
        <v>607.0</v>
      </c>
      <c r="C345" s="5" t="s">
        <v>4350</v>
      </c>
      <c r="D345" s="5" t="s">
        <v>2399</v>
      </c>
      <c r="E345" s="5" t="s">
        <v>2266</v>
      </c>
      <c r="F345" s="5" t="s">
        <v>4351</v>
      </c>
      <c r="G345" s="5" t="s">
        <v>4352</v>
      </c>
      <c r="H345" s="5" t="s">
        <v>1972</v>
      </c>
      <c r="I345" s="5" t="s">
        <v>1763</v>
      </c>
      <c r="J345" s="91">
        <v>36435.0</v>
      </c>
      <c r="K345" s="5">
        <v>570.0</v>
      </c>
      <c r="L345" s="5" t="s">
        <v>2489</v>
      </c>
      <c r="M345" s="5">
        <v>309.0</v>
      </c>
      <c r="N345" s="5"/>
      <c r="O345" s="5">
        <v>41922.0</v>
      </c>
      <c r="P345" s="5" t="s">
        <v>2490</v>
      </c>
      <c r="Q345" s="5" t="s">
        <v>2349</v>
      </c>
      <c r="R345" s="5">
        <v>597.0</v>
      </c>
      <c r="S345" s="5">
        <v>3.31073076E9</v>
      </c>
      <c r="T345" s="5" t="s">
        <v>4353</v>
      </c>
      <c r="U345" s="5" t="s">
        <v>4354</v>
      </c>
      <c r="V345" s="5">
        <v>3.329152951E9</v>
      </c>
      <c r="W345" s="5" t="s">
        <v>1808</v>
      </c>
      <c r="X345" s="91">
        <v>44901.0</v>
      </c>
      <c r="Y345" s="5">
        <v>5.0</v>
      </c>
      <c r="Z345" s="5">
        <v>19.0</v>
      </c>
      <c r="AA345" s="5">
        <v>74.0</v>
      </c>
      <c r="AB345" s="5"/>
      <c r="AC345" s="5" t="s">
        <v>1772</v>
      </c>
      <c r="AD345" s="5" t="s">
        <v>1770</v>
      </c>
      <c r="AE345" s="5" t="s">
        <v>1770</v>
      </c>
      <c r="AF345" s="5"/>
      <c r="AG345" s="5"/>
      <c r="AH345" s="5">
        <v>5.3169948386E10</v>
      </c>
      <c r="AI345" s="5">
        <v>95.0</v>
      </c>
      <c r="AJ345" s="5"/>
      <c r="AK345" s="5" t="s">
        <v>1773</v>
      </c>
      <c r="AL345" s="92">
        <v>0.0</v>
      </c>
      <c r="AM345" s="5" t="s">
        <v>1770</v>
      </c>
      <c r="AN345" s="5" t="s">
        <v>1774</v>
      </c>
      <c r="AO345" s="5"/>
      <c r="AP345" s="5"/>
      <c r="AQ345" s="5"/>
      <c r="AR345" s="5"/>
      <c r="AS345" s="5"/>
      <c r="AT345" s="5"/>
      <c r="AU345" s="5"/>
      <c r="AV345" s="5"/>
      <c r="AW345" s="5" t="s">
        <v>1770</v>
      </c>
      <c r="AX345" s="5"/>
      <c r="AY345" s="5"/>
      <c r="AZ345" s="5" t="s">
        <v>1770</v>
      </c>
      <c r="BA345" s="93">
        <v>0.0</v>
      </c>
      <c r="BB345" s="93">
        <v>0.0</v>
      </c>
      <c r="BC345" s="93">
        <v>0.0</v>
      </c>
      <c r="BD345" s="93">
        <v>0.0</v>
      </c>
      <c r="BE345" s="93">
        <v>0.0</v>
      </c>
      <c r="BF345" s="93">
        <v>0.0</v>
      </c>
      <c r="BG345" s="5"/>
      <c r="BH345" s="93">
        <v>0.0</v>
      </c>
      <c r="BI345" s="93">
        <v>0.0</v>
      </c>
      <c r="BJ345" s="93">
        <v>0.0</v>
      </c>
      <c r="BK345" s="93">
        <v>0.0</v>
      </c>
      <c r="BL345" s="93">
        <v>0.0</v>
      </c>
      <c r="BM345" s="93">
        <v>0.0</v>
      </c>
      <c r="BN345" s="93">
        <v>0.0</v>
      </c>
      <c r="BO345" s="5"/>
      <c r="BP345" s="5"/>
      <c r="BQ345" s="5" t="s">
        <v>1775</v>
      </c>
      <c r="BR345" s="94">
        <v>44914.63369212963</v>
      </c>
      <c r="BS345" s="5">
        <v>40.0</v>
      </c>
      <c r="BT345" s="94">
        <v>46134.58005787037</v>
      </c>
      <c r="BU345" s="5" t="s">
        <v>1770</v>
      </c>
      <c r="BV345" s="5" t="s">
        <v>1770</v>
      </c>
      <c r="BW345" s="5" t="s">
        <v>1770</v>
      </c>
    </row>
    <row r="346" ht="14.25" customHeight="1">
      <c r="A346" s="5">
        <v>345.0</v>
      </c>
      <c r="B346" s="5">
        <v>609.0</v>
      </c>
      <c r="C346" s="5" t="s">
        <v>4355</v>
      </c>
      <c r="D346" s="5" t="s">
        <v>1792</v>
      </c>
      <c r="E346" s="5" t="s">
        <v>2343</v>
      </c>
      <c r="F346" s="5" t="s">
        <v>4356</v>
      </c>
      <c r="G346" s="5" t="s">
        <v>4357</v>
      </c>
      <c r="H346" s="5" t="s">
        <v>1972</v>
      </c>
      <c r="I346" s="5" t="s">
        <v>1782</v>
      </c>
      <c r="J346" s="91">
        <v>35955.0</v>
      </c>
      <c r="K346" s="5">
        <v>597.0</v>
      </c>
      <c r="L346" s="5" t="s">
        <v>4358</v>
      </c>
      <c r="M346" s="5">
        <v>208.0</v>
      </c>
      <c r="N346" s="5"/>
      <c r="O346" s="5">
        <v>41922.0</v>
      </c>
      <c r="P346" s="5" t="s">
        <v>2562</v>
      </c>
      <c r="Q346" s="5" t="s">
        <v>2349</v>
      </c>
      <c r="R346" s="5">
        <v>597.0</v>
      </c>
      <c r="S346" s="5">
        <v>3.317405963E9</v>
      </c>
      <c r="T346" s="5"/>
      <c r="U346" s="5" t="s">
        <v>2340</v>
      </c>
      <c r="V346" s="5">
        <v>1.478529632E9</v>
      </c>
      <c r="W346" s="5" t="s">
        <v>3111</v>
      </c>
      <c r="X346" s="91">
        <v>44911.0</v>
      </c>
      <c r="Y346" s="5">
        <v>5.0</v>
      </c>
      <c r="Z346" s="5">
        <v>19.0</v>
      </c>
      <c r="AA346" s="5">
        <v>45.0</v>
      </c>
      <c r="AB346" s="5" t="s">
        <v>4359</v>
      </c>
      <c r="AC346" s="5" t="s">
        <v>2274</v>
      </c>
      <c r="AD346" s="91">
        <v>43916.0</v>
      </c>
      <c r="AE346" s="91">
        <v>45377.0</v>
      </c>
      <c r="AF346" s="5"/>
      <c r="AG346" s="5"/>
      <c r="AH346" s="5">
        <v>2.5169817811E10</v>
      </c>
      <c r="AI346" s="5">
        <v>95.0</v>
      </c>
      <c r="AJ346" s="5"/>
      <c r="AK346" s="5" t="s">
        <v>1773</v>
      </c>
      <c r="AL346" s="92">
        <v>0.0</v>
      </c>
      <c r="AM346" s="5" t="s">
        <v>1770</v>
      </c>
      <c r="AN346" s="5" t="s">
        <v>1830</v>
      </c>
      <c r="AO346" s="5"/>
      <c r="AP346" s="5"/>
      <c r="AQ346" s="5"/>
      <c r="AR346" s="5"/>
      <c r="AS346" s="5"/>
      <c r="AT346" s="5"/>
      <c r="AU346" s="5"/>
      <c r="AV346" s="5"/>
      <c r="AW346" s="5" t="s">
        <v>1770</v>
      </c>
      <c r="AX346" s="5"/>
      <c r="AY346" s="5"/>
      <c r="AZ346" s="5" t="s">
        <v>1770</v>
      </c>
      <c r="BA346" s="93">
        <v>0.0</v>
      </c>
      <c r="BB346" s="93">
        <v>0.0</v>
      </c>
      <c r="BC346" s="93">
        <v>0.0</v>
      </c>
      <c r="BD346" s="93">
        <v>0.0</v>
      </c>
      <c r="BE346" s="93">
        <v>0.0</v>
      </c>
      <c r="BF346" s="93">
        <v>0.0</v>
      </c>
      <c r="BG346" s="5"/>
      <c r="BH346" s="93">
        <v>0.0</v>
      </c>
      <c r="BI346" s="93">
        <v>0.0</v>
      </c>
      <c r="BJ346" s="93">
        <v>0.0</v>
      </c>
      <c r="BK346" s="93">
        <v>0.0</v>
      </c>
      <c r="BL346" s="93">
        <v>0.0</v>
      </c>
      <c r="BM346" s="93">
        <v>0.0</v>
      </c>
      <c r="BN346" s="93">
        <v>0.0</v>
      </c>
      <c r="BO346" s="5"/>
      <c r="BP346" s="5" t="s">
        <v>1770</v>
      </c>
      <c r="BQ346" s="5" t="s">
        <v>1789</v>
      </c>
      <c r="BR346" s="94">
        <v>44916.40305555556</v>
      </c>
      <c r="BS346" s="5">
        <v>40.0</v>
      </c>
      <c r="BT346" s="5" t="s">
        <v>1770</v>
      </c>
      <c r="BU346" s="5" t="s">
        <v>1770</v>
      </c>
      <c r="BV346" s="94">
        <v>45035.45741898148</v>
      </c>
      <c r="BW346" s="5">
        <v>40.0</v>
      </c>
    </row>
    <row r="347" ht="14.25" customHeight="1">
      <c r="A347" s="5">
        <v>346.0</v>
      </c>
      <c r="B347" s="5">
        <v>610.0</v>
      </c>
      <c r="C347" s="5" t="s">
        <v>1957</v>
      </c>
      <c r="D347" s="5" t="s">
        <v>4305</v>
      </c>
      <c r="E347" s="5" t="s">
        <v>1792</v>
      </c>
      <c r="F347" s="5" t="s">
        <v>4360</v>
      </c>
      <c r="G347" s="5" t="s">
        <v>4361</v>
      </c>
      <c r="H347" s="5" t="s">
        <v>1781</v>
      </c>
      <c r="I347" s="5" t="s">
        <v>1782</v>
      </c>
      <c r="J347" s="91">
        <v>32943.0</v>
      </c>
      <c r="K347" s="5">
        <v>594.0</v>
      </c>
      <c r="L347" s="5" t="s">
        <v>2696</v>
      </c>
      <c r="M347" s="5">
        <v>9.0</v>
      </c>
      <c r="N347" s="5"/>
      <c r="O347" s="5">
        <v>43885.0</v>
      </c>
      <c r="P347" s="5" t="s">
        <v>1931</v>
      </c>
      <c r="Q347" s="5" t="s">
        <v>1766</v>
      </c>
      <c r="R347" s="5">
        <v>549.0</v>
      </c>
      <c r="S347" s="5">
        <v>3.931586736E9</v>
      </c>
      <c r="T347" s="5" t="s">
        <v>4362</v>
      </c>
      <c r="U347" s="5" t="s">
        <v>4363</v>
      </c>
      <c r="V347" s="5">
        <v>3.921295029E9</v>
      </c>
      <c r="W347" s="5" t="s">
        <v>1787</v>
      </c>
      <c r="X347" s="91">
        <v>44928.0</v>
      </c>
      <c r="Y347" s="5" t="s">
        <v>1770</v>
      </c>
      <c r="Z347" s="5">
        <v>17.0</v>
      </c>
      <c r="AA347" s="5">
        <v>48.0</v>
      </c>
      <c r="AB347" s="5" t="s">
        <v>4364</v>
      </c>
      <c r="AC347" s="5" t="s">
        <v>1800</v>
      </c>
      <c r="AD347" s="91">
        <v>44761.0</v>
      </c>
      <c r="AE347" s="91">
        <v>46222.0</v>
      </c>
      <c r="AF347" s="5"/>
      <c r="AG347" s="5"/>
      <c r="AH347" s="5">
        <v>4.099063911E9</v>
      </c>
      <c r="AI347" s="5">
        <v>23.0</v>
      </c>
      <c r="AJ347" s="5"/>
      <c r="AK347" s="5" t="s">
        <v>1773</v>
      </c>
      <c r="AL347" s="92">
        <v>0.0</v>
      </c>
      <c r="AM347" s="5" t="s">
        <v>1770</v>
      </c>
      <c r="AN347" s="5" t="s">
        <v>1774</v>
      </c>
      <c r="AO347" s="5"/>
      <c r="AP347" s="5"/>
      <c r="AQ347" s="5"/>
      <c r="AR347" s="5"/>
      <c r="AS347" s="5"/>
      <c r="AT347" s="5"/>
      <c r="AU347" s="5"/>
      <c r="AV347" s="5"/>
      <c r="AW347" s="5" t="s">
        <v>1770</v>
      </c>
      <c r="AX347" s="5"/>
      <c r="AY347" s="5"/>
      <c r="AZ347" s="5" t="s">
        <v>1770</v>
      </c>
      <c r="BA347" s="93">
        <v>0.0</v>
      </c>
      <c r="BB347" s="93">
        <v>0.0</v>
      </c>
      <c r="BC347" s="93">
        <v>0.0</v>
      </c>
      <c r="BD347" s="93">
        <v>0.0</v>
      </c>
      <c r="BE347" s="93">
        <v>0.0</v>
      </c>
      <c r="BF347" s="93">
        <v>0.0</v>
      </c>
      <c r="BG347" s="5"/>
      <c r="BH347" s="93">
        <v>0.0</v>
      </c>
      <c r="BI347" s="93">
        <v>0.0</v>
      </c>
      <c r="BJ347" s="93">
        <v>0.0</v>
      </c>
      <c r="BK347" s="93">
        <v>0.0</v>
      </c>
      <c r="BL347" s="93">
        <v>0.0</v>
      </c>
      <c r="BM347" s="93">
        <v>0.0</v>
      </c>
      <c r="BN347" s="93">
        <v>0.0</v>
      </c>
      <c r="BO347" s="5"/>
      <c r="BP347" s="5" t="s">
        <v>1770</v>
      </c>
      <c r="BQ347" s="5" t="s">
        <v>1789</v>
      </c>
      <c r="BR347" s="94">
        <v>44930.5271875</v>
      </c>
      <c r="BS347" s="5">
        <v>40.0</v>
      </c>
      <c r="BT347" s="5" t="s">
        <v>1770</v>
      </c>
      <c r="BU347" s="5" t="s">
        <v>1770</v>
      </c>
      <c r="BV347" s="94">
        <v>45035.456724537034</v>
      </c>
      <c r="BW347" s="5">
        <v>40.0</v>
      </c>
    </row>
    <row r="348" ht="14.25" customHeight="1">
      <c r="A348" s="5">
        <v>347.0</v>
      </c>
      <c r="B348" s="5">
        <v>611.0</v>
      </c>
      <c r="C348" s="5" t="s">
        <v>1877</v>
      </c>
      <c r="D348" s="5" t="s">
        <v>2765</v>
      </c>
      <c r="E348" s="5" t="s">
        <v>4365</v>
      </c>
      <c r="F348" s="5">
        <v>4.877468662E9</v>
      </c>
      <c r="G348" s="5" t="s">
        <v>4366</v>
      </c>
      <c r="H348" s="5" t="s">
        <v>1781</v>
      </c>
      <c r="I348" s="5" t="s">
        <v>1782</v>
      </c>
      <c r="J348" s="91">
        <v>27258.0</v>
      </c>
      <c r="K348" s="5">
        <v>272.0</v>
      </c>
      <c r="L348" s="5" t="s">
        <v>4367</v>
      </c>
      <c r="M348" s="5">
        <v>126.0</v>
      </c>
      <c r="N348" s="5"/>
      <c r="O348" s="5">
        <v>55002.0</v>
      </c>
      <c r="P348" s="5" t="s">
        <v>4368</v>
      </c>
      <c r="Q348" s="5" t="s">
        <v>1974</v>
      </c>
      <c r="R348" s="5">
        <v>886.0</v>
      </c>
      <c r="S348" s="5">
        <v>3.329598966E9</v>
      </c>
      <c r="T348" s="5" t="s">
        <v>4369</v>
      </c>
      <c r="U348" s="100" t="s">
        <v>4370</v>
      </c>
      <c r="V348" s="5">
        <v>3.514078311E9</v>
      </c>
      <c r="W348" s="5" t="s">
        <v>1787</v>
      </c>
      <c r="X348" s="91">
        <v>44928.0</v>
      </c>
      <c r="Y348" s="5" t="s">
        <v>1770</v>
      </c>
      <c r="Z348" s="5">
        <v>17.0</v>
      </c>
      <c r="AA348" s="5">
        <v>45.0</v>
      </c>
      <c r="AB348" s="5"/>
      <c r="AC348" s="5"/>
      <c r="AD348" s="5" t="s">
        <v>1770</v>
      </c>
      <c r="AE348" s="5" t="s">
        <v>1770</v>
      </c>
      <c r="AF348" s="5"/>
      <c r="AG348" s="5"/>
      <c r="AH348" s="5">
        <v>4.877468662E9</v>
      </c>
      <c r="AI348" s="5"/>
      <c r="AJ348" s="5"/>
      <c r="AK348" s="5" t="s">
        <v>1773</v>
      </c>
      <c r="AL348" s="92">
        <v>0.0</v>
      </c>
      <c r="AM348" s="5" t="s">
        <v>1770</v>
      </c>
      <c r="AN348" s="5" t="s">
        <v>1830</v>
      </c>
      <c r="AO348" s="5"/>
      <c r="AP348" s="5"/>
      <c r="AQ348" s="5"/>
      <c r="AR348" s="5"/>
      <c r="AS348" s="5"/>
      <c r="AT348" s="5"/>
      <c r="AU348" s="5"/>
      <c r="AV348" s="5"/>
      <c r="AW348" s="5" t="s">
        <v>1770</v>
      </c>
      <c r="AX348" s="5"/>
      <c r="AY348" s="5"/>
      <c r="AZ348" s="5" t="s">
        <v>1770</v>
      </c>
      <c r="BA348" s="93">
        <v>0.0</v>
      </c>
      <c r="BB348" s="93">
        <v>0.0</v>
      </c>
      <c r="BC348" s="93">
        <v>0.0</v>
      </c>
      <c r="BD348" s="93">
        <v>0.0</v>
      </c>
      <c r="BE348" s="93">
        <v>0.0</v>
      </c>
      <c r="BF348" s="93">
        <v>0.0</v>
      </c>
      <c r="BG348" s="5"/>
      <c r="BH348" s="93">
        <v>0.0</v>
      </c>
      <c r="BI348" s="93">
        <v>0.0</v>
      </c>
      <c r="BJ348" s="93">
        <v>0.0</v>
      </c>
      <c r="BK348" s="93">
        <v>0.0</v>
      </c>
      <c r="BL348" s="93">
        <v>0.0</v>
      </c>
      <c r="BM348" s="93">
        <v>0.0</v>
      </c>
      <c r="BN348" s="93">
        <v>0.0</v>
      </c>
      <c r="BO348" s="5"/>
      <c r="BP348" s="5" t="s">
        <v>1770</v>
      </c>
      <c r="BQ348" s="5" t="s">
        <v>1789</v>
      </c>
      <c r="BR348" s="94">
        <v>44930.58230324074</v>
      </c>
      <c r="BS348" s="5">
        <v>40.0</v>
      </c>
      <c r="BT348" s="5" t="s">
        <v>1770</v>
      </c>
      <c r="BU348" s="5" t="s">
        <v>1770</v>
      </c>
      <c r="BV348" s="94">
        <v>44986.633680555555</v>
      </c>
      <c r="BW348" s="5">
        <v>40.0</v>
      </c>
    </row>
    <row r="349" ht="14.25" customHeight="1">
      <c r="A349" s="5">
        <v>348.0</v>
      </c>
      <c r="B349" s="5">
        <v>612.0</v>
      </c>
      <c r="C349" s="5" t="s">
        <v>4371</v>
      </c>
      <c r="D349" s="5" t="s">
        <v>1969</v>
      </c>
      <c r="E349" s="5" t="s">
        <v>2005</v>
      </c>
      <c r="F349" s="5">
        <v>0.0</v>
      </c>
      <c r="G349" s="5" t="s">
        <v>4372</v>
      </c>
      <c r="H349" s="5" t="s">
        <v>1815</v>
      </c>
      <c r="I349" s="5" t="s">
        <v>1763</v>
      </c>
      <c r="J349" s="91">
        <v>36476.0</v>
      </c>
      <c r="K349" s="5">
        <v>834.0</v>
      </c>
      <c r="L349" s="5" t="s">
        <v>4373</v>
      </c>
      <c r="M349" s="5">
        <v>52.0</v>
      </c>
      <c r="N349" s="5"/>
      <c r="O349" s="5">
        <v>54028.0</v>
      </c>
      <c r="P349" s="5" t="s">
        <v>4374</v>
      </c>
      <c r="Q349" s="5" t="s">
        <v>3878</v>
      </c>
      <c r="R349" s="5">
        <v>834.0</v>
      </c>
      <c r="S349" s="5">
        <v>4.43474897E9</v>
      </c>
      <c r="T349" s="5"/>
      <c r="U349" s="5" t="s">
        <v>4375</v>
      </c>
      <c r="V349" s="5">
        <v>4.431555109E9</v>
      </c>
      <c r="W349" s="5" t="s">
        <v>1924</v>
      </c>
      <c r="X349" s="91">
        <v>44928.0</v>
      </c>
      <c r="Y349" s="5">
        <v>4.0</v>
      </c>
      <c r="Z349" s="5">
        <v>18.0</v>
      </c>
      <c r="AA349" s="5">
        <v>1.0</v>
      </c>
      <c r="AB349" s="5" t="s">
        <v>4376</v>
      </c>
      <c r="AC349" s="5" t="s">
        <v>1772</v>
      </c>
      <c r="AD349" s="91">
        <v>44911.0</v>
      </c>
      <c r="AE349" s="91">
        <v>47103.0</v>
      </c>
      <c r="AF349" s="5"/>
      <c r="AG349" s="5"/>
      <c r="AH349" s="5">
        <v>8.139964863E9</v>
      </c>
      <c r="AI349" s="5">
        <v>12.0</v>
      </c>
      <c r="AJ349" s="5"/>
      <c r="AK349" s="5" t="s">
        <v>1773</v>
      </c>
      <c r="AL349" s="92">
        <v>0.0</v>
      </c>
      <c r="AM349" s="5" t="s">
        <v>1770</v>
      </c>
      <c r="AN349" s="5" t="s">
        <v>1774</v>
      </c>
      <c r="AO349" s="5"/>
      <c r="AP349" s="5"/>
      <c r="AQ349" s="5"/>
      <c r="AR349" s="5"/>
      <c r="AS349" s="5"/>
      <c r="AT349" s="5"/>
      <c r="AU349" s="5"/>
      <c r="AV349" s="5"/>
      <c r="AW349" s="5" t="s">
        <v>1770</v>
      </c>
      <c r="AX349" s="5"/>
      <c r="AY349" s="5"/>
      <c r="AZ349" s="5" t="s">
        <v>1770</v>
      </c>
      <c r="BA349" s="93">
        <v>0.0</v>
      </c>
      <c r="BB349" s="93">
        <v>0.0</v>
      </c>
      <c r="BC349" s="93">
        <v>0.0</v>
      </c>
      <c r="BD349" s="93">
        <v>0.0</v>
      </c>
      <c r="BE349" s="93">
        <v>0.0</v>
      </c>
      <c r="BF349" s="93">
        <v>0.0</v>
      </c>
      <c r="BG349" s="5"/>
      <c r="BH349" s="93">
        <v>0.0</v>
      </c>
      <c r="BI349" s="93">
        <v>0.0</v>
      </c>
      <c r="BJ349" s="93">
        <v>0.0</v>
      </c>
      <c r="BK349" s="93">
        <v>0.0</v>
      </c>
      <c r="BL349" s="93">
        <v>0.0</v>
      </c>
      <c r="BM349" s="93">
        <v>0.0</v>
      </c>
      <c r="BN349" s="93">
        <v>0.0</v>
      </c>
      <c r="BO349" s="5"/>
      <c r="BP349" s="5" t="s">
        <v>1770</v>
      </c>
      <c r="BQ349" s="5" t="s">
        <v>1789</v>
      </c>
      <c r="BR349" s="94">
        <v>44932.41954861111</v>
      </c>
      <c r="BS349" s="5">
        <v>167.0</v>
      </c>
      <c r="BT349" s="94">
        <v>45058.547372685185</v>
      </c>
      <c r="BU349" s="5">
        <v>40.0</v>
      </c>
      <c r="BV349" s="94">
        <v>45118.70974537037</v>
      </c>
      <c r="BW349" s="5" t="s">
        <v>1770</v>
      </c>
    </row>
    <row r="350" ht="14.25" customHeight="1">
      <c r="A350" s="5">
        <v>349.0</v>
      </c>
      <c r="B350" s="5">
        <v>613.0</v>
      </c>
      <c r="C350" s="5" t="s">
        <v>1810</v>
      </c>
      <c r="D350" s="5" t="s">
        <v>1758</v>
      </c>
      <c r="E350" s="5" t="s">
        <v>1758</v>
      </c>
      <c r="F350" s="5" t="s">
        <v>4377</v>
      </c>
      <c r="G350" s="5" t="s">
        <v>4378</v>
      </c>
      <c r="H350" s="5" t="s">
        <v>2671</v>
      </c>
      <c r="I350" s="5" t="s">
        <v>1763</v>
      </c>
      <c r="J350" s="91">
        <v>36026.0</v>
      </c>
      <c r="K350" s="5">
        <v>424.0</v>
      </c>
      <c r="L350" s="5" t="s">
        <v>2148</v>
      </c>
      <c r="M350" s="5">
        <v>0.0</v>
      </c>
      <c r="N350" s="5"/>
      <c r="O350" s="5">
        <v>35893.0</v>
      </c>
      <c r="P350" s="5" t="s">
        <v>3139</v>
      </c>
      <c r="Q350" s="5" t="s">
        <v>4379</v>
      </c>
      <c r="R350" s="5">
        <v>424.0</v>
      </c>
      <c r="S350" s="5">
        <v>4.696031252E9</v>
      </c>
      <c r="T350" s="5" t="s">
        <v>4380</v>
      </c>
      <c r="U350" s="5" t="s">
        <v>4381</v>
      </c>
      <c r="V350" s="5">
        <v>4.691402088E9</v>
      </c>
      <c r="W350" s="5" t="s">
        <v>1769</v>
      </c>
      <c r="X350" s="91">
        <v>44928.0</v>
      </c>
      <c r="Y350" s="5">
        <v>2.0</v>
      </c>
      <c r="Z350" s="5">
        <v>4.0</v>
      </c>
      <c r="AA350" s="5">
        <v>17.0</v>
      </c>
      <c r="AB350" s="5"/>
      <c r="AC350" s="5"/>
      <c r="AD350" s="5" t="s">
        <v>1770</v>
      </c>
      <c r="AE350" s="5" t="s">
        <v>1770</v>
      </c>
      <c r="AF350" s="5"/>
      <c r="AG350" s="5"/>
      <c r="AH350" s="5">
        <v>1.1139866351E10</v>
      </c>
      <c r="AI350" s="5">
        <v>9.0</v>
      </c>
      <c r="AJ350" s="5"/>
      <c r="AK350" s="5" t="s">
        <v>1773</v>
      </c>
      <c r="AL350" s="92">
        <v>0.0</v>
      </c>
      <c r="AM350" s="5" t="s">
        <v>1770</v>
      </c>
      <c r="AN350" s="5" t="s">
        <v>4382</v>
      </c>
      <c r="AO350" s="5"/>
      <c r="AP350" s="5"/>
      <c r="AQ350" s="5"/>
      <c r="AR350" s="5"/>
      <c r="AS350" s="5"/>
      <c r="AT350" s="5"/>
      <c r="AU350" s="5"/>
      <c r="AV350" s="5"/>
      <c r="AW350" s="5" t="s">
        <v>1770</v>
      </c>
      <c r="AX350" s="5"/>
      <c r="AY350" s="5"/>
      <c r="AZ350" s="5" t="s">
        <v>1770</v>
      </c>
      <c r="BA350" s="93">
        <v>0.0</v>
      </c>
      <c r="BB350" s="93">
        <v>0.0</v>
      </c>
      <c r="BC350" s="93">
        <v>0.0</v>
      </c>
      <c r="BD350" s="93">
        <v>0.0</v>
      </c>
      <c r="BE350" s="93">
        <v>0.0</v>
      </c>
      <c r="BF350" s="93">
        <v>0.0</v>
      </c>
      <c r="BG350" s="5"/>
      <c r="BH350" s="93">
        <v>0.0</v>
      </c>
      <c r="BI350" s="93">
        <v>0.0</v>
      </c>
      <c r="BJ350" s="93">
        <v>0.0</v>
      </c>
      <c r="BK350" s="93">
        <v>0.0</v>
      </c>
      <c r="BL350" s="93">
        <v>0.0</v>
      </c>
      <c r="BM350" s="93">
        <v>0.0</v>
      </c>
      <c r="BN350" s="93">
        <v>0.0</v>
      </c>
      <c r="BO350" s="5"/>
      <c r="BP350" s="5" t="s">
        <v>1770</v>
      </c>
      <c r="BQ350" s="5" t="s">
        <v>1789</v>
      </c>
      <c r="BR350" s="94">
        <v>44937.54614583333</v>
      </c>
      <c r="BS350" s="5">
        <v>40.0</v>
      </c>
      <c r="BT350" s="5" t="s">
        <v>1770</v>
      </c>
      <c r="BU350" s="5" t="s">
        <v>1770</v>
      </c>
      <c r="BV350" s="94">
        <v>45299.681608796294</v>
      </c>
      <c r="BW350" s="5">
        <v>40.0</v>
      </c>
    </row>
    <row r="351" ht="14.25" customHeight="1">
      <c r="A351" s="5">
        <v>350.0</v>
      </c>
      <c r="B351" s="5">
        <v>614.0</v>
      </c>
      <c r="C351" s="5" t="s">
        <v>4383</v>
      </c>
      <c r="D351" s="5" t="s">
        <v>4384</v>
      </c>
      <c r="E351" s="5" t="s">
        <v>3307</v>
      </c>
      <c r="F351" s="5" t="s">
        <v>4385</v>
      </c>
      <c r="G351" s="5" t="s">
        <v>4386</v>
      </c>
      <c r="H351" s="5" t="s">
        <v>1815</v>
      </c>
      <c r="I351" s="5" t="s">
        <v>1763</v>
      </c>
      <c r="J351" s="91">
        <v>34036.0</v>
      </c>
      <c r="K351" s="5">
        <v>834.0</v>
      </c>
      <c r="L351" s="5" t="s">
        <v>4387</v>
      </c>
      <c r="M351" s="5">
        <v>190.0</v>
      </c>
      <c r="N351" s="5"/>
      <c r="O351" s="5">
        <v>54102.0</v>
      </c>
      <c r="P351" s="5" t="s">
        <v>4388</v>
      </c>
      <c r="Q351" s="5" t="s">
        <v>2041</v>
      </c>
      <c r="R351" s="5">
        <v>834.0</v>
      </c>
      <c r="S351" s="5">
        <v>5.627950237E9</v>
      </c>
      <c r="T351" s="5" t="s">
        <v>4389</v>
      </c>
      <c r="U351" s="5" t="s">
        <v>4390</v>
      </c>
      <c r="V351" s="5">
        <v>5.627950392E9</v>
      </c>
      <c r="W351" s="5" t="s">
        <v>1808</v>
      </c>
      <c r="X351" s="91">
        <v>44930.0</v>
      </c>
      <c r="Y351" s="5">
        <v>4.0</v>
      </c>
      <c r="Z351" s="5">
        <v>3.0</v>
      </c>
      <c r="AA351" s="5">
        <v>4.0</v>
      </c>
      <c r="AB351" s="5"/>
      <c r="AC351" s="5"/>
      <c r="AD351" s="5" t="s">
        <v>1770</v>
      </c>
      <c r="AE351" s="5" t="s">
        <v>1770</v>
      </c>
      <c r="AF351" s="5"/>
      <c r="AG351" s="5"/>
      <c r="AH351" s="5">
        <v>2.169334295E9</v>
      </c>
      <c r="AI351" s="5">
        <v>80.0</v>
      </c>
      <c r="AJ351" s="5"/>
      <c r="AK351" s="5" t="s">
        <v>1773</v>
      </c>
      <c r="AL351" s="92">
        <v>0.0</v>
      </c>
      <c r="AM351" s="5" t="s">
        <v>1770</v>
      </c>
      <c r="AN351" s="5" t="s">
        <v>1830</v>
      </c>
      <c r="AO351" s="5"/>
      <c r="AP351" s="5"/>
      <c r="AQ351" s="5"/>
      <c r="AR351" s="5"/>
      <c r="AS351" s="5"/>
      <c r="AT351" s="5"/>
      <c r="AU351" s="5"/>
      <c r="AV351" s="5"/>
      <c r="AW351" s="5" t="s">
        <v>1770</v>
      </c>
      <c r="AX351" s="5"/>
      <c r="AY351" s="5"/>
      <c r="AZ351" s="5" t="s">
        <v>1770</v>
      </c>
      <c r="BA351" s="93">
        <v>0.0</v>
      </c>
      <c r="BB351" s="93">
        <v>0.0</v>
      </c>
      <c r="BC351" s="93">
        <v>0.0</v>
      </c>
      <c r="BD351" s="93">
        <v>0.0</v>
      </c>
      <c r="BE351" s="93">
        <v>0.0</v>
      </c>
      <c r="BF351" s="93">
        <v>0.0</v>
      </c>
      <c r="BG351" s="5"/>
      <c r="BH351" s="93">
        <v>0.0</v>
      </c>
      <c r="BI351" s="93">
        <v>0.0</v>
      </c>
      <c r="BJ351" s="93">
        <v>0.0</v>
      </c>
      <c r="BK351" s="93">
        <v>0.0</v>
      </c>
      <c r="BL351" s="93">
        <v>0.0</v>
      </c>
      <c r="BM351" s="93">
        <v>0.0</v>
      </c>
      <c r="BN351" s="93">
        <v>0.0</v>
      </c>
      <c r="BO351" s="5"/>
      <c r="BP351" s="5" t="s">
        <v>1770</v>
      </c>
      <c r="BQ351" s="5" t="s">
        <v>1789</v>
      </c>
      <c r="BR351" s="94">
        <v>44937.55049768519</v>
      </c>
      <c r="BS351" s="5">
        <v>40.0</v>
      </c>
      <c r="BT351" s="94">
        <v>45407.39202546296</v>
      </c>
      <c r="BU351" s="5">
        <v>40.0</v>
      </c>
      <c r="BV351" s="94">
        <v>45532.66744212963</v>
      </c>
      <c r="BW351" s="5">
        <v>275.0</v>
      </c>
    </row>
    <row r="352" ht="14.25" customHeight="1">
      <c r="A352" s="5">
        <v>351.0</v>
      </c>
      <c r="B352" s="5">
        <v>615.0</v>
      </c>
      <c r="C352" s="5" t="s">
        <v>4391</v>
      </c>
      <c r="D352" s="5" t="s">
        <v>1938</v>
      </c>
      <c r="E352" s="5" t="s">
        <v>2765</v>
      </c>
      <c r="F352" s="5" t="s">
        <v>4392</v>
      </c>
      <c r="G352" s="5" t="s">
        <v>4393</v>
      </c>
      <c r="H352" s="5" t="s">
        <v>1762</v>
      </c>
      <c r="I352" s="5" t="s">
        <v>1763</v>
      </c>
      <c r="J352" s="91">
        <v>34736.0</v>
      </c>
      <c r="K352" s="5">
        <v>570.0</v>
      </c>
      <c r="L352" s="5" t="s">
        <v>4394</v>
      </c>
      <c r="M352" s="5">
        <v>62.0</v>
      </c>
      <c r="N352" s="5" t="s">
        <v>2340</v>
      </c>
      <c r="O352" s="5">
        <v>55182.0</v>
      </c>
      <c r="P352" s="5" t="s">
        <v>3271</v>
      </c>
      <c r="Q352" s="5" t="s">
        <v>234</v>
      </c>
      <c r="R352" s="5">
        <v>850.0</v>
      </c>
      <c r="S352" s="5">
        <v>3.521252448E9</v>
      </c>
      <c r="T352" s="5" t="s">
        <v>4395</v>
      </c>
      <c r="U352" s="5" t="s">
        <v>4396</v>
      </c>
      <c r="V352" s="5">
        <v>3.525570702E9</v>
      </c>
      <c r="W352" s="5" t="s">
        <v>4397</v>
      </c>
      <c r="X352" s="91">
        <v>44942.0</v>
      </c>
      <c r="Y352" s="5">
        <v>3.0</v>
      </c>
      <c r="Z352" s="5">
        <v>4.0</v>
      </c>
      <c r="AA352" s="5">
        <v>37.0</v>
      </c>
      <c r="AB352" s="5"/>
      <c r="AC352" s="5"/>
      <c r="AD352" s="5" t="s">
        <v>1770</v>
      </c>
      <c r="AE352" s="5" t="s">
        <v>1770</v>
      </c>
      <c r="AF352" s="5"/>
      <c r="AG352" s="5"/>
      <c r="AH352" s="5">
        <v>3.169556341E9</v>
      </c>
      <c r="AI352" s="5">
        <v>77.0</v>
      </c>
      <c r="AJ352" s="5"/>
      <c r="AK352" s="5" t="s">
        <v>1773</v>
      </c>
      <c r="AL352" s="92">
        <v>0.0</v>
      </c>
      <c r="AM352" s="5" t="s">
        <v>1770</v>
      </c>
      <c r="AN352" s="5" t="s">
        <v>1774</v>
      </c>
      <c r="AO352" s="5"/>
      <c r="AP352" s="5"/>
      <c r="AQ352" s="5"/>
      <c r="AR352" s="5"/>
      <c r="AS352" s="5"/>
      <c r="AT352" s="5"/>
      <c r="AU352" s="5"/>
      <c r="AV352" s="5"/>
      <c r="AW352" s="5" t="s">
        <v>1770</v>
      </c>
      <c r="AX352" s="5"/>
      <c r="AY352" s="5"/>
      <c r="AZ352" s="5" t="s">
        <v>1770</v>
      </c>
      <c r="BA352" s="93">
        <v>0.0</v>
      </c>
      <c r="BB352" s="93">
        <v>0.0</v>
      </c>
      <c r="BC352" s="93">
        <v>0.0</v>
      </c>
      <c r="BD352" s="93">
        <v>0.0</v>
      </c>
      <c r="BE352" s="93">
        <v>0.0</v>
      </c>
      <c r="BF352" s="93">
        <v>0.0</v>
      </c>
      <c r="BG352" s="5"/>
      <c r="BH352" s="93">
        <v>0.0</v>
      </c>
      <c r="BI352" s="93">
        <v>0.0</v>
      </c>
      <c r="BJ352" s="93">
        <v>0.0</v>
      </c>
      <c r="BK352" s="93">
        <v>0.0</v>
      </c>
      <c r="BL352" s="93">
        <v>0.0</v>
      </c>
      <c r="BM352" s="93">
        <v>0.0</v>
      </c>
      <c r="BN352" s="93">
        <v>0.0</v>
      </c>
      <c r="BO352" s="5"/>
      <c r="BP352" s="5" t="s">
        <v>1770</v>
      </c>
      <c r="BQ352" s="5" t="s">
        <v>1789</v>
      </c>
      <c r="BR352" s="94">
        <v>44944.55469907408</v>
      </c>
      <c r="BS352" s="5">
        <v>40.0</v>
      </c>
      <c r="BT352" s="5" t="s">
        <v>1770</v>
      </c>
      <c r="BU352" s="5" t="s">
        <v>1770</v>
      </c>
      <c r="BV352" s="94">
        <v>44986.633368055554</v>
      </c>
      <c r="BW352" s="5">
        <v>40.0</v>
      </c>
    </row>
    <row r="353" ht="14.25" customHeight="1">
      <c r="A353" s="5">
        <v>352.0</v>
      </c>
      <c r="B353" s="5">
        <v>616.0</v>
      </c>
      <c r="C353" s="5" t="s">
        <v>2582</v>
      </c>
      <c r="D353" s="5" t="s">
        <v>4398</v>
      </c>
      <c r="E353" s="5" t="s">
        <v>1926</v>
      </c>
      <c r="F353" s="5" t="s">
        <v>4399</v>
      </c>
      <c r="G353" s="5" t="s">
        <v>4400</v>
      </c>
      <c r="H353" s="5" t="s">
        <v>1972</v>
      </c>
      <c r="I353" s="5" t="s">
        <v>1782</v>
      </c>
      <c r="J353" s="91">
        <v>33917.0</v>
      </c>
      <c r="K353" s="5">
        <v>792.0</v>
      </c>
      <c r="L353" s="5" t="s">
        <v>4401</v>
      </c>
      <c r="M353" s="5">
        <v>75.0</v>
      </c>
      <c r="N353" s="5"/>
      <c r="O353" s="5">
        <v>43884.0</v>
      </c>
      <c r="P353" s="5" t="s">
        <v>4402</v>
      </c>
      <c r="Q353" s="5" t="s">
        <v>1766</v>
      </c>
      <c r="R353" s="5">
        <v>549.0</v>
      </c>
      <c r="S353" s="5">
        <v>3.320813553E9</v>
      </c>
      <c r="T353" s="5" t="s">
        <v>4403</v>
      </c>
      <c r="U353" s="5" t="s">
        <v>4404</v>
      </c>
      <c r="V353" s="5">
        <v>3.931007298E9</v>
      </c>
      <c r="W353" s="5" t="s">
        <v>1808</v>
      </c>
      <c r="X353" s="91">
        <v>44942.0</v>
      </c>
      <c r="Y353" s="5">
        <v>1.0</v>
      </c>
      <c r="Z353" s="5">
        <v>4.0</v>
      </c>
      <c r="AA353" s="5">
        <v>95.0</v>
      </c>
      <c r="AB353" s="5" t="s">
        <v>4405</v>
      </c>
      <c r="AC353" s="5" t="s">
        <v>1800</v>
      </c>
      <c r="AD353" s="91">
        <v>45523.0</v>
      </c>
      <c r="AE353" s="91">
        <v>46984.0</v>
      </c>
      <c r="AF353" s="5"/>
      <c r="AG353" s="5"/>
      <c r="AH353" s="5">
        <v>4.129285591E9</v>
      </c>
      <c r="AI353" s="5">
        <v>23.0</v>
      </c>
      <c r="AJ353" s="5"/>
      <c r="AK353" s="5" t="s">
        <v>1773</v>
      </c>
      <c r="AL353" s="92">
        <v>0.0</v>
      </c>
      <c r="AM353" s="5" t="s">
        <v>1770</v>
      </c>
      <c r="AN353" s="5" t="s">
        <v>1774</v>
      </c>
      <c r="AO353" s="5"/>
      <c r="AP353" s="5"/>
      <c r="AQ353" s="5"/>
      <c r="AR353" s="5"/>
      <c r="AS353" s="5"/>
      <c r="AT353" s="5"/>
      <c r="AU353" s="5"/>
      <c r="AV353" s="5"/>
      <c r="AW353" s="5" t="s">
        <v>1770</v>
      </c>
      <c r="AX353" s="5"/>
      <c r="AY353" s="5"/>
      <c r="AZ353" s="5" t="s">
        <v>1770</v>
      </c>
      <c r="BA353" s="93">
        <v>0.0</v>
      </c>
      <c r="BB353" s="93">
        <v>0.0</v>
      </c>
      <c r="BC353" s="93">
        <v>0.0</v>
      </c>
      <c r="BD353" s="93">
        <v>0.0</v>
      </c>
      <c r="BE353" s="93">
        <v>0.0</v>
      </c>
      <c r="BF353" s="93">
        <v>0.0</v>
      </c>
      <c r="BG353" s="5"/>
      <c r="BH353" s="93">
        <v>0.0</v>
      </c>
      <c r="BI353" s="93">
        <v>0.0</v>
      </c>
      <c r="BJ353" s="93">
        <v>0.0</v>
      </c>
      <c r="BK353" s="93">
        <v>0.0</v>
      </c>
      <c r="BL353" s="93">
        <v>0.0</v>
      </c>
      <c r="BM353" s="93">
        <v>0.0</v>
      </c>
      <c r="BN353" s="93">
        <v>0.0</v>
      </c>
      <c r="BO353" s="5"/>
      <c r="BP353" s="5"/>
      <c r="BQ353" s="5" t="s">
        <v>1789</v>
      </c>
      <c r="BR353" s="94">
        <v>44944.56899305555</v>
      </c>
      <c r="BS353" s="5">
        <v>40.0</v>
      </c>
      <c r="BT353" s="94">
        <v>46134.60165509259</v>
      </c>
      <c r="BU353" s="5" t="s">
        <v>1770</v>
      </c>
      <c r="BV353" s="94">
        <v>46197.697534722225</v>
      </c>
      <c r="BW353" s="5">
        <v>40.0</v>
      </c>
    </row>
    <row r="354" ht="14.25" customHeight="1">
      <c r="A354" s="5">
        <v>353.0</v>
      </c>
      <c r="B354" s="5">
        <v>617.0</v>
      </c>
      <c r="C354" s="5" t="s">
        <v>4406</v>
      </c>
      <c r="D354" s="5" t="s">
        <v>2464</v>
      </c>
      <c r="E354" s="5" t="s">
        <v>1980</v>
      </c>
      <c r="F354" s="5" t="s">
        <v>4407</v>
      </c>
      <c r="G354" s="5" t="s">
        <v>4408</v>
      </c>
      <c r="H354" s="5" t="s">
        <v>1815</v>
      </c>
      <c r="I354" s="5" t="s">
        <v>1763</v>
      </c>
      <c r="J354" s="91">
        <v>29136.0</v>
      </c>
      <c r="K354" s="5">
        <v>279.0</v>
      </c>
      <c r="L354" s="5" t="s">
        <v>4409</v>
      </c>
      <c r="M354" s="5">
        <v>137.0</v>
      </c>
      <c r="N354" s="5"/>
      <c r="O354" s="5">
        <v>43886.0</v>
      </c>
      <c r="P354" s="5" t="s">
        <v>3139</v>
      </c>
      <c r="Q354" s="5" t="s">
        <v>1798</v>
      </c>
      <c r="R354" s="5">
        <v>549.0</v>
      </c>
      <c r="S354" s="5">
        <v>3.939333074E9</v>
      </c>
      <c r="T354" s="5" t="s">
        <v>4410</v>
      </c>
      <c r="U354" s="5" t="s">
        <v>4411</v>
      </c>
      <c r="V354" s="5">
        <v>5.530496933E9</v>
      </c>
      <c r="W354" s="5" t="s">
        <v>1808</v>
      </c>
      <c r="X354" s="91">
        <v>44942.0</v>
      </c>
      <c r="Y354" s="5">
        <v>1.0</v>
      </c>
      <c r="Z354" s="5">
        <v>17.0</v>
      </c>
      <c r="AA354" s="5">
        <v>70.0</v>
      </c>
      <c r="AB354" s="5"/>
      <c r="AC354" s="5"/>
      <c r="AD354" s="5" t="s">
        <v>1770</v>
      </c>
      <c r="AE354" s="5" t="s">
        <v>1770</v>
      </c>
      <c r="AF354" s="5"/>
      <c r="AG354" s="5"/>
      <c r="AH354" s="5">
        <v>2.0947909022E10</v>
      </c>
      <c r="AI354" s="5">
        <v>23.0</v>
      </c>
      <c r="AJ354" s="5"/>
      <c r="AK354" s="5" t="s">
        <v>1773</v>
      </c>
      <c r="AL354" s="92">
        <v>0.0</v>
      </c>
      <c r="AM354" s="5" t="s">
        <v>1770</v>
      </c>
      <c r="AN354" s="5" t="s">
        <v>4382</v>
      </c>
      <c r="AO354" s="5"/>
      <c r="AP354" s="5"/>
      <c r="AQ354" s="5"/>
      <c r="AR354" s="5"/>
      <c r="AS354" s="5"/>
      <c r="AT354" s="5"/>
      <c r="AU354" s="5"/>
      <c r="AV354" s="5"/>
      <c r="AW354" s="5" t="s">
        <v>1770</v>
      </c>
      <c r="AX354" s="5"/>
      <c r="AY354" s="5"/>
      <c r="AZ354" s="5" t="s">
        <v>1770</v>
      </c>
      <c r="BA354" s="93">
        <v>0.0</v>
      </c>
      <c r="BB354" s="93">
        <v>0.0</v>
      </c>
      <c r="BC354" s="93">
        <v>0.0</v>
      </c>
      <c r="BD354" s="93">
        <v>0.0</v>
      </c>
      <c r="BE354" s="93">
        <v>0.0</v>
      </c>
      <c r="BF354" s="93">
        <v>0.0</v>
      </c>
      <c r="BG354" s="5"/>
      <c r="BH354" s="93">
        <v>0.0</v>
      </c>
      <c r="BI354" s="93">
        <v>0.0</v>
      </c>
      <c r="BJ354" s="93">
        <v>0.0</v>
      </c>
      <c r="BK354" s="93">
        <v>0.0</v>
      </c>
      <c r="BL354" s="93">
        <v>0.0</v>
      </c>
      <c r="BM354" s="93">
        <v>0.0</v>
      </c>
      <c r="BN354" s="93">
        <v>0.0</v>
      </c>
      <c r="BO354" s="5"/>
      <c r="BP354" s="5" t="s">
        <v>1770</v>
      </c>
      <c r="BQ354" s="5" t="s">
        <v>1789</v>
      </c>
      <c r="BR354" s="94">
        <v>44944.58892361111</v>
      </c>
      <c r="BS354" s="5">
        <v>40.0</v>
      </c>
      <c r="BT354" s="94">
        <v>45800.57425925926</v>
      </c>
      <c r="BU354" s="5">
        <v>275.0</v>
      </c>
      <c r="BV354" s="94">
        <v>46035.56737268518</v>
      </c>
      <c r="BW354" s="5">
        <v>40.0</v>
      </c>
    </row>
    <row r="355" ht="14.25" customHeight="1">
      <c r="A355" s="5">
        <v>354.0</v>
      </c>
      <c r="B355" s="5">
        <v>618.0</v>
      </c>
      <c r="C355" s="5" t="s">
        <v>4412</v>
      </c>
      <c r="D355" s="5" t="s">
        <v>4413</v>
      </c>
      <c r="E355" s="5" t="s">
        <v>2399</v>
      </c>
      <c r="F355" s="5" t="s">
        <v>4414</v>
      </c>
      <c r="G355" s="5" t="s">
        <v>4415</v>
      </c>
      <c r="H355" s="5" t="s">
        <v>1972</v>
      </c>
      <c r="I355" s="5" t="s">
        <v>1782</v>
      </c>
      <c r="J355" s="91">
        <v>36273.0</v>
      </c>
      <c r="K355" s="5">
        <v>887.0</v>
      </c>
      <c r="L355" s="100" t="s">
        <v>1953</v>
      </c>
      <c r="M355" s="5">
        <v>9.0</v>
      </c>
      <c r="N355" s="5"/>
      <c r="O355" s="5">
        <v>43912.0</v>
      </c>
      <c r="P355" s="5" t="s">
        <v>3139</v>
      </c>
      <c r="Q355" s="5" t="s">
        <v>4416</v>
      </c>
      <c r="R355" s="5">
        <v>547.0</v>
      </c>
      <c r="S355" s="5">
        <v>3.521175098E9</v>
      </c>
      <c r="T355" s="5" t="s">
        <v>4417</v>
      </c>
      <c r="U355" s="5" t="s">
        <v>4418</v>
      </c>
      <c r="V355" s="5">
        <v>3.522082569E9</v>
      </c>
      <c r="W355" s="5" t="s">
        <v>1808</v>
      </c>
      <c r="X355" s="91">
        <v>44942.0</v>
      </c>
      <c r="Y355" s="5">
        <v>1.0</v>
      </c>
      <c r="Z355" s="5">
        <v>18.0</v>
      </c>
      <c r="AA355" s="5">
        <v>71.0</v>
      </c>
      <c r="AB355" s="5" t="s">
        <v>4419</v>
      </c>
      <c r="AC355" s="5" t="s">
        <v>1800</v>
      </c>
      <c r="AD355" s="91">
        <v>45287.0</v>
      </c>
      <c r="AE355" s="91">
        <v>46748.0</v>
      </c>
      <c r="AF355" s="5"/>
      <c r="AG355" s="5"/>
      <c r="AH355" s="5">
        <v>6.81699062E10</v>
      </c>
      <c r="AI355" s="5">
        <v>23.0</v>
      </c>
      <c r="AJ355" s="5"/>
      <c r="AK355" s="5" t="s">
        <v>1773</v>
      </c>
      <c r="AL355" s="92">
        <v>0.0</v>
      </c>
      <c r="AM355" s="5" t="s">
        <v>1770</v>
      </c>
      <c r="AN355" s="5" t="s">
        <v>1830</v>
      </c>
      <c r="AO355" s="5"/>
      <c r="AP355" s="5"/>
      <c r="AQ355" s="5"/>
      <c r="AR355" s="5"/>
      <c r="AS355" s="5"/>
      <c r="AT355" s="5"/>
      <c r="AU355" s="5"/>
      <c r="AV355" s="5"/>
      <c r="AW355" s="5" t="s">
        <v>1770</v>
      </c>
      <c r="AX355" s="5"/>
      <c r="AY355" s="5"/>
      <c r="AZ355" s="5" t="s">
        <v>1770</v>
      </c>
      <c r="BA355" s="93">
        <v>0.0</v>
      </c>
      <c r="BB355" s="93">
        <v>0.0</v>
      </c>
      <c r="BC355" s="93">
        <v>0.0</v>
      </c>
      <c r="BD355" s="93">
        <v>0.0</v>
      </c>
      <c r="BE355" s="93">
        <v>0.0</v>
      </c>
      <c r="BF355" s="93">
        <v>0.0</v>
      </c>
      <c r="BG355" s="5"/>
      <c r="BH355" s="93">
        <v>0.0</v>
      </c>
      <c r="BI355" s="93">
        <v>0.0</v>
      </c>
      <c r="BJ355" s="93">
        <v>0.0</v>
      </c>
      <c r="BK355" s="93">
        <v>0.0</v>
      </c>
      <c r="BL355" s="93">
        <v>0.0</v>
      </c>
      <c r="BM355" s="93">
        <v>0.0</v>
      </c>
      <c r="BN355" s="93">
        <v>0.0</v>
      </c>
      <c r="BO355" s="5"/>
      <c r="BP355" s="5" t="s">
        <v>1770</v>
      </c>
      <c r="BQ355" s="5" t="s">
        <v>1789</v>
      </c>
      <c r="BR355" s="94">
        <v>44951.52266203704</v>
      </c>
      <c r="BS355" s="5">
        <v>40.0</v>
      </c>
      <c r="BT355" s="94">
        <v>45892.541134259256</v>
      </c>
      <c r="BU355" s="5" t="s">
        <v>1770</v>
      </c>
      <c r="BV355" s="94">
        <v>46122.425046296295</v>
      </c>
      <c r="BW355" s="5">
        <v>40.0</v>
      </c>
    </row>
    <row r="356" ht="14.25" customHeight="1">
      <c r="A356" s="5">
        <v>355.0</v>
      </c>
      <c r="B356" s="5">
        <v>619.0</v>
      </c>
      <c r="C356" s="5" t="s">
        <v>4420</v>
      </c>
      <c r="D356" s="5" t="s">
        <v>4421</v>
      </c>
      <c r="E356" s="100" t="s">
        <v>2398</v>
      </c>
      <c r="F356" s="5" t="s">
        <v>4422</v>
      </c>
      <c r="G356" s="5" t="s">
        <v>4423</v>
      </c>
      <c r="H356" s="5" t="s">
        <v>2671</v>
      </c>
      <c r="I356" s="5" t="s">
        <v>1782</v>
      </c>
      <c r="J356" s="91">
        <v>35820.0</v>
      </c>
      <c r="K356" s="5">
        <v>850.0</v>
      </c>
      <c r="L356" s="5" t="s">
        <v>3008</v>
      </c>
      <c r="M356" s="5">
        <v>140.0</v>
      </c>
      <c r="N356" s="5"/>
      <c r="O356" s="5">
        <v>55176.0</v>
      </c>
      <c r="P356" s="5" t="s">
        <v>2636</v>
      </c>
      <c r="Q356" s="5" t="s">
        <v>234</v>
      </c>
      <c r="R356" s="5">
        <v>850.0</v>
      </c>
      <c r="S356" s="5">
        <v>3.521214483E9</v>
      </c>
      <c r="T356" s="5"/>
      <c r="U356" s="5" t="s">
        <v>3077</v>
      </c>
      <c r="V356" s="5">
        <v>1.236549874E9</v>
      </c>
      <c r="W356" s="5" t="s">
        <v>4382</v>
      </c>
      <c r="X356" s="91">
        <v>44945.0</v>
      </c>
      <c r="Y356" s="5">
        <v>3.0</v>
      </c>
      <c r="Z356" s="5">
        <v>17.0</v>
      </c>
      <c r="AA356" s="5">
        <v>61.0</v>
      </c>
      <c r="AB356" s="5"/>
      <c r="AC356" s="5"/>
      <c r="AD356" s="5" t="s">
        <v>1770</v>
      </c>
      <c r="AE356" s="5" t="s">
        <v>1770</v>
      </c>
      <c r="AF356" s="5"/>
      <c r="AG356" s="5"/>
      <c r="AH356" s="5">
        <v>1.0189886749E10</v>
      </c>
      <c r="AI356" s="5">
        <v>77.0</v>
      </c>
      <c r="AJ356" s="5"/>
      <c r="AK356" s="5" t="s">
        <v>1773</v>
      </c>
      <c r="AL356" s="92">
        <v>0.0</v>
      </c>
      <c r="AM356" s="5" t="s">
        <v>1770</v>
      </c>
      <c r="AN356" s="5" t="s">
        <v>4382</v>
      </c>
      <c r="AO356" s="5"/>
      <c r="AP356" s="5"/>
      <c r="AQ356" s="5"/>
      <c r="AR356" s="5"/>
      <c r="AS356" s="5"/>
      <c r="AT356" s="5"/>
      <c r="AU356" s="5"/>
      <c r="AV356" s="5"/>
      <c r="AW356" s="5" t="s">
        <v>1770</v>
      </c>
      <c r="AX356" s="5"/>
      <c r="AY356" s="5"/>
      <c r="AZ356" s="5" t="s">
        <v>1770</v>
      </c>
      <c r="BA356" s="93">
        <v>0.0</v>
      </c>
      <c r="BB356" s="93">
        <v>0.0</v>
      </c>
      <c r="BC356" s="93">
        <v>0.0</v>
      </c>
      <c r="BD356" s="93">
        <v>0.0</v>
      </c>
      <c r="BE356" s="93">
        <v>0.0</v>
      </c>
      <c r="BF356" s="93">
        <v>0.0</v>
      </c>
      <c r="BG356" s="5"/>
      <c r="BH356" s="93">
        <v>0.0</v>
      </c>
      <c r="BI356" s="93">
        <v>0.0</v>
      </c>
      <c r="BJ356" s="93">
        <v>0.0</v>
      </c>
      <c r="BK356" s="93">
        <v>0.0</v>
      </c>
      <c r="BL356" s="93">
        <v>0.0</v>
      </c>
      <c r="BM356" s="93">
        <v>0.0</v>
      </c>
      <c r="BN356" s="93">
        <v>0.0</v>
      </c>
      <c r="BO356" s="5"/>
      <c r="BP356" s="5" t="s">
        <v>1770</v>
      </c>
      <c r="BQ356" s="5" t="s">
        <v>1789</v>
      </c>
      <c r="BR356" s="94">
        <v>44951.557280092595</v>
      </c>
      <c r="BS356" s="5">
        <v>40.0</v>
      </c>
      <c r="BT356" s="5" t="s">
        <v>1770</v>
      </c>
      <c r="BU356" s="5" t="s">
        <v>1770</v>
      </c>
      <c r="BV356" s="94">
        <v>45014.71440972222</v>
      </c>
      <c r="BW356" s="5">
        <v>40.0</v>
      </c>
    </row>
    <row r="357" ht="14.25" customHeight="1">
      <c r="A357" s="5">
        <v>356.0</v>
      </c>
      <c r="B357" s="5">
        <v>620.0</v>
      </c>
      <c r="C357" s="5" t="s">
        <v>4424</v>
      </c>
      <c r="D357" s="5" t="s">
        <v>1950</v>
      </c>
      <c r="E357" s="5" t="s">
        <v>2132</v>
      </c>
      <c r="F357" s="5" t="s">
        <v>4425</v>
      </c>
      <c r="G357" s="5" t="s">
        <v>4426</v>
      </c>
      <c r="H357" s="5" t="s">
        <v>1815</v>
      </c>
      <c r="I357" s="5" t="s">
        <v>1763</v>
      </c>
      <c r="J357" s="91">
        <v>31019.0</v>
      </c>
      <c r="K357" s="5">
        <v>578.0</v>
      </c>
      <c r="L357" s="5" t="s">
        <v>4427</v>
      </c>
      <c r="M357" s="5">
        <v>364.0</v>
      </c>
      <c r="N357" s="5"/>
      <c r="O357" s="5">
        <v>43872.0</v>
      </c>
      <c r="P357" s="5" t="s">
        <v>4428</v>
      </c>
      <c r="Q357" s="5" t="s">
        <v>4429</v>
      </c>
      <c r="R357" s="5">
        <v>578.0</v>
      </c>
      <c r="S357" s="5">
        <v>3.921220708E9</v>
      </c>
      <c r="T357" s="5" t="s">
        <v>4430</v>
      </c>
      <c r="U357" s="5" t="s">
        <v>4431</v>
      </c>
      <c r="V357" s="5">
        <v>3.921657764E9</v>
      </c>
      <c r="W357" s="5" t="s">
        <v>1819</v>
      </c>
      <c r="X357" s="91">
        <v>44949.0</v>
      </c>
      <c r="Y357" s="5" t="s">
        <v>1770</v>
      </c>
      <c r="Z357" s="5">
        <v>2.0</v>
      </c>
      <c r="AA357" s="5">
        <v>63.0</v>
      </c>
      <c r="AB357" s="5"/>
      <c r="AC357" s="5"/>
      <c r="AD357" s="5" t="s">
        <v>1770</v>
      </c>
      <c r="AE357" s="5" t="s">
        <v>1770</v>
      </c>
      <c r="AF357" s="5"/>
      <c r="AG357" s="5"/>
      <c r="AH357" s="5">
        <v>4.088403391E9</v>
      </c>
      <c r="AI357" s="5">
        <v>100.0</v>
      </c>
      <c r="AJ357" s="5"/>
      <c r="AK357" s="5" t="s">
        <v>1773</v>
      </c>
      <c r="AL357" s="92">
        <v>0.0</v>
      </c>
      <c r="AM357" s="5" t="s">
        <v>1770</v>
      </c>
      <c r="AN357" s="5" t="s">
        <v>1774</v>
      </c>
      <c r="AO357" s="5"/>
      <c r="AP357" s="5"/>
      <c r="AQ357" s="5"/>
      <c r="AR357" s="5"/>
      <c r="AS357" s="5"/>
      <c r="AT357" s="5"/>
      <c r="AU357" s="5"/>
      <c r="AV357" s="5"/>
      <c r="AW357" s="5" t="s">
        <v>1770</v>
      </c>
      <c r="AX357" s="5"/>
      <c r="AY357" s="5"/>
      <c r="AZ357" s="5" t="s">
        <v>1770</v>
      </c>
      <c r="BA357" s="93">
        <v>0.0</v>
      </c>
      <c r="BB357" s="93">
        <v>0.0</v>
      </c>
      <c r="BC357" s="93">
        <v>0.0</v>
      </c>
      <c r="BD357" s="93">
        <v>0.0</v>
      </c>
      <c r="BE357" s="93">
        <v>0.0</v>
      </c>
      <c r="BF357" s="93">
        <v>0.0</v>
      </c>
      <c r="BG357" s="5"/>
      <c r="BH357" s="93">
        <v>0.0</v>
      </c>
      <c r="BI357" s="93">
        <v>0.0</v>
      </c>
      <c r="BJ357" s="93">
        <v>0.0</v>
      </c>
      <c r="BK357" s="93">
        <v>0.0</v>
      </c>
      <c r="BL357" s="93">
        <v>0.0</v>
      </c>
      <c r="BM357" s="93">
        <v>0.0</v>
      </c>
      <c r="BN357" s="93">
        <v>0.0</v>
      </c>
      <c r="BO357" s="5"/>
      <c r="BP357" s="5" t="s">
        <v>1770</v>
      </c>
      <c r="BQ357" s="5" t="s">
        <v>1789</v>
      </c>
      <c r="BR357" s="94">
        <v>44951.56439814815</v>
      </c>
      <c r="BS357" s="5">
        <v>40.0</v>
      </c>
      <c r="BT357" s="5" t="s">
        <v>1770</v>
      </c>
      <c r="BU357" s="5" t="s">
        <v>1770</v>
      </c>
      <c r="BV357" s="94">
        <v>45453.75114583333</v>
      </c>
      <c r="BW357" s="5">
        <v>40.0</v>
      </c>
    </row>
    <row r="358" ht="14.25" customHeight="1">
      <c r="A358" s="5">
        <v>357.0</v>
      </c>
      <c r="B358" s="5">
        <v>621.0</v>
      </c>
      <c r="C358" s="5" t="s">
        <v>4432</v>
      </c>
      <c r="D358" s="5" t="s">
        <v>4079</v>
      </c>
      <c r="E358" s="5" t="s">
        <v>2208</v>
      </c>
      <c r="F358" s="5" t="s">
        <v>4433</v>
      </c>
      <c r="G358" s="5" t="s">
        <v>4434</v>
      </c>
      <c r="H358" s="5" t="s">
        <v>1815</v>
      </c>
      <c r="I358" s="5" t="s">
        <v>1763</v>
      </c>
      <c r="J358" s="91">
        <v>35060.0</v>
      </c>
      <c r="K358" s="5">
        <v>594.0</v>
      </c>
      <c r="L358" s="5" t="s">
        <v>4435</v>
      </c>
      <c r="M358" s="5">
        <v>419.0</v>
      </c>
      <c r="N358" s="5"/>
      <c r="O358" s="5">
        <v>43832.0</v>
      </c>
      <c r="P358" s="5" t="s">
        <v>3605</v>
      </c>
      <c r="Q358" s="5" t="s">
        <v>2179</v>
      </c>
      <c r="R358" s="5">
        <v>594.0</v>
      </c>
      <c r="S358" s="5">
        <v>3.921095561E9</v>
      </c>
      <c r="T358" s="5" t="s">
        <v>4436</v>
      </c>
      <c r="U358" s="5" t="s">
        <v>4437</v>
      </c>
      <c r="V358" s="5">
        <v>3.921300266E9</v>
      </c>
      <c r="W358" s="5" t="s">
        <v>1965</v>
      </c>
      <c r="X358" s="91">
        <v>44949.0</v>
      </c>
      <c r="Y358" s="5">
        <v>1.0</v>
      </c>
      <c r="Z358" s="5">
        <v>4.0</v>
      </c>
      <c r="AA358" s="5">
        <v>7.0</v>
      </c>
      <c r="AB358" s="5"/>
      <c r="AC358" s="5"/>
      <c r="AD358" s="5" t="s">
        <v>1770</v>
      </c>
      <c r="AE358" s="5" t="s">
        <v>1770</v>
      </c>
      <c r="AF358" s="5"/>
      <c r="AG358" s="5"/>
      <c r="AH358" s="5">
        <v>6.169547673E9</v>
      </c>
      <c r="AI358" s="5">
        <v>23.0</v>
      </c>
      <c r="AJ358" s="5"/>
      <c r="AK358" s="5" t="s">
        <v>1773</v>
      </c>
      <c r="AL358" s="92">
        <v>0.0</v>
      </c>
      <c r="AM358" s="5" t="s">
        <v>1770</v>
      </c>
      <c r="AN358" s="5" t="s">
        <v>1830</v>
      </c>
      <c r="AO358" s="5"/>
      <c r="AP358" s="5"/>
      <c r="AQ358" s="5"/>
      <c r="AR358" s="5"/>
      <c r="AS358" s="5"/>
      <c r="AT358" s="5"/>
      <c r="AU358" s="5"/>
      <c r="AV358" s="5"/>
      <c r="AW358" s="5" t="s">
        <v>1770</v>
      </c>
      <c r="AX358" s="5"/>
      <c r="AY358" s="5"/>
      <c r="AZ358" s="5" t="s">
        <v>1770</v>
      </c>
      <c r="BA358" s="93">
        <v>0.0</v>
      </c>
      <c r="BB358" s="93">
        <v>0.0</v>
      </c>
      <c r="BC358" s="93">
        <v>0.0</v>
      </c>
      <c r="BD358" s="93">
        <v>0.0</v>
      </c>
      <c r="BE358" s="93">
        <v>0.0</v>
      </c>
      <c r="BF358" s="93">
        <v>0.0</v>
      </c>
      <c r="BG358" s="5"/>
      <c r="BH358" s="93">
        <v>0.0</v>
      </c>
      <c r="BI358" s="93">
        <v>0.0</v>
      </c>
      <c r="BJ358" s="93">
        <v>0.0</v>
      </c>
      <c r="BK358" s="93">
        <v>0.0</v>
      </c>
      <c r="BL358" s="93">
        <v>0.0</v>
      </c>
      <c r="BM358" s="93">
        <v>0.0</v>
      </c>
      <c r="BN358" s="93">
        <v>0.0</v>
      </c>
      <c r="BO358" s="5"/>
      <c r="BP358" s="5" t="s">
        <v>1770</v>
      </c>
      <c r="BQ358" s="5" t="s">
        <v>1789</v>
      </c>
      <c r="BR358" s="94">
        <v>44951.579039351855</v>
      </c>
      <c r="BS358" s="5">
        <v>40.0</v>
      </c>
      <c r="BT358" s="5" t="s">
        <v>1770</v>
      </c>
      <c r="BU358" s="5" t="s">
        <v>1770</v>
      </c>
      <c r="BV358" s="94">
        <v>45453.751539351855</v>
      </c>
      <c r="BW358" s="5">
        <v>40.0</v>
      </c>
    </row>
    <row r="359" ht="14.25" customHeight="1">
      <c r="A359" s="5">
        <v>358.0</v>
      </c>
      <c r="B359" s="5">
        <v>623.0</v>
      </c>
      <c r="C359" s="5" t="s">
        <v>3055</v>
      </c>
      <c r="D359" s="5" t="s">
        <v>3762</v>
      </c>
      <c r="E359" s="5" t="s">
        <v>4438</v>
      </c>
      <c r="F359" s="5" t="s">
        <v>4439</v>
      </c>
      <c r="G359" s="5" t="s">
        <v>4440</v>
      </c>
      <c r="H359" s="5" t="s">
        <v>1781</v>
      </c>
      <c r="I359" s="5" t="s">
        <v>1782</v>
      </c>
      <c r="J359" s="91">
        <v>28347.0</v>
      </c>
      <c r="K359" s="5">
        <v>549.0</v>
      </c>
      <c r="L359" s="5" t="s">
        <v>4441</v>
      </c>
      <c r="M359" s="5">
        <v>60.0</v>
      </c>
      <c r="N359" s="5"/>
      <c r="O359" s="5">
        <v>43882.0</v>
      </c>
      <c r="P359" s="5" t="s">
        <v>1797</v>
      </c>
      <c r="Q359" s="5" t="s">
        <v>1766</v>
      </c>
      <c r="R359" s="5">
        <v>549.0</v>
      </c>
      <c r="S359" s="5">
        <v>3.931010929E9</v>
      </c>
      <c r="T359" s="5" t="s">
        <v>4442</v>
      </c>
      <c r="U359" s="5" t="s">
        <v>4443</v>
      </c>
      <c r="V359" s="5">
        <v>3.931108883E9</v>
      </c>
      <c r="W359" s="5" t="s">
        <v>1787</v>
      </c>
      <c r="X359" s="91">
        <v>45901.0</v>
      </c>
      <c r="Y359" s="5">
        <v>1.0</v>
      </c>
      <c r="Z359" s="5">
        <v>19.0</v>
      </c>
      <c r="AA359" s="5">
        <v>34.0</v>
      </c>
      <c r="AB359" s="5"/>
      <c r="AC359" s="5"/>
      <c r="AD359" s="5" t="s">
        <v>1770</v>
      </c>
      <c r="AE359" s="5" t="s">
        <v>1770</v>
      </c>
      <c r="AF359" s="5"/>
      <c r="AG359" s="5"/>
      <c r="AH359" s="5">
        <v>7.4977718126E10</v>
      </c>
      <c r="AI359" s="5">
        <v>23.0</v>
      </c>
      <c r="AJ359" s="5"/>
      <c r="AK359" s="5" t="s">
        <v>1773</v>
      </c>
      <c r="AL359" s="92">
        <v>0.0</v>
      </c>
      <c r="AM359" s="5" t="s">
        <v>1770</v>
      </c>
      <c r="AN359" s="5" t="s">
        <v>4382</v>
      </c>
      <c r="AO359" s="5"/>
      <c r="AP359" s="5"/>
      <c r="AQ359" s="5"/>
      <c r="AR359" s="5"/>
      <c r="AS359" s="5"/>
      <c r="AT359" s="5"/>
      <c r="AU359" s="5"/>
      <c r="AV359" s="5"/>
      <c r="AW359" s="5" t="s">
        <v>1770</v>
      </c>
      <c r="AX359" s="5"/>
      <c r="AY359" s="5"/>
      <c r="AZ359" s="5" t="s">
        <v>1770</v>
      </c>
      <c r="BA359" s="93">
        <v>0.0</v>
      </c>
      <c r="BB359" s="93">
        <v>0.0</v>
      </c>
      <c r="BC359" s="93">
        <v>0.0</v>
      </c>
      <c r="BD359" s="93">
        <v>0.0</v>
      </c>
      <c r="BE359" s="93">
        <v>0.0</v>
      </c>
      <c r="BF359" s="93">
        <v>0.0</v>
      </c>
      <c r="BG359" s="5"/>
      <c r="BH359" s="93">
        <v>0.0</v>
      </c>
      <c r="BI359" s="93">
        <v>0.0</v>
      </c>
      <c r="BJ359" s="93">
        <v>0.0</v>
      </c>
      <c r="BK359" s="93">
        <v>0.0</v>
      </c>
      <c r="BL359" s="93">
        <v>0.0</v>
      </c>
      <c r="BM359" s="93">
        <v>0.0</v>
      </c>
      <c r="BN359" s="93">
        <v>0.0</v>
      </c>
      <c r="BO359" s="5"/>
      <c r="BP359" s="5"/>
      <c r="BQ359" s="5" t="s">
        <v>1775</v>
      </c>
      <c r="BR359" s="94">
        <v>44964.40231481481</v>
      </c>
      <c r="BS359" s="5">
        <v>40.0</v>
      </c>
      <c r="BT359" s="94">
        <v>46133.50067129629</v>
      </c>
      <c r="BU359" s="5">
        <v>40.0</v>
      </c>
      <c r="BV359" s="5" t="s">
        <v>1770</v>
      </c>
      <c r="BW359" s="5" t="s">
        <v>1770</v>
      </c>
    </row>
    <row r="360" ht="14.25" customHeight="1">
      <c r="A360" s="5">
        <v>359.0</v>
      </c>
      <c r="B360" s="5">
        <v>624.0</v>
      </c>
      <c r="C360" s="5" t="s">
        <v>4444</v>
      </c>
      <c r="D360" s="5" t="s">
        <v>2195</v>
      </c>
      <c r="E360" s="5" t="s">
        <v>4445</v>
      </c>
      <c r="F360" s="5" t="s">
        <v>4446</v>
      </c>
      <c r="G360" s="5" t="s">
        <v>4447</v>
      </c>
      <c r="H360" s="5" t="s">
        <v>1815</v>
      </c>
      <c r="I360" s="5" t="s">
        <v>1763</v>
      </c>
      <c r="J360" s="91">
        <v>33198.0</v>
      </c>
      <c r="K360" s="5">
        <v>594.0</v>
      </c>
      <c r="L360" s="5" t="s">
        <v>2137</v>
      </c>
      <c r="M360" s="5">
        <v>8.0</v>
      </c>
      <c r="N360" s="5"/>
      <c r="O360" s="5">
        <v>41922.0</v>
      </c>
      <c r="P360" s="5" t="s">
        <v>1797</v>
      </c>
      <c r="Q360" s="5" t="s">
        <v>2349</v>
      </c>
      <c r="R360" s="5">
        <v>597.0</v>
      </c>
      <c r="S360" s="5">
        <v>3.313541828E9</v>
      </c>
      <c r="T360" s="5" t="s">
        <v>4448</v>
      </c>
      <c r="U360" s="5" t="s">
        <v>4449</v>
      </c>
      <c r="V360" s="5">
        <v>3.921198431E9</v>
      </c>
      <c r="W360" s="5" t="s">
        <v>1808</v>
      </c>
      <c r="X360" s="91">
        <v>44963.0</v>
      </c>
      <c r="Y360" s="5">
        <v>5.0</v>
      </c>
      <c r="Z360" s="5">
        <v>17.0</v>
      </c>
      <c r="AA360" s="5">
        <v>18.0</v>
      </c>
      <c r="AB360" s="5"/>
      <c r="AC360" s="5"/>
      <c r="AD360" s="5" t="s">
        <v>1770</v>
      </c>
      <c r="AE360" s="5" t="s">
        <v>1770</v>
      </c>
      <c r="AF360" s="5"/>
      <c r="AG360" s="5"/>
      <c r="AH360" s="5">
        <v>4.129037257E9</v>
      </c>
      <c r="AI360" s="5">
        <v>95.0</v>
      </c>
      <c r="AJ360" s="5"/>
      <c r="AK360" s="5" t="s">
        <v>1773</v>
      </c>
      <c r="AL360" s="92">
        <v>0.0</v>
      </c>
      <c r="AM360" s="5" t="s">
        <v>1770</v>
      </c>
      <c r="AN360" s="5" t="s">
        <v>1830</v>
      </c>
      <c r="AO360" s="5"/>
      <c r="AP360" s="5"/>
      <c r="AQ360" s="5"/>
      <c r="AR360" s="5"/>
      <c r="AS360" s="5"/>
      <c r="AT360" s="5"/>
      <c r="AU360" s="5"/>
      <c r="AV360" s="5"/>
      <c r="AW360" s="5" t="s">
        <v>1770</v>
      </c>
      <c r="AX360" s="5"/>
      <c r="AY360" s="5"/>
      <c r="AZ360" s="5" t="s">
        <v>1770</v>
      </c>
      <c r="BA360" s="93">
        <v>0.0</v>
      </c>
      <c r="BB360" s="93">
        <v>0.0</v>
      </c>
      <c r="BC360" s="93">
        <v>0.0</v>
      </c>
      <c r="BD360" s="93">
        <v>0.0</v>
      </c>
      <c r="BE360" s="93">
        <v>0.0</v>
      </c>
      <c r="BF360" s="93">
        <v>0.0</v>
      </c>
      <c r="BG360" s="5"/>
      <c r="BH360" s="93">
        <v>0.0</v>
      </c>
      <c r="BI360" s="93">
        <v>0.0</v>
      </c>
      <c r="BJ360" s="93">
        <v>0.0</v>
      </c>
      <c r="BK360" s="93">
        <v>0.0</v>
      </c>
      <c r="BL360" s="93">
        <v>0.0</v>
      </c>
      <c r="BM360" s="93">
        <v>0.0</v>
      </c>
      <c r="BN360" s="93">
        <v>0.0</v>
      </c>
      <c r="BO360" s="5"/>
      <c r="BP360" s="5" t="s">
        <v>1770</v>
      </c>
      <c r="BQ360" s="5" t="s">
        <v>1789</v>
      </c>
      <c r="BR360" s="94">
        <v>44964.40728009259</v>
      </c>
      <c r="BS360" s="5">
        <v>40.0</v>
      </c>
      <c r="BT360" s="5" t="s">
        <v>1770</v>
      </c>
      <c r="BU360" s="5" t="s">
        <v>1770</v>
      </c>
      <c r="BV360" s="94">
        <v>45453.75121527778</v>
      </c>
      <c r="BW360" s="5">
        <v>40.0</v>
      </c>
    </row>
    <row r="361" ht="14.25" customHeight="1">
      <c r="A361" s="5">
        <v>360.0</v>
      </c>
      <c r="B361" s="5">
        <v>626.0</v>
      </c>
      <c r="C361" s="5" t="s">
        <v>2493</v>
      </c>
      <c r="D361" s="5" t="s">
        <v>2044</v>
      </c>
      <c r="E361" s="5" t="s">
        <v>1812</v>
      </c>
      <c r="F361" s="5" t="s">
        <v>4450</v>
      </c>
      <c r="G361" s="5" t="s">
        <v>4451</v>
      </c>
      <c r="H361" s="5" t="s">
        <v>1781</v>
      </c>
      <c r="I361" s="5" t="s">
        <v>1782</v>
      </c>
      <c r="J361" s="91">
        <v>27928.0</v>
      </c>
      <c r="K361" s="5">
        <v>594.0</v>
      </c>
      <c r="L361" s="5" t="s">
        <v>4452</v>
      </c>
      <c r="M361" s="5">
        <v>320.0</v>
      </c>
      <c r="N361" s="5" t="s">
        <v>2340</v>
      </c>
      <c r="O361" s="5">
        <v>36182.0</v>
      </c>
      <c r="P361" s="5" t="s">
        <v>4453</v>
      </c>
      <c r="Q361" s="5" t="s">
        <v>2452</v>
      </c>
      <c r="R361" s="5">
        <v>421.0</v>
      </c>
      <c r="S361" s="5">
        <v>4.772907115E9</v>
      </c>
      <c r="T361" s="5" t="s">
        <v>4454</v>
      </c>
      <c r="U361" s="100" t="s">
        <v>4455</v>
      </c>
      <c r="V361" s="5">
        <v>4.772907115E9</v>
      </c>
      <c r="W361" s="5" t="s">
        <v>1787</v>
      </c>
      <c r="X361" s="91">
        <v>44973.0</v>
      </c>
      <c r="Y361" s="5">
        <v>3.0</v>
      </c>
      <c r="Z361" s="5">
        <v>19.0</v>
      </c>
      <c r="AA361" s="5">
        <v>81.0</v>
      </c>
      <c r="AB361" s="5" t="s">
        <v>4456</v>
      </c>
      <c r="AC361" s="5" t="s">
        <v>1772</v>
      </c>
      <c r="AD361" s="91">
        <v>45320.0</v>
      </c>
      <c r="AE361" s="91">
        <v>46051.0</v>
      </c>
      <c r="AF361" s="5"/>
      <c r="AG361" s="5"/>
      <c r="AH361" s="5">
        <v>7.4967627048E10</v>
      </c>
      <c r="AI361" s="5">
        <v>9.0</v>
      </c>
      <c r="AJ361" s="5"/>
      <c r="AK361" s="5" t="s">
        <v>1773</v>
      </c>
      <c r="AL361" s="92">
        <v>0.0</v>
      </c>
      <c r="AM361" s="5" t="s">
        <v>1770</v>
      </c>
      <c r="AN361" s="5" t="s">
        <v>2052</v>
      </c>
      <c r="AO361" s="5"/>
      <c r="AP361" s="5"/>
      <c r="AQ361" s="5"/>
      <c r="AR361" s="5"/>
      <c r="AS361" s="5"/>
      <c r="AT361" s="5"/>
      <c r="AU361" s="5"/>
      <c r="AV361" s="5"/>
      <c r="AW361" s="5" t="s">
        <v>1770</v>
      </c>
      <c r="AX361" s="5"/>
      <c r="AY361" s="5"/>
      <c r="AZ361" s="5" t="s">
        <v>1770</v>
      </c>
      <c r="BA361" s="93">
        <v>0.0</v>
      </c>
      <c r="BB361" s="93">
        <v>0.0</v>
      </c>
      <c r="BC361" s="93">
        <v>0.0</v>
      </c>
      <c r="BD361" s="93">
        <v>0.0</v>
      </c>
      <c r="BE361" s="93">
        <v>0.0</v>
      </c>
      <c r="BF361" s="93">
        <v>0.0</v>
      </c>
      <c r="BG361" s="5"/>
      <c r="BH361" s="93">
        <v>0.0</v>
      </c>
      <c r="BI361" s="93">
        <v>0.0</v>
      </c>
      <c r="BJ361" s="93">
        <v>0.0</v>
      </c>
      <c r="BK361" s="93">
        <v>0.0</v>
      </c>
      <c r="BL361" s="93">
        <v>0.0</v>
      </c>
      <c r="BM361" s="93">
        <v>0.0</v>
      </c>
      <c r="BN361" s="93">
        <v>0.0</v>
      </c>
      <c r="BO361" s="5"/>
      <c r="BP361" s="5"/>
      <c r="BQ361" s="5" t="s">
        <v>1775</v>
      </c>
      <c r="BR361" s="94">
        <v>44973.710231481484</v>
      </c>
      <c r="BS361" s="5">
        <v>40.0</v>
      </c>
      <c r="BT361" s="94">
        <v>46134.68960648148</v>
      </c>
      <c r="BU361" s="5">
        <v>40.0</v>
      </c>
      <c r="BV361" s="5" t="s">
        <v>1770</v>
      </c>
      <c r="BW361" s="5" t="s">
        <v>1770</v>
      </c>
    </row>
    <row r="362" ht="14.25" customHeight="1">
      <c r="A362" s="5">
        <v>361.0</v>
      </c>
      <c r="B362" s="5">
        <v>625.0</v>
      </c>
      <c r="C362" s="5" t="s">
        <v>4457</v>
      </c>
      <c r="D362" s="5" t="s">
        <v>4458</v>
      </c>
      <c r="E362" s="5" t="s">
        <v>2157</v>
      </c>
      <c r="F362" s="5" t="s">
        <v>4459</v>
      </c>
      <c r="G362" s="5" t="s">
        <v>4460</v>
      </c>
      <c r="H362" s="5" t="s">
        <v>1762</v>
      </c>
      <c r="I362" s="5" t="s">
        <v>1763</v>
      </c>
      <c r="J362" s="91">
        <v>30893.0</v>
      </c>
      <c r="K362" s="5">
        <v>570.0</v>
      </c>
      <c r="L362" s="5" t="s">
        <v>4461</v>
      </c>
      <c r="M362" s="5">
        <v>16.0</v>
      </c>
      <c r="N362" s="5"/>
      <c r="O362" s="5">
        <v>54922.0</v>
      </c>
      <c r="P362" s="5" t="s">
        <v>1797</v>
      </c>
      <c r="Q362" s="100" t="s">
        <v>2592</v>
      </c>
      <c r="R362" s="5">
        <v>792.0</v>
      </c>
      <c r="S362" s="5">
        <v>3.931674065E9</v>
      </c>
      <c r="T362" s="5" t="s">
        <v>4462</v>
      </c>
      <c r="U362" s="5" t="s">
        <v>4463</v>
      </c>
      <c r="V362" s="5">
        <v>4.612521973E9</v>
      </c>
      <c r="W362" s="5" t="s">
        <v>1769</v>
      </c>
      <c r="X362" s="91">
        <v>44973.0</v>
      </c>
      <c r="Y362" s="5">
        <v>1.0</v>
      </c>
      <c r="Z362" s="5">
        <v>17.0</v>
      </c>
      <c r="AA362" s="5">
        <v>19.0</v>
      </c>
      <c r="AB362" s="5"/>
      <c r="AC362" s="5"/>
      <c r="AD362" s="5" t="s">
        <v>1770</v>
      </c>
      <c r="AE362" s="5" t="s">
        <v>1770</v>
      </c>
      <c r="AF362" s="5"/>
      <c r="AG362" s="5"/>
      <c r="AH362" s="5">
        <v>4.068475542E9</v>
      </c>
      <c r="AI362" s="5">
        <v>23.0</v>
      </c>
      <c r="AJ362" s="5"/>
      <c r="AK362" s="5" t="s">
        <v>1773</v>
      </c>
      <c r="AL362" s="92">
        <v>0.0</v>
      </c>
      <c r="AM362" s="5" t="s">
        <v>1770</v>
      </c>
      <c r="AN362" s="5" t="s">
        <v>1830</v>
      </c>
      <c r="AO362" s="5"/>
      <c r="AP362" s="5"/>
      <c r="AQ362" s="5"/>
      <c r="AR362" s="5"/>
      <c r="AS362" s="5"/>
      <c r="AT362" s="5"/>
      <c r="AU362" s="5"/>
      <c r="AV362" s="5"/>
      <c r="AW362" s="5" t="s">
        <v>1770</v>
      </c>
      <c r="AX362" s="5"/>
      <c r="AY362" s="5"/>
      <c r="AZ362" s="5" t="s">
        <v>1770</v>
      </c>
      <c r="BA362" s="93">
        <v>0.0</v>
      </c>
      <c r="BB362" s="93">
        <v>0.0</v>
      </c>
      <c r="BC362" s="93">
        <v>0.0</v>
      </c>
      <c r="BD362" s="93">
        <v>0.0</v>
      </c>
      <c r="BE362" s="93">
        <v>0.0</v>
      </c>
      <c r="BF362" s="93">
        <v>0.0</v>
      </c>
      <c r="BG362" s="5"/>
      <c r="BH362" s="93">
        <v>0.0</v>
      </c>
      <c r="BI362" s="93">
        <v>0.0</v>
      </c>
      <c r="BJ362" s="93">
        <v>0.0</v>
      </c>
      <c r="BK362" s="93">
        <v>0.0</v>
      </c>
      <c r="BL362" s="93">
        <v>0.0</v>
      </c>
      <c r="BM362" s="93">
        <v>0.0</v>
      </c>
      <c r="BN362" s="93">
        <v>0.0</v>
      </c>
      <c r="BO362" s="5"/>
      <c r="BP362" s="5" t="s">
        <v>1770</v>
      </c>
      <c r="BQ362" s="5" t="s">
        <v>1789</v>
      </c>
      <c r="BR362" s="94">
        <v>44973.71456018519</v>
      </c>
      <c r="BS362" s="5">
        <v>40.0</v>
      </c>
      <c r="BT362" s="5" t="s">
        <v>1770</v>
      </c>
      <c r="BU362" s="5" t="s">
        <v>1770</v>
      </c>
      <c r="BV362" s="94">
        <v>45058.458958333336</v>
      </c>
      <c r="BW362" s="5">
        <v>40.0</v>
      </c>
    </row>
    <row r="363" ht="14.25" customHeight="1">
      <c r="A363" s="5">
        <v>362.0</v>
      </c>
      <c r="B363" s="5">
        <v>627.0</v>
      </c>
      <c r="C363" s="5" t="s">
        <v>4464</v>
      </c>
      <c r="D363" s="5" t="s">
        <v>4465</v>
      </c>
      <c r="E363" s="5" t="s">
        <v>4466</v>
      </c>
      <c r="F363" s="5" t="s">
        <v>4467</v>
      </c>
      <c r="G363" s="5" t="s">
        <v>4468</v>
      </c>
      <c r="H363" s="5" t="s">
        <v>1781</v>
      </c>
      <c r="I363" s="5" t="s">
        <v>1782</v>
      </c>
      <c r="J363" s="91">
        <v>36269.0</v>
      </c>
      <c r="K363" s="5">
        <v>594.0</v>
      </c>
      <c r="L363" s="5" t="s">
        <v>4469</v>
      </c>
      <c r="M363" s="5">
        <v>275.0</v>
      </c>
      <c r="N363" s="5"/>
      <c r="O363" s="5">
        <v>41922.0</v>
      </c>
      <c r="P363" s="5" t="s">
        <v>1797</v>
      </c>
      <c r="Q363" s="5" t="s">
        <v>2349</v>
      </c>
      <c r="R363" s="5">
        <v>597.0</v>
      </c>
      <c r="S363" s="5">
        <v>3.337275028E9</v>
      </c>
      <c r="T363" s="5" t="s">
        <v>4470</v>
      </c>
      <c r="U363" s="5" t="s">
        <v>4471</v>
      </c>
      <c r="V363" s="5">
        <v>3.332416141E9</v>
      </c>
      <c r="W363" s="5" t="s">
        <v>1965</v>
      </c>
      <c r="X363" s="91">
        <v>44977.0</v>
      </c>
      <c r="Y363" s="5">
        <v>5.0</v>
      </c>
      <c r="Z363" s="5">
        <v>3.0</v>
      </c>
      <c r="AA363" s="5">
        <v>58.0</v>
      </c>
      <c r="AB363" s="5" t="s">
        <v>4472</v>
      </c>
      <c r="AC363" s="5" t="s">
        <v>1800</v>
      </c>
      <c r="AD363" s="91">
        <v>44327.0</v>
      </c>
      <c r="AE363" s="91">
        <v>45788.0</v>
      </c>
      <c r="AF363" s="5"/>
      <c r="AG363" s="5"/>
      <c r="AH363" s="5">
        <v>1.3139972007E10</v>
      </c>
      <c r="AI363" s="5">
        <v>95.0</v>
      </c>
      <c r="AJ363" s="5"/>
      <c r="AK363" s="5" t="s">
        <v>1773</v>
      </c>
      <c r="AL363" s="92">
        <v>0.0</v>
      </c>
      <c r="AM363" s="5" t="s">
        <v>1770</v>
      </c>
      <c r="AN363" s="5" t="s">
        <v>2052</v>
      </c>
      <c r="AO363" s="5"/>
      <c r="AP363" s="5"/>
      <c r="AQ363" s="5"/>
      <c r="AR363" s="5"/>
      <c r="AS363" s="5"/>
      <c r="AT363" s="5"/>
      <c r="AU363" s="5"/>
      <c r="AV363" s="5"/>
      <c r="AW363" s="5" t="s">
        <v>1770</v>
      </c>
      <c r="AX363" s="5"/>
      <c r="AY363" s="5"/>
      <c r="AZ363" s="5" t="s">
        <v>1770</v>
      </c>
      <c r="BA363" s="93">
        <v>0.0</v>
      </c>
      <c r="BB363" s="93">
        <v>0.0</v>
      </c>
      <c r="BC363" s="93">
        <v>0.0</v>
      </c>
      <c r="BD363" s="93">
        <v>0.0</v>
      </c>
      <c r="BE363" s="93">
        <v>0.0</v>
      </c>
      <c r="BF363" s="93">
        <v>0.0</v>
      </c>
      <c r="BG363" s="5"/>
      <c r="BH363" s="93">
        <v>0.0</v>
      </c>
      <c r="BI363" s="93">
        <v>0.0</v>
      </c>
      <c r="BJ363" s="93">
        <v>0.0</v>
      </c>
      <c r="BK363" s="93">
        <v>0.0</v>
      </c>
      <c r="BL363" s="93">
        <v>0.0</v>
      </c>
      <c r="BM363" s="93">
        <v>0.0</v>
      </c>
      <c r="BN363" s="93">
        <v>0.0</v>
      </c>
      <c r="BO363" s="5"/>
      <c r="BP363" s="5" t="s">
        <v>1770</v>
      </c>
      <c r="BQ363" s="5" t="s">
        <v>1789</v>
      </c>
      <c r="BR363" s="94">
        <v>44984.49818287037</v>
      </c>
      <c r="BS363" s="5">
        <v>40.0</v>
      </c>
      <c r="BT363" s="5" t="s">
        <v>1770</v>
      </c>
      <c r="BU363" s="5" t="s">
        <v>1770</v>
      </c>
      <c r="BV363" s="94">
        <v>45035.45825231481</v>
      </c>
      <c r="BW363" s="5">
        <v>40.0</v>
      </c>
    </row>
    <row r="364" ht="14.25" customHeight="1">
      <c r="A364" s="5">
        <v>363.0</v>
      </c>
      <c r="B364" s="5">
        <v>628.0</v>
      </c>
      <c r="C364" s="5" t="s">
        <v>4473</v>
      </c>
      <c r="D364" s="5" t="s">
        <v>2573</v>
      </c>
      <c r="E364" s="100" t="s">
        <v>4474</v>
      </c>
      <c r="F364" s="5" t="s">
        <v>4475</v>
      </c>
      <c r="G364" s="5" t="s">
        <v>4476</v>
      </c>
      <c r="H364" s="5" t="s">
        <v>1781</v>
      </c>
      <c r="I364" s="5" t="s">
        <v>1782</v>
      </c>
      <c r="J364" s="91">
        <v>31448.0</v>
      </c>
      <c r="K364" s="5">
        <v>863.0</v>
      </c>
      <c r="L364" s="5" t="s">
        <v>4477</v>
      </c>
      <c r="M364" s="5">
        <v>697.0</v>
      </c>
      <c r="N364" s="5" t="s">
        <v>2624</v>
      </c>
      <c r="O364" s="5">
        <v>53949.0</v>
      </c>
      <c r="P364" s="5" t="s">
        <v>4478</v>
      </c>
      <c r="Q364" s="5" t="s">
        <v>2041</v>
      </c>
      <c r="R364" s="5">
        <v>834.0</v>
      </c>
      <c r="S364" s="5">
        <v>4.431465962E9</v>
      </c>
      <c r="T364" s="5" t="s">
        <v>4479</v>
      </c>
      <c r="U364" s="5" t="s">
        <v>4480</v>
      </c>
      <c r="V364" s="5">
        <v>4.431856358E9</v>
      </c>
      <c r="W364" s="5" t="s">
        <v>1787</v>
      </c>
      <c r="X364" s="91">
        <v>44977.0</v>
      </c>
      <c r="Y364" s="5">
        <v>4.0</v>
      </c>
      <c r="Z364" s="5">
        <v>3.0</v>
      </c>
      <c r="AA364" s="5">
        <v>58.0</v>
      </c>
      <c r="AB364" s="5">
        <v>1.5056043E7</v>
      </c>
      <c r="AC364" s="5" t="s">
        <v>1800</v>
      </c>
      <c r="AD364" s="91">
        <v>44540.0</v>
      </c>
      <c r="AE364" s="91">
        <v>48192.0</v>
      </c>
      <c r="AF364" s="5"/>
      <c r="AG364" s="5"/>
      <c r="AH364" s="5">
        <v>5.3098609372E10</v>
      </c>
      <c r="AI364" s="5">
        <v>80.0</v>
      </c>
      <c r="AJ364" s="5"/>
      <c r="AK364" s="5" t="s">
        <v>1773</v>
      </c>
      <c r="AL364" s="92">
        <v>0.0</v>
      </c>
      <c r="AM364" s="5" t="s">
        <v>1770</v>
      </c>
      <c r="AN364" s="5" t="s">
        <v>1774</v>
      </c>
      <c r="AO364" s="5"/>
      <c r="AP364" s="5"/>
      <c r="AQ364" s="5"/>
      <c r="AR364" s="5"/>
      <c r="AS364" s="5"/>
      <c r="AT364" s="5"/>
      <c r="AU364" s="5"/>
      <c r="AV364" s="5"/>
      <c r="AW364" s="5" t="s">
        <v>1770</v>
      </c>
      <c r="AX364" s="5"/>
      <c r="AY364" s="5"/>
      <c r="AZ364" s="5" t="s">
        <v>1770</v>
      </c>
      <c r="BA364" s="93">
        <v>0.0</v>
      </c>
      <c r="BB364" s="93">
        <v>0.0</v>
      </c>
      <c r="BC364" s="93">
        <v>0.0</v>
      </c>
      <c r="BD364" s="93">
        <v>0.0</v>
      </c>
      <c r="BE364" s="93">
        <v>0.0</v>
      </c>
      <c r="BF364" s="93">
        <v>0.0</v>
      </c>
      <c r="BG364" s="5"/>
      <c r="BH364" s="93">
        <v>0.0</v>
      </c>
      <c r="BI364" s="93">
        <v>0.0</v>
      </c>
      <c r="BJ364" s="93">
        <v>0.0</v>
      </c>
      <c r="BK364" s="93">
        <v>0.0</v>
      </c>
      <c r="BL364" s="93">
        <v>0.0</v>
      </c>
      <c r="BM364" s="93">
        <v>0.0</v>
      </c>
      <c r="BN364" s="93">
        <v>0.0</v>
      </c>
      <c r="BO364" s="5"/>
      <c r="BP364" s="5" t="s">
        <v>1770</v>
      </c>
      <c r="BQ364" s="5" t="s">
        <v>1789</v>
      </c>
      <c r="BR364" s="94">
        <v>44984.51063657407</v>
      </c>
      <c r="BS364" s="5">
        <v>40.0</v>
      </c>
      <c r="BT364" s="5" t="s">
        <v>1770</v>
      </c>
      <c r="BU364" s="5" t="s">
        <v>1770</v>
      </c>
      <c r="BV364" s="94">
        <v>45118.71019675926</v>
      </c>
      <c r="BW364" s="5" t="s">
        <v>1770</v>
      </c>
    </row>
    <row r="365" ht="14.25" customHeight="1">
      <c r="A365" s="5">
        <v>364.0</v>
      </c>
      <c r="B365" s="5">
        <v>629.0</v>
      </c>
      <c r="C365" s="5" t="s">
        <v>4481</v>
      </c>
      <c r="D365" s="5" t="s">
        <v>4482</v>
      </c>
      <c r="E365" s="5" t="s">
        <v>2788</v>
      </c>
      <c r="F365" s="5" t="s">
        <v>4483</v>
      </c>
      <c r="G365" s="5" t="s">
        <v>4484</v>
      </c>
      <c r="H365" s="5" t="s">
        <v>1781</v>
      </c>
      <c r="I365" s="5" t="s">
        <v>1782</v>
      </c>
      <c r="J365" s="91">
        <v>33775.0</v>
      </c>
      <c r="K365" s="5">
        <v>570.0</v>
      </c>
      <c r="L365" s="5" t="s">
        <v>4485</v>
      </c>
      <c r="M365" s="5">
        <v>566.0</v>
      </c>
      <c r="N365" s="5"/>
      <c r="O365" s="5">
        <v>41581.0</v>
      </c>
      <c r="P365" s="5" t="s">
        <v>4486</v>
      </c>
      <c r="Q365" s="5" t="s">
        <v>4487</v>
      </c>
      <c r="R365" s="5">
        <v>629.0</v>
      </c>
      <c r="S365" s="5">
        <v>3.319102396E9</v>
      </c>
      <c r="T365" s="5" t="s">
        <v>4488</v>
      </c>
      <c r="U365" s="5" t="s">
        <v>4489</v>
      </c>
      <c r="V365" s="5">
        <v>3.31486028E9</v>
      </c>
      <c r="W365" s="5" t="s">
        <v>1787</v>
      </c>
      <c r="X365" s="91">
        <v>44986.0</v>
      </c>
      <c r="Y365" s="5" t="s">
        <v>1770</v>
      </c>
      <c r="Z365" s="5">
        <v>3.0</v>
      </c>
      <c r="AA365" s="5">
        <v>46.0</v>
      </c>
      <c r="AB365" s="5" t="s">
        <v>4490</v>
      </c>
      <c r="AC365" s="5" t="s">
        <v>1800</v>
      </c>
      <c r="AD365" s="91">
        <v>44980.0</v>
      </c>
      <c r="AE365" s="91">
        <v>46441.0</v>
      </c>
      <c r="AF365" s="5"/>
      <c r="AG365" s="5"/>
      <c r="AH365" s="5">
        <v>7.5109201451E10</v>
      </c>
      <c r="AI365" s="5">
        <v>23.0</v>
      </c>
      <c r="AJ365" s="5"/>
      <c r="AK365" s="5" t="s">
        <v>1773</v>
      </c>
      <c r="AL365" s="92">
        <v>0.0</v>
      </c>
      <c r="AM365" s="5" t="s">
        <v>1770</v>
      </c>
      <c r="AN365" s="5" t="s">
        <v>1830</v>
      </c>
      <c r="AO365" s="5"/>
      <c r="AP365" s="5"/>
      <c r="AQ365" s="5"/>
      <c r="AR365" s="5"/>
      <c r="AS365" s="5"/>
      <c r="AT365" s="5"/>
      <c r="AU365" s="5"/>
      <c r="AV365" s="5"/>
      <c r="AW365" s="5" t="s">
        <v>1770</v>
      </c>
      <c r="AX365" s="5"/>
      <c r="AY365" s="5"/>
      <c r="AZ365" s="5" t="s">
        <v>1770</v>
      </c>
      <c r="BA365" s="93">
        <v>0.0</v>
      </c>
      <c r="BB365" s="93">
        <v>0.0</v>
      </c>
      <c r="BC365" s="93">
        <v>0.0</v>
      </c>
      <c r="BD365" s="93">
        <v>0.0</v>
      </c>
      <c r="BE365" s="93">
        <v>0.0</v>
      </c>
      <c r="BF365" s="93">
        <v>0.0</v>
      </c>
      <c r="BG365" s="5"/>
      <c r="BH365" s="93">
        <v>0.0</v>
      </c>
      <c r="BI365" s="93">
        <v>0.0</v>
      </c>
      <c r="BJ365" s="93">
        <v>0.0</v>
      </c>
      <c r="BK365" s="93">
        <v>0.0</v>
      </c>
      <c r="BL365" s="93">
        <v>0.0</v>
      </c>
      <c r="BM365" s="93">
        <v>0.0</v>
      </c>
      <c r="BN365" s="93">
        <v>0.0</v>
      </c>
      <c r="BO365" s="5"/>
      <c r="BP365" s="5" t="s">
        <v>1770</v>
      </c>
      <c r="BQ365" s="5" t="s">
        <v>1789</v>
      </c>
      <c r="BR365" s="94">
        <v>44986.641689814816</v>
      </c>
      <c r="BS365" s="5">
        <v>40.0</v>
      </c>
      <c r="BT365" s="5" t="s">
        <v>1770</v>
      </c>
      <c r="BU365" s="5" t="s">
        <v>1770</v>
      </c>
      <c r="BV365" s="94">
        <v>45299.680625</v>
      </c>
      <c r="BW365" s="5">
        <v>40.0</v>
      </c>
    </row>
    <row r="366" ht="14.25" customHeight="1">
      <c r="A366" s="5">
        <v>365.0</v>
      </c>
      <c r="B366" s="5">
        <v>630.0</v>
      </c>
      <c r="C366" s="5" t="s">
        <v>4491</v>
      </c>
      <c r="D366" s="5" t="s">
        <v>2005</v>
      </c>
      <c r="E366" s="5" t="s">
        <v>1792</v>
      </c>
      <c r="F366" s="5" t="s">
        <v>4492</v>
      </c>
      <c r="G366" s="5" t="s">
        <v>4493</v>
      </c>
      <c r="H366" s="5" t="s">
        <v>1762</v>
      </c>
      <c r="I366" s="5" t="s">
        <v>1763</v>
      </c>
      <c r="J366" s="91">
        <v>30137.0</v>
      </c>
      <c r="K366" s="5">
        <v>594.0</v>
      </c>
      <c r="L366" s="5" t="s">
        <v>2902</v>
      </c>
      <c r="M366" s="5">
        <v>79.0</v>
      </c>
      <c r="N366" s="5"/>
      <c r="O366" s="5">
        <v>43882.0</v>
      </c>
      <c r="P366" s="5" t="s">
        <v>4494</v>
      </c>
      <c r="Q366" s="5" t="s">
        <v>1766</v>
      </c>
      <c r="R366" s="5">
        <v>549.0</v>
      </c>
      <c r="S366" s="5">
        <v>3.939333475E9</v>
      </c>
      <c r="T366" s="5" t="s">
        <v>4495</v>
      </c>
      <c r="U366" s="5" t="s">
        <v>4496</v>
      </c>
      <c r="V366" s="5">
        <v>3.939388019E9</v>
      </c>
      <c r="W366" s="5" t="s">
        <v>1819</v>
      </c>
      <c r="X366" s="91">
        <v>44986.0</v>
      </c>
      <c r="Y366" s="5" t="s">
        <v>1770</v>
      </c>
      <c r="Z366" s="5">
        <v>17.0</v>
      </c>
      <c r="AA366" s="5">
        <v>93.0</v>
      </c>
      <c r="AB366" s="5"/>
      <c r="AC366" s="5"/>
      <c r="AD366" s="5" t="s">
        <v>1770</v>
      </c>
      <c r="AE366" s="5" t="s">
        <v>1770</v>
      </c>
      <c r="AF366" s="5"/>
      <c r="AG366" s="5"/>
      <c r="AH366" s="5">
        <v>4.058201064E9</v>
      </c>
      <c r="AI366" s="5">
        <v>23.0</v>
      </c>
      <c r="AJ366" s="5"/>
      <c r="AK366" s="5" t="s">
        <v>1773</v>
      </c>
      <c r="AL366" s="92">
        <v>0.0</v>
      </c>
      <c r="AM366" s="5" t="s">
        <v>1770</v>
      </c>
      <c r="AN366" s="5" t="s">
        <v>1774</v>
      </c>
      <c r="AO366" s="5"/>
      <c r="AP366" s="5"/>
      <c r="AQ366" s="5"/>
      <c r="AR366" s="5"/>
      <c r="AS366" s="5"/>
      <c r="AT366" s="5"/>
      <c r="AU366" s="5"/>
      <c r="AV366" s="5"/>
      <c r="AW366" s="5" t="s">
        <v>1770</v>
      </c>
      <c r="AX366" s="5"/>
      <c r="AY366" s="5"/>
      <c r="AZ366" s="5" t="s">
        <v>1770</v>
      </c>
      <c r="BA366" s="93">
        <v>0.0</v>
      </c>
      <c r="BB366" s="93">
        <v>0.0</v>
      </c>
      <c r="BC366" s="93">
        <v>0.0</v>
      </c>
      <c r="BD366" s="93">
        <v>0.0</v>
      </c>
      <c r="BE366" s="93">
        <v>0.0</v>
      </c>
      <c r="BF366" s="93">
        <v>0.0</v>
      </c>
      <c r="BG366" s="5"/>
      <c r="BH366" s="93">
        <v>0.0</v>
      </c>
      <c r="BI366" s="93">
        <v>0.0</v>
      </c>
      <c r="BJ366" s="93">
        <v>0.0</v>
      </c>
      <c r="BK366" s="93">
        <v>0.0</v>
      </c>
      <c r="BL366" s="93">
        <v>0.0</v>
      </c>
      <c r="BM366" s="93">
        <v>0.0</v>
      </c>
      <c r="BN366" s="93">
        <v>0.0</v>
      </c>
      <c r="BO366" s="5"/>
      <c r="BP366" s="5"/>
      <c r="BQ366" s="5" t="s">
        <v>1775</v>
      </c>
      <c r="BR366" s="94">
        <v>44986.65969907407</v>
      </c>
      <c r="BS366" s="5">
        <v>40.0</v>
      </c>
      <c r="BT366" s="94">
        <v>46134.61488425926</v>
      </c>
      <c r="BU366" s="5" t="s">
        <v>1770</v>
      </c>
      <c r="BV366" s="5" t="s">
        <v>1770</v>
      </c>
      <c r="BW366" s="5" t="s">
        <v>1770</v>
      </c>
    </row>
    <row r="367" ht="14.25" customHeight="1">
      <c r="A367" s="5">
        <v>366.0</v>
      </c>
      <c r="B367" s="5">
        <v>631.0</v>
      </c>
      <c r="C367" s="5" t="s">
        <v>4497</v>
      </c>
      <c r="D367" s="5" t="s">
        <v>2534</v>
      </c>
      <c r="E367" s="5" t="s">
        <v>2011</v>
      </c>
      <c r="F367" s="5" t="s">
        <v>4498</v>
      </c>
      <c r="G367" s="5" t="s">
        <v>4499</v>
      </c>
      <c r="H367" s="5" t="s">
        <v>1815</v>
      </c>
      <c r="I367" s="5" t="s">
        <v>1763</v>
      </c>
      <c r="J367" s="91">
        <v>35755.0</v>
      </c>
      <c r="K367" s="5">
        <v>549.0</v>
      </c>
      <c r="L367" s="5" t="s">
        <v>2792</v>
      </c>
      <c r="M367" s="5">
        <v>54.0</v>
      </c>
      <c r="N367" s="5" t="s">
        <v>2340</v>
      </c>
      <c r="O367" s="5">
        <v>43890.0</v>
      </c>
      <c r="P367" s="5" t="s">
        <v>3139</v>
      </c>
      <c r="Q367" s="5" t="s">
        <v>2211</v>
      </c>
      <c r="R367" s="5">
        <v>549.0</v>
      </c>
      <c r="S367" s="5">
        <v>3.318931893E9</v>
      </c>
      <c r="T367" s="5" t="s">
        <v>4500</v>
      </c>
      <c r="U367" s="5" t="s">
        <v>4501</v>
      </c>
      <c r="V367" s="5">
        <v>3.931008957E9</v>
      </c>
      <c r="W367" s="5" t="s">
        <v>1808</v>
      </c>
      <c r="X367" s="91">
        <v>44991.0</v>
      </c>
      <c r="Y367" s="5" t="s">
        <v>1770</v>
      </c>
      <c r="Z367" s="5">
        <v>2.0</v>
      </c>
      <c r="AA367" s="5">
        <v>56.0</v>
      </c>
      <c r="AB367" s="5"/>
      <c r="AC367" s="5"/>
      <c r="AD367" s="5" t="s">
        <v>1770</v>
      </c>
      <c r="AE367" s="5" t="s">
        <v>1770</v>
      </c>
      <c r="AF367" s="5"/>
      <c r="AG367" s="5"/>
      <c r="AH367" s="5">
        <v>1.1169754931E10</v>
      </c>
      <c r="AI367" s="5">
        <v>23.0</v>
      </c>
      <c r="AJ367" s="5"/>
      <c r="AK367" s="5" t="s">
        <v>1773</v>
      </c>
      <c r="AL367" s="92">
        <v>0.0</v>
      </c>
      <c r="AM367" s="5" t="s">
        <v>1770</v>
      </c>
      <c r="AN367" s="5" t="s">
        <v>1830</v>
      </c>
      <c r="AO367" s="5"/>
      <c r="AP367" s="5"/>
      <c r="AQ367" s="5"/>
      <c r="AR367" s="5"/>
      <c r="AS367" s="5"/>
      <c r="AT367" s="5"/>
      <c r="AU367" s="5"/>
      <c r="AV367" s="5"/>
      <c r="AW367" s="5" t="s">
        <v>1770</v>
      </c>
      <c r="AX367" s="5"/>
      <c r="AY367" s="5"/>
      <c r="AZ367" s="5" t="s">
        <v>1770</v>
      </c>
      <c r="BA367" s="93">
        <v>0.0</v>
      </c>
      <c r="BB367" s="93">
        <v>0.0</v>
      </c>
      <c r="BC367" s="93">
        <v>0.0</v>
      </c>
      <c r="BD367" s="93">
        <v>0.0</v>
      </c>
      <c r="BE367" s="93">
        <v>0.0</v>
      </c>
      <c r="BF367" s="93">
        <v>0.0</v>
      </c>
      <c r="BG367" s="5"/>
      <c r="BH367" s="93">
        <v>0.0</v>
      </c>
      <c r="BI367" s="93">
        <v>0.0</v>
      </c>
      <c r="BJ367" s="93">
        <v>0.0</v>
      </c>
      <c r="BK367" s="93">
        <v>0.0</v>
      </c>
      <c r="BL367" s="93">
        <v>0.0</v>
      </c>
      <c r="BM367" s="93">
        <v>0.0</v>
      </c>
      <c r="BN367" s="93">
        <v>0.0</v>
      </c>
      <c r="BO367" s="5"/>
      <c r="BP367" s="5" t="s">
        <v>1770</v>
      </c>
      <c r="BQ367" s="5" t="s">
        <v>1789</v>
      </c>
      <c r="BR367" s="94">
        <v>44993.62534722222</v>
      </c>
      <c r="BS367" s="5">
        <v>40.0</v>
      </c>
      <c r="BT367" s="5" t="s">
        <v>1770</v>
      </c>
      <c r="BU367" s="5" t="s">
        <v>1770</v>
      </c>
      <c r="BV367" s="94">
        <v>45244.65756944445</v>
      </c>
      <c r="BW367" s="5">
        <v>40.0</v>
      </c>
    </row>
    <row r="368" ht="14.25" customHeight="1">
      <c r="A368" s="5">
        <v>367.0</v>
      </c>
      <c r="B368" s="5">
        <v>632.0</v>
      </c>
      <c r="C368" s="5" t="s">
        <v>3949</v>
      </c>
      <c r="D368" s="5" t="s">
        <v>2208</v>
      </c>
      <c r="E368" s="5" t="s">
        <v>4502</v>
      </c>
      <c r="F368" s="5" t="s">
        <v>4503</v>
      </c>
      <c r="G368" s="5" t="s">
        <v>4504</v>
      </c>
      <c r="H368" s="5" t="s">
        <v>1910</v>
      </c>
      <c r="I368" s="5" t="s">
        <v>1782</v>
      </c>
      <c r="J368" s="91">
        <v>29532.0</v>
      </c>
      <c r="K368" s="5">
        <v>845.0</v>
      </c>
      <c r="L368" s="5" t="s">
        <v>4505</v>
      </c>
      <c r="M368" s="5">
        <v>50.0</v>
      </c>
      <c r="N368" s="5"/>
      <c r="O368" s="5">
        <v>56562.0</v>
      </c>
      <c r="P368" s="5" t="s">
        <v>1797</v>
      </c>
      <c r="Q368" s="5" t="s">
        <v>4506</v>
      </c>
      <c r="R368" s="5">
        <v>845.0</v>
      </c>
      <c r="S368" s="5">
        <v>4.531203413E9</v>
      </c>
      <c r="T368" s="5" t="s">
        <v>4507</v>
      </c>
      <c r="U368" s="100" t="s">
        <v>4508</v>
      </c>
      <c r="V368" s="5">
        <v>4.531184569E9</v>
      </c>
      <c r="W368" s="5" t="s">
        <v>1808</v>
      </c>
      <c r="X368" s="91">
        <v>44993.0</v>
      </c>
      <c r="Y368" s="5">
        <v>4.0</v>
      </c>
      <c r="Z368" s="5">
        <v>1.0</v>
      </c>
      <c r="AA368" s="5">
        <v>1.0</v>
      </c>
      <c r="AB368" s="5" t="s">
        <v>4509</v>
      </c>
      <c r="AC368" s="5" t="s">
        <v>1772</v>
      </c>
      <c r="AD368" s="91">
        <v>44125.0</v>
      </c>
      <c r="AE368" s="91">
        <v>45586.0</v>
      </c>
      <c r="AF368" s="5"/>
      <c r="AG368" s="5"/>
      <c r="AH368" s="5">
        <v>5.3028000411E10</v>
      </c>
      <c r="AI368" s="5">
        <v>80.0</v>
      </c>
      <c r="AJ368" s="5"/>
      <c r="AK368" s="5" t="s">
        <v>1773</v>
      </c>
      <c r="AL368" s="92">
        <v>0.0</v>
      </c>
      <c r="AM368" s="5" t="s">
        <v>1770</v>
      </c>
      <c r="AN368" s="5" t="s">
        <v>1935</v>
      </c>
      <c r="AO368" s="5"/>
      <c r="AP368" s="5"/>
      <c r="AQ368" s="5"/>
      <c r="AR368" s="5"/>
      <c r="AS368" s="5"/>
      <c r="AT368" s="5"/>
      <c r="AU368" s="5"/>
      <c r="AV368" s="5"/>
      <c r="AW368" s="5" t="s">
        <v>1770</v>
      </c>
      <c r="AX368" s="5"/>
      <c r="AY368" s="5"/>
      <c r="AZ368" s="5" t="s">
        <v>1770</v>
      </c>
      <c r="BA368" s="93">
        <v>0.0</v>
      </c>
      <c r="BB368" s="93">
        <v>0.0</v>
      </c>
      <c r="BC368" s="93">
        <v>0.0</v>
      </c>
      <c r="BD368" s="93">
        <v>0.0</v>
      </c>
      <c r="BE368" s="93">
        <v>0.0</v>
      </c>
      <c r="BF368" s="93">
        <v>0.0</v>
      </c>
      <c r="BG368" s="5"/>
      <c r="BH368" s="93">
        <v>0.0</v>
      </c>
      <c r="BI368" s="93">
        <v>0.0</v>
      </c>
      <c r="BJ368" s="93">
        <v>0.0</v>
      </c>
      <c r="BK368" s="93">
        <v>0.0</v>
      </c>
      <c r="BL368" s="93">
        <v>0.0</v>
      </c>
      <c r="BM368" s="93">
        <v>0.0</v>
      </c>
      <c r="BN368" s="93">
        <v>0.0</v>
      </c>
      <c r="BO368" s="5"/>
      <c r="BP368" s="5" t="s">
        <v>1770</v>
      </c>
      <c r="BQ368" s="5" t="s">
        <v>1789</v>
      </c>
      <c r="BR368" s="94">
        <v>44993.70116898148</v>
      </c>
      <c r="BS368" s="5">
        <v>40.0</v>
      </c>
      <c r="BT368" s="5" t="s">
        <v>1770</v>
      </c>
      <c r="BU368" s="5" t="s">
        <v>1770</v>
      </c>
      <c r="BV368" s="94">
        <v>45118.70949074074</v>
      </c>
      <c r="BW368" s="5" t="s">
        <v>1770</v>
      </c>
    </row>
    <row r="369" ht="14.25" customHeight="1">
      <c r="A369" s="5">
        <v>368.0</v>
      </c>
      <c r="B369" s="5">
        <v>633.0</v>
      </c>
      <c r="C369" s="5" t="s">
        <v>4510</v>
      </c>
      <c r="D369" s="5" t="s">
        <v>4511</v>
      </c>
      <c r="E369" s="5" t="s">
        <v>2001</v>
      </c>
      <c r="F369" s="5" t="s">
        <v>4512</v>
      </c>
      <c r="G369" s="5" t="s">
        <v>4513</v>
      </c>
      <c r="H369" s="5" t="s">
        <v>1781</v>
      </c>
      <c r="I369" s="5" t="s">
        <v>1782</v>
      </c>
      <c r="J369" s="91">
        <v>29778.0</v>
      </c>
      <c r="K369" s="5">
        <v>787.0</v>
      </c>
      <c r="L369" s="5" t="s">
        <v>4514</v>
      </c>
      <c r="M369" s="5">
        <v>345.0</v>
      </c>
      <c r="N369" s="5"/>
      <c r="O369" s="5">
        <v>56441.0</v>
      </c>
      <c r="P369" s="5" t="s">
        <v>4515</v>
      </c>
      <c r="Q369" s="5" t="s">
        <v>4516</v>
      </c>
      <c r="R369" s="5">
        <v>787.0</v>
      </c>
      <c r="S369" s="5">
        <v>4.531220549E9</v>
      </c>
      <c r="T369" s="5" t="s">
        <v>4517</v>
      </c>
      <c r="U369" s="5" t="s">
        <v>4518</v>
      </c>
      <c r="V369" s="5">
        <v>4.531108358E9</v>
      </c>
      <c r="W369" s="5" t="s">
        <v>1787</v>
      </c>
      <c r="X369" s="91">
        <v>45006.0</v>
      </c>
      <c r="Y369" s="5">
        <v>4.0</v>
      </c>
      <c r="Z369" s="5">
        <v>19.0</v>
      </c>
      <c r="AA369" s="5">
        <v>81.0</v>
      </c>
      <c r="AB369" s="5" t="s">
        <v>4519</v>
      </c>
      <c r="AC369" s="5" t="s">
        <v>1800</v>
      </c>
      <c r="AD369" s="91">
        <v>45590.0</v>
      </c>
      <c r="AE369" s="91">
        <v>47415.0</v>
      </c>
      <c r="AF369" s="5"/>
      <c r="AG369" s="5"/>
      <c r="AH369" s="5">
        <v>5.3978153707E10</v>
      </c>
      <c r="AI369" s="5">
        <v>80.0</v>
      </c>
      <c r="AJ369" s="5"/>
      <c r="AK369" s="5" t="s">
        <v>1773</v>
      </c>
      <c r="AL369" s="92">
        <v>0.0</v>
      </c>
      <c r="AM369" s="5" t="s">
        <v>1770</v>
      </c>
      <c r="AN369" s="5" t="s">
        <v>1830</v>
      </c>
      <c r="AO369" s="5"/>
      <c r="AP369" s="5"/>
      <c r="AQ369" s="5"/>
      <c r="AR369" s="5"/>
      <c r="AS369" s="5"/>
      <c r="AT369" s="5"/>
      <c r="AU369" s="5"/>
      <c r="AV369" s="5"/>
      <c r="AW369" s="5" t="s">
        <v>1770</v>
      </c>
      <c r="AX369" s="5"/>
      <c r="AY369" s="5"/>
      <c r="AZ369" s="5" t="s">
        <v>1770</v>
      </c>
      <c r="BA369" s="93">
        <v>0.0</v>
      </c>
      <c r="BB369" s="93">
        <v>0.0</v>
      </c>
      <c r="BC369" s="93">
        <v>0.0</v>
      </c>
      <c r="BD369" s="93">
        <v>0.0</v>
      </c>
      <c r="BE369" s="93">
        <v>0.0</v>
      </c>
      <c r="BF369" s="93">
        <v>0.0</v>
      </c>
      <c r="BG369" s="5"/>
      <c r="BH369" s="93">
        <v>0.0</v>
      </c>
      <c r="BI369" s="93">
        <v>0.0</v>
      </c>
      <c r="BJ369" s="93">
        <v>0.0</v>
      </c>
      <c r="BK369" s="93">
        <v>0.0</v>
      </c>
      <c r="BL369" s="93">
        <v>0.0</v>
      </c>
      <c r="BM369" s="93">
        <v>0.0</v>
      </c>
      <c r="BN369" s="93">
        <v>0.0</v>
      </c>
      <c r="BO369" s="5"/>
      <c r="BP369" s="5"/>
      <c r="BQ369" s="5" t="s">
        <v>1775</v>
      </c>
      <c r="BR369" s="94">
        <v>45007.47466435185</v>
      </c>
      <c r="BS369" s="5">
        <v>40.0</v>
      </c>
      <c r="BT369" s="94">
        <v>46176.51696759259</v>
      </c>
      <c r="BU369" s="5">
        <v>40.0</v>
      </c>
      <c r="BV369" s="5" t="s">
        <v>1770</v>
      </c>
      <c r="BW369" s="5" t="s">
        <v>1770</v>
      </c>
    </row>
    <row r="370" ht="14.25" customHeight="1">
      <c r="A370" s="5">
        <v>369.0</v>
      </c>
      <c r="B370" s="5">
        <v>634.0</v>
      </c>
      <c r="C370" s="5" t="s">
        <v>4520</v>
      </c>
      <c r="D370" s="5" t="s">
        <v>1812</v>
      </c>
      <c r="E370" s="5" t="s">
        <v>4521</v>
      </c>
      <c r="F370" s="5" t="s">
        <v>4522</v>
      </c>
      <c r="G370" s="5" t="s">
        <v>4523</v>
      </c>
      <c r="H370" s="5" t="s">
        <v>1972</v>
      </c>
      <c r="I370" s="5" t="s">
        <v>1782</v>
      </c>
      <c r="J370" s="91">
        <v>32413.0</v>
      </c>
      <c r="K370" s="5">
        <v>274.0</v>
      </c>
      <c r="L370" s="5" t="s">
        <v>4524</v>
      </c>
      <c r="M370" s="5">
        <v>18.0</v>
      </c>
      <c r="N370" s="5"/>
      <c r="O370" s="5">
        <v>14102.0</v>
      </c>
      <c r="P370" s="5" t="s">
        <v>4525</v>
      </c>
      <c r="Q370" s="5" t="s">
        <v>2823</v>
      </c>
      <c r="R370" s="5">
        <v>274.0</v>
      </c>
      <c r="S370" s="5">
        <v>5.612059389E9</v>
      </c>
      <c r="T370" s="5" t="s">
        <v>4526</v>
      </c>
      <c r="U370" s="5" t="s">
        <v>4527</v>
      </c>
      <c r="V370" s="5">
        <v>5.583710241E9</v>
      </c>
      <c r="W370" s="5" t="s">
        <v>1808</v>
      </c>
      <c r="X370" s="91">
        <v>45014.0</v>
      </c>
      <c r="Y370" s="5" t="s">
        <v>1770</v>
      </c>
      <c r="Z370" s="5">
        <v>6.0</v>
      </c>
      <c r="AA370" s="5">
        <v>67.0</v>
      </c>
      <c r="AB370" s="5"/>
      <c r="AC370" s="5" t="s">
        <v>1772</v>
      </c>
      <c r="AD370" s="91">
        <v>45010.0</v>
      </c>
      <c r="AE370" s="91">
        <v>46106.0</v>
      </c>
      <c r="AF370" s="5"/>
      <c r="AG370" s="5"/>
      <c r="AH370" s="5">
        <v>3.0078803324E10</v>
      </c>
      <c r="AI370" s="5">
        <v>23.0</v>
      </c>
      <c r="AJ370" s="5"/>
      <c r="AK370" s="5" t="s">
        <v>1773</v>
      </c>
      <c r="AL370" s="92">
        <v>0.0</v>
      </c>
      <c r="AM370" s="5" t="s">
        <v>1770</v>
      </c>
      <c r="AN370" s="5" t="s">
        <v>4382</v>
      </c>
      <c r="AO370" s="5"/>
      <c r="AP370" s="5"/>
      <c r="AQ370" s="5"/>
      <c r="AR370" s="5"/>
      <c r="AS370" s="5"/>
      <c r="AT370" s="5"/>
      <c r="AU370" s="5"/>
      <c r="AV370" s="5"/>
      <c r="AW370" s="5" t="s">
        <v>1770</v>
      </c>
      <c r="AX370" s="5"/>
      <c r="AY370" s="5"/>
      <c r="AZ370" s="5" t="s">
        <v>1770</v>
      </c>
      <c r="BA370" s="93">
        <v>0.0</v>
      </c>
      <c r="BB370" s="93">
        <v>0.0</v>
      </c>
      <c r="BC370" s="93">
        <v>0.0</v>
      </c>
      <c r="BD370" s="93">
        <v>0.0</v>
      </c>
      <c r="BE370" s="93">
        <v>0.0</v>
      </c>
      <c r="BF370" s="93">
        <v>0.0</v>
      </c>
      <c r="BG370" s="5"/>
      <c r="BH370" s="93">
        <v>0.0</v>
      </c>
      <c r="BI370" s="93">
        <v>0.0</v>
      </c>
      <c r="BJ370" s="93">
        <v>0.0</v>
      </c>
      <c r="BK370" s="93">
        <v>0.0</v>
      </c>
      <c r="BL370" s="93">
        <v>0.0</v>
      </c>
      <c r="BM370" s="93">
        <v>0.0</v>
      </c>
      <c r="BN370" s="93">
        <v>0.0</v>
      </c>
      <c r="BO370" s="5"/>
      <c r="BP370" s="5" t="s">
        <v>1770</v>
      </c>
      <c r="BQ370" s="5" t="s">
        <v>1789</v>
      </c>
      <c r="BR370" s="94">
        <v>45015.62587962963</v>
      </c>
      <c r="BS370" s="5">
        <v>40.0</v>
      </c>
      <c r="BT370" s="5" t="s">
        <v>1770</v>
      </c>
      <c r="BU370" s="5" t="s">
        <v>1770</v>
      </c>
      <c r="BV370" s="94">
        <v>45176.503483796296</v>
      </c>
      <c r="BW370" s="5">
        <v>40.0</v>
      </c>
    </row>
    <row r="371" ht="14.25" customHeight="1">
      <c r="A371" s="5">
        <v>370.0</v>
      </c>
      <c r="B371" s="5">
        <v>635.0</v>
      </c>
      <c r="C371" s="5" t="s">
        <v>4528</v>
      </c>
      <c r="D371" s="5" t="s">
        <v>2722</v>
      </c>
      <c r="E371" s="5" t="s">
        <v>4529</v>
      </c>
      <c r="F371" s="5" t="s">
        <v>4530</v>
      </c>
      <c r="G371" s="5" t="s">
        <v>4531</v>
      </c>
      <c r="H371" s="5" t="s">
        <v>1972</v>
      </c>
      <c r="I371" s="5" t="s">
        <v>1763</v>
      </c>
      <c r="J371" s="91">
        <v>35770.0</v>
      </c>
      <c r="K371" s="5">
        <v>549.0</v>
      </c>
      <c r="L371" s="5" t="s">
        <v>3632</v>
      </c>
      <c r="M371" s="5">
        <v>16.0</v>
      </c>
      <c r="N371" s="5"/>
      <c r="O371" s="5">
        <v>43897.0</v>
      </c>
      <c r="P371" s="5" t="s">
        <v>1797</v>
      </c>
      <c r="Q371" s="5" t="s">
        <v>4532</v>
      </c>
      <c r="R371" s="5">
        <v>549.0</v>
      </c>
      <c r="S371" s="5">
        <v>3.931197251E9</v>
      </c>
      <c r="T371" s="5" t="s">
        <v>4533</v>
      </c>
      <c r="U371" s="5" t="s">
        <v>4534</v>
      </c>
      <c r="V371" s="5">
        <v>3.931803866E9</v>
      </c>
      <c r="W371" s="5" t="s">
        <v>1819</v>
      </c>
      <c r="X371" s="91">
        <v>45019.0</v>
      </c>
      <c r="Y371" s="5" t="s">
        <v>1770</v>
      </c>
      <c r="Z371" s="5">
        <v>17.0</v>
      </c>
      <c r="AA371" s="5">
        <v>9.0</v>
      </c>
      <c r="AB371" s="5"/>
      <c r="AC371" s="5"/>
      <c r="AD371" s="5" t="s">
        <v>1770</v>
      </c>
      <c r="AE371" s="5" t="s">
        <v>1770</v>
      </c>
      <c r="AF371" s="5"/>
      <c r="AG371" s="5"/>
      <c r="AH371" s="5">
        <v>2.2169792078E10</v>
      </c>
      <c r="AI371" s="5">
        <v>23.0</v>
      </c>
      <c r="AJ371" s="5"/>
      <c r="AK371" s="5" t="s">
        <v>1773</v>
      </c>
      <c r="AL371" s="92">
        <v>0.0</v>
      </c>
      <c r="AM371" s="5" t="s">
        <v>1770</v>
      </c>
      <c r="AN371" s="5" t="s">
        <v>1830</v>
      </c>
      <c r="AO371" s="5"/>
      <c r="AP371" s="5"/>
      <c r="AQ371" s="5"/>
      <c r="AR371" s="5"/>
      <c r="AS371" s="5"/>
      <c r="AT371" s="5"/>
      <c r="AU371" s="5"/>
      <c r="AV371" s="5"/>
      <c r="AW371" s="5" t="s">
        <v>1770</v>
      </c>
      <c r="AX371" s="5"/>
      <c r="AY371" s="5"/>
      <c r="AZ371" s="5" t="s">
        <v>1770</v>
      </c>
      <c r="BA371" s="93">
        <v>0.0</v>
      </c>
      <c r="BB371" s="93">
        <v>0.0</v>
      </c>
      <c r="BC371" s="93">
        <v>0.0</v>
      </c>
      <c r="BD371" s="93">
        <v>0.0</v>
      </c>
      <c r="BE371" s="93">
        <v>0.0</v>
      </c>
      <c r="BF371" s="93">
        <v>0.0</v>
      </c>
      <c r="BG371" s="5"/>
      <c r="BH371" s="93">
        <v>0.0</v>
      </c>
      <c r="BI371" s="93">
        <v>0.0</v>
      </c>
      <c r="BJ371" s="93">
        <v>0.0</v>
      </c>
      <c r="BK371" s="93">
        <v>0.0</v>
      </c>
      <c r="BL371" s="93">
        <v>0.0</v>
      </c>
      <c r="BM371" s="93">
        <v>0.0</v>
      </c>
      <c r="BN371" s="93">
        <v>0.0</v>
      </c>
      <c r="BO371" s="5"/>
      <c r="BP371" s="5" t="s">
        <v>1770</v>
      </c>
      <c r="BQ371" s="5" t="s">
        <v>1789</v>
      </c>
      <c r="BR371" s="94">
        <v>45019.679814814815</v>
      </c>
      <c r="BS371" s="5">
        <v>40.0</v>
      </c>
      <c r="BT371" s="5" t="s">
        <v>1770</v>
      </c>
      <c r="BU371" s="5" t="s">
        <v>1770</v>
      </c>
      <c r="BV371" s="94">
        <v>45617.36380787037</v>
      </c>
      <c r="BW371" s="5">
        <v>40.0</v>
      </c>
    </row>
    <row r="372" ht="14.25" customHeight="1">
      <c r="A372" s="5">
        <v>371.0</v>
      </c>
      <c r="B372" s="5">
        <v>636.0</v>
      </c>
      <c r="C372" s="5" t="s">
        <v>2795</v>
      </c>
      <c r="D372" s="5" t="s">
        <v>4535</v>
      </c>
      <c r="E372" s="5" t="s">
        <v>4536</v>
      </c>
      <c r="F372" s="5" t="s">
        <v>4537</v>
      </c>
      <c r="G372" s="5" t="s">
        <v>4538</v>
      </c>
      <c r="H372" s="5" t="s">
        <v>1781</v>
      </c>
      <c r="I372" s="5" t="s">
        <v>1782</v>
      </c>
      <c r="J372" s="91">
        <v>30202.0</v>
      </c>
      <c r="K372" s="5">
        <v>863.0</v>
      </c>
      <c r="L372" s="5" t="s">
        <v>4539</v>
      </c>
      <c r="M372" s="5">
        <v>188.0</v>
      </c>
      <c r="N372" s="5"/>
      <c r="O372" s="5">
        <v>54132.0</v>
      </c>
      <c r="P372" s="5" t="s">
        <v>4540</v>
      </c>
      <c r="Q372" s="5" t="s">
        <v>2041</v>
      </c>
      <c r="R372" s="5">
        <v>834.0</v>
      </c>
      <c r="S372" s="5">
        <v>4.433067023E9</v>
      </c>
      <c r="T372" s="5" t="s">
        <v>4541</v>
      </c>
      <c r="U372" s="5" t="s">
        <v>4542</v>
      </c>
      <c r="V372" s="5">
        <v>7.291630256E9</v>
      </c>
      <c r="W372" s="5" t="s">
        <v>1787</v>
      </c>
      <c r="X372" s="91">
        <v>45019.0</v>
      </c>
      <c r="Y372" s="5">
        <v>4.0</v>
      </c>
      <c r="Z372" s="5">
        <v>3.0</v>
      </c>
      <c r="AA372" s="5">
        <v>58.0</v>
      </c>
      <c r="AB372" s="5" t="s">
        <v>4543</v>
      </c>
      <c r="AC372" s="5" t="s">
        <v>1800</v>
      </c>
      <c r="AD372" s="91">
        <v>43753.0</v>
      </c>
      <c r="AE372" s="91">
        <v>47041.0</v>
      </c>
      <c r="AF372" s="5"/>
      <c r="AG372" s="5"/>
      <c r="AH372" s="5">
        <v>5.3998236102E10</v>
      </c>
      <c r="AI372" s="5">
        <v>80.0</v>
      </c>
      <c r="AJ372" s="5"/>
      <c r="AK372" s="5" t="s">
        <v>1773</v>
      </c>
      <c r="AL372" s="92">
        <v>0.0</v>
      </c>
      <c r="AM372" s="5" t="s">
        <v>1770</v>
      </c>
      <c r="AN372" s="5" t="s">
        <v>1830</v>
      </c>
      <c r="AO372" s="5"/>
      <c r="AP372" s="5"/>
      <c r="AQ372" s="5"/>
      <c r="AR372" s="5"/>
      <c r="AS372" s="5"/>
      <c r="AT372" s="5"/>
      <c r="AU372" s="5"/>
      <c r="AV372" s="5"/>
      <c r="AW372" s="5" t="s">
        <v>1770</v>
      </c>
      <c r="AX372" s="5"/>
      <c r="AY372" s="5"/>
      <c r="AZ372" s="5" t="s">
        <v>1770</v>
      </c>
      <c r="BA372" s="93">
        <v>0.0</v>
      </c>
      <c r="BB372" s="93">
        <v>0.0</v>
      </c>
      <c r="BC372" s="93">
        <v>0.0</v>
      </c>
      <c r="BD372" s="93">
        <v>0.0</v>
      </c>
      <c r="BE372" s="93">
        <v>0.0</v>
      </c>
      <c r="BF372" s="93">
        <v>0.0</v>
      </c>
      <c r="BG372" s="5"/>
      <c r="BH372" s="93">
        <v>0.0</v>
      </c>
      <c r="BI372" s="93">
        <v>0.0</v>
      </c>
      <c r="BJ372" s="93">
        <v>0.0</v>
      </c>
      <c r="BK372" s="93">
        <v>0.0</v>
      </c>
      <c r="BL372" s="93">
        <v>0.0</v>
      </c>
      <c r="BM372" s="93">
        <v>0.0</v>
      </c>
      <c r="BN372" s="93">
        <v>0.0</v>
      </c>
      <c r="BO372" s="5"/>
      <c r="BP372" s="5" t="s">
        <v>1770</v>
      </c>
      <c r="BQ372" s="5" t="s">
        <v>1789</v>
      </c>
      <c r="BR372" s="94">
        <v>45028.751388888886</v>
      </c>
      <c r="BS372" s="5">
        <v>40.0</v>
      </c>
      <c r="BT372" s="5" t="s">
        <v>1770</v>
      </c>
      <c r="BU372" s="5" t="s">
        <v>1770</v>
      </c>
      <c r="BV372" s="94">
        <v>45118.70960648148</v>
      </c>
      <c r="BW372" s="5" t="s">
        <v>1770</v>
      </c>
    </row>
    <row r="373" ht="14.25" customHeight="1">
      <c r="A373" s="5">
        <v>372.0</v>
      </c>
      <c r="B373" s="5">
        <v>637.0</v>
      </c>
      <c r="C373" s="5" t="s">
        <v>4544</v>
      </c>
      <c r="D373" s="5" t="s">
        <v>2620</v>
      </c>
      <c r="E373" s="5" t="s">
        <v>2215</v>
      </c>
      <c r="F373" s="5" t="s">
        <v>4545</v>
      </c>
      <c r="G373" s="5" t="s">
        <v>4546</v>
      </c>
      <c r="H373" s="5" t="s">
        <v>1762</v>
      </c>
      <c r="I373" s="5" t="s">
        <v>1763</v>
      </c>
      <c r="J373" s="91">
        <v>35020.0</v>
      </c>
      <c r="K373" s="5">
        <v>850.0</v>
      </c>
      <c r="L373" s="5" t="s">
        <v>3985</v>
      </c>
      <c r="M373" s="5">
        <v>5.0</v>
      </c>
      <c r="N373" s="5"/>
      <c r="O373" s="5">
        <v>55176.0</v>
      </c>
      <c r="P373" s="5" t="s">
        <v>2636</v>
      </c>
      <c r="Q373" s="5" t="s">
        <v>234</v>
      </c>
      <c r="R373" s="5">
        <v>850.0</v>
      </c>
      <c r="S373" s="5">
        <v>3.521655722E9</v>
      </c>
      <c r="T373" s="5" t="s">
        <v>4547</v>
      </c>
      <c r="U373" s="5" t="s">
        <v>4548</v>
      </c>
      <c r="V373" s="5">
        <v>3.521257955E9</v>
      </c>
      <c r="W373" s="5" t="s">
        <v>1769</v>
      </c>
      <c r="X373" s="91">
        <v>45026.0</v>
      </c>
      <c r="Y373" s="5">
        <v>3.0</v>
      </c>
      <c r="Z373" s="5">
        <v>4.0</v>
      </c>
      <c r="AA373" s="5">
        <v>37.0</v>
      </c>
      <c r="AB373" s="5"/>
      <c r="AC373" s="5"/>
      <c r="AD373" s="5" t="s">
        <v>1770</v>
      </c>
      <c r="AE373" s="5" t="s">
        <v>1770</v>
      </c>
      <c r="AF373" s="5"/>
      <c r="AG373" s="5"/>
      <c r="AH373" s="5">
        <v>8.514955942E10</v>
      </c>
      <c r="AI373" s="5">
        <v>77.0</v>
      </c>
      <c r="AJ373" s="5"/>
      <c r="AK373" s="5" t="s">
        <v>1773</v>
      </c>
      <c r="AL373" s="92">
        <v>0.0</v>
      </c>
      <c r="AM373" s="5" t="s">
        <v>1770</v>
      </c>
      <c r="AN373" s="5" t="s">
        <v>4382</v>
      </c>
      <c r="AO373" s="5"/>
      <c r="AP373" s="5"/>
      <c r="AQ373" s="5"/>
      <c r="AR373" s="5"/>
      <c r="AS373" s="5"/>
      <c r="AT373" s="5"/>
      <c r="AU373" s="5"/>
      <c r="AV373" s="5"/>
      <c r="AW373" s="5" t="s">
        <v>1770</v>
      </c>
      <c r="AX373" s="5"/>
      <c r="AY373" s="5"/>
      <c r="AZ373" s="5" t="s">
        <v>1770</v>
      </c>
      <c r="BA373" s="93">
        <v>0.0</v>
      </c>
      <c r="BB373" s="93">
        <v>0.0</v>
      </c>
      <c r="BC373" s="93">
        <v>0.0</v>
      </c>
      <c r="BD373" s="93">
        <v>0.0</v>
      </c>
      <c r="BE373" s="93">
        <v>0.0</v>
      </c>
      <c r="BF373" s="93">
        <v>0.0</v>
      </c>
      <c r="BG373" s="5"/>
      <c r="BH373" s="93">
        <v>0.0</v>
      </c>
      <c r="BI373" s="93">
        <v>0.0</v>
      </c>
      <c r="BJ373" s="93">
        <v>0.0</v>
      </c>
      <c r="BK373" s="93">
        <v>0.0</v>
      </c>
      <c r="BL373" s="93">
        <v>0.0</v>
      </c>
      <c r="BM373" s="93">
        <v>0.0</v>
      </c>
      <c r="BN373" s="93">
        <v>0.0</v>
      </c>
      <c r="BO373" s="5"/>
      <c r="BP373" s="5" t="s">
        <v>1770</v>
      </c>
      <c r="BQ373" s="5" t="s">
        <v>1789</v>
      </c>
      <c r="BR373" s="94">
        <v>45029.47353009259</v>
      </c>
      <c r="BS373" s="5">
        <v>40.0</v>
      </c>
      <c r="BT373" s="5" t="s">
        <v>1770</v>
      </c>
      <c r="BU373" s="5" t="s">
        <v>1770</v>
      </c>
      <c r="BV373" s="94">
        <v>45118.71060185185</v>
      </c>
      <c r="BW373" s="5" t="s">
        <v>1770</v>
      </c>
    </row>
    <row r="374" ht="14.25" customHeight="1">
      <c r="A374" s="5">
        <v>373.0</v>
      </c>
      <c r="B374" s="5">
        <v>638.0</v>
      </c>
      <c r="C374" s="5" t="s">
        <v>4549</v>
      </c>
      <c r="D374" s="5" t="s">
        <v>4550</v>
      </c>
      <c r="E374" s="5" t="s">
        <v>4551</v>
      </c>
      <c r="F374" s="5" t="s">
        <v>4552</v>
      </c>
      <c r="G374" s="5" t="s">
        <v>4553</v>
      </c>
      <c r="H374" s="5" t="s">
        <v>1972</v>
      </c>
      <c r="I374" s="5" t="s">
        <v>1782</v>
      </c>
      <c r="J374" s="91">
        <v>36299.0</v>
      </c>
      <c r="K374" s="5">
        <v>78.0</v>
      </c>
      <c r="L374" s="5" t="s">
        <v>4554</v>
      </c>
      <c r="M374" s="5">
        <v>150.0</v>
      </c>
      <c r="N374" s="5"/>
      <c r="O374" s="5">
        <v>41612.0</v>
      </c>
      <c r="P374" s="5" t="s">
        <v>4555</v>
      </c>
      <c r="Q374" s="5" t="s">
        <v>4556</v>
      </c>
      <c r="R374" s="5">
        <v>628.0</v>
      </c>
      <c r="S374" s="5">
        <v>6.682264026E9</v>
      </c>
      <c r="T374" s="5" t="s">
        <v>4557</v>
      </c>
      <c r="U374" s="5" t="s">
        <v>4558</v>
      </c>
      <c r="V374" s="5">
        <v>6.681903261E9</v>
      </c>
      <c r="W374" s="5" t="s">
        <v>1965</v>
      </c>
      <c r="X374" s="91">
        <v>45027.0</v>
      </c>
      <c r="Y374" s="5">
        <v>1.0</v>
      </c>
      <c r="Z374" s="5">
        <v>18.0</v>
      </c>
      <c r="AA374" s="5">
        <v>1.0</v>
      </c>
      <c r="AB374" s="5">
        <v>9.030284472E9</v>
      </c>
      <c r="AC374" s="5" t="s">
        <v>1772</v>
      </c>
      <c r="AD374" s="91">
        <v>44566.0</v>
      </c>
      <c r="AE374" s="91">
        <v>45296.0</v>
      </c>
      <c r="AF374" s="5"/>
      <c r="AG374" s="5"/>
      <c r="AH374" s="5">
        <v>5.3169900148E10</v>
      </c>
      <c r="AI374" s="5">
        <v>23.0</v>
      </c>
      <c r="AJ374" s="5"/>
      <c r="AK374" s="5" t="s">
        <v>1773</v>
      </c>
      <c r="AL374" s="92">
        <v>0.0</v>
      </c>
      <c r="AM374" s="5" t="s">
        <v>1770</v>
      </c>
      <c r="AN374" s="5" t="s">
        <v>1830</v>
      </c>
      <c r="AO374" s="5"/>
      <c r="AP374" s="5"/>
      <c r="AQ374" s="5"/>
      <c r="AR374" s="5"/>
      <c r="AS374" s="5"/>
      <c r="AT374" s="5"/>
      <c r="AU374" s="5"/>
      <c r="AV374" s="5"/>
      <c r="AW374" s="5" t="s">
        <v>1770</v>
      </c>
      <c r="AX374" s="5"/>
      <c r="AY374" s="5"/>
      <c r="AZ374" s="5" t="s">
        <v>1770</v>
      </c>
      <c r="BA374" s="93">
        <v>0.0</v>
      </c>
      <c r="BB374" s="93">
        <v>0.0</v>
      </c>
      <c r="BC374" s="93">
        <v>0.0</v>
      </c>
      <c r="BD374" s="93">
        <v>0.0</v>
      </c>
      <c r="BE374" s="93">
        <v>0.0</v>
      </c>
      <c r="BF374" s="93">
        <v>0.0</v>
      </c>
      <c r="BG374" s="5"/>
      <c r="BH374" s="93">
        <v>0.0</v>
      </c>
      <c r="BI374" s="93">
        <v>0.0</v>
      </c>
      <c r="BJ374" s="93">
        <v>0.0</v>
      </c>
      <c r="BK374" s="93">
        <v>0.0</v>
      </c>
      <c r="BL374" s="93">
        <v>0.0</v>
      </c>
      <c r="BM374" s="93">
        <v>0.0</v>
      </c>
      <c r="BN374" s="93">
        <v>0.0</v>
      </c>
      <c r="BO374" s="5"/>
      <c r="BP374" s="5" t="s">
        <v>1770</v>
      </c>
      <c r="BQ374" s="5" t="s">
        <v>1789</v>
      </c>
      <c r="BR374" s="94">
        <v>45029.48158564815</v>
      </c>
      <c r="BS374" s="5">
        <v>40.0</v>
      </c>
      <c r="BT374" s="5" t="s">
        <v>1770</v>
      </c>
      <c r="BU374" s="5" t="s">
        <v>1770</v>
      </c>
      <c r="BV374" s="94">
        <v>45299.68072916667</v>
      </c>
      <c r="BW374" s="5">
        <v>40.0</v>
      </c>
    </row>
    <row r="375" ht="14.25" customHeight="1">
      <c r="A375" s="5">
        <v>374.0</v>
      </c>
      <c r="B375" s="5">
        <v>639.0</v>
      </c>
      <c r="C375" s="5" t="s">
        <v>4013</v>
      </c>
      <c r="D375" s="5" t="s">
        <v>1822</v>
      </c>
      <c r="E375" s="5" t="s">
        <v>1950</v>
      </c>
      <c r="F375" s="5" t="s">
        <v>4559</v>
      </c>
      <c r="G375" s="5" t="s">
        <v>4560</v>
      </c>
      <c r="H375" s="5" t="s">
        <v>1781</v>
      </c>
      <c r="I375" s="5" t="s">
        <v>1782</v>
      </c>
      <c r="J375" s="91">
        <v>27837.0</v>
      </c>
      <c r="K375" s="5">
        <v>270.0</v>
      </c>
      <c r="L375" s="5" t="s">
        <v>4561</v>
      </c>
      <c r="M375" s="5">
        <v>191.0</v>
      </c>
      <c r="N375" s="5">
        <v>102.0</v>
      </c>
      <c r="O375" s="5">
        <v>53997.0</v>
      </c>
      <c r="P375" s="5" t="s">
        <v>4562</v>
      </c>
      <c r="Q375" s="5" t="s">
        <v>2041</v>
      </c>
      <c r="R375" s="5">
        <v>834.0</v>
      </c>
      <c r="S375" s="5">
        <v>7.73109201E9</v>
      </c>
      <c r="T375" s="5" t="s">
        <v>4563</v>
      </c>
      <c r="U375" s="5" t="s">
        <v>4564</v>
      </c>
      <c r="V375" s="5">
        <v>4.433764853E9</v>
      </c>
      <c r="W375" s="5" t="s">
        <v>1787</v>
      </c>
      <c r="X375" s="91">
        <v>45040.0</v>
      </c>
      <c r="Y375" s="5">
        <v>4.0</v>
      </c>
      <c r="Z375" s="5">
        <v>17.0</v>
      </c>
      <c r="AA375" s="5">
        <v>6.0</v>
      </c>
      <c r="AB375" s="5" t="s">
        <v>4565</v>
      </c>
      <c r="AC375" s="5" t="s">
        <v>1772</v>
      </c>
      <c r="AD375" s="91">
        <v>44195.0</v>
      </c>
      <c r="AE375" s="91">
        <v>55152.0</v>
      </c>
      <c r="AF375" s="5"/>
      <c r="AG375" s="5"/>
      <c r="AH375" s="5">
        <v>4.3997629381E10</v>
      </c>
      <c r="AI375" s="5">
        <v>80.0</v>
      </c>
      <c r="AJ375" s="5"/>
      <c r="AK375" s="5" t="s">
        <v>1773</v>
      </c>
      <c r="AL375" s="92">
        <v>0.0</v>
      </c>
      <c r="AM375" s="5" t="s">
        <v>1770</v>
      </c>
      <c r="AN375" s="5" t="s">
        <v>1830</v>
      </c>
      <c r="AO375" s="5"/>
      <c r="AP375" s="5"/>
      <c r="AQ375" s="5"/>
      <c r="AR375" s="5"/>
      <c r="AS375" s="5"/>
      <c r="AT375" s="5"/>
      <c r="AU375" s="5"/>
      <c r="AV375" s="5"/>
      <c r="AW375" s="5" t="s">
        <v>1770</v>
      </c>
      <c r="AX375" s="5"/>
      <c r="AY375" s="5"/>
      <c r="AZ375" s="5" t="s">
        <v>1770</v>
      </c>
      <c r="BA375" s="93">
        <v>0.0</v>
      </c>
      <c r="BB375" s="93">
        <v>0.0</v>
      </c>
      <c r="BC375" s="93">
        <v>0.0</v>
      </c>
      <c r="BD375" s="93">
        <v>0.0</v>
      </c>
      <c r="BE375" s="93">
        <v>0.0</v>
      </c>
      <c r="BF375" s="93">
        <v>0.0</v>
      </c>
      <c r="BG375" s="5"/>
      <c r="BH375" s="93">
        <v>0.0</v>
      </c>
      <c r="BI375" s="93">
        <v>0.0</v>
      </c>
      <c r="BJ375" s="93">
        <v>0.0</v>
      </c>
      <c r="BK375" s="93">
        <v>0.0</v>
      </c>
      <c r="BL375" s="93">
        <v>0.0</v>
      </c>
      <c r="BM375" s="93">
        <v>0.0</v>
      </c>
      <c r="BN375" s="93">
        <v>0.0</v>
      </c>
      <c r="BO375" s="5"/>
      <c r="BP375" s="5" t="s">
        <v>1770</v>
      </c>
      <c r="BQ375" s="5" t="s">
        <v>1789</v>
      </c>
      <c r="BR375" s="94">
        <v>45040.7015625</v>
      </c>
      <c r="BS375" s="5">
        <v>40.0</v>
      </c>
      <c r="BT375" s="5" t="s">
        <v>1770</v>
      </c>
      <c r="BU375" s="5" t="s">
        <v>1770</v>
      </c>
      <c r="BV375" s="94">
        <v>45307.459502314814</v>
      </c>
      <c r="BW375" s="5" t="s">
        <v>1770</v>
      </c>
    </row>
    <row r="376" ht="14.25" customHeight="1">
      <c r="A376" s="5">
        <v>375.0</v>
      </c>
      <c r="B376" s="5">
        <v>640.0</v>
      </c>
      <c r="C376" s="5" t="s">
        <v>4566</v>
      </c>
      <c r="D376" s="5" t="s">
        <v>2195</v>
      </c>
      <c r="E376" s="5" t="s">
        <v>4567</v>
      </c>
      <c r="F376" s="5" t="s">
        <v>4568</v>
      </c>
      <c r="G376" s="5" t="s">
        <v>4569</v>
      </c>
      <c r="H376" s="5" t="s">
        <v>1762</v>
      </c>
      <c r="I376" s="5" t="s">
        <v>1763</v>
      </c>
      <c r="J376" s="91">
        <v>34325.0</v>
      </c>
      <c r="K376" s="5">
        <v>886.0</v>
      </c>
      <c r="L376" s="5" t="s">
        <v>4570</v>
      </c>
      <c r="M376" s="5">
        <v>34.0</v>
      </c>
      <c r="N376" s="5"/>
      <c r="O376" s="5">
        <v>54993.0</v>
      </c>
      <c r="P376" s="5" t="s">
        <v>3139</v>
      </c>
      <c r="Q376" s="5" t="s">
        <v>4571</v>
      </c>
      <c r="R376" s="5">
        <v>843.0</v>
      </c>
      <c r="S376" s="5">
        <v>3.931000569E9</v>
      </c>
      <c r="T376" s="5" t="s">
        <v>4572</v>
      </c>
      <c r="U376" s="100" t="s">
        <v>4573</v>
      </c>
      <c r="V376" s="5">
        <v>3.513728398E9</v>
      </c>
      <c r="W376" s="5" t="s">
        <v>1769</v>
      </c>
      <c r="X376" s="91">
        <v>45041.0</v>
      </c>
      <c r="Y376" s="5">
        <v>1.0</v>
      </c>
      <c r="Z376" s="5">
        <v>18.0</v>
      </c>
      <c r="AA376" s="5">
        <v>1.0</v>
      </c>
      <c r="AB376" s="5"/>
      <c r="AC376" s="5"/>
      <c r="AD376" s="5" t="s">
        <v>1770</v>
      </c>
      <c r="AE376" s="5" t="s">
        <v>1770</v>
      </c>
      <c r="AF376" s="5"/>
      <c r="AG376" s="5"/>
      <c r="AH376" s="5">
        <v>1.0159388585E10</v>
      </c>
      <c r="AI376" s="5">
        <v>23.0</v>
      </c>
      <c r="AJ376" s="5"/>
      <c r="AK376" s="5" t="s">
        <v>1773</v>
      </c>
      <c r="AL376" s="92">
        <v>0.0</v>
      </c>
      <c r="AM376" s="5" t="s">
        <v>1770</v>
      </c>
      <c r="AN376" s="5" t="s">
        <v>1774</v>
      </c>
      <c r="AO376" s="5"/>
      <c r="AP376" s="5"/>
      <c r="AQ376" s="5"/>
      <c r="AR376" s="5"/>
      <c r="AS376" s="5"/>
      <c r="AT376" s="5"/>
      <c r="AU376" s="5"/>
      <c r="AV376" s="5"/>
      <c r="AW376" s="5" t="s">
        <v>1770</v>
      </c>
      <c r="AX376" s="5"/>
      <c r="AY376" s="5"/>
      <c r="AZ376" s="5" t="s">
        <v>1770</v>
      </c>
      <c r="BA376" s="93">
        <v>0.0</v>
      </c>
      <c r="BB376" s="93">
        <v>0.0</v>
      </c>
      <c r="BC376" s="93">
        <v>0.0</v>
      </c>
      <c r="BD376" s="93">
        <v>0.0</v>
      </c>
      <c r="BE376" s="93">
        <v>0.0</v>
      </c>
      <c r="BF376" s="93">
        <v>0.0</v>
      </c>
      <c r="BG376" s="5"/>
      <c r="BH376" s="93">
        <v>0.0</v>
      </c>
      <c r="BI376" s="93">
        <v>0.0</v>
      </c>
      <c r="BJ376" s="93">
        <v>0.0</v>
      </c>
      <c r="BK376" s="93">
        <v>0.0</v>
      </c>
      <c r="BL376" s="93">
        <v>0.0</v>
      </c>
      <c r="BM376" s="93">
        <v>0.0</v>
      </c>
      <c r="BN376" s="93">
        <v>0.0</v>
      </c>
      <c r="BO376" s="5"/>
      <c r="BP376" s="5" t="s">
        <v>1770</v>
      </c>
      <c r="BQ376" s="5" t="s">
        <v>1789</v>
      </c>
      <c r="BR376" s="94">
        <v>45041.55795138889</v>
      </c>
      <c r="BS376" s="5">
        <v>40.0</v>
      </c>
      <c r="BT376" s="5" t="s">
        <v>1770</v>
      </c>
      <c r="BU376" s="5" t="s">
        <v>1770</v>
      </c>
      <c r="BV376" s="94">
        <v>45176.50560185185</v>
      </c>
      <c r="BW376" s="5">
        <v>40.0</v>
      </c>
    </row>
    <row r="377" ht="14.25" customHeight="1">
      <c r="A377" s="5">
        <v>376.0</v>
      </c>
      <c r="B377" s="5">
        <v>642.0</v>
      </c>
      <c r="C377" s="5" t="s">
        <v>4574</v>
      </c>
      <c r="D377" s="100" t="s">
        <v>3483</v>
      </c>
      <c r="E377" s="5" t="s">
        <v>4575</v>
      </c>
      <c r="F377" s="5" t="s">
        <v>4576</v>
      </c>
      <c r="G377" s="5" t="s">
        <v>4577</v>
      </c>
      <c r="H377" s="5" t="s">
        <v>1972</v>
      </c>
      <c r="I377" s="5" t="s">
        <v>1782</v>
      </c>
      <c r="J377" s="91">
        <v>34792.0</v>
      </c>
      <c r="K377" s="5">
        <v>570.0</v>
      </c>
      <c r="L377" s="5" t="s">
        <v>3008</v>
      </c>
      <c r="M377" s="5">
        <v>305.0</v>
      </c>
      <c r="N377" s="5"/>
      <c r="O377" s="5">
        <v>41922.0</v>
      </c>
      <c r="P377" s="5" t="s">
        <v>4106</v>
      </c>
      <c r="Q377" s="5" t="s">
        <v>2349</v>
      </c>
      <c r="R377" s="5">
        <v>597.0</v>
      </c>
      <c r="S377" s="5">
        <v>3.921288762E9</v>
      </c>
      <c r="T377" s="5" t="s">
        <v>4578</v>
      </c>
      <c r="U377" s="100" t="s">
        <v>4579</v>
      </c>
      <c r="V377" s="5">
        <v>3.322103659E9</v>
      </c>
      <c r="W377" s="5" t="s">
        <v>1965</v>
      </c>
      <c r="X377" s="91">
        <v>45054.0</v>
      </c>
      <c r="Y377" s="5">
        <v>5.0</v>
      </c>
      <c r="Z377" s="5">
        <v>3.0</v>
      </c>
      <c r="AA377" s="5">
        <v>58.0</v>
      </c>
      <c r="AB377" s="5" t="s">
        <v>4580</v>
      </c>
      <c r="AC377" s="5" t="s">
        <v>1800</v>
      </c>
      <c r="AD377" s="91">
        <v>44425.0</v>
      </c>
      <c r="AE377" s="91">
        <v>45886.0</v>
      </c>
      <c r="AF377" s="5"/>
      <c r="AG377" s="5"/>
      <c r="AH377" s="5">
        <v>1.8179544194E10</v>
      </c>
      <c r="AI377" s="5">
        <v>95.0</v>
      </c>
      <c r="AJ377" s="5"/>
      <c r="AK377" s="5" t="s">
        <v>1773</v>
      </c>
      <c r="AL377" s="92">
        <v>0.0</v>
      </c>
      <c r="AM377" s="5" t="s">
        <v>1770</v>
      </c>
      <c r="AN377" s="5" t="s">
        <v>1774</v>
      </c>
      <c r="AO377" s="5"/>
      <c r="AP377" s="5"/>
      <c r="AQ377" s="5"/>
      <c r="AR377" s="5"/>
      <c r="AS377" s="5"/>
      <c r="AT377" s="5"/>
      <c r="AU377" s="5"/>
      <c r="AV377" s="5"/>
      <c r="AW377" s="5" t="s">
        <v>1770</v>
      </c>
      <c r="AX377" s="5"/>
      <c r="AY377" s="5"/>
      <c r="AZ377" s="5" t="s">
        <v>1770</v>
      </c>
      <c r="BA377" s="93">
        <v>0.0</v>
      </c>
      <c r="BB377" s="93">
        <v>0.0</v>
      </c>
      <c r="BC377" s="93">
        <v>0.0</v>
      </c>
      <c r="BD377" s="93">
        <v>0.0</v>
      </c>
      <c r="BE377" s="93">
        <v>0.0</v>
      </c>
      <c r="BF377" s="93">
        <v>0.0</v>
      </c>
      <c r="BG377" s="5"/>
      <c r="BH377" s="93">
        <v>0.0</v>
      </c>
      <c r="BI377" s="93">
        <v>0.0</v>
      </c>
      <c r="BJ377" s="93">
        <v>0.0</v>
      </c>
      <c r="BK377" s="93">
        <v>0.0</v>
      </c>
      <c r="BL377" s="93">
        <v>0.0</v>
      </c>
      <c r="BM377" s="93">
        <v>0.0</v>
      </c>
      <c r="BN377" s="93">
        <v>0.0</v>
      </c>
      <c r="BO377" s="5"/>
      <c r="BP377" s="5" t="s">
        <v>1770</v>
      </c>
      <c r="BQ377" s="5" t="s">
        <v>1789</v>
      </c>
      <c r="BR377" s="94">
        <v>45054.43193287037</v>
      </c>
      <c r="BS377" s="5">
        <v>40.0</v>
      </c>
      <c r="BT377" s="94">
        <v>45324.6437037037</v>
      </c>
      <c r="BU377" s="5">
        <v>40.0</v>
      </c>
      <c r="BV377" s="94">
        <v>45532.66856481481</v>
      </c>
      <c r="BW377" s="5">
        <v>275.0</v>
      </c>
    </row>
    <row r="378" ht="14.25" customHeight="1">
      <c r="A378" s="5">
        <v>377.0</v>
      </c>
      <c r="B378" s="5">
        <v>641.0</v>
      </c>
      <c r="C378" s="5" t="s">
        <v>3386</v>
      </c>
      <c r="D378" s="5" t="s">
        <v>2132</v>
      </c>
      <c r="E378" s="5" t="s">
        <v>2036</v>
      </c>
      <c r="F378" s="5" t="s">
        <v>4581</v>
      </c>
      <c r="G378" s="5" t="s">
        <v>4582</v>
      </c>
      <c r="H378" s="5" t="s">
        <v>1781</v>
      </c>
      <c r="I378" s="5" t="s">
        <v>1782</v>
      </c>
      <c r="J378" s="91">
        <v>33400.0</v>
      </c>
      <c r="K378" s="5">
        <v>850.0</v>
      </c>
      <c r="L378" s="5" t="s">
        <v>4583</v>
      </c>
      <c r="M378" s="5">
        <v>7.0</v>
      </c>
      <c r="N378" s="5" t="s">
        <v>2340</v>
      </c>
      <c r="O378" s="5">
        <v>55102.0</v>
      </c>
      <c r="P378" s="5" t="s">
        <v>1797</v>
      </c>
      <c r="Q378" s="5" t="s">
        <v>234</v>
      </c>
      <c r="R378" s="5">
        <v>850.0</v>
      </c>
      <c r="S378" s="5">
        <v>3.521204915E9</v>
      </c>
      <c r="T378" s="5" t="s">
        <v>4584</v>
      </c>
      <c r="U378" s="5" t="s">
        <v>4585</v>
      </c>
      <c r="V378" s="5">
        <v>3.521073457E9</v>
      </c>
      <c r="W378" s="5" t="s">
        <v>1787</v>
      </c>
      <c r="X378" s="91">
        <v>45048.0</v>
      </c>
      <c r="Y378" s="5">
        <v>3.0</v>
      </c>
      <c r="Z378" s="5">
        <v>3.0</v>
      </c>
      <c r="AA378" s="5">
        <v>58.0</v>
      </c>
      <c r="AB378" s="5">
        <v>2039048.0</v>
      </c>
      <c r="AC378" s="5" t="s">
        <v>1772</v>
      </c>
      <c r="AD378" s="91">
        <v>45043.0</v>
      </c>
      <c r="AE378" s="91">
        <v>45774.0</v>
      </c>
      <c r="AF378" s="5"/>
      <c r="AG378" s="5"/>
      <c r="AH378" s="5">
        <v>5.3119138757E10</v>
      </c>
      <c r="AI378" s="5">
        <v>77.0</v>
      </c>
      <c r="AJ378" s="5"/>
      <c r="AK378" s="5" t="s">
        <v>1773</v>
      </c>
      <c r="AL378" s="92">
        <v>0.0</v>
      </c>
      <c r="AM378" s="5" t="s">
        <v>1770</v>
      </c>
      <c r="AN378" s="5" t="s">
        <v>1830</v>
      </c>
      <c r="AO378" s="5"/>
      <c r="AP378" s="5"/>
      <c r="AQ378" s="5"/>
      <c r="AR378" s="5"/>
      <c r="AS378" s="5"/>
      <c r="AT378" s="5"/>
      <c r="AU378" s="5"/>
      <c r="AV378" s="5"/>
      <c r="AW378" s="5" t="s">
        <v>1770</v>
      </c>
      <c r="AX378" s="5"/>
      <c r="AY378" s="5"/>
      <c r="AZ378" s="5" t="s">
        <v>1770</v>
      </c>
      <c r="BA378" s="93">
        <v>0.0</v>
      </c>
      <c r="BB378" s="93">
        <v>0.0</v>
      </c>
      <c r="BC378" s="93">
        <v>0.0</v>
      </c>
      <c r="BD378" s="93">
        <v>0.0</v>
      </c>
      <c r="BE378" s="93">
        <v>0.0</v>
      </c>
      <c r="BF378" s="93">
        <v>0.0</v>
      </c>
      <c r="BG378" s="5"/>
      <c r="BH378" s="93">
        <v>0.0</v>
      </c>
      <c r="BI378" s="93">
        <v>0.0</v>
      </c>
      <c r="BJ378" s="93">
        <v>0.0</v>
      </c>
      <c r="BK378" s="93">
        <v>0.0</v>
      </c>
      <c r="BL378" s="93">
        <v>0.0</v>
      </c>
      <c r="BM378" s="93">
        <v>0.0</v>
      </c>
      <c r="BN378" s="93">
        <v>0.0</v>
      </c>
      <c r="BO378" s="5"/>
      <c r="BP378" s="5" t="s">
        <v>1770</v>
      </c>
      <c r="BQ378" s="5" t="s">
        <v>1789</v>
      </c>
      <c r="BR378" s="94">
        <v>45054.564155092594</v>
      </c>
      <c r="BS378" s="5">
        <v>40.0</v>
      </c>
      <c r="BT378" s="5" t="s">
        <v>1770</v>
      </c>
      <c r="BU378" s="5" t="s">
        <v>1770</v>
      </c>
      <c r="BV378" s="94">
        <v>45336.64628472222</v>
      </c>
      <c r="BW378" s="5">
        <v>40.0</v>
      </c>
    </row>
    <row r="379" ht="14.25" customHeight="1">
      <c r="A379" s="5">
        <v>378.0</v>
      </c>
      <c r="B379" s="5">
        <v>643.0</v>
      </c>
      <c r="C379" s="5" t="s">
        <v>4586</v>
      </c>
      <c r="D379" s="5" t="s">
        <v>3449</v>
      </c>
      <c r="E379" s="5" t="s">
        <v>1777</v>
      </c>
      <c r="F379" s="5" t="s">
        <v>4587</v>
      </c>
      <c r="G379" s="5" t="s">
        <v>4588</v>
      </c>
      <c r="H379" s="5" t="s">
        <v>2671</v>
      </c>
      <c r="I379" s="5" t="s">
        <v>1782</v>
      </c>
      <c r="J379" s="91">
        <v>35741.0</v>
      </c>
      <c r="K379" s="5">
        <v>792.0</v>
      </c>
      <c r="L379" s="5" t="s">
        <v>2031</v>
      </c>
      <c r="M379" s="5">
        <v>321.0</v>
      </c>
      <c r="N379" s="5"/>
      <c r="O379" s="5">
        <v>43882.0</v>
      </c>
      <c r="P379" s="5" t="s">
        <v>1797</v>
      </c>
      <c r="Q379" s="5" t="s">
        <v>1766</v>
      </c>
      <c r="R379" s="5">
        <v>549.0</v>
      </c>
      <c r="S379" s="5">
        <v>3.93123725E9</v>
      </c>
      <c r="T379" s="5" t="s">
        <v>4589</v>
      </c>
      <c r="U379" s="5" t="s">
        <v>4590</v>
      </c>
      <c r="V379" s="5">
        <v>3.93119508E9</v>
      </c>
      <c r="W379" s="5" t="s">
        <v>2675</v>
      </c>
      <c r="X379" s="91">
        <v>45054.0</v>
      </c>
      <c r="Y379" s="5">
        <v>1.0</v>
      </c>
      <c r="Z379" s="5">
        <v>17.0</v>
      </c>
      <c r="AA379" s="5">
        <v>45.0</v>
      </c>
      <c r="AB379" s="5" t="s">
        <v>4591</v>
      </c>
      <c r="AC379" s="5" t="s">
        <v>1800</v>
      </c>
      <c r="AD379" s="91">
        <v>44372.0</v>
      </c>
      <c r="AE379" s="91">
        <v>45833.0</v>
      </c>
      <c r="AF379" s="5"/>
      <c r="AG379" s="5"/>
      <c r="AH379" s="5">
        <v>7.139740075E9</v>
      </c>
      <c r="AI379" s="5">
        <v>23.0</v>
      </c>
      <c r="AJ379" s="5"/>
      <c r="AK379" s="5" t="s">
        <v>1773</v>
      </c>
      <c r="AL379" s="92">
        <v>0.0</v>
      </c>
      <c r="AM379" s="5" t="s">
        <v>1770</v>
      </c>
      <c r="AN379" s="5" t="s">
        <v>1774</v>
      </c>
      <c r="AO379" s="5"/>
      <c r="AP379" s="5"/>
      <c r="AQ379" s="5"/>
      <c r="AR379" s="5"/>
      <c r="AS379" s="5"/>
      <c r="AT379" s="5"/>
      <c r="AU379" s="5"/>
      <c r="AV379" s="5"/>
      <c r="AW379" s="5" t="s">
        <v>1770</v>
      </c>
      <c r="AX379" s="5"/>
      <c r="AY379" s="5"/>
      <c r="AZ379" s="5" t="s">
        <v>1770</v>
      </c>
      <c r="BA379" s="93">
        <v>0.0</v>
      </c>
      <c r="BB379" s="93">
        <v>0.0</v>
      </c>
      <c r="BC379" s="93">
        <v>0.0</v>
      </c>
      <c r="BD379" s="93">
        <v>0.0</v>
      </c>
      <c r="BE379" s="93">
        <v>0.0</v>
      </c>
      <c r="BF379" s="93">
        <v>0.0</v>
      </c>
      <c r="BG379" s="5"/>
      <c r="BH379" s="93">
        <v>0.0</v>
      </c>
      <c r="BI379" s="93">
        <v>0.0</v>
      </c>
      <c r="BJ379" s="93">
        <v>0.0</v>
      </c>
      <c r="BK379" s="93">
        <v>0.0</v>
      </c>
      <c r="BL379" s="93">
        <v>0.0</v>
      </c>
      <c r="BM379" s="93">
        <v>0.0</v>
      </c>
      <c r="BN379" s="93">
        <v>0.0</v>
      </c>
      <c r="BO379" s="5"/>
      <c r="BP379" s="5" t="s">
        <v>1770</v>
      </c>
      <c r="BQ379" s="5" t="s">
        <v>1789</v>
      </c>
      <c r="BR379" s="94">
        <v>45054.59142361111</v>
      </c>
      <c r="BS379" s="5">
        <v>40.0</v>
      </c>
      <c r="BT379" s="94">
        <v>45324.52271990741</v>
      </c>
      <c r="BU379" s="5">
        <v>40.0</v>
      </c>
      <c r="BV379" s="94">
        <v>45642.70408564815</v>
      </c>
      <c r="BW379" s="5">
        <v>40.0</v>
      </c>
    </row>
    <row r="380" ht="14.25" customHeight="1">
      <c r="A380" s="5">
        <v>379.0</v>
      </c>
      <c r="B380" s="5">
        <v>644.0</v>
      </c>
      <c r="C380" s="5" t="s">
        <v>4592</v>
      </c>
      <c r="D380" s="5" t="s">
        <v>2157</v>
      </c>
      <c r="E380" s="5" t="s">
        <v>4593</v>
      </c>
      <c r="F380" s="5" t="s">
        <v>4594</v>
      </c>
      <c r="G380" s="5" t="s">
        <v>4595</v>
      </c>
      <c r="H380" s="5" t="s">
        <v>2671</v>
      </c>
      <c r="I380" s="5" t="s">
        <v>1782</v>
      </c>
      <c r="J380" s="91">
        <v>35748.0</v>
      </c>
      <c r="K380" s="5">
        <v>594.0</v>
      </c>
      <c r="L380" s="5" t="s">
        <v>2430</v>
      </c>
      <c r="M380" s="5">
        <v>24.0</v>
      </c>
      <c r="N380" s="5"/>
      <c r="O380" s="5">
        <v>41948.0</v>
      </c>
      <c r="P380" s="5" t="s">
        <v>3139</v>
      </c>
      <c r="Q380" s="5" t="s">
        <v>4596</v>
      </c>
      <c r="R380" s="5">
        <v>597.0</v>
      </c>
      <c r="S380" s="5">
        <v>3.312224648E9</v>
      </c>
      <c r="T380" s="5" t="s">
        <v>4597</v>
      </c>
      <c r="U380" s="5" t="s">
        <v>4598</v>
      </c>
      <c r="V380" s="5">
        <v>3.328287772E9</v>
      </c>
      <c r="W380" s="5" t="s">
        <v>2675</v>
      </c>
      <c r="X380" s="91">
        <v>45054.0</v>
      </c>
      <c r="Y380" s="5">
        <v>5.0</v>
      </c>
      <c r="Z380" s="5">
        <v>3.0</v>
      </c>
      <c r="AA380" s="5">
        <v>58.0</v>
      </c>
      <c r="AB380" s="5" t="s">
        <v>4599</v>
      </c>
      <c r="AC380" s="5" t="s">
        <v>1800</v>
      </c>
      <c r="AD380" s="91">
        <v>44960.0</v>
      </c>
      <c r="AE380" s="91">
        <v>46421.0</v>
      </c>
      <c r="AF380" s="5"/>
      <c r="AG380" s="5"/>
      <c r="AH380" s="5">
        <v>6.1169787415E10</v>
      </c>
      <c r="AI380" s="5">
        <v>95.0</v>
      </c>
      <c r="AJ380" s="5"/>
      <c r="AK380" s="5" t="s">
        <v>1773</v>
      </c>
      <c r="AL380" s="92">
        <v>0.0</v>
      </c>
      <c r="AM380" s="5" t="s">
        <v>1770</v>
      </c>
      <c r="AN380" s="5" t="s">
        <v>1830</v>
      </c>
      <c r="AO380" s="5"/>
      <c r="AP380" s="5"/>
      <c r="AQ380" s="5"/>
      <c r="AR380" s="5"/>
      <c r="AS380" s="5"/>
      <c r="AT380" s="5"/>
      <c r="AU380" s="5"/>
      <c r="AV380" s="5"/>
      <c r="AW380" s="5" t="s">
        <v>1770</v>
      </c>
      <c r="AX380" s="5"/>
      <c r="AY380" s="5"/>
      <c r="AZ380" s="5" t="s">
        <v>1770</v>
      </c>
      <c r="BA380" s="93">
        <v>0.0</v>
      </c>
      <c r="BB380" s="93">
        <v>0.0</v>
      </c>
      <c r="BC380" s="93">
        <v>0.0</v>
      </c>
      <c r="BD380" s="93">
        <v>0.0</v>
      </c>
      <c r="BE380" s="93">
        <v>0.0</v>
      </c>
      <c r="BF380" s="93">
        <v>0.0</v>
      </c>
      <c r="BG380" s="5"/>
      <c r="BH380" s="93">
        <v>0.0</v>
      </c>
      <c r="BI380" s="93">
        <v>0.0</v>
      </c>
      <c r="BJ380" s="93">
        <v>0.0</v>
      </c>
      <c r="BK380" s="93">
        <v>0.0</v>
      </c>
      <c r="BL380" s="93">
        <v>0.0</v>
      </c>
      <c r="BM380" s="93">
        <v>0.0</v>
      </c>
      <c r="BN380" s="93">
        <v>0.0</v>
      </c>
      <c r="BO380" s="5"/>
      <c r="BP380" s="5"/>
      <c r="BQ380" s="5" t="s">
        <v>1775</v>
      </c>
      <c r="BR380" s="94">
        <v>45054.606886574074</v>
      </c>
      <c r="BS380" s="5">
        <v>40.0</v>
      </c>
      <c r="BT380" s="94">
        <v>46134.734930555554</v>
      </c>
      <c r="BU380" s="5">
        <v>272.0</v>
      </c>
      <c r="BV380" s="5" t="s">
        <v>1770</v>
      </c>
      <c r="BW380" s="5" t="s">
        <v>1770</v>
      </c>
    </row>
    <row r="381" ht="14.25" customHeight="1">
      <c r="A381" s="5">
        <v>380.0</v>
      </c>
      <c r="B381" s="5">
        <v>645.0</v>
      </c>
      <c r="C381" s="5" t="s">
        <v>4600</v>
      </c>
      <c r="D381" s="5" t="s">
        <v>1984</v>
      </c>
      <c r="E381" s="5" t="s">
        <v>4601</v>
      </c>
      <c r="F381" s="5" t="s">
        <v>4602</v>
      </c>
      <c r="G381" s="5" t="s">
        <v>4603</v>
      </c>
      <c r="H381" s="5" t="s">
        <v>2671</v>
      </c>
      <c r="I381" s="5" t="s">
        <v>1782</v>
      </c>
      <c r="J381" s="91">
        <v>33540.0</v>
      </c>
      <c r="K381" s="5">
        <v>594.0</v>
      </c>
      <c r="L381" s="5" t="s">
        <v>4604</v>
      </c>
      <c r="M381" s="5">
        <v>128.0</v>
      </c>
      <c r="N381" s="5"/>
      <c r="O381" s="5">
        <v>43885.0</v>
      </c>
      <c r="P381" s="5" t="s">
        <v>1931</v>
      </c>
      <c r="Q381" s="5" t="s">
        <v>1766</v>
      </c>
      <c r="R381" s="5">
        <v>549.0</v>
      </c>
      <c r="S381" s="5">
        <v>3.931678694E9</v>
      </c>
      <c r="T381" s="5" t="s">
        <v>4605</v>
      </c>
      <c r="U381" s="100" t="s">
        <v>4606</v>
      </c>
      <c r="V381" s="5">
        <v>3.93936746E9</v>
      </c>
      <c r="W381" s="5" t="s">
        <v>2675</v>
      </c>
      <c r="X381" s="91">
        <v>45068.0</v>
      </c>
      <c r="Y381" s="5">
        <v>1.0</v>
      </c>
      <c r="Z381" s="5">
        <v>18.0</v>
      </c>
      <c r="AA381" s="5">
        <v>1.0</v>
      </c>
      <c r="AB381" s="5" t="s">
        <v>4607</v>
      </c>
      <c r="AC381" s="5" t="s">
        <v>1800</v>
      </c>
      <c r="AD381" s="91">
        <v>43675.0</v>
      </c>
      <c r="AE381" s="91">
        <v>45136.0</v>
      </c>
      <c r="AF381" s="5"/>
      <c r="AG381" s="5"/>
      <c r="AH381" s="5">
        <v>3.159192495E9</v>
      </c>
      <c r="AI381" s="5">
        <v>23.0</v>
      </c>
      <c r="AJ381" s="5"/>
      <c r="AK381" s="5" t="s">
        <v>1773</v>
      </c>
      <c r="AL381" s="92">
        <v>0.0</v>
      </c>
      <c r="AM381" s="5" t="s">
        <v>1770</v>
      </c>
      <c r="AN381" s="5" t="s">
        <v>1830</v>
      </c>
      <c r="AO381" s="5"/>
      <c r="AP381" s="5"/>
      <c r="AQ381" s="5"/>
      <c r="AR381" s="5"/>
      <c r="AS381" s="5"/>
      <c r="AT381" s="5"/>
      <c r="AU381" s="5"/>
      <c r="AV381" s="5"/>
      <c r="AW381" s="5" t="s">
        <v>1770</v>
      </c>
      <c r="AX381" s="5"/>
      <c r="AY381" s="5"/>
      <c r="AZ381" s="5" t="s">
        <v>1770</v>
      </c>
      <c r="BA381" s="93">
        <v>0.0</v>
      </c>
      <c r="BB381" s="93">
        <v>0.0</v>
      </c>
      <c r="BC381" s="93">
        <v>0.0</v>
      </c>
      <c r="BD381" s="93">
        <v>0.0</v>
      </c>
      <c r="BE381" s="93">
        <v>0.0</v>
      </c>
      <c r="BF381" s="93">
        <v>0.0</v>
      </c>
      <c r="BG381" s="5"/>
      <c r="BH381" s="93">
        <v>0.0</v>
      </c>
      <c r="BI381" s="93">
        <v>0.0</v>
      </c>
      <c r="BJ381" s="93">
        <v>0.0</v>
      </c>
      <c r="BK381" s="93">
        <v>0.0</v>
      </c>
      <c r="BL381" s="93">
        <v>0.0</v>
      </c>
      <c r="BM381" s="93">
        <v>0.0</v>
      </c>
      <c r="BN381" s="93">
        <v>0.0</v>
      </c>
      <c r="BO381" s="5"/>
      <c r="BP381" s="5" t="s">
        <v>1770</v>
      </c>
      <c r="BQ381" s="5" t="s">
        <v>1789</v>
      </c>
      <c r="BR381" s="94">
        <v>45070.47613425926</v>
      </c>
      <c r="BS381" s="5">
        <v>40.0</v>
      </c>
      <c r="BT381" s="5" t="s">
        <v>1770</v>
      </c>
      <c r="BU381" s="5" t="s">
        <v>1770</v>
      </c>
      <c r="BV381" s="94">
        <v>45252.65831018519</v>
      </c>
      <c r="BW381" s="5">
        <v>40.0</v>
      </c>
    </row>
    <row r="382" ht="14.25" customHeight="1">
      <c r="A382" s="5">
        <v>381.0</v>
      </c>
      <c r="B382" s="5">
        <v>646.0</v>
      </c>
      <c r="C382" s="5" t="s">
        <v>1877</v>
      </c>
      <c r="D382" s="5" t="s">
        <v>1758</v>
      </c>
      <c r="E382" s="5" t="s">
        <v>3761</v>
      </c>
      <c r="F382" s="5" t="s">
        <v>4608</v>
      </c>
      <c r="G382" s="5" t="s">
        <v>4609</v>
      </c>
      <c r="H382" s="5" t="s">
        <v>1781</v>
      </c>
      <c r="I382" s="5" t="s">
        <v>1782</v>
      </c>
      <c r="J382" s="91">
        <v>30024.0</v>
      </c>
      <c r="K382" s="5">
        <v>844.0</v>
      </c>
      <c r="L382" s="5" t="s">
        <v>4610</v>
      </c>
      <c r="M382" s="5">
        <v>114.0</v>
      </c>
      <c r="N382" s="5">
        <v>1.0</v>
      </c>
      <c r="O382" s="5">
        <v>54032.0</v>
      </c>
      <c r="P382" s="5" t="s">
        <v>3271</v>
      </c>
      <c r="Q382" s="5" t="s">
        <v>2041</v>
      </c>
      <c r="R382" s="5">
        <v>834.0</v>
      </c>
      <c r="S382" s="5">
        <v>4.437292976E9</v>
      </c>
      <c r="T382" s="5" t="s">
        <v>4611</v>
      </c>
      <c r="U382" s="5" t="s">
        <v>4612</v>
      </c>
      <c r="V382" s="5">
        <v>4.431576085E9</v>
      </c>
      <c r="W382" s="5" t="s">
        <v>1787</v>
      </c>
      <c r="X382" s="91">
        <v>45082.0</v>
      </c>
      <c r="Y382" s="5">
        <v>4.0</v>
      </c>
      <c r="Z382" s="5">
        <v>1.0</v>
      </c>
      <c r="AA382" s="5">
        <v>1.0</v>
      </c>
      <c r="AB382" s="5"/>
      <c r="AC382" s="5"/>
      <c r="AD382" s="5" t="s">
        <v>1770</v>
      </c>
      <c r="AE382" s="5" t="s">
        <v>1770</v>
      </c>
      <c r="AF382" s="5"/>
      <c r="AG382" s="5"/>
      <c r="AH382" s="5">
        <v>5.3978216868E10</v>
      </c>
      <c r="AI382" s="5">
        <v>80.0</v>
      </c>
      <c r="AJ382" s="5"/>
      <c r="AK382" s="5" t="s">
        <v>1773</v>
      </c>
      <c r="AL382" s="92">
        <v>0.0</v>
      </c>
      <c r="AM382" s="5" t="s">
        <v>1770</v>
      </c>
      <c r="AN382" s="5" t="s">
        <v>1830</v>
      </c>
      <c r="AO382" s="5"/>
      <c r="AP382" s="5"/>
      <c r="AQ382" s="5"/>
      <c r="AR382" s="5"/>
      <c r="AS382" s="5"/>
      <c r="AT382" s="5"/>
      <c r="AU382" s="5"/>
      <c r="AV382" s="5"/>
      <c r="AW382" s="5" t="s">
        <v>1770</v>
      </c>
      <c r="AX382" s="5"/>
      <c r="AY382" s="5"/>
      <c r="AZ382" s="5" t="s">
        <v>1770</v>
      </c>
      <c r="BA382" s="93">
        <v>0.0</v>
      </c>
      <c r="BB382" s="93">
        <v>0.0</v>
      </c>
      <c r="BC382" s="93">
        <v>0.0</v>
      </c>
      <c r="BD382" s="93">
        <v>0.0</v>
      </c>
      <c r="BE382" s="93">
        <v>0.0</v>
      </c>
      <c r="BF382" s="93">
        <v>0.0</v>
      </c>
      <c r="BG382" s="5"/>
      <c r="BH382" s="93">
        <v>0.0</v>
      </c>
      <c r="BI382" s="93">
        <v>0.0</v>
      </c>
      <c r="BJ382" s="93">
        <v>0.0</v>
      </c>
      <c r="BK382" s="93">
        <v>0.0</v>
      </c>
      <c r="BL382" s="93">
        <v>0.0</v>
      </c>
      <c r="BM382" s="93">
        <v>0.0</v>
      </c>
      <c r="BN382" s="93">
        <v>0.0</v>
      </c>
      <c r="BO382" s="5"/>
      <c r="BP382" s="5" t="s">
        <v>1770</v>
      </c>
      <c r="BQ382" s="5" t="s">
        <v>1789</v>
      </c>
      <c r="BR382" s="94">
        <v>45083.45082175926</v>
      </c>
      <c r="BS382" s="5">
        <v>40.0</v>
      </c>
      <c r="BT382" s="5" t="s">
        <v>1770</v>
      </c>
      <c r="BU382" s="5" t="s">
        <v>1770</v>
      </c>
      <c r="BV382" s="94">
        <v>45299.68959490741</v>
      </c>
      <c r="BW382" s="5">
        <v>40.0</v>
      </c>
    </row>
    <row r="383" ht="14.25" customHeight="1">
      <c r="A383" s="5">
        <v>382.0</v>
      </c>
      <c r="B383" s="5">
        <v>647.0</v>
      </c>
      <c r="C383" s="5" t="s">
        <v>4613</v>
      </c>
      <c r="D383" s="5" t="s">
        <v>2934</v>
      </c>
      <c r="E383" s="5" t="s">
        <v>3266</v>
      </c>
      <c r="F383" s="5" t="s">
        <v>4614</v>
      </c>
      <c r="G383" s="5" t="s">
        <v>4615</v>
      </c>
      <c r="H383" s="5" t="s">
        <v>1972</v>
      </c>
      <c r="I383" s="5" t="s">
        <v>1782</v>
      </c>
      <c r="J383" s="91">
        <v>35020.0</v>
      </c>
      <c r="K383" s="5">
        <v>834.0</v>
      </c>
      <c r="L383" s="5" t="s">
        <v>3796</v>
      </c>
      <c r="M383" s="5">
        <v>6.0</v>
      </c>
      <c r="N383" s="5"/>
      <c r="O383" s="5">
        <v>53922.0</v>
      </c>
      <c r="P383" s="5" t="s">
        <v>4616</v>
      </c>
      <c r="Q383" s="5" t="s">
        <v>2041</v>
      </c>
      <c r="R383" s="5">
        <v>834.0</v>
      </c>
      <c r="S383" s="5">
        <v>4.436274643E9</v>
      </c>
      <c r="T383" s="5" t="s">
        <v>4617</v>
      </c>
      <c r="U383" s="5" t="s">
        <v>4618</v>
      </c>
      <c r="V383" s="5">
        <v>4.431303033E9</v>
      </c>
      <c r="W383" s="5" t="s">
        <v>1808</v>
      </c>
      <c r="X383" s="91">
        <v>45082.0</v>
      </c>
      <c r="Y383" s="5">
        <v>4.0</v>
      </c>
      <c r="Z383" s="5">
        <v>4.0</v>
      </c>
      <c r="AA383" s="5">
        <v>54.0</v>
      </c>
      <c r="AB383" s="5">
        <v>44138.0</v>
      </c>
      <c r="AC383" s="5" t="s">
        <v>1800</v>
      </c>
      <c r="AD383" s="91">
        <v>43749.0</v>
      </c>
      <c r="AE383" s="91">
        <v>45576.0</v>
      </c>
      <c r="AF383" s="5"/>
      <c r="AG383" s="5"/>
      <c r="AH383" s="5">
        <v>4.169543552E9</v>
      </c>
      <c r="AI383" s="5">
        <v>80.0</v>
      </c>
      <c r="AJ383" s="5"/>
      <c r="AK383" s="5" t="s">
        <v>1773</v>
      </c>
      <c r="AL383" s="92">
        <v>0.0</v>
      </c>
      <c r="AM383" s="5" t="s">
        <v>1770</v>
      </c>
      <c r="AN383" s="5" t="s">
        <v>4382</v>
      </c>
      <c r="AO383" s="5"/>
      <c r="AP383" s="5"/>
      <c r="AQ383" s="5"/>
      <c r="AR383" s="5"/>
      <c r="AS383" s="5"/>
      <c r="AT383" s="5"/>
      <c r="AU383" s="5"/>
      <c r="AV383" s="5"/>
      <c r="AW383" s="5" t="s">
        <v>1770</v>
      </c>
      <c r="AX383" s="5"/>
      <c r="AY383" s="5"/>
      <c r="AZ383" s="5" t="s">
        <v>1770</v>
      </c>
      <c r="BA383" s="93">
        <v>0.0</v>
      </c>
      <c r="BB383" s="93">
        <v>0.0</v>
      </c>
      <c r="BC383" s="93">
        <v>0.0</v>
      </c>
      <c r="BD383" s="93">
        <v>0.0</v>
      </c>
      <c r="BE383" s="93">
        <v>0.0</v>
      </c>
      <c r="BF383" s="93">
        <v>0.0</v>
      </c>
      <c r="BG383" s="5"/>
      <c r="BH383" s="93">
        <v>0.0</v>
      </c>
      <c r="BI383" s="93">
        <v>0.0</v>
      </c>
      <c r="BJ383" s="93">
        <v>0.0</v>
      </c>
      <c r="BK383" s="93">
        <v>0.0</v>
      </c>
      <c r="BL383" s="93">
        <v>0.0</v>
      </c>
      <c r="BM383" s="93">
        <v>0.0</v>
      </c>
      <c r="BN383" s="93">
        <v>0.0</v>
      </c>
      <c r="BO383" s="5"/>
      <c r="BP383" s="5" t="s">
        <v>1770</v>
      </c>
      <c r="BQ383" s="5" t="s">
        <v>1789</v>
      </c>
      <c r="BR383" s="94">
        <v>45083.464907407404</v>
      </c>
      <c r="BS383" s="5">
        <v>40.0</v>
      </c>
      <c r="BT383" s="5" t="s">
        <v>1770</v>
      </c>
      <c r="BU383" s="5" t="s">
        <v>1770</v>
      </c>
      <c r="BV383" s="94">
        <v>45176.504907407405</v>
      </c>
      <c r="BW383" s="5">
        <v>40.0</v>
      </c>
    </row>
    <row r="384" ht="14.25" customHeight="1">
      <c r="A384" s="5">
        <v>383.0</v>
      </c>
      <c r="B384" s="5">
        <v>648.0</v>
      </c>
      <c r="C384" s="5" t="s">
        <v>4619</v>
      </c>
      <c r="D384" s="5" t="s">
        <v>2067</v>
      </c>
      <c r="E384" s="5" t="s">
        <v>4620</v>
      </c>
      <c r="F384" s="5" t="s">
        <v>4621</v>
      </c>
      <c r="G384" s="5" t="s">
        <v>4622</v>
      </c>
      <c r="H384" s="5" t="s">
        <v>1781</v>
      </c>
      <c r="I384" s="5" t="s">
        <v>1782</v>
      </c>
      <c r="J384" s="91">
        <v>33310.0</v>
      </c>
      <c r="K384" s="5">
        <v>850.0</v>
      </c>
      <c r="L384" s="5" t="s">
        <v>4623</v>
      </c>
      <c r="M384" s="5">
        <v>53.0</v>
      </c>
      <c r="N384" s="5"/>
      <c r="O384" s="5">
        <v>35872.0</v>
      </c>
      <c r="P384" s="5" t="s">
        <v>1797</v>
      </c>
      <c r="Q384" s="5" t="s">
        <v>2406</v>
      </c>
      <c r="R384" s="5">
        <v>424.0</v>
      </c>
      <c r="S384" s="5">
        <v>3.521068606E9</v>
      </c>
      <c r="T384" s="5" t="s">
        <v>4624</v>
      </c>
      <c r="U384" s="5" t="s">
        <v>4625</v>
      </c>
      <c r="V384" s="5">
        <v>4.696218567E9</v>
      </c>
      <c r="W384" s="5" t="s">
        <v>1787</v>
      </c>
      <c r="X384" s="91">
        <v>45082.0</v>
      </c>
      <c r="Y384" s="5">
        <v>2.0</v>
      </c>
      <c r="Z384" s="5">
        <v>1.0</v>
      </c>
      <c r="AA384" s="5">
        <v>1.0</v>
      </c>
      <c r="AB384" s="5" t="s">
        <v>4626</v>
      </c>
      <c r="AC384" s="5" t="s">
        <v>1772</v>
      </c>
      <c r="AD384" s="91">
        <v>45097.0</v>
      </c>
      <c r="AE384" s="91">
        <v>45828.0</v>
      </c>
      <c r="AF384" s="5"/>
      <c r="AG384" s="5"/>
      <c r="AH384" s="5">
        <v>5.3139128721E10</v>
      </c>
      <c r="AI384" s="5">
        <v>9.0</v>
      </c>
      <c r="AJ384" s="5"/>
      <c r="AK384" s="5" t="s">
        <v>1773</v>
      </c>
      <c r="AL384" s="92">
        <v>0.0</v>
      </c>
      <c r="AM384" s="5" t="s">
        <v>1770</v>
      </c>
      <c r="AN384" s="5" t="s">
        <v>1774</v>
      </c>
      <c r="AO384" s="5"/>
      <c r="AP384" s="5"/>
      <c r="AQ384" s="5"/>
      <c r="AR384" s="5"/>
      <c r="AS384" s="5"/>
      <c r="AT384" s="5"/>
      <c r="AU384" s="5"/>
      <c r="AV384" s="5"/>
      <c r="AW384" s="5" t="s">
        <v>1770</v>
      </c>
      <c r="AX384" s="5"/>
      <c r="AY384" s="5"/>
      <c r="AZ384" s="5" t="s">
        <v>1770</v>
      </c>
      <c r="BA384" s="93">
        <v>0.0</v>
      </c>
      <c r="BB384" s="93">
        <v>0.0</v>
      </c>
      <c r="BC384" s="93">
        <v>0.0</v>
      </c>
      <c r="BD384" s="93">
        <v>0.0</v>
      </c>
      <c r="BE384" s="93">
        <v>0.0</v>
      </c>
      <c r="BF384" s="93">
        <v>0.0</v>
      </c>
      <c r="BG384" s="5"/>
      <c r="BH384" s="93">
        <v>0.0</v>
      </c>
      <c r="BI384" s="93">
        <v>0.0</v>
      </c>
      <c r="BJ384" s="93">
        <v>0.0</v>
      </c>
      <c r="BK384" s="93">
        <v>0.0</v>
      </c>
      <c r="BL384" s="93">
        <v>0.0</v>
      </c>
      <c r="BM384" s="93">
        <v>0.0</v>
      </c>
      <c r="BN384" s="93">
        <v>0.0</v>
      </c>
      <c r="BO384" s="5"/>
      <c r="BP384" s="5" t="s">
        <v>1770</v>
      </c>
      <c r="BQ384" s="5" t="s">
        <v>1789</v>
      </c>
      <c r="BR384" s="94">
        <v>45083.47728009259</v>
      </c>
      <c r="BS384" s="5">
        <v>40.0</v>
      </c>
      <c r="BT384" s="94">
        <v>45352.48841435185</v>
      </c>
      <c r="BU384" s="5">
        <v>40.0</v>
      </c>
      <c r="BV384" s="94">
        <v>45423.45181712963</v>
      </c>
      <c r="BW384" s="5" t="s">
        <v>1770</v>
      </c>
    </row>
    <row r="385" ht="14.25" customHeight="1">
      <c r="A385" s="5">
        <v>384.0</v>
      </c>
      <c r="B385" s="5">
        <v>649.0</v>
      </c>
      <c r="C385" s="5" t="s">
        <v>4627</v>
      </c>
      <c r="D385" s="5" t="s">
        <v>4628</v>
      </c>
      <c r="E385" s="5" t="s">
        <v>2157</v>
      </c>
      <c r="F385" s="5" t="s">
        <v>4629</v>
      </c>
      <c r="G385" s="5" t="s">
        <v>4630</v>
      </c>
      <c r="H385" s="5" t="s">
        <v>1972</v>
      </c>
      <c r="I385" s="5" t="s">
        <v>1782</v>
      </c>
      <c r="J385" s="91">
        <v>34486.0</v>
      </c>
      <c r="K385" s="5">
        <v>834.0</v>
      </c>
      <c r="L385" s="5" t="s">
        <v>4631</v>
      </c>
      <c r="M385" s="5">
        <v>149.0</v>
      </c>
      <c r="N385" s="5"/>
      <c r="O385" s="5">
        <v>54139.0</v>
      </c>
      <c r="P385" s="5" t="s">
        <v>4632</v>
      </c>
      <c r="Q385" s="5" t="s">
        <v>2041</v>
      </c>
      <c r="R385" s="5">
        <v>834.0</v>
      </c>
      <c r="S385" s="5">
        <v>4.431942871E9</v>
      </c>
      <c r="T385" s="5" t="s">
        <v>4633</v>
      </c>
      <c r="U385" s="5" t="s">
        <v>4634</v>
      </c>
      <c r="V385" s="5">
        <v>4.341020925E9</v>
      </c>
      <c r="W385" s="5" t="s">
        <v>1965</v>
      </c>
      <c r="X385" s="91">
        <v>45089.0</v>
      </c>
      <c r="Y385" s="5">
        <v>4.0</v>
      </c>
      <c r="Z385" s="5">
        <v>4.0</v>
      </c>
      <c r="AA385" s="5">
        <v>12.0</v>
      </c>
      <c r="AB385" s="5" t="s">
        <v>4635</v>
      </c>
      <c r="AC385" s="5" t="s">
        <v>1800</v>
      </c>
      <c r="AD385" s="91">
        <v>45037.0</v>
      </c>
      <c r="AE385" s="91">
        <v>48325.0</v>
      </c>
      <c r="AF385" s="5"/>
      <c r="AG385" s="5"/>
      <c r="AH385" s="5">
        <v>6.0149455176E10</v>
      </c>
      <c r="AI385" s="5">
        <v>80.0</v>
      </c>
      <c r="AJ385" s="5"/>
      <c r="AK385" s="5" t="s">
        <v>1773</v>
      </c>
      <c r="AL385" s="92">
        <v>0.0</v>
      </c>
      <c r="AM385" s="5" t="s">
        <v>1770</v>
      </c>
      <c r="AN385" s="5" t="s">
        <v>4636</v>
      </c>
      <c r="AO385" s="5" t="s">
        <v>4637</v>
      </c>
      <c r="AP385" s="5" t="s">
        <v>4638</v>
      </c>
      <c r="AQ385" s="5"/>
      <c r="AR385" s="5"/>
      <c r="AS385" s="5"/>
      <c r="AT385" s="5"/>
      <c r="AU385" s="5"/>
      <c r="AV385" s="5"/>
      <c r="AW385" s="5" t="s">
        <v>1770</v>
      </c>
      <c r="AX385" s="5"/>
      <c r="AY385" s="5"/>
      <c r="AZ385" s="5" t="s">
        <v>1770</v>
      </c>
      <c r="BA385" s="93">
        <v>0.0</v>
      </c>
      <c r="BB385" s="93">
        <v>0.0</v>
      </c>
      <c r="BC385" s="93">
        <v>0.0</v>
      </c>
      <c r="BD385" s="93">
        <v>0.0</v>
      </c>
      <c r="BE385" s="93">
        <v>0.0</v>
      </c>
      <c r="BF385" s="93">
        <v>0.0</v>
      </c>
      <c r="BG385" s="5"/>
      <c r="BH385" s="93">
        <v>0.0</v>
      </c>
      <c r="BI385" s="93">
        <v>0.0</v>
      </c>
      <c r="BJ385" s="93">
        <v>0.0</v>
      </c>
      <c r="BK385" s="93">
        <v>0.0</v>
      </c>
      <c r="BL385" s="93">
        <v>0.0</v>
      </c>
      <c r="BM385" s="93">
        <v>0.0</v>
      </c>
      <c r="BN385" s="93">
        <v>0.0</v>
      </c>
      <c r="BO385" s="5"/>
      <c r="BP385" s="5"/>
      <c r="BQ385" s="5" t="s">
        <v>1775</v>
      </c>
      <c r="BR385" s="94">
        <v>45089.685428240744</v>
      </c>
      <c r="BS385" s="5">
        <v>40.0</v>
      </c>
      <c r="BT385" s="94">
        <v>46133.65590277778</v>
      </c>
      <c r="BU385" s="5">
        <v>272.0</v>
      </c>
      <c r="BV385" s="5" t="s">
        <v>1770</v>
      </c>
      <c r="BW385" s="5" t="s">
        <v>1770</v>
      </c>
    </row>
    <row r="386" ht="14.25" customHeight="1">
      <c r="A386" s="5">
        <v>385.0</v>
      </c>
      <c r="B386" s="5">
        <v>650.0</v>
      </c>
      <c r="C386" s="5" t="s">
        <v>4639</v>
      </c>
      <c r="D386" s="100" t="s">
        <v>2658</v>
      </c>
      <c r="E386" s="5" t="s">
        <v>2464</v>
      </c>
      <c r="F386" s="5" t="s">
        <v>4640</v>
      </c>
      <c r="G386" s="5" t="s">
        <v>4641</v>
      </c>
      <c r="H386" s="5" t="s">
        <v>1972</v>
      </c>
      <c r="I386" s="5" t="s">
        <v>1782</v>
      </c>
      <c r="J386" s="91">
        <v>37111.0</v>
      </c>
      <c r="K386" s="5">
        <v>834.0</v>
      </c>
      <c r="L386" s="5" t="s">
        <v>4642</v>
      </c>
      <c r="M386" s="5" t="s">
        <v>2913</v>
      </c>
      <c r="N386" s="5"/>
      <c r="O386" s="5">
        <v>53916.0</v>
      </c>
      <c r="P386" s="5" t="s">
        <v>4643</v>
      </c>
      <c r="Q386" s="5" t="s">
        <v>2041</v>
      </c>
      <c r="R386" s="5">
        <v>834.0</v>
      </c>
      <c r="S386" s="5">
        <v>4.341877164E9</v>
      </c>
      <c r="T386" s="5" t="s">
        <v>4644</v>
      </c>
      <c r="U386" s="100" t="s">
        <v>4645</v>
      </c>
      <c r="V386" s="5">
        <v>4.341160503E9</v>
      </c>
      <c r="W386" s="5" t="s">
        <v>1965</v>
      </c>
      <c r="X386" s="91">
        <v>45089.0</v>
      </c>
      <c r="Y386" s="5">
        <v>4.0</v>
      </c>
      <c r="Z386" s="5">
        <v>4.0</v>
      </c>
      <c r="AA386" s="5">
        <v>39.0</v>
      </c>
      <c r="AB386" s="5"/>
      <c r="AC386" s="5"/>
      <c r="AD386" s="5" t="s">
        <v>1770</v>
      </c>
      <c r="AE386" s="5" t="s">
        <v>1770</v>
      </c>
      <c r="AF386" s="5"/>
      <c r="AG386" s="5"/>
      <c r="AH386" s="5">
        <v>2.8130134704E10</v>
      </c>
      <c r="AI386" s="5">
        <v>80.0</v>
      </c>
      <c r="AJ386" s="5"/>
      <c r="AK386" s="5" t="s">
        <v>1773</v>
      </c>
      <c r="AL386" s="92">
        <v>0.0</v>
      </c>
      <c r="AM386" s="5" t="s">
        <v>1770</v>
      </c>
      <c r="AN386" s="5" t="s">
        <v>1830</v>
      </c>
      <c r="AO386" s="5" t="s">
        <v>4646</v>
      </c>
      <c r="AP386" s="5"/>
      <c r="AQ386" s="5"/>
      <c r="AR386" s="5"/>
      <c r="AS386" s="5"/>
      <c r="AT386" s="5"/>
      <c r="AU386" s="5"/>
      <c r="AV386" s="5"/>
      <c r="AW386" s="5" t="s">
        <v>1770</v>
      </c>
      <c r="AX386" s="5"/>
      <c r="AY386" s="5"/>
      <c r="AZ386" s="5" t="s">
        <v>1770</v>
      </c>
      <c r="BA386" s="93">
        <v>0.0</v>
      </c>
      <c r="BB386" s="93">
        <v>0.0</v>
      </c>
      <c r="BC386" s="93">
        <v>0.0</v>
      </c>
      <c r="BD386" s="93">
        <v>0.0</v>
      </c>
      <c r="BE386" s="93">
        <v>0.0</v>
      </c>
      <c r="BF386" s="93">
        <v>0.0</v>
      </c>
      <c r="BG386" s="5"/>
      <c r="BH386" s="93">
        <v>0.0</v>
      </c>
      <c r="BI386" s="93">
        <v>0.0</v>
      </c>
      <c r="BJ386" s="93">
        <v>0.0</v>
      </c>
      <c r="BK386" s="93">
        <v>0.0</v>
      </c>
      <c r="BL386" s="93">
        <v>0.0</v>
      </c>
      <c r="BM386" s="93">
        <v>0.0</v>
      </c>
      <c r="BN386" s="93">
        <v>0.0</v>
      </c>
      <c r="BO386" s="5"/>
      <c r="BP386" s="5" t="s">
        <v>1770</v>
      </c>
      <c r="BQ386" s="5" t="s">
        <v>1789</v>
      </c>
      <c r="BR386" s="94">
        <v>45089.69068287037</v>
      </c>
      <c r="BS386" s="5">
        <v>40.0</v>
      </c>
      <c r="BT386" s="5" t="s">
        <v>1770</v>
      </c>
      <c r="BU386" s="5" t="s">
        <v>1770</v>
      </c>
      <c r="BV386" s="94">
        <v>45252.66105324074</v>
      </c>
      <c r="BW386" s="5">
        <v>40.0</v>
      </c>
    </row>
    <row r="387" ht="14.25" customHeight="1">
      <c r="A387" s="5">
        <v>386.0</v>
      </c>
      <c r="B387" s="5">
        <v>651.0</v>
      </c>
      <c r="C387" s="5" t="s">
        <v>4647</v>
      </c>
      <c r="D387" s="5" t="s">
        <v>2195</v>
      </c>
      <c r="E387" s="5" t="s">
        <v>2573</v>
      </c>
      <c r="F387" s="5" t="s">
        <v>4648</v>
      </c>
      <c r="G387" s="5" t="s">
        <v>4649</v>
      </c>
      <c r="H387" s="5" t="s">
        <v>1762</v>
      </c>
      <c r="I387" s="5" t="s">
        <v>1763</v>
      </c>
      <c r="J387" s="91">
        <v>32116.0</v>
      </c>
      <c r="K387" s="5">
        <v>834.0</v>
      </c>
      <c r="L387" s="5" t="s">
        <v>4650</v>
      </c>
      <c r="M387" s="5">
        <v>193.0</v>
      </c>
      <c r="N387" s="5"/>
      <c r="O387" s="5">
        <v>54106.0</v>
      </c>
      <c r="P387" s="5" t="s">
        <v>3889</v>
      </c>
      <c r="Q387" s="5" t="s">
        <v>2041</v>
      </c>
      <c r="R387" s="5">
        <v>834.0</v>
      </c>
      <c r="S387" s="5">
        <v>4.431187766E9</v>
      </c>
      <c r="T387" s="5" t="s">
        <v>4651</v>
      </c>
      <c r="U387" s="5" t="s">
        <v>4652</v>
      </c>
      <c r="V387" s="5">
        <v>4.434106583E9</v>
      </c>
      <c r="W387" s="5" t="s">
        <v>1819</v>
      </c>
      <c r="X387" s="91">
        <v>45089.0</v>
      </c>
      <c r="Y387" s="5">
        <v>4.0</v>
      </c>
      <c r="Z387" s="5">
        <v>4.0</v>
      </c>
      <c r="AA387" s="5">
        <v>9.0</v>
      </c>
      <c r="AB387" s="5">
        <v>61202.0</v>
      </c>
      <c r="AC387" s="5" t="s">
        <v>1772</v>
      </c>
      <c r="AD387" s="91">
        <v>44340.0</v>
      </c>
      <c r="AE387" s="91">
        <v>46166.0</v>
      </c>
      <c r="AF387" s="5"/>
      <c r="AG387" s="5"/>
      <c r="AH387" s="5">
        <v>5.307873424E10</v>
      </c>
      <c r="AI387" s="5">
        <v>80.0</v>
      </c>
      <c r="AJ387" s="5"/>
      <c r="AK387" s="5" t="s">
        <v>1773</v>
      </c>
      <c r="AL387" s="92">
        <v>0.0</v>
      </c>
      <c r="AM387" s="5" t="s">
        <v>1770</v>
      </c>
      <c r="AN387" s="5" t="s">
        <v>4382</v>
      </c>
      <c r="AO387" s="5"/>
      <c r="AP387" s="5"/>
      <c r="AQ387" s="5"/>
      <c r="AR387" s="5"/>
      <c r="AS387" s="5"/>
      <c r="AT387" s="5"/>
      <c r="AU387" s="5"/>
      <c r="AV387" s="5"/>
      <c r="AW387" s="5" t="s">
        <v>1770</v>
      </c>
      <c r="AX387" s="5"/>
      <c r="AY387" s="5"/>
      <c r="AZ387" s="5" t="s">
        <v>1770</v>
      </c>
      <c r="BA387" s="93">
        <v>0.0</v>
      </c>
      <c r="BB387" s="93">
        <v>0.0</v>
      </c>
      <c r="BC387" s="93">
        <v>0.0</v>
      </c>
      <c r="BD387" s="93">
        <v>0.0</v>
      </c>
      <c r="BE387" s="93">
        <v>0.0</v>
      </c>
      <c r="BF387" s="93">
        <v>0.0</v>
      </c>
      <c r="BG387" s="5"/>
      <c r="BH387" s="93">
        <v>0.0</v>
      </c>
      <c r="BI387" s="93">
        <v>0.0</v>
      </c>
      <c r="BJ387" s="93">
        <v>0.0</v>
      </c>
      <c r="BK387" s="93">
        <v>0.0</v>
      </c>
      <c r="BL387" s="93">
        <v>0.0</v>
      </c>
      <c r="BM387" s="93">
        <v>0.0</v>
      </c>
      <c r="BN387" s="93">
        <v>0.0</v>
      </c>
      <c r="BO387" s="5"/>
      <c r="BP387" s="5" t="s">
        <v>1770</v>
      </c>
      <c r="BQ387" s="5" t="s">
        <v>1789</v>
      </c>
      <c r="BR387" s="94">
        <v>45096.41550925926</v>
      </c>
      <c r="BS387" s="5">
        <v>40.0</v>
      </c>
      <c r="BT387" s="94">
        <v>45643.681597222225</v>
      </c>
      <c r="BU387" s="5">
        <v>40.0</v>
      </c>
      <c r="BV387" s="94">
        <v>45688.616944444446</v>
      </c>
      <c r="BW387" s="5" t="s">
        <v>1770</v>
      </c>
    </row>
    <row r="388" ht="14.25" customHeight="1">
      <c r="A388" s="5">
        <v>387.0</v>
      </c>
      <c r="B388" s="5">
        <v>652.0</v>
      </c>
      <c r="C388" s="5" t="s">
        <v>3745</v>
      </c>
      <c r="D388" s="5" t="s">
        <v>2414</v>
      </c>
      <c r="E388" s="5" t="s">
        <v>2195</v>
      </c>
      <c r="F388" s="5" t="s">
        <v>4653</v>
      </c>
      <c r="G388" s="5" t="s">
        <v>4654</v>
      </c>
      <c r="H388" s="5" t="s">
        <v>1972</v>
      </c>
      <c r="I388" s="5" t="s">
        <v>1782</v>
      </c>
      <c r="J388" s="91">
        <v>35538.0</v>
      </c>
      <c r="K388" s="5">
        <v>863.0</v>
      </c>
      <c r="L388" s="5" t="s">
        <v>4655</v>
      </c>
      <c r="M388" s="5">
        <v>437.0</v>
      </c>
      <c r="N388" s="5">
        <v>85.0</v>
      </c>
      <c r="O388" s="5">
        <v>54102.0</v>
      </c>
      <c r="P388" s="5" t="s">
        <v>4388</v>
      </c>
      <c r="Q388" s="5" t="s">
        <v>2041</v>
      </c>
      <c r="R388" s="5">
        <v>834.0</v>
      </c>
      <c r="S388" s="5">
        <v>4.43845319E9</v>
      </c>
      <c r="T388" s="5" t="s">
        <v>4656</v>
      </c>
      <c r="U388" s="5" t="s">
        <v>4657</v>
      </c>
      <c r="V388" s="5">
        <v>4.591077353E9</v>
      </c>
      <c r="W388" s="5" t="s">
        <v>1965</v>
      </c>
      <c r="X388" s="91">
        <v>45103.0</v>
      </c>
      <c r="Y388" s="5">
        <v>4.0</v>
      </c>
      <c r="Z388" s="5">
        <v>4.0</v>
      </c>
      <c r="AA388" s="5">
        <v>40.0</v>
      </c>
      <c r="AB388" s="5" t="s">
        <v>4658</v>
      </c>
      <c r="AC388" s="5" t="s">
        <v>1800</v>
      </c>
      <c r="AD388" s="91">
        <v>44195.0</v>
      </c>
      <c r="AE388" s="91">
        <v>55152.0</v>
      </c>
      <c r="AF388" s="5"/>
      <c r="AG388" s="5"/>
      <c r="AH388" s="5">
        <v>5.6169770791E10</v>
      </c>
      <c r="AI388" s="5">
        <v>80.0</v>
      </c>
      <c r="AJ388" s="5"/>
      <c r="AK388" s="5" t="s">
        <v>1773</v>
      </c>
      <c r="AL388" s="92">
        <v>0.0</v>
      </c>
      <c r="AM388" s="5" t="s">
        <v>1770</v>
      </c>
      <c r="AN388" s="5" t="s">
        <v>1774</v>
      </c>
      <c r="AO388" s="5"/>
      <c r="AP388" s="5"/>
      <c r="AQ388" s="5"/>
      <c r="AR388" s="5"/>
      <c r="AS388" s="5"/>
      <c r="AT388" s="5"/>
      <c r="AU388" s="5"/>
      <c r="AV388" s="5"/>
      <c r="AW388" s="5" t="s">
        <v>1770</v>
      </c>
      <c r="AX388" s="5"/>
      <c r="AY388" s="5"/>
      <c r="AZ388" s="5" t="s">
        <v>1770</v>
      </c>
      <c r="BA388" s="93">
        <v>0.0</v>
      </c>
      <c r="BB388" s="93">
        <v>0.0</v>
      </c>
      <c r="BC388" s="93">
        <v>0.0</v>
      </c>
      <c r="BD388" s="93">
        <v>0.0</v>
      </c>
      <c r="BE388" s="93">
        <v>0.0</v>
      </c>
      <c r="BF388" s="93">
        <v>0.0</v>
      </c>
      <c r="BG388" s="5"/>
      <c r="BH388" s="93">
        <v>0.0</v>
      </c>
      <c r="BI388" s="93">
        <v>0.0</v>
      </c>
      <c r="BJ388" s="93">
        <v>0.0</v>
      </c>
      <c r="BK388" s="93">
        <v>0.0</v>
      </c>
      <c r="BL388" s="93">
        <v>0.0</v>
      </c>
      <c r="BM388" s="93">
        <v>0.0</v>
      </c>
      <c r="BN388" s="93">
        <v>0.0</v>
      </c>
      <c r="BO388" s="5"/>
      <c r="BP388" s="5" t="s">
        <v>1770</v>
      </c>
      <c r="BQ388" s="5" t="s">
        <v>1789</v>
      </c>
      <c r="BR388" s="94">
        <v>45104.699594907404</v>
      </c>
      <c r="BS388" s="5">
        <v>40.0</v>
      </c>
      <c r="BT388" s="5" t="s">
        <v>1770</v>
      </c>
      <c r="BU388" s="5" t="s">
        <v>1770</v>
      </c>
      <c r="BV388" s="94">
        <v>45176.503958333335</v>
      </c>
      <c r="BW388" s="5">
        <v>40.0</v>
      </c>
    </row>
    <row r="389" ht="14.25" customHeight="1">
      <c r="A389" s="5">
        <v>388.0</v>
      </c>
      <c r="B389" s="5">
        <v>653.0</v>
      </c>
      <c r="C389" s="5" t="s">
        <v>3127</v>
      </c>
      <c r="D389" s="5" t="s">
        <v>2899</v>
      </c>
      <c r="E389" s="5" t="s">
        <v>4659</v>
      </c>
      <c r="F389" s="5" t="s">
        <v>4660</v>
      </c>
      <c r="G389" s="5" t="s">
        <v>4661</v>
      </c>
      <c r="H389" s="5" t="s">
        <v>4662</v>
      </c>
      <c r="I389" s="5" t="s">
        <v>1782</v>
      </c>
      <c r="J389" s="91">
        <v>35210.0</v>
      </c>
      <c r="K389" s="5">
        <v>791.0</v>
      </c>
      <c r="L389" s="5" t="s">
        <v>4663</v>
      </c>
      <c r="M389" s="5">
        <v>7.0</v>
      </c>
      <c r="N389" s="5"/>
      <c r="O389" s="5">
        <v>56742.0</v>
      </c>
      <c r="P389" s="5" t="s">
        <v>1797</v>
      </c>
      <c r="Q389" s="5" t="s">
        <v>4664</v>
      </c>
      <c r="R389" s="5">
        <v>791.0</v>
      </c>
      <c r="S389" s="5">
        <v>4.521443904E9</v>
      </c>
      <c r="T389" s="5" t="s">
        <v>4665</v>
      </c>
      <c r="U389" s="5" t="s">
        <v>4666</v>
      </c>
      <c r="V389" s="5">
        <v>7.531430467E9</v>
      </c>
      <c r="W389" s="5" t="s">
        <v>1965</v>
      </c>
      <c r="X389" s="91">
        <v>45103.0</v>
      </c>
      <c r="Y389" s="5">
        <v>4.0</v>
      </c>
      <c r="Z389" s="5">
        <v>1.0</v>
      </c>
      <c r="AA389" s="5">
        <v>1.0</v>
      </c>
      <c r="AB389" s="5">
        <v>227962.0</v>
      </c>
      <c r="AC389" s="5" t="s">
        <v>2274</v>
      </c>
      <c r="AD389" s="91">
        <v>44028.0</v>
      </c>
      <c r="AE389" s="91">
        <v>45854.0</v>
      </c>
      <c r="AF389" s="5"/>
      <c r="AG389" s="5"/>
      <c r="AH389" s="5">
        <v>5.3039600381E10</v>
      </c>
      <c r="AI389" s="5">
        <v>81.0</v>
      </c>
      <c r="AJ389" s="5"/>
      <c r="AK389" s="5" t="s">
        <v>1773</v>
      </c>
      <c r="AL389" s="92">
        <v>0.0</v>
      </c>
      <c r="AM389" s="5" t="s">
        <v>1770</v>
      </c>
      <c r="AN389" s="5" t="s">
        <v>1830</v>
      </c>
      <c r="AO389" s="5"/>
      <c r="AP389" s="5"/>
      <c r="AQ389" s="5"/>
      <c r="AR389" s="5"/>
      <c r="AS389" s="5"/>
      <c r="AT389" s="5"/>
      <c r="AU389" s="5"/>
      <c r="AV389" s="5"/>
      <c r="AW389" s="5" t="s">
        <v>1770</v>
      </c>
      <c r="AX389" s="5"/>
      <c r="AY389" s="5"/>
      <c r="AZ389" s="5" t="s">
        <v>1770</v>
      </c>
      <c r="BA389" s="93">
        <v>0.0</v>
      </c>
      <c r="BB389" s="93">
        <v>0.0</v>
      </c>
      <c r="BC389" s="93">
        <v>0.0</v>
      </c>
      <c r="BD389" s="93">
        <v>0.0</v>
      </c>
      <c r="BE389" s="93">
        <v>0.0</v>
      </c>
      <c r="BF389" s="93">
        <v>0.0</v>
      </c>
      <c r="BG389" s="5"/>
      <c r="BH389" s="93">
        <v>0.0</v>
      </c>
      <c r="BI389" s="93">
        <v>0.0</v>
      </c>
      <c r="BJ389" s="93">
        <v>0.0</v>
      </c>
      <c r="BK389" s="93">
        <v>0.0</v>
      </c>
      <c r="BL389" s="93">
        <v>0.0</v>
      </c>
      <c r="BM389" s="93">
        <v>0.0</v>
      </c>
      <c r="BN389" s="93">
        <v>0.0</v>
      </c>
      <c r="BO389" s="5"/>
      <c r="BP389" s="5" t="s">
        <v>1770</v>
      </c>
      <c r="BQ389" s="5" t="s">
        <v>1789</v>
      </c>
      <c r="BR389" s="94">
        <v>45104.70611111111</v>
      </c>
      <c r="BS389" s="5">
        <v>40.0</v>
      </c>
      <c r="BT389" s="94">
        <v>45324.55335648148</v>
      </c>
      <c r="BU389" s="5">
        <v>40.0</v>
      </c>
      <c r="BV389" s="94">
        <v>45343.41349537037</v>
      </c>
      <c r="BW389" s="5">
        <v>40.0</v>
      </c>
    </row>
    <row r="390" ht="14.25" customHeight="1">
      <c r="A390" s="5">
        <v>389.0</v>
      </c>
      <c r="B390" s="5">
        <v>654.0</v>
      </c>
      <c r="C390" s="5" t="s">
        <v>4667</v>
      </c>
      <c r="D390" s="100" t="s">
        <v>1898</v>
      </c>
      <c r="E390" s="5" t="s">
        <v>4144</v>
      </c>
      <c r="F390" s="5" t="s">
        <v>4668</v>
      </c>
      <c r="G390" s="5" t="s">
        <v>4669</v>
      </c>
      <c r="H390" s="5" t="s">
        <v>1815</v>
      </c>
      <c r="I390" s="5" t="s">
        <v>1763</v>
      </c>
      <c r="J390" s="91">
        <v>36623.0</v>
      </c>
      <c r="K390" s="5">
        <v>850.0</v>
      </c>
      <c r="L390" s="5" t="s">
        <v>4670</v>
      </c>
      <c r="M390" s="5">
        <v>26.0</v>
      </c>
      <c r="N390" s="5"/>
      <c r="O390" s="5">
        <v>55182.0</v>
      </c>
      <c r="P390" s="5" t="s">
        <v>3271</v>
      </c>
      <c r="Q390" s="5" t="s">
        <v>234</v>
      </c>
      <c r="R390" s="5">
        <v>850.0</v>
      </c>
      <c r="S390" s="5">
        <v>3.521460952E9</v>
      </c>
      <c r="T390" s="5" t="s">
        <v>4671</v>
      </c>
      <c r="U390" s="100" t="s">
        <v>4672</v>
      </c>
      <c r="V390" s="5">
        <v>3.521074431E9</v>
      </c>
      <c r="W390" s="5" t="s">
        <v>1819</v>
      </c>
      <c r="X390" s="91">
        <v>45103.0</v>
      </c>
      <c r="Y390" s="5">
        <v>3.0</v>
      </c>
      <c r="Z390" s="5">
        <v>4.0</v>
      </c>
      <c r="AA390" s="5">
        <v>37.0</v>
      </c>
      <c r="AB390" s="5"/>
      <c r="AC390" s="5"/>
      <c r="AD390" s="5" t="s">
        <v>1770</v>
      </c>
      <c r="AE390" s="5" t="s">
        <v>1770</v>
      </c>
      <c r="AF390" s="5"/>
      <c r="AG390" s="5"/>
      <c r="AH390" s="5">
        <v>8.130015152E9</v>
      </c>
      <c r="AI390" s="5">
        <v>77.0</v>
      </c>
      <c r="AJ390" s="5"/>
      <c r="AK390" s="5" t="s">
        <v>1773</v>
      </c>
      <c r="AL390" s="92">
        <v>0.0</v>
      </c>
      <c r="AM390" s="5" t="s">
        <v>1770</v>
      </c>
      <c r="AN390" s="5" t="s">
        <v>1830</v>
      </c>
      <c r="AO390" s="5"/>
      <c r="AP390" s="5"/>
      <c r="AQ390" s="5"/>
      <c r="AR390" s="5"/>
      <c r="AS390" s="5"/>
      <c r="AT390" s="5"/>
      <c r="AU390" s="5"/>
      <c r="AV390" s="5"/>
      <c r="AW390" s="5" t="s">
        <v>1770</v>
      </c>
      <c r="AX390" s="5"/>
      <c r="AY390" s="5"/>
      <c r="AZ390" s="5" t="s">
        <v>1770</v>
      </c>
      <c r="BA390" s="93">
        <v>0.0</v>
      </c>
      <c r="BB390" s="93">
        <v>0.0</v>
      </c>
      <c r="BC390" s="93">
        <v>0.0</v>
      </c>
      <c r="BD390" s="93">
        <v>0.0</v>
      </c>
      <c r="BE390" s="93">
        <v>0.0</v>
      </c>
      <c r="BF390" s="93">
        <v>0.0</v>
      </c>
      <c r="BG390" s="5"/>
      <c r="BH390" s="93">
        <v>0.0</v>
      </c>
      <c r="BI390" s="93">
        <v>0.0</v>
      </c>
      <c r="BJ390" s="93">
        <v>0.0</v>
      </c>
      <c r="BK390" s="93">
        <v>0.0</v>
      </c>
      <c r="BL390" s="93">
        <v>0.0</v>
      </c>
      <c r="BM390" s="93">
        <v>0.0</v>
      </c>
      <c r="BN390" s="93">
        <v>0.0</v>
      </c>
      <c r="BO390" s="5"/>
      <c r="BP390" s="5" t="s">
        <v>1770</v>
      </c>
      <c r="BQ390" s="5" t="s">
        <v>1789</v>
      </c>
      <c r="BR390" s="94">
        <v>45104.725949074076</v>
      </c>
      <c r="BS390" s="5">
        <v>40.0</v>
      </c>
      <c r="BT390" s="5" t="s">
        <v>1770</v>
      </c>
      <c r="BU390" s="5" t="s">
        <v>1770</v>
      </c>
      <c r="BV390" s="94">
        <v>45299.680914351855</v>
      </c>
      <c r="BW390" s="5">
        <v>40.0</v>
      </c>
    </row>
    <row r="391" ht="14.25" customHeight="1">
      <c r="A391" s="5">
        <v>390.0</v>
      </c>
      <c r="B391" s="5">
        <v>655.0</v>
      </c>
      <c r="C391" s="5" t="s">
        <v>2018</v>
      </c>
      <c r="D391" s="5" t="s">
        <v>3134</v>
      </c>
      <c r="E391" s="5" t="s">
        <v>4673</v>
      </c>
      <c r="F391" s="5" t="s">
        <v>4674</v>
      </c>
      <c r="G391" s="5" t="s">
        <v>4675</v>
      </c>
      <c r="H391" s="5" t="s">
        <v>1972</v>
      </c>
      <c r="I391" s="5" t="s">
        <v>1782</v>
      </c>
      <c r="J391" s="91">
        <v>36847.0</v>
      </c>
      <c r="K391" s="5" t="s">
        <v>1770</v>
      </c>
      <c r="L391" s="5" t="s">
        <v>4676</v>
      </c>
      <c r="M391" s="5">
        <v>90.0</v>
      </c>
      <c r="N391" s="5"/>
      <c r="O391" s="5">
        <v>55142.0</v>
      </c>
      <c r="P391" s="5" t="s">
        <v>4166</v>
      </c>
      <c r="Q391" s="5" t="s">
        <v>234</v>
      </c>
      <c r="R391" s="5">
        <v>850.0</v>
      </c>
      <c r="S391" s="5">
        <v>3.521254723E9</v>
      </c>
      <c r="T391" s="5" t="s">
        <v>4677</v>
      </c>
      <c r="U391" s="5" t="s">
        <v>4678</v>
      </c>
      <c r="V391" s="5">
        <v>3.521136462E9</v>
      </c>
      <c r="W391" s="5" t="s">
        <v>1808</v>
      </c>
      <c r="X391" s="91">
        <v>45110.0</v>
      </c>
      <c r="Y391" s="5">
        <v>3.0</v>
      </c>
      <c r="Z391" s="5">
        <v>1.0</v>
      </c>
      <c r="AA391" s="5">
        <v>1.0</v>
      </c>
      <c r="AB391" s="5" t="s">
        <v>4679</v>
      </c>
      <c r="AC391" s="5" t="s">
        <v>1800</v>
      </c>
      <c r="AD391" s="91">
        <v>44265.0</v>
      </c>
      <c r="AE391" s="91">
        <v>54857.0</v>
      </c>
      <c r="AF391" s="5"/>
      <c r="AG391" s="5"/>
      <c r="AH391" s="5">
        <v>5.3050002251E10</v>
      </c>
      <c r="AI391" s="5">
        <v>77.0</v>
      </c>
      <c r="AJ391" s="5"/>
      <c r="AK391" s="5" t="s">
        <v>1773</v>
      </c>
      <c r="AL391" s="92">
        <v>0.0</v>
      </c>
      <c r="AM391" s="5" t="s">
        <v>1770</v>
      </c>
      <c r="AN391" s="5" t="s">
        <v>1830</v>
      </c>
      <c r="AO391" s="5"/>
      <c r="AP391" s="5"/>
      <c r="AQ391" s="5"/>
      <c r="AR391" s="5"/>
      <c r="AS391" s="5"/>
      <c r="AT391" s="5"/>
      <c r="AU391" s="5"/>
      <c r="AV391" s="5"/>
      <c r="AW391" s="5" t="s">
        <v>1770</v>
      </c>
      <c r="AX391" s="5"/>
      <c r="AY391" s="5"/>
      <c r="AZ391" s="5" t="s">
        <v>1770</v>
      </c>
      <c r="BA391" s="93">
        <v>0.0</v>
      </c>
      <c r="BB391" s="93">
        <v>0.0</v>
      </c>
      <c r="BC391" s="93">
        <v>0.0</v>
      </c>
      <c r="BD391" s="93">
        <v>0.0</v>
      </c>
      <c r="BE391" s="93">
        <v>0.0</v>
      </c>
      <c r="BF391" s="93">
        <v>0.0</v>
      </c>
      <c r="BG391" s="5"/>
      <c r="BH391" s="93">
        <v>0.0</v>
      </c>
      <c r="BI391" s="93">
        <v>0.0</v>
      </c>
      <c r="BJ391" s="93">
        <v>0.0</v>
      </c>
      <c r="BK391" s="93">
        <v>0.0</v>
      </c>
      <c r="BL391" s="93">
        <v>0.0</v>
      </c>
      <c r="BM391" s="93">
        <v>0.0</v>
      </c>
      <c r="BN391" s="93">
        <v>0.0</v>
      </c>
      <c r="BO391" s="5"/>
      <c r="BP391" s="5" t="s">
        <v>1770</v>
      </c>
      <c r="BQ391" s="5" t="s">
        <v>1789</v>
      </c>
      <c r="BR391" s="94">
        <v>45110.686423611114</v>
      </c>
      <c r="BS391" s="5">
        <v>40.0</v>
      </c>
      <c r="BT391" s="94">
        <v>45324.51493055555</v>
      </c>
      <c r="BU391" s="5">
        <v>40.0</v>
      </c>
      <c r="BV391" s="94">
        <v>45407.38439814815</v>
      </c>
      <c r="BW391" s="5">
        <v>40.0</v>
      </c>
    </row>
    <row r="392" ht="14.25" customHeight="1">
      <c r="A392" s="5">
        <v>391.0</v>
      </c>
      <c r="B392" s="5">
        <v>656.0</v>
      </c>
      <c r="C392" s="5" t="s">
        <v>4680</v>
      </c>
      <c r="D392" s="5" t="s">
        <v>1758</v>
      </c>
      <c r="E392" s="5" t="s">
        <v>1926</v>
      </c>
      <c r="F392" s="5" t="s">
        <v>4681</v>
      </c>
      <c r="G392" s="5" t="s">
        <v>4682</v>
      </c>
      <c r="H392" s="5" t="s">
        <v>1815</v>
      </c>
      <c r="I392" s="5" t="s">
        <v>1763</v>
      </c>
      <c r="J392" s="91">
        <v>28146.0</v>
      </c>
      <c r="K392" s="5">
        <v>549.0</v>
      </c>
      <c r="L392" s="5" t="s">
        <v>3115</v>
      </c>
      <c r="M392" s="5">
        <v>35.0</v>
      </c>
      <c r="N392" s="5"/>
      <c r="O392" s="5">
        <v>43884.0</v>
      </c>
      <c r="P392" s="5" t="s">
        <v>2032</v>
      </c>
      <c r="Q392" s="5" t="s">
        <v>1766</v>
      </c>
      <c r="R392" s="5">
        <v>549.0</v>
      </c>
      <c r="S392" s="5">
        <v>3.931072979E9</v>
      </c>
      <c r="T392" s="5" t="s">
        <v>4683</v>
      </c>
      <c r="U392" s="5" t="s">
        <v>4684</v>
      </c>
      <c r="V392" s="5">
        <v>3.931072267E9</v>
      </c>
      <c r="W392" s="5" t="s">
        <v>1819</v>
      </c>
      <c r="X392" s="91">
        <v>45110.0</v>
      </c>
      <c r="Y392" s="5">
        <v>1.0</v>
      </c>
      <c r="Z392" s="5">
        <v>5.0</v>
      </c>
      <c r="AA392" s="5">
        <v>31.0</v>
      </c>
      <c r="AB392" s="5" t="s">
        <v>4685</v>
      </c>
      <c r="AC392" s="5" t="s">
        <v>1800</v>
      </c>
      <c r="AD392" s="91">
        <v>45072.0</v>
      </c>
      <c r="AE392" s="91">
        <v>46513.0</v>
      </c>
      <c r="AF392" s="5"/>
      <c r="AG392" s="5"/>
      <c r="AH392" s="5">
        <v>4.027700279E9</v>
      </c>
      <c r="AI392" s="5">
        <v>23.0</v>
      </c>
      <c r="AJ392" s="5"/>
      <c r="AK392" s="5" t="s">
        <v>1773</v>
      </c>
      <c r="AL392" s="92">
        <v>0.0</v>
      </c>
      <c r="AM392" s="5" t="s">
        <v>1770</v>
      </c>
      <c r="AN392" s="5" t="s">
        <v>1830</v>
      </c>
      <c r="AO392" s="5"/>
      <c r="AP392" s="5"/>
      <c r="AQ392" s="5"/>
      <c r="AR392" s="5"/>
      <c r="AS392" s="5"/>
      <c r="AT392" s="5"/>
      <c r="AU392" s="5"/>
      <c r="AV392" s="5"/>
      <c r="AW392" s="5" t="s">
        <v>1770</v>
      </c>
      <c r="AX392" s="5"/>
      <c r="AY392" s="5"/>
      <c r="AZ392" s="5" t="s">
        <v>1770</v>
      </c>
      <c r="BA392" s="93">
        <v>0.0</v>
      </c>
      <c r="BB392" s="93">
        <v>0.0</v>
      </c>
      <c r="BC392" s="93">
        <v>0.0</v>
      </c>
      <c r="BD392" s="93">
        <v>0.0</v>
      </c>
      <c r="BE392" s="93">
        <v>0.0</v>
      </c>
      <c r="BF392" s="93">
        <v>0.0</v>
      </c>
      <c r="BG392" s="5"/>
      <c r="BH392" s="93">
        <v>0.0</v>
      </c>
      <c r="BI392" s="93">
        <v>0.0</v>
      </c>
      <c r="BJ392" s="93">
        <v>0.0</v>
      </c>
      <c r="BK392" s="93">
        <v>0.0</v>
      </c>
      <c r="BL392" s="93">
        <v>0.0</v>
      </c>
      <c r="BM392" s="93">
        <v>0.0</v>
      </c>
      <c r="BN392" s="93">
        <v>0.0</v>
      </c>
      <c r="BO392" s="5"/>
      <c r="BP392" s="5"/>
      <c r="BQ392" s="5" t="s">
        <v>1775</v>
      </c>
      <c r="BR392" s="94">
        <v>45110.69299768518</v>
      </c>
      <c r="BS392" s="5">
        <v>40.0</v>
      </c>
      <c r="BT392" s="94">
        <v>46133.48030092593</v>
      </c>
      <c r="BU392" s="5">
        <v>272.0</v>
      </c>
      <c r="BV392" s="5" t="s">
        <v>1770</v>
      </c>
      <c r="BW392" s="5" t="s">
        <v>1770</v>
      </c>
    </row>
    <row r="393" ht="14.25" customHeight="1">
      <c r="A393" s="5">
        <v>392.0</v>
      </c>
      <c r="B393" s="5">
        <v>658.0</v>
      </c>
      <c r="C393" s="5" t="s">
        <v>3017</v>
      </c>
      <c r="D393" s="5" t="s">
        <v>2343</v>
      </c>
      <c r="E393" s="5" t="s">
        <v>2474</v>
      </c>
      <c r="F393" s="5" t="s">
        <v>4686</v>
      </c>
      <c r="G393" s="5" t="s">
        <v>4687</v>
      </c>
      <c r="H393" s="5" t="s">
        <v>1781</v>
      </c>
      <c r="I393" s="5" t="s">
        <v>1782</v>
      </c>
      <c r="J393" s="91">
        <v>28854.0</v>
      </c>
      <c r="K393" s="5">
        <v>570.0</v>
      </c>
      <c r="L393" s="5" t="s">
        <v>3008</v>
      </c>
      <c r="M393" s="5">
        <v>169.0</v>
      </c>
      <c r="N393" s="5"/>
      <c r="O393" s="5">
        <v>41922.0</v>
      </c>
      <c r="P393" s="5" t="s">
        <v>1797</v>
      </c>
      <c r="Q393" s="5" t="s">
        <v>2349</v>
      </c>
      <c r="R393" s="5">
        <v>597.0</v>
      </c>
      <c r="S393" s="5">
        <v>3.320354556E9</v>
      </c>
      <c r="T393" s="5" t="s">
        <v>4688</v>
      </c>
      <c r="U393" s="5" t="s">
        <v>4689</v>
      </c>
      <c r="V393" s="5">
        <v>3.2151132E9</v>
      </c>
      <c r="W393" s="5" t="s">
        <v>1819</v>
      </c>
      <c r="X393" s="91">
        <v>45124.0</v>
      </c>
      <c r="Y393" s="5">
        <v>5.0</v>
      </c>
      <c r="Z393" s="5">
        <v>19.0</v>
      </c>
      <c r="AA393" s="5">
        <v>1.0</v>
      </c>
      <c r="AB393" s="5" t="s">
        <v>4690</v>
      </c>
      <c r="AC393" s="5" t="s">
        <v>1800</v>
      </c>
      <c r="AD393" s="91">
        <v>45092.0</v>
      </c>
      <c r="AE393" s="91">
        <v>46553.0</v>
      </c>
      <c r="AF393" s="5"/>
      <c r="AG393" s="5"/>
      <c r="AH393" s="5">
        <v>7.4977816664E10</v>
      </c>
      <c r="AI393" s="5">
        <v>95.0</v>
      </c>
      <c r="AJ393" s="5"/>
      <c r="AK393" s="5" t="s">
        <v>1773</v>
      </c>
      <c r="AL393" s="92">
        <v>0.0</v>
      </c>
      <c r="AM393" s="5" t="s">
        <v>1770</v>
      </c>
      <c r="AN393" s="5" t="s">
        <v>2052</v>
      </c>
      <c r="AO393" s="5"/>
      <c r="AP393" s="5"/>
      <c r="AQ393" s="5"/>
      <c r="AR393" s="5"/>
      <c r="AS393" s="5"/>
      <c r="AT393" s="5"/>
      <c r="AU393" s="5"/>
      <c r="AV393" s="5"/>
      <c r="AW393" s="5" t="s">
        <v>1770</v>
      </c>
      <c r="AX393" s="5"/>
      <c r="AY393" s="5"/>
      <c r="AZ393" s="5" t="s">
        <v>1770</v>
      </c>
      <c r="BA393" s="93">
        <v>0.0</v>
      </c>
      <c r="BB393" s="93">
        <v>0.0</v>
      </c>
      <c r="BC393" s="93">
        <v>0.0</v>
      </c>
      <c r="BD393" s="93">
        <v>0.0</v>
      </c>
      <c r="BE393" s="93">
        <v>0.0</v>
      </c>
      <c r="BF393" s="93">
        <v>0.0</v>
      </c>
      <c r="BG393" s="5"/>
      <c r="BH393" s="93">
        <v>0.0</v>
      </c>
      <c r="BI393" s="93">
        <v>0.0</v>
      </c>
      <c r="BJ393" s="93">
        <v>0.0</v>
      </c>
      <c r="BK393" s="93">
        <v>0.0</v>
      </c>
      <c r="BL393" s="93">
        <v>0.0</v>
      </c>
      <c r="BM393" s="93">
        <v>0.0</v>
      </c>
      <c r="BN393" s="93">
        <v>0.0</v>
      </c>
      <c r="BO393" s="5"/>
      <c r="BP393" s="5" t="s">
        <v>1770</v>
      </c>
      <c r="BQ393" s="5" t="s">
        <v>1789</v>
      </c>
      <c r="BR393" s="94">
        <v>45128.73368055555</v>
      </c>
      <c r="BS393" s="5">
        <v>40.0</v>
      </c>
      <c r="BT393" s="5" t="s">
        <v>1770</v>
      </c>
      <c r="BU393" s="5" t="s">
        <v>1770</v>
      </c>
      <c r="BV393" s="94">
        <v>45316.49459490741</v>
      </c>
      <c r="BW393" s="5">
        <v>40.0</v>
      </c>
    </row>
    <row r="394" ht="14.25" customHeight="1">
      <c r="A394" s="5">
        <v>393.0</v>
      </c>
      <c r="B394" s="5">
        <v>659.0</v>
      </c>
      <c r="C394" s="5" t="s">
        <v>2125</v>
      </c>
      <c r="D394" s="5" t="s">
        <v>2011</v>
      </c>
      <c r="E394" s="5" t="s">
        <v>4691</v>
      </c>
      <c r="F394" s="5" t="s">
        <v>4692</v>
      </c>
      <c r="G394" s="5" t="s">
        <v>4693</v>
      </c>
      <c r="H394" s="5" t="s">
        <v>1781</v>
      </c>
      <c r="I394" s="5" t="s">
        <v>1782</v>
      </c>
      <c r="J394" s="91">
        <v>28912.0</v>
      </c>
      <c r="K394" s="5">
        <v>801.0</v>
      </c>
      <c r="L394" s="5" t="s">
        <v>4694</v>
      </c>
      <c r="M394" s="5">
        <v>65.0</v>
      </c>
      <c r="N394" s="5" t="s">
        <v>2340</v>
      </c>
      <c r="O394" s="5">
        <v>54642.0</v>
      </c>
      <c r="P394" s="5" t="s">
        <v>4695</v>
      </c>
      <c r="Q394" s="5" t="s">
        <v>2824</v>
      </c>
      <c r="R394" s="5">
        <v>801.0</v>
      </c>
      <c r="S394" s="5">
        <v>4.423890481E9</v>
      </c>
      <c r="T394" s="5" t="s">
        <v>4696</v>
      </c>
      <c r="U394" s="5" t="s">
        <v>4697</v>
      </c>
      <c r="V394" s="5">
        <v>4.43444817E9</v>
      </c>
      <c r="W394" s="5" t="s">
        <v>1787</v>
      </c>
      <c r="X394" s="91">
        <v>45131.0</v>
      </c>
      <c r="Y394" s="5">
        <v>4.0</v>
      </c>
      <c r="Z394" s="5">
        <v>3.0</v>
      </c>
      <c r="AA394" s="5">
        <v>58.0</v>
      </c>
      <c r="AB394" s="5" t="s">
        <v>4698</v>
      </c>
      <c r="AC394" s="5" t="s">
        <v>1800</v>
      </c>
      <c r="AD394" s="91">
        <v>44267.0</v>
      </c>
      <c r="AE394" s="91">
        <v>55224.0</v>
      </c>
      <c r="AF394" s="5"/>
      <c r="AG394" s="5"/>
      <c r="AH394" s="5">
        <v>5.398793484E10</v>
      </c>
      <c r="AI394" s="5">
        <v>80.0</v>
      </c>
      <c r="AJ394" s="5"/>
      <c r="AK394" s="5" t="s">
        <v>1773</v>
      </c>
      <c r="AL394" s="92">
        <v>0.0</v>
      </c>
      <c r="AM394" s="5" t="s">
        <v>1770</v>
      </c>
      <c r="AN394" s="5" t="s">
        <v>1830</v>
      </c>
      <c r="AO394" s="5"/>
      <c r="AP394" s="5"/>
      <c r="AQ394" s="5"/>
      <c r="AR394" s="5"/>
      <c r="AS394" s="5"/>
      <c r="AT394" s="5"/>
      <c r="AU394" s="5"/>
      <c r="AV394" s="5"/>
      <c r="AW394" s="5" t="s">
        <v>1770</v>
      </c>
      <c r="AX394" s="5"/>
      <c r="AY394" s="5"/>
      <c r="AZ394" s="5" t="s">
        <v>1770</v>
      </c>
      <c r="BA394" s="93">
        <v>0.0</v>
      </c>
      <c r="BB394" s="93">
        <v>0.0</v>
      </c>
      <c r="BC394" s="93">
        <v>0.0</v>
      </c>
      <c r="BD394" s="93">
        <v>0.0</v>
      </c>
      <c r="BE394" s="93">
        <v>0.0</v>
      </c>
      <c r="BF394" s="93">
        <v>0.0</v>
      </c>
      <c r="BG394" s="5"/>
      <c r="BH394" s="93">
        <v>0.0</v>
      </c>
      <c r="BI394" s="93">
        <v>0.0</v>
      </c>
      <c r="BJ394" s="93">
        <v>0.0</v>
      </c>
      <c r="BK394" s="93">
        <v>0.0</v>
      </c>
      <c r="BL394" s="93">
        <v>0.0</v>
      </c>
      <c r="BM394" s="93">
        <v>0.0</v>
      </c>
      <c r="BN394" s="93">
        <v>0.0</v>
      </c>
      <c r="BO394" s="5"/>
      <c r="BP394" s="5" t="s">
        <v>1770</v>
      </c>
      <c r="BQ394" s="5" t="s">
        <v>1789</v>
      </c>
      <c r="BR394" s="94">
        <v>45133.48118055556</v>
      </c>
      <c r="BS394" s="5">
        <v>40.0</v>
      </c>
      <c r="BT394" s="5" t="s">
        <v>1770</v>
      </c>
      <c r="BU394" s="5" t="s">
        <v>1770</v>
      </c>
      <c r="BV394" s="94">
        <v>45176.50331018519</v>
      </c>
      <c r="BW394" s="5">
        <v>40.0</v>
      </c>
    </row>
    <row r="395" ht="14.25" customHeight="1">
      <c r="A395" s="5">
        <v>394.0</v>
      </c>
      <c r="B395" s="5">
        <v>660.0</v>
      </c>
      <c r="C395" s="5" t="s">
        <v>4699</v>
      </c>
      <c r="D395" s="5" t="s">
        <v>2098</v>
      </c>
      <c r="E395" s="5" t="s">
        <v>1927</v>
      </c>
      <c r="F395" s="5" t="s">
        <v>4700</v>
      </c>
      <c r="G395" s="5" t="s">
        <v>4701</v>
      </c>
      <c r="H395" s="5" t="s">
        <v>1781</v>
      </c>
      <c r="I395" s="5" t="s">
        <v>1782</v>
      </c>
      <c r="J395" s="91">
        <v>25252.0</v>
      </c>
      <c r="K395" s="5">
        <v>281.0</v>
      </c>
      <c r="L395" s="5" t="s">
        <v>4702</v>
      </c>
      <c r="M395" s="5">
        <v>131.0</v>
      </c>
      <c r="N395" s="5"/>
      <c r="O395" s="5">
        <v>54682.0</v>
      </c>
      <c r="P395" s="5" t="s">
        <v>4703</v>
      </c>
      <c r="Q395" s="5" t="s">
        <v>2342</v>
      </c>
      <c r="R395" s="5">
        <v>869.0</v>
      </c>
      <c r="S395" s="5">
        <v>4.431070397E9</v>
      </c>
      <c r="T395" s="5" t="s">
        <v>4704</v>
      </c>
      <c r="U395" s="5" t="s">
        <v>4705</v>
      </c>
      <c r="V395" s="5">
        <v>4.434328335E9</v>
      </c>
      <c r="W395" s="5" t="s">
        <v>1787</v>
      </c>
      <c r="X395" s="91">
        <v>45131.0</v>
      </c>
      <c r="Y395" s="5">
        <v>4.0</v>
      </c>
      <c r="Z395" s="5">
        <v>3.0</v>
      </c>
      <c r="AA395" s="5">
        <v>58.0</v>
      </c>
      <c r="AB395" s="5" t="s">
        <v>4706</v>
      </c>
      <c r="AC395" s="5" t="s">
        <v>1800</v>
      </c>
      <c r="AD395" s="91">
        <v>43871.0</v>
      </c>
      <c r="AE395" s="91">
        <v>44602.0</v>
      </c>
      <c r="AF395" s="5"/>
      <c r="AG395" s="5"/>
      <c r="AH395" s="5">
        <v>3.0896929988E10</v>
      </c>
      <c r="AI395" s="5">
        <v>80.0</v>
      </c>
      <c r="AJ395" s="5"/>
      <c r="AK395" s="5" t="s">
        <v>1773</v>
      </c>
      <c r="AL395" s="92">
        <v>0.0</v>
      </c>
      <c r="AM395" s="5" t="s">
        <v>1770</v>
      </c>
      <c r="AN395" s="5" t="s">
        <v>1830</v>
      </c>
      <c r="AO395" s="5"/>
      <c r="AP395" s="5"/>
      <c r="AQ395" s="5"/>
      <c r="AR395" s="5"/>
      <c r="AS395" s="5"/>
      <c r="AT395" s="5"/>
      <c r="AU395" s="5"/>
      <c r="AV395" s="5"/>
      <c r="AW395" s="5" t="s">
        <v>1770</v>
      </c>
      <c r="AX395" s="5"/>
      <c r="AY395" s="5"/>
      <c r="AZ395" s="5" t="s">
        <v>1770</v>
      </c>
      <c r="BA395" s="93">
        <v>0.0</v>
      </c>
      <c r="BB395" s="93">
        <v>0.0</v>
      </c>
      <c r="BC395" s="93">
        <v>0.0</v>
      </c>
      <c r="BD395" s="93">
        <v>0.0</v>
      </c>
      <c r="BE395" s="93">
        <v>0.0</v>
      </c>
      <c r="BF395" s="93">
        <v>0.0</v>
      </c>
      <c r="BG395" s="5"/>
      <c r="BH395" s="93">
        <v>0.0</v>
      </c>
      <c r="BI395" s="93">
        <v>0.0</v>
      </c>
      <c r="BJ395" s="93">
        <v>0.0</v>
      </c>
      <c r="BK395" s="93">
        <v>0.0</v>
      </c>
      <c r="BL395" s="93">
        <v>0.0</v>
      </c>
      <c r="BM395" s="93">
        <v>0.0</v>
      </c>
      <c r="BN395" s="93">
        <v>0.0</v>
      </c>
      <c r="BO395" s="5"/>
      <c r="BP395" s="5" t="s">
        <v>1770</v>
      </c>
      <c r="BQ395" s="5" t="s">
        <v>1789</v>
      </c>
      <c r="BR395" s="94">
        <v>45133.492800925924</v>
      </c>
      <c r="BS395" s="5">
        <v>40.0</v>
      </c>
      <c r="BT395" s="5" t="s">
        <v>1770</v>
      </c>
      <c r="BU395" s="5" t="s">
        <v>1770</v>
      </c>
      <c r="BV395" s="94">
        <v>45299.6812037037</v>
      </c>
      <c r="BW395" s="5">
        <v>40.0</v>
      </c>
    </row>
    <row r="396" ht="14.25" customHeight="1">
      <c r="A396" s="5">
        <v>395.0</v>
      </c>
      <c r="B396" s="5">
        <v>661.0</v>
      </c>
      <c r="C396" s="5" t="s">
        <v>4707</v>
      </c>
      <c r="D396" s="5" t="s">
        <v>1823</v>
      </c>
      <c r="E396" s="5" t="s">
        <v>1778</v>
      </c>
      <c r="F396" s="5" t="s">
        <v>4708</v>
      </c>
      <c r="G396" s="5" t="s">
        <v>4709</v>
      </c>
      <c r="H396" s="5" t="s">
        <v>2671</v>
      </c>
      <c r="I396" s="5" t="s">
        <v>1782</v>
      </c>
      <c r="J396" s="91">
        <v>33217.0</v>
      </c>
      <c r="K396" s="5">
        <v>421.0</v>
      </c>
      <c r="L396" s="100" t="s">
        <v>4710</v>
      </c>
      <c r="M396" s="5">
        <v>52.0</v>
      </c>
      <c r="N396" s="5"/>
      <c r="O396" s="5">
        <v>36042.0</v>
      </c>
      <c r="P396" s="100" t="s">
        <v>4711</v>
      </c>
      <c r="Q396" s="5" t="s">
        <v>4712</v>
      </c>
      <c r="R396" s="5">
        <v>604.0</v>
      </c>
      <c r="S396" s="5">
        <v>4.772559237E9</v>
      </c>
      <c r="T396" s="5" t="s">
        <v>4713</v>
      </c>
      <c r="U396" s="5" t="s">
        <v>4714</v>
      </c>
      <c r="V396" s="5">
        <v>4.772719351E9</v>
      </c>
      <c r="W396" s="5" t="s">
        <v>1808</v>
      </c>
      <c r="X396" s="91">
        <v>45131.0</v>
      </c>
      <c r="Y396" s="5">
        <v>6.0</v>
      </c>
      <c r="Z396" s="5">
        <v>19.0</v>
      </c>
      <c r="AA396" s="5">
        <v>1.0</v>
      </c>
      <c r="AB396" s="5" t="s">
        <v>4715</v>
      </c>
      <c r="AC396" s="5" t="s">
        <v>1772</v>
      </c>
      <c r="AD396" s="91">
        <v>43656.0</v>
      </c>
      <c r="AE396" s="91">
        <v>45483.0</v>
      </c>
      <c r="AF396" s="5"/>
      <c r="AG396" s="5"/>
      <c r="AH396" s="5">
        <v>1.2079086273E10</v>
      </c>
      <c r="AI396" s="5">
        <v>23.0</v>
      </c>
      <c r="AJ396" s="5"/>
      <c r="AK396" s="5" t="s">
        <v>1773</v>
      </c>
      <c r="AL396" s="92">
        <v>0.0</v>
      </c>
      <c r="AM396" s="5" t="s">
        <v>1770</v>
      </c>
      <c r="AN396" s="5" t="s">
        <v>1830</v>
      </c>
      <c r="AO396" s="5"/>
      <c r="AP396" s="5"/>
      <c r="AQ396" s="5"/>
      <c r="AR396" s="5"/>
      <c r="AS396" s="5"/>
      <c r="AT396" s="5"/>
      <c r="AU396" s="5"/>
      <c r="AV396" s="5"/>
      <c r="AW396" s="5" t="s">
        <v>1770</v>
      </c>
      <c r="AX396" s="5"/>
      <c r="AY396" s="5"/>
      <c r="AZ396" s="5" t="s">
        <v>1770</v>
      </c>
      <c r="BA396" s="93">
        <v>0.0</v>
      </c>
      <c r="BB396" s="93">
        <v>0.0</v>
      </c>
      <c r="BC396" s="93">
        <v>0.0</v>
      </c>
      <c r="BD396" s="93">
        <v>0.0</v>
      </c>
      <c r="BE396" s="93">
        <v>0.0</v>
      </c>
      <c r="BF396" s="93">
        <v>0.0</v>
      </c>
      <c r="BG396" s="5"/>
      <c r="BH396" s="93">
        <v>0.0</v>
      </c>
      <c r="BI396" s="93">
        <v>0.0</v>
      </c>
      <c r="BJ396" s="93">
        <v>0.0</v>
      </c>
      <c r="BK396" s="93">
        <v>0.0</v>
      </c>
      <c r="BL396" s="93">
        <v>0.0</v>
      </c>
      <c r="BM396" s="93">
        <v>0.0</v>
      </c>
      <c r="BN396" s="93">
        <v>0.0</v>
      </c>
      <c r="BO396" s="5"/>
      <c r="BP396" s="5" t="s">
        <v>1770</v>
      </c>
      <c r="BQ396" s="5" t="s">
        <v>1789</v>
      </c>
      <c r="BR396" s="94">
        <v>45133.52108796296</v>
      </c>
      <c r="BS396" s="5">
        <v>40.0</v>
      </c>
      <c r="BT396" s="94">
        <v>45324.50834490741</v>
      </c>
      <c r="BU396" s="5">
        <v>40.0</v>
      </c>
      <c r="BV396" s="94">
        <v>45343.41336805555</v>
      </c>
      <c r="BW396" s="5">
        <v>40.0</v>
      </c>
    </row>
    <row r="397" ht="14.25" customHeight="1">
      <c r="A397" s="5">
        <v>396.0</v>
      </c>
      <c r="B397" s="5">
        <v>662.0</v>
      </c>
      <c r="C397" s="5" t="s">
        <v>2877</v>
      </c>
      <c r="D397" s="5" t="s">
        <v>4716</v>
      </c>
      <c r="E397" s="5" t="s">
        <v>1792</v>
      </c>
      <c r="F397" s="5" t="s">
        <v>4717</v>
      </c>
      <c r="G397" s="5" t="s">
        <v>4718</v>
      </c>
      <c r="H397" s="5" t="s">
        <v>1781</v>
      </c>
      <c r="I397" s="5" t="s">
        <v>1782</v>
      </c>
      <c r="J397" s="91">
        <v>29657.0</v>
      </c>
      <c r="K397" s="5">
        <v>816.0</v>
      </c>
      <c r="L397" s="5" t="s">
        <v>2991</v>
      </c>
      <c r="M397" s="5">
        <v>48.0</v>
      </c>
      <c r="N397" s="5"/>
      <c r="O397" s="5">
        <v>53972.0</v>
      </c>
      <c r="P397" s="5" t="s">
        <v>1995</v>
      </c>
      <c r="Q397" s="5" t="s">
        <v>2041</v>
      </c>
      <c r="R397" s="5">
        <v>834.0</v>
      </c>
      <c r="S397" s="5">
        <v>4.432010562E9</v>
      </c>
      <c r="T397" s="5" t="s">
        <v>4719</v>
      </c>
      <c r="U397" s="5" t="s">
        <v>4720</v>
      </c>
      <c r="V397" s="5">
        <v>4.432641952E9</v>
      </c>
      <c r="W397" s="5" t="s">
        <v>1787</v>
      </c>
      <c r="X397" s="91">
        <v>45139.0</v>
      </c>
      <c r="Y397" s="5">
        <v>4.0</v>
      </c>
      <c r="Z397" s="5">
        <v>1.0</v>
      </c>
      <c r="AA397" s="5">
        <v>79.0</v>
      </c>
      <c r="AB397" s="5" t="s">
        <v>4721</v>
      </c>
      <c r="AC397" s="5" t="s">
        <v>1772</v>
      </c>
      <c r="AD397" s="91">
        <v>44908.0</v>
      </c>
      <c r="AE397" s="91">
        <v>55866.0</v>
      </c>
      <c r="AF397" s="5"/>
      <c r="AG397" s="5"/>
      <c r="AH397" s="5">
        <v>5.3978105681E10</v>
      </c>
      <c r="AI397" s="5">
        <v>80.0</v>
      </c>
      <c r="AJ397" s="5"/>
      <c r="AK397" s="5" t="s">
        <v>1773</v>
      </c>
      <c r="AL397" s="92">
        <v>0.0</v>
      </c>
      <c r="AM397" s="5" t="s">
        <v>1770</v>
      </c>
      <c r="AN397" s="5" t="s">
        <v>1774</v>
      </c>
      <c r="AO397" s="5"/>
      <c r="AP397" s="5"/>
      <c r="AQ397" s="5"/>
      <c r="AR397" s="5"/>
      <c r="AS397" s="5"/>
      <c r="AT397" s="5"/>
      <c r="AU397" s="5"/>
      <c r="AV397" s="5"/>
      <c r="AW397" s="5" t="s">
        <v>1770</v>
      </c>
      <c r="AX397" s="5"/>
      <c r="AY397" s="5"/>
      <c r="AZ397" s="5" t="s">
        <v>1770</v>
      </c>
      <c r="BA397" s="93">
        <v>0.0</v>
      </c>
      <c r="BB397" s="93">
        <v>0.0</v>
      </c>
      <c r="BC397" s="93">
        <v>0.0</v>
      </c>
      <c r="BD397" s="93">
        <v>0.0</v>
      </c>
      <c r="BE397" s="93">
        <v>0.0</v>
      </c>
      <c r="BF397" s="93">
        <v>0.0</v>
      </c>
      <c r="BG397" s="5"/>
      <c r="BH397" s="93">
        <v>0.0</v>
      </c>
      <c r="BI397" s="93">
        <v>0.0</v>
      </c>
      <c r="BJ397" s="93">
        <v>0.0</v>
      </c>
      <c r="BK397" s="93">
        <v>0.0</v>
      </c>
      <c r="BL397" s="93">
        <v>0.0</v>
      </c>
      <c r="BM397" s="93">
        <v>0.0</v>
      </c>
      <c r="BN397" s="93">
        <v>0.0</v>
      </c>
      <c r="BO397" s="5"/>
      <c r="BP397" s="5"/>
      <c r="BQ397" s="5" t="s">
        <v>1775</v>
      </c>
      <c r="BR397" s="94">
        <v>45141.51797453704</v>
      </c>
      <c r="BS397" s="5">
        <v>40.0</v>
      </c>
      <c r="BT397" s="94">
        <v>46134.600266203706</v>
      </c>
      <c r="BU397" s="5" t="s">
        <v>1770</v>
      </c>
      <c r="BV397" s="5" t="s">
        <v>1770</v>
      </c>
      <c r="BW397" s="5" t="s">
        <v>1770</v>
      </c>
    </row>
    <row r="398" ht="14.25" customHeight="1">
      <c r="A398" s="5">
        <v>397.0</v>
      </c>
      <c r="B398" s="5">
        <v>663.0</v>
      </c>
      <c r="C398" s="5" t="s">
        <v>4722</v>
      </c>
      <c r="D398" s="5" t="s">
        <v>4723</v>
      </c>
      <c r="E398" s="5" t="s">
        <v>2074</v>
      </c>
      <c r="F398" s="5" t="s">
        <v>4724</v>
      </c>
      <c r="G398" s="5" t="s">
        <v>4725</v>
      </c>
      <c r="H398" s="5" t="s">
        <v>1781</v>
      </c>
      <c r="I398" s="5" t="s">
        <v>1782</v>
      </c>
      <c r="J398" s="91">
        <v>35214.0</v>
      </c>
      <c r="K398" s="5">
        <v>594.0</v>
      </c>
      <c r="L398" s="5" t="s">
        <v>4271</v>
      </c>
      <c r="M398" s="5">
        <v>8.0</v>
      </c>
      <c r="N398" s="5"/>
      <c r="O398" s="5">
        <v>43882.0</v>
      </c>
      <c r="P398" s="5" t="s">
        <v>2032</v>
      </c>
      <c r="Q398" s="5" t="s">
        <v>1766</v>
      </c>
      <c r="R398" s="5">
        <v>549.0</v>
      </c>
      <c r="S398" s="5">
        <v>3.933987161E9</v>
      </c>
      <c r="T398" s="5" t="s">
        <v>4726</v>
      </c>
      <c r="U398" s="100" t="s">
        <v>4727</v>
      </c>
      <c r="V398" s="5">
        <v>3.931170472E9</v>
      </c>
      <c r="W398" s="5" t="s">
        <v>1787</v>
      </c>
      <c r="X398" s="91">
        <v>45139.0</v>
      </c>
      <c r="Y398" s="5">
        <v>5.0</v>
      </c>
      <c r="Z398" s="5">
        <v>19.0</v>
      </c>
      <c r="AA398" s="5">
        <v>45.0</v>
      </c>
      <c r="AB398" s="5" t="s">
        <v>4728</v>
      </c>
      <c r="AC398" s="5" t="s">
        <v>1800</v>
      </c>
      <c r="AD398" s="91">
        <v>43844.0</v>
      </c>
      <c r="AE398" s="91">
        <v>45305.0</v>
      </c>
      <c r="AF398" s="5"/>
      <c r="AG398" s="5"/>
      <c r="AH398" s="5">
        <v>3.159634751E9</v>
      </c>
      <c r="AI398" s="5">
        <v>23.0</v>
      </c>
      <c r="AJ398" s="5"/>
      <c r="AK398" s="5" t="s">
        <v>1773</v>
      </c>
      <c r="AL398" s="92">
        <v>0.0</v>
      </c>
      <c r="AM398" s="5" t="s">
        <v>1770</v>
      </c>
      <c r="AN398" s="5" t="s">
        <v>1830</v>
      </c>
      <c r="AO398" s="5"/>
      <c r="AP398" s="5"/>
      <c r="AQ398" s="5"/>
      <c r="AR398" s="5"/>
      <c r="AS398" s="5"/>
      <c r="AT398" s="5"/>
      <c r="AU398" s="5"/>
      <c r="AV398" s="5"/>
      <c r="AW398" s="5" t="s">
        <v>1770</v>
      </c>
      <c r="AX398" s="5"/>
      <c r="AY398" s="5"/>
      <c r="AZ398" s="5" t="s">
        <v>1770</v>
      </c>
      <c r="BA398" s="93">
        <v>0.0</v>
      </c>
      <c r="BB398" s="93">
        <v>0.0</v>
      </c>
      <c r="BC398" s="93">
        <v>0.0</v>
      </c>
      <c r="BD398" s="93">
        <v>0.0</v>
      </c>
      <c r="BE398" s="93">
        <v>0.0</v>
      </c>
      <c r="BF398" s="93">
        <v>0.0</v>
      </c>
      <c r="BG398" s="5"/>
      <c r="BH398" s="93">
        <v>0.0</v>
      </c>
      <c r="BI398" s="93">
        <v>0.0</v>
      </c>
      <c r="BJ398" s="93">
        <v>0.0</v>
      </c>
      <c r="BK398" s="93">
        <v>0.0</v>
      </c>
      <c r="BL398" s="93">
        <v>0.0</v>
      </c>
      <c r="BM398" s="93">
        <v>0.0</v>
      </c>
      <c r="BN398" s="93">
        <v>0.0</v>
      </c>
      <c r="BO398" s="5"/>
      <c r="BP398" s="5" t="s">
        <v>1770</v>
      </c>
      <c r="BQ398" s="5" t="s">
        <v>1789</v>
      </c>
      <c r="BR398" s="94">
        <v>45141.52369212963</v>
      </c>
      <c r="BS398" s="5">
        <v>40.0</v>
      </c>
      <c r="BT398" s="5" t="s">
        <v>1770</v>
      </c>
      <c r="BU398" s="5" t="s">
        <v>1770</v>
      </c>
      <c r="BV398" s="94">
        <v>45169.59997685185</v>
      </c>
      <c r="BW398" s="5">
        <v>40.0</v>
      </c>
    </row>
    <row r="399" ht="14.25" customHeight="1">
      <c r="A399" s="5">
        <v>398.0</v>
      </c>
      <c r="B399" s="5">
        <v>666.0</v>
      </c>
      <c r="C399" s="5" t="s">
        <v>2877</v>
      </c>
      <c r="D399" s="5" t="s">
        <v>1778</v>
      </c>
      <c r="E399" s="100" t="s">
        <v>1811</v>
      </c>
      <c r="F399" s="5" t="s">
        <v>4729</v>
      </c>
      <c r="G399" s="5" t="s">
        <v>4730</v>
      </c>
      <c r="H399" s="5" t="s">
        <v>1972</v>
      </c>
      <c r="I399" s="5" t="s">
        <v>1782</v>
      </c>
      <c r="J399" s="91">
        <v>38310.0</v>
      </c>
      <c r="K399" s="5">
        <v>549.0</v>
      </c>
      <c r="L399" s="5" t="s">
        <v>4731</v>
      </c>
      <c r="M399" s="5">
        <v>8.0</v>
      </c>
      <c r="N399" s="5"/>
      <c r="O399" s="5">
        <v>43896.0</v>
      </c>
      <c r="P399" s="5" t="s">
        <v>4732</v>
      </c>
      <c r="Q399" s="5" t="s">
        <v>4732</v>
      </c>
      <c r="R399" s="5">
        <v>549.0</v>
      </c>
      <c r="S399" s="5">
        <v>3.931675799E9</v>
      </c>
      <c r="T399" s="5" t="s">
        <v>4733</v>
      </c>
      <c r="U399" s="100" t="s">
        <v>4734</v>
      </c>
      <c r="V399" s="5">
        <v>3.931970704E9</v>
      </c>
      <c r="W399" s="5" t="s">
        <v>1924</v>
      </c>
      <c r="X399" s="91">
        <v>45139.0</v>
      </c>
      <c r="Y399" s="5" t="s">
        <v>1770</v>
      </c>
      <c r="Z399" s="5">
        <v>4.0</v>
      </c>
      <c r="AA399" s="5">
        <v>13.0</v>
      </c>
      <c r="AB399" s="5" t="s">
        <v>4735</v>
      </c>
      <c r="AC399" s="5" t="s">
        <v>1800</v>
      </c>
      <c r="AD399" s="91">
        <v>45517.0</v>
      </c>
      <c r="AE399" s="91">
        <v>46978.0</v>
      </c>
      <c r="AF399" s="5"/>
      <c r="AG399" s="5"/>
      <c r="AH399" s="5">
        <v>5.200464864E9</v>
      </c>
      <c r="AI399" s="5"/>
      <c r="AJ399" s="5"/>
      <c r="AK399" s="5" t="s">
        <v>1773</v>
      </c>
      <c r="AL399" s="92">
        <v>0.0</v>
      </c>
      <c r="AM399" s="5" t="s">
        <v>1770</v>
      </c>
      <c r="AN399" s="5" t="s">
        <v>1830</v>
      </c>
      <c r="AO399" s="5"/>
      <c r="AP399" s="5"/>
      <c r="AQ399" s="5"/>
      <c r="AR399" s="5"/>
      <c r="AS399" s="5"/>
      <c r="AT399" s="5"/>
      <c r="AU399" s="5"/>
      <c r="AV399" s="5"/>
      <c r="AW399" s="5" t="s">
        <v>1770</v>
      </c>
      <c r="AX399" s="5"/>
      <c r="AY399" s="5"/>
      <c r="AZ399" s="5" t="s">
        <v>1770</v>
      </c>
      <c r="BA399" s="93">
        <v>0.0</v>
      </c>
      <c r="BB399" s="93">
        <v>0.0</v>
      </c>
      <c r="BC399" s="93">
        <v>0.0</v>
      </c>
      <c r="BD399" s="93">
        <v>0.0</v>
      </c>
      <c r="BE399" s="93">
        <v>0.0</v>
      </c>
      <c r="BF399" s="93">
        <v>0.0</v>
      </c>
      <c r="BG399" s="5"/>
      <c r="BH399" s="93">
        <v>0.0</v>
      </c>
      <c r="BI399" s="93">
        <v>0.0</v>
      </c>
      <c r="BJ399" s="93">
        <v>0.0</v>
      </c>
      <c r="BK399" s="93">
        <v>0.0</v>
      </c>
      <c r="BL399" s="93">
        <v>0.0</v>
      </c>
      <c r="BM399" s="93">
        <v>0.0</v>
      </c>
      <c r="BN399" s="93">
        <v>0.0</v>
      </c>
      <c r="BO399" s="5"/>
      <c r="BP399" s="5"/>
      <c r="BQ399" s="5" t="s">
        <v>1775</v>
      </c>
      <c r="BR399" s="94">
        <v>45149.54684027778</v>
      </c>
      <c r="BS399" s="5">
        <v>196.0</v>
      </c>
      <c r="BT399" s="94">
        <v>46135.42340277778</v>
      </c>
      <c r="BU399" s="5" t="s">
        <v>1770</v>
      </c>
      <c r="BV399" s="5" t="s">
        <v>1770</v>
      </c>
      <c r="BW399" s="5" t="s">
        <v>1770</v>
      </c>
    </row>
    <row r="400" ht="14.25" customHeight="1">
      <c r="A400" s="5">
        <v>399.0</v>
      </c>
      <c r="B400" s="5">
        <v>673.0</v>
      </c>
      <c r="C400" s="5" t="s">
        <v>4736</v>
      </c>
      <c r="D400" s="5" t="s">
        <v>2001</v>
      </c>
      <c r="E400" s="5" t="s">
        <v>4737</v>
      </c>
      <c r="F400" s="5" t="s">
        <v>4738</v>
      </c>
      <c r="G400" s="5" t="s">
        <v>4739</v>
      </c>
      <c r="H400" s="5" t="s">
        <v>1781</v>
      </c>
      <c r="I400" s="5" t="s">
        <v>1782</v>
      </c>
      <c r="J400" s="91">
        <v>26692.0</v>
      </c>
      <c r="K400" s="5">
        <v>2408.0</v>
      </c>
      <c r="L400" s="5" t="s">
        <v>2868</v>
      </c>
      <c r="M400" s="5">
        <v>5526.0</v>
      </c>
      <c r="N400" s="5"/>
      <c r="O400" s="5">
        <v>40990.0</v>
      </c>
      <c r="P400" s="5" t="s">
        <v>2490</v>
      </c>
      <c r="Q400" s="5" t="s">
        <v>4740</v>
      </c>
      <c r="R400" s="5">
        <v>651.0</v>
      </c>
      <c r="S400" s="5">
        <v>3.322757211E9</v>
      </c>
      <c r="T400" s="5" t="s">
        <v>4741</v>
      </c>
      <c r="U400" s="100" t="s">
        <v>4742</v>
      </c>
      <c r="V400" s="5">
        <v>3.312483504E9</v>
      </c>
      <c r="W400" s="5" t="s">
        <v>1787</v>
      </c>
      <c r="X400" s="91">
        <v>45166.0</v>
      </c>
      <c r="Y400" s="5">
        <v>5.0</v>
      </c>
      <c r="Z400" s="5">
        <v>19.0</v>
      </c>
      <c r="AA400" s="5">
        <v>1.0</v>
      </c>
      <c r="AB400" s="5" t="s">
        <v>4743</v>
      </c>
      <c r="AC400" s="5" t="s">
        <v>1800</v>
      </c>
      <c r="AD400" s="91">
        <v>45091.0</v>
      </c>
      <c r="AE400" s="91">
        <v>46552.0</v>
      </c>
      <c r="AF400" s="5"/>
      <c r="AG400" s="5"/>
      <c r="AH400" s="5">
        <v>3.5907374462E10</v>
      </c>
      <c r="AI400" s="5">
        <v>95.0</v>
      </c>
      <c r="AJ400" s="5"/>
      <c r="AK400" s="5" t="s">
        <v>1773</v>
      </c>
      <c r="AL400" s="92">
        <v>0.0</v>
      </c>
      <c r="AM400" s="5" t="s">
        <v>1770</v>
      </c>
      <c r="AN400" s="5" t="s">
        <v>1830</v>
      </c>
      <c r="AO400" s="5"/>
      <c r="AP400" s="5"/>
      <c r="AQ400" s="5"/>
      <c r="AR400" s="5"/>
      <c r="AS400" s="5"/>
      <c r="AT400" s="5"/>
      <c r="AU400" s="5"/>
      <c r="AV400" s="5"/>
      <c r="AW400" s="5" t="s">
        <v>1770</v>
      </c>
      <c r="AX400" s="5"/>
      <c r="AY400" s="5"/>
      <c r="AZ400" s="5" t="s">
        <v>1770</v>
      </c>
      <c r="BA400" s="93">
        <v>0.0</v>
      </c>
      <c r="BB400" s="93">
        <v>0.0</v>
      </c>
      <c r="BC400" s="93">
        <v>0.0</v>
      </c>
      <c r="BD400" s="93">
        <v>0.0</v>
      </c>
      <c r="BE400" s="93">
        <v>0.0</v>
      </c>
      <c r="BF400" s="93">
        <v>0.0</v>
      </c>
      <c r="BG400" s="5"/>
      <c r="BH400" s="93">
        <v>0.0</v>
      </c>
      <c r="BI400" s="93">
        <v>0.0</v>
      </c>
      <c r="BJ400" s="93">
        <v>0.0</v>
      </c>
      <c r="BK400" s="93">
        <v>0.0</v>
      </c>
      <c r="BL400" s="93">
        <v>0.0</v>
      </c>
      <c r="BM400" s="93">
        <v>0.0</v>
      </c>
      <c r="BN400" s="93">
        <v>0.0</v>
      </c>
      <c r="BO400" s="5"/>
      <c r="BP400" s="5" t="s">
        <v>1770</v>
      </c>
      <c r="BQ400" s="5" t="s">
        <v>1789</v>
      </c>
      <c r="BR400" s="94">
        <v>45169.59978009259</v>
      </c>
      <c r="BS400" s="5">
        <v>40.0</v>
      </c>
      <c r="BT400" s="94">
        <v>45324.55200231481</v>
      </c>
      <c r="BU400" s="5">
        <v>40.0</v>
      </c>
      <c r="BV400" s="94">
        <v>45407.384201388886</v>
      </c>
      <c r="BW400" s="5">
        <v>40.0</v>
      </c>
    </row>
    <row r="401" ht="14.25" customHeight="1">
      <c r="A401" s="5">
        <v>400.0</v>
      </c>
      <c r="B401" s="5">
        <v>671.0</v>
      </c>
      <c r="C401" s="5" t="s">
        <v>4744</v>
      </c>
      <c r="D401" s="5" t="s">
        <v>1792</v>
      </c>
      <c r="E401" s="5" t="s">
        <v>2642</v>
      </c>
      <c r="F401" s="5" t="s">
        <v>4745</v>
      </c>
      <c r="G401" s="5" t="s">
        <v>4746</v>
      </c>
      <c r="H401" s="5" t="s">
        <v>1781</v>
      </c>
      <c r="I401" s="5" t="s">
        <v>1782</v>
      </c>
      <c r="J401" s="91">
        <v>31645.0</v>
      </c>
      <c r="K401" s="5">
        <v>418.0</v>
      </c>
      <c r="L401" s="5" t="s">
        <v>4747</v>
      </c>
      <c r="M401" s="5">
        <v>140.0</v>
      </c>
      <c r="N401" s="5" t="s">
        <v>2340</v>
      </c>
      <c r="O401" s="5">
        <v>35529.0</v>
      </c>
      <c r="P401" s="5" t="s">
        <v>4748</v>
      </c>
      <c r="Q401" s="5" t="s">
        <v>4749</v>
      </c>
      <c r="R401" s="5">
        <v>418.0</v>
      </c>
      <c r="S401" s="5">
        <v>4.62111906E9</v>
      </c>
      <c r="T401" s="5" t="s">
        <v>4750</v>
      </c>
      <c r="U401" s="5" t="s">
        <v>4751</v>
      </c>
      <c r="V401" s="5">
        <v>4.62164532E9</v>
      </c>
      <c r="W401" s="5" t="s">
        <v>1787</v>
      </c>
      <c r="X401" s="91">
        <v>45159.0</v>
      </c>
      <c r="Y401" s="5">
        <v>2.0</v>
      </c>
      <c r="Z401" s="5">
        <v>19.0</v>
      </c>
      <c r="AA401" s="5">
        <v>45.0</v>
      </c>
      <c r="AB401" s="5" t="s">
        <v>4752</v>
      </c>
      <c r="AC401" s="5" t="s">
        <v>1800</v>
      </c>
      <c r="AD401" s="91">
        <v>45006.0</v>
      </c>
      <c r="AE401" s="91">
        <v>45737.0</v>
      </c>
      <c r="AF401" s="5"/>
      <c r="AG401" s="5"/>
      <c r="AH401" s="5">
        <v>1.2118602122E10</v>
      </c>
      <c r="AI401" s="5">
        <v>9.0</v>
      </c>
      <c r="AJ401" s="5"/>
      <c r="AK401" s="5" t="s">
        <v>1773</v>
      </c>
      <c r="AL401" s="92">
        <v>0.0</v>
      </c>
      <c r="AM401" s="5" t="s">
        <v>1770</v>
      </c>
      <c r="AN401" s="5" t="s">
        <v>1774</v>
      </c>
      <c r="AO401" s="5"/>
      <c r="AP401" s="5"/>
      <c r="AQ401" s="5"/>
      <c r="AR401" s="5"/>
      <c r="AS401" s="5"/>
      <c r="AT401" s="5"/>
      <c r="AU401" s="5"/>
      <c r="AV401" s="5"/>
      <c r="AW401" s="5" t="s">
        <v>1770</v>
      </c>
      <c r="AX401" s="5"/>
      <c r="AY401" s="5"/>
      <c r="AZ401" s="5" t="s">
        <v>1770</v>
      </c>
      <c r="BA401" s="93">
        <v>0.0</v>
      </c>
      <c r="BB401" s="93">
        <v>0.0</v>
      </c>
      <c r="BC401" s="93">
        <v>0.0</v>
      </c>
      <c r="BD401" s="93">
        <v>0.0</v>
      </c>
      <c r="BE401" s="93">
        <v>0.0</v>
      </c>
      <c r="BF401" s="93">
        <v>0.0</v>
      </c>
      <c r="BG401" s="5"/>
      <c r="BH401" s="93">
        <v>0.0</v>
      </c>
      <c r="BI401" s="93">
        <v>0.0</v>
      </c>
      <c r="BJ401" s="93">
        <v>0.0</v>
      </c>
      <c r="BK401" s="93">
        <v>0.0</v>
      </c>
      <c r="BL401" s="93">
        <v>0.0</v>
      </c>
      <c r="BM401" s="93">
        <v>0.0</v>
      </c>
      <c r="BN401" s="93">
        <v>0.0</v>
      </c>
      <c r="BO401" s="5"/>
      <c r="BP401" s="5" t="s">
        <v>1770</v>
      </c>
      <c r="BQ401" s="5" t="s">
        <v>1789</v>
      </c>
      <c r="BR401" s="94">
        <v>45169.61472222222</v>
      </c>
      <c r="BS401" s="5">
        <v>40.0</v>
      </c>
      <c r="BT401" s="94">
        <v>45324.61046296296</v>
      </c>
      <c r="BU401" s="5">
        <v>40.0</v>
      </c>
      <c r="BV401" s="94">
        <v>45407.384039351855</v>
      </c>
      <c r="BW401" s="5">
        <v>40.0</v>
      </c>
    </row>
    <row r="402" ht="14.25" customHeight="1">
      <c r="A402" s="5">
        <v>401.0</v>
      </c>
      <c r="B402" s="5">
        <v>670.0</v>
      </c>
      <c r="C402" s="5" t="s">
        <v>4753</v>
      </c>
      <c r="D402" s="5" t="s">
        <v>2343</v>
      </c>
      <c r="E402" s="5" t="s">
        <v>4723</v>
      </c>
      <c r="F402" s="5" t="s">
        <v>4754</v>
      </c>
      <c r="G402" s="5" t="s">
        <v>4755</v>
      </c>
      <c r="H402" s="5" t="s">
        <v>1781</v>
      </c>
      <c r="I402" s="5" t="s">
        <v>1782</v>
      </c>
      <c r="J402" s="91">
        <v>32779.0</v>
      </c>
      <c r="K402" s="5">
        <v>549.0</v>
      </c>
      <c r="L402" s="5" t="s">
        <v>4756</v>
      </c>
      <c r="M402" s="5">
        <v>165.0</v>
      </c>
      <c r="N402" s="5"/>
      <c r="O402" s="5">
        <v>43885.0</v>
      </c>
      <c r="P402" s="5" t="s">
        <v>4757</v>
      </c>
      <c r="Q402" s="5" t="s">
        <v>1766</v>
      </c>
      <c r="R402" s="5">
        <v>549.0</v>
      </c>
      <c r="S402" s="5">
        <v>3.931237713E9</v>
      </c>
      <c r="T402" s="5" t="s">
        <v>4758</v>
      </c>
      <c r="U402" s="5" t="s">
        <v>4759</v>
      </c>
      <c r="V402" s="5">
        <v>3.931053151E9</v>
      </c>
      <c r="W402" s="5" t="s">
        <v>1808</v>
      </c>
      <c r="X402" s="91">
        <v>45147.0</v>
      </c>
      <c r="Y402" s="5" t="s">
        <v>1770</v>
      </c>
      <c r="Z402" s="5">
        <v>6.0</v>
      </c>
      <c r="AA402" s="5">
        <v>67.0</v>
      </c>
      <c r="AB402" s="5" t="s">
        <v>4760</v>
      </c>
      <c r="AC402" s="5" t="s">
        <v>1800</v>
      </c>
      <c r="AD402" s="91">
        <v>45581.0</v>
      </c>
      <c r="AE402" s="91">
        <v>47042.0</v>
      </c>
      <c r="AF402" s="5"/>
      <c r="AG402" s="5"/>
      <c r="AH402" s="5">
        <v>2.505882349E10</v>
      </c>
      <c r="AI402" s="5">
        <v>23.0</v>
      </c>
      <c r="AJ402" s="5"/>
      <c r="AK402" s="5" t="s">
        <v>1773</v>
      </c>
      <c r="AL402" s="92">
        <v>0.0</v>
      </c>
      <c r="AM402" s="5" t="s">
        <v>1770</v>
      </c>
      <c r="AN402" s="5" t="s">
        <v>1830</v>
      </c>
      <c r="AO402" s="5"/>
      <c r="AP402" s="5"/>
      <c r="AQ402" s="5"/>
      <c r="AR402" s="5"/>
      <c r="AS402" s="5"/>
      <c r="AT402" s="5"/>
      <c r="AU402" s="5"/>
      <c r="AV402" s="5"/>
      <c r="AW402" s="5" t="s">
        <v>1770</v>
      </c>
      <c r="AX402" s="5"/>
      <c r="AY402" s="5"/>
      <c r="AZ402" s="5" t="s">
        <v>1770</v>
      </c>
      <c r="BA402" s="93">
        <v>0.0</v>
      </c>
      <c r="BB402" s="93">
        <v>0.0</v>
      </c>
      <c r="BC402" s="93">
        <v>0.0</v>
      </c>
      <c r="BD402" s="93">
        <v>0.0</v>
      </c>
      <c r="BE402" s="93">
        <v>0.0</v>
      </c>
      <c r="BF402" s="93">
        <v>0.0</v>
      </c>
      <c r="BG402" s="5"/>
      <c r="BH402" s="93">
        <v>0.0</v>
      </c>
      <c r="BI402" s="93">
        <v>0.0</v>
      </c>
      <c r="BJ402" s="93">
        <v>0.0</v>
      </c>
      <c r="BK402" s="93">
        <v>0.0</v>
      </c>
      <c r="BL402" s="93">
        <v>0.0</v>
      </c>
      <c r="BM402" s="93">
        <v>0.0</v>
      </c>
      <c r="BN402" s="93">
        <v>0.0</v>
      </c>
      <c r="BO402" s="5"/>
      <c r="BP402" s="5" t="s">
        <v>1770</v>
      </c>
      <c r="BQ402" s="5" t="s">
        <v>1789</v>
      </c>
      <c r="BR402" s="94">
        <v>45169.619618055556</v>
      </c>
      <c r="BS402" s="5">
        <v>40.0</v>
      </c>
      <c r="BT402" s="94">
        <v>45581.68380787037</v>
      </c>
      <c r="BU402" s="5">
        <v>40.0</v>
      </c>
      <c r="BV402" s="94">
        <v>45707.685520833336</v>
      </c>
      <c r="BW402" s="5">
        <v>275.0</v>
      </c>
    </row>
    <row r="403" ht="14.25" customHeight="1">
      <c r="A403" s="5">
        <v>402.0</v>
      </c>
      <c r="B403" s="5">
        <v>672.0</v>
      </c>
      <c r="C403" s="5" t="s">
        <v>4761</v>
      </c>
      <c r="D403" s="5" t="s">
        <v>4762</v>
      </c>
      <c r="E403" s="5" t="s">
        <v>1926</v>
      </c>
      <c r="F403" s="5" t="s">
        <v>4763</v>
      </c>
      <c r="G403" s="5" t="s">
        <v>4764</v>
      </c>
      <c r="H403" s="5" t="s">
        <v>2671</v>
      </c>
      <c r="I403" s="5" t="s">
        <v>1763</v>
      </c>
      <c r="J403" s="91">
        <v>38149.0</v>
      </c>
      <c r="K403" s="5">
        <v>549.0</v>
      </c>
      <c r="L403" s="5" t="s">
        <v>2636</v>
      </c>
      <c r="M403" s="5">
        <v>496.0</v>
      </c>
      <c r="N403" s="5"/>
      <c r="O403" s="5">
        <v>43882.0</v>
      </c>
      <c r="P403" s="5" t="s">
        <v>2743</v>
      </c>
      <c r="Q403" s="5" t="s">
        <v>1766</v>
      </c>
      <c r="R403" s="5">
        <v>549.0</v>
      </c>
      <c r="S403" s="5">
        <v>3.931077502E9</v>
      </c>
      <c r="T403" s="5" t="s">
        <v>4765</v>
      </c>
      <c r="U403" s="5" t="s">
        <v>2411</v>
      </c>
      <c r="V403" s="5">
        <v>1.023695847E9</v>
      </c>
      <c r="W403" s="5" t="s">
        <v>3506</v>
      </c>
      <c r="X403" s="91">
        <v>45159.0</v>
      </c>
      <c r="Y403" s="5">
        <v>1.0</v>
      </c>
      <c r="Z403" s="5">
        <v>17.0</v>
      </c>
      <c r="AA403" s="5">
        <v>25.0</v>
      </c>
      <c r="AB403" s="5"/>
      <c r="AC403" s="5"/>
      <c r="AD403" s="5" t="s">
        <v>1770</v>
      </c>
      <c r="AE403" s="5" t="s">
        <v>1770</v>
      </c>
      <c r="AF403" s="5"/>
      <c r="AG403" s="5"/>
      <c r="AH403" s="5">
        <v>2.4160472973E10</v>
      </c>
      <c r="AI403" s="5">
        <v>23.0</v>
      </c>
      <c r="AJ403" s="5"/>
      <c r="AK403" s="5" t="s">
        <v>1773</v>
      </c>
      <c r="AL403" s="92">
        <v>0.0</v>
      </c>
      <c r="AM403" s="5" t="s">
        <v>1770</v>
      </c>
      <c r="AN403" s="5" t="s">
        <v>4382</v>
      </c>
      <c r="AO403" s="5"/>
      <c r="AP403" s="5"/>
      <c r="AQ403" s="5"/>
      <c r="AR403" s="5"/>
      <c r="AS403" s="5"/>
      <c r="AT403" s="5"/>
      <c r="AU403" s="5"/>
      <c r="AV403" s="5"/>
      <c r="AW403" s="5" t="s">
        <v>1770</v>
      </c>
      <c r="AX403" s="5"/>
      <c r="AY403" s="5"/>
      <c r="AZ403" s="5" t="s">
        <v>1770</v>
      </c>
      <c r="BA403" s="93">
        <v>0.0</v>
      </c>
      <c r="BB403" s="93">
        <v>0.0</v>
      </c>
      <c r="BC403" s="93">
        <v>0.0</v>
      </c>
      <c r="BD403" s="93">
        <v>0.0</v>
      </c>
      <c r="BE403" s="93">
        <v>0.0</v>
      </c>
      <c r="BF403" s="93">
        <v>0.0</v>
      </c>
      <c r="BG403" s="5"/>
      <c r="BH403" s="93">
        <v>0.0</v>
      </c>
      <c r="BI403" s="93">
        <v>0.0</v>
      </c>
      <c r="BJ403" s="93">
        <v>0.0</v>
      </c>
      <c r="BK403" s="93">
        <v>0.0</v>
      </c>
      <c r="BL403" s="93">
        <v>0.0</v>
      </c>
      <c r="BM403" s="93">
        <v>0.0</v>
      </c>
      <c r="BN403" s="93">
        <v>0.0</v>
      </c>
      <c r="BO403" s="5"/>
      <c r="BP403" s="5" t="s">
        <v>1770</v>
      </c>
      <c r="BQ403" s="5" t="s">
        <v>1789</v>
      </c>
      <c r="BR403" s="94">
        <v>45169.624872685185</v>
      </c>
      <c r="BS403" s="5">
        <v>40.0</v>
      </c>
      <c r="BT403" s="5" t="s">
        <v>1770</v>
      </c>
      <c r="BU403" s="5" t="s">
        <v>1770</v>
      </c>
      <c r="BV403" s="94">
        <v>45301.69221064815</v>
      </c>
      <c r="BW403" s="5" t="s">
        <v>1770</v>
      </c>
    </row>
    <row r="404" ht="14.25" customHeight="1">
      <c r="A404" s="5">
        <v>403.0</v>
      </c>
      <c r="B404" s="5">
        <v>674.0</v>
      </c>
      <c r="C404" s="5" t="s">
        <v>4766</v>
      </c>
      <c r="D404" s="5" t="s">
        <v>4767</v>
      </c>
      <c r="E404" s="5" t="s">
        <v>4601</v>
      </c>
      <c r="F404" s="5" t="s">
        <v>4768</v>
      </c>
      <c r="G404" s="5" t="s">
        <v>4769</v>
      </c>
      <c r="H404" s="5" t="s">
        <v>1972</v>
      </c>
      <c r="I404" s="5" t="s">
        <v>1763</v>
      </c>
      <c r="J404" s="91">
        <v>33987.0</v>
      </c>
      <c r="K404" s="5">
        <v>347.0</v>
      </c>
      <c r="L404" s="5" t="s">
        <v>4770</v>
      </c>
      <c r="M404" s="5">
        <v>551.0</v>
      </c>
      <c r="N404" s="5"/>
      <c r="O404" s="5">
        <v>40862.0</v>
      </c>
      <c r="P404" s="5" t="s">
        <v>4771</v>
      </c>
      <c r="Q404" s="5" t="s">
        <v>3512</v>
      </c>
      <c r="R404" s="5">
        <v>570.0</v>
      </c>
      <c r="S404" s="5">
        <v>3.315367938E9</v>
      </c>
      <c r="T404" s="5" t="s">
        <v>4772</v>
      </c>
      <c r="U404" s="5" t="s">
        <v>4773</v>
      </c>
      <c r="V404" s="5">
        <v>7.671038322E9</v>
      </c>
      <c r="W404" s="5" t="s">
        <v>1808</v>
      </c>
      <c r="X404" s="91">
        <v>45170.0</v>
      </c>
      <c r="Y404" s="5" t="s">
        <v>1770</v>
      </c>
      <c r="Z404" s="5">
        <v>6.0</v>
      </c>
      <c r="AA404" s="5">
        <v>10.0</v>
      </c>
      <c r="AB404" s="5"/>
      <c r="AC404" s="5"/>
      <c r="AD404" s="5" t="s">
        <v>1770</v>
      </c>
      <c r="AE404" s="5" t="s">
        <v>1770</v>
      </c>
      <c r="AF404" s="5"/>
      <c r="AG404" s="5"/>
      <c r="AH404" s="5">
        <v>3.169367947E9</v>
      </c>
      <c r="AI404" s="5">
        <v>23.0</v>
      </c>
      <c r="AJ404" s="5"/>
      <c r="AK404" s="5" t="s">
        <v>1773</v>
      </c>
      <c r="AL404" s="92">
        <v>0.0</v>
      </c>
      <c r="AM404" s="5" t="s">
        <v>1770</v>
      </c>
      <c r="AN404" s="5" t="s">
        <v>1830</v>
      </c>
      <c r="AO404" s="5"/>
      <c r="AP404" s="5"/>
      <c r="AQ404" s="5"/>
      <c r="AR404" s="5"/>
      <c r="AS404" s="5"/>
      <c r="AT404" s="5"/>
      <c r="AU404" s="5"/>
      <c r="AV404" s="5"/>
      <c r="AW404" s="5" t="s">
        <v>1770</v>
      </c>
      <c r="AX404" s="5"/>
      <c r="AY404" s="5"/>
      <c r="AZ404" s="5" t="s">
        <v>1770</v>
      </c>
      <c r="BA404" s="93">
        <v>0.0</v>
      </c>
      <c r="BB404" s="93">
        <v>0.0</v>
      </c>
      <c r="BC404" s="93">
        <v>0.0</v>
      </c>
      <c r="BD404" s="93">
        <v>0.0</v>
      </c>
      <c r="BE404" s="93">
        <v>0.0</v>
      </c>
      <c r="BF404" s="93">
        <v>0.0</v>
      </c>
      <c r="BG404" s="5"/>
      <c r="BH404" s="93">
        <v>0.0</v>
      </c>
      <c r="BI404" s="93">
        <v>0.0</v>
      </c>
      <c r="BJ404" s="93">
        <v>0.0</v>
      </c>
      <c r="BK404" s="93">
        <v>0.0</v>
      </c>
      <c r="BL404" s="93">
        <v>0.0</v>
      </c>
      <c r="BM404" s="93">
        <v>0.0</v>
      </c>
      <c r="BN404" s="93">
        <v>0.0</v>
      </c>
      <c r="BO404" s="5"/>
      <c r="BP404" s="5" t="s">
        <v>1770</v>
      </c>
      <c r="BQ404" s="5" t="s">
        <v>1789</v>
      </c>
      <c r="BR404" s="94">
        <v>45176.57523148148</v>
      </c>
      <c r="BS404" s="5">
        <v>40.0</v>
      </c>
      <c r="BT404" s="5" t="s">
        <v>1770</v>
      </c>
      <c r="BU404" s="5" t="s">
        <v>1770</v>
      </c>
      <c r="BV404" s="94">
        <v>45244.655636574076</v>
      </c>
      <c r="BW404" s="5">
        <v>40.0</v>
      </c>
    </row>
    <row r="405" ht="14.25" customHeight="1">
      <c r="A405" s="5">
        <v>404.0</v>
      </c>
      <c r="B405" s="5">
        <v>675.0</v>
      </c>
      <c r="C405" s="5" t="s">
        <v>4774</v>
      </c>
      <c r="D405" s="5" t="s">
        <v>4775</v>
      </c>
      <c r="E405" s="5" t="s">
        <v>4776</v>
      </c>
      <c r="F405" s="5" t="s">
        <v>4777</v>
      </c>
      <c r="G405" s="5" t="s">
        <v>4778</v>
      </c>
      <c r="H405" s="5" t="s">
        <v>1972</v>
      </c>
      <c r="I405" s="5" t="s">
        <v>1763</v>
      </c>
      <c r="J405" s="91">
        <v>36500.0</v>
      </c>
      <c r="K405" s="5">
        <v>549.0</v>
      </c>
      <c r="L405" s="5" t="s">
        <v>4779</v>
      </c>
      <c r="M405" s="5">
        <v>47.0</v>
      </c>
      <c r="N405" s="5"/>
      <c r="O405" s="5">
        <v>43882.0</v>
      </c>
      <c r="P405" s="5" t="s">
        <v>2032</v>
      </c>
      <c r="Q405" s="5" t="s">
        <v>1766</v>
      </c>
      <c r="R405" s="5">
        <v>549.0</v>
      </c>
      <c r="S405" s="5">
        <v>3.931177762E9</v>
      </c>
      <c r="T405" s="5" t="s">
        <v>4780</v>
      </c>
      <c r="U405" s="5" t="s">
        <v>4781</v>
      </c>
      <c r="V405" s="5">
        <v>3.931974277E9</v>
      </c>
      <c r="W405" s="5" t="s">
        <v>1808</v>
      </c>
      <c r="X405" s="91">
        <v>45170.0</v>
      </c>
      <c r="Y405" s="5" t="s">
        <v>1770</v>
      </c>
      <c r="Z405" s="5">
        <v>9.0</v>
      </c>
      <c r="AA405" s="5">
        <v>21.0</v>
      </c>
      <c r="AB405" s="5"/>
      <c r="AC405" s="5"/>
      <c r="AD405" s="5" t="s">
        <v>1770</v>
      </c>
      <c r="AE405" s="5" t="s">
        <v>1770</v>
      </c>
      <c r="AF405" s="5"/>
      <c r="AG405" s="5"/>
      <c r="AH405" s="5">
        <v>2.3169929397E10</v>
      </c>
      <c r="AI405" s="5">
        <v>23.0</v>
      </c>
      <c r="AJ405" s="5"/>
      <c r="AK405" s="5" t="s">
        <v>1773</v>
      </c>
      <c r="AL405" s="92">
        <v>0.0</v>
      </c>
      <c r="AM405" s="5" t="s">
        <v>1770</v>
      </c>
      <c r="AN405" s="5" t="s">
        <v>1809</v>
      </c>
      <c r="AO405" s="5"/>
      <c r="AP405" s="5"/>
      <c r="AQ405" s="5"/>
      <c r="AR405" s="5"/>
      <c r="AS405" s="5"/>
      <c r="AT405" s="5"/>
      <c r="AU405" s="5"/>
      <c r="AV405" s="5"/>
      <c r="AW405" s="5" t="s">
        <v>1770</v>
      </c>
      <c r="AX405" s="5"/>
      <c r="AY405" s="5"/>
      <c r="AZ405" s="5" t="s">
        <v>1770</v>
      </c>
      <c r="BA405" s="93">
        <v>0.0</v>
      </c>
      <c r="BB405" s="93">
        <v>0.0</v>
      </c>
      <c r="BC405" s="93">
        <v>0.0</v>
      </c>
      <c r="BD405" s="93">
        <v>0.0</v>
      </c>
      <c r="BE405" s="93">
        <v>0.0</v>
      </c>
      <c r="BF405" s="93">
        <v>0.0</v>
      </c>
      <c r="BG405" s="5"/>
      <c r="BH405" s="93">
        <v>0.0</v>
      </c>
      <c r="BI405" s="93">
        <v>0.0</v>
      </c>
      <c r="BJ405" s="93">
        <v>0.0</v>
      </c>
      <c r="BK405" s="93">
        <v>0.0</v>
      </c>
      <c r="BL405" s="93">
        <v>0.0</v>
      </c>
      <c r="BM405" s="93">
        <v>0.0</v>
      </c>
      <c r="BN405" s="93">
        <v>0.0</v>
      </c>
      <c r="BO405" s="5"/>
      <c r="BP405" s="5" t="s">
        <v>1770</v>
      </c>
      <c r="BQ405" s="5" t="s">
        <v>1789</v>
      </c>
      <c r="BR405" s="94">
        <v>45176.58283564815</v>
      </c>
      <c r="BS405" s="5">
        <v>40.0</v>
      </c>
      <c r="BT405" s="5" t="s">
        <v>1770</v>
      </c>
      <c r="BU405" s="5" t="s">
        <v>1770</v>
      </c>
      <c r="BV405" s="94">
        <v>45628.71167824074</v>
      </c>
      <c r="BW405" s="5">
        <v>40.0</v>
      </c>
    </row>
    <row r="406" ht="14.25" customHeight="1">
      <c r="A406" s="5">
        <v>405.0</v>
      </c>
      <c r="B406" s="5">
        <v>664.0</v>
      </c>
      <c r="C406" s="5" t="s">
        <v>4782</v>
      </c>
      <c r="D406" s="5" t="s">
        <v>3098</v>
      </c>
      <c r="E406" s="5" t="s">
        <v>4783</v>
      </c>
      <c r="F406" s="5" t="s">
        <v>4784</v>
      </c>
      <c r="G406" s="5" t="s">
        <v>4785</v>
      </c>
      <c r="H406" s="5" t="s">
        <v>1972</v>
      </c>
      <c r="I406" s="5" t="s">
        <v>1782</v>
      </c>
      <c r="J406" s="91">
        <v>38444.0</v>
      </c>
      <c r="K406" s="5">
        <v>549.0</v>
      </c>
      <c r="L406" s="5" t="s">
        <v>4786</v>
      </c>
      <c r="M406" s="5">
        <v>22.0</v>
      </c>
      <c r="N406" s="5"/>
      <c r="O406" s="5">
        <v>55002.0</v>
      </c>
      <c r="P406" s="5" t="s">
        <v>4787</v>
      </c>
      <c r="Q406" s="5" t="s">
        <v>1974</v>
      </c>
      <c r="R406" s="5">
        <v>886.0</v>
      </c>
      <c r="S406" s="5">
        <v>3.931000833E9</v>
      </c>
      <c r="T406" s="5" t="s">
        <v>4788</v>
      </c>
      <c r="U406" s="5" t="s">
        <v>4789</v>
      </c>
      <c r="V406" s="5">
        <v>3.512105732E9</v>
      </c>
      <c r="W406" s="5" t="s">
        <v>2610</v>
      </c>
      <c r="X406" s="91">
        <v>45139.0</v>
      </c>
      <c r="Y406" s="5">
        <v>1.0</v>
      </c>
      <c r="Z406" s="5">
        <v>4.0</v>
      </c>
      <c r="AA406" s="5">
        <v>39.0</v>
      </c>
      <c r="AB406" s="5" t="s">
        <v>4790</v>
      </c>
      <c r="AC406" s="5" t="s">
        <v>1800</v>
      </c>
      <c r="AD406" s="91">
        <v>45279.0</v>
      </c>
      <c r="AE406" s="91">
        <v>46740.0</v>
      </c>
      <c r="AF406" s="5"/>
      <c r="AG406" s="5"/>
      <c r="AH406" s="5">
        <v>5.2210591195E10</v>
      </c>
      <c r="AI406" s="5">
        <v>23.0</v>
      </c>
      <c r="AJ406" s="5"/>
      <c r="AK406" s="5" t="s">
        <v>1773</v>
      </c>
      <c r="AL406" s="92">
        <v>0.0</v>
      </c>
      <c r="AM406" s="5" t="s">
        <v>1770</v>
      </c>
      <c r="AN406" s="5" t="s">
        <v>1830</v>
      </c>
      <c r="AO406" s="5"/>
      <c r="AP406" s="5"/>
      <c r="AQ406" s="5"/>
      <c r="AR406" s="5"/>
      <c r="AS406" s="5"/>
      <c r="AT406" s="5"/>
      <c r="AU406" s="5"/>
      <c r="AV406" s="5"/>
      <c r="AW406" s="5" t="s">
        <v>1770</v>
      </c>
      <c r="AX406" s="5"/>
      <c r="AY406" s="5"/>
      <c r="AZ406" s="5" t="s">
        <v>1770</v>
      </c>
      <c r="BA406" s="93">
        <v>0.0</v>
      </c>
      <c r="BB406" s="93">
        <v>0.0</v>
      </c>
      <c r="BC406" s="93">
        <v>0.0</v>
      </c>
      <c r="BD406" s="93">
        <v>0.0</v>
      </c>
      <c r="BE406" s="93">
        <v>0.0</v>
      </c>
      <c r="BF406" s="93">
        <v>0.0</v>
      </c>
      <c r="BG406" s="5"/>
      <c r="BH406" s="93">
        <v>0.0</v>
      </c>
      <c r="BI406" s="93">
        <v>0.0</v>
      </c>
      <c r="BJ406" s="93">
        <v>0.0</v>
      </c>
      <c r="BK406" s="93">
        <v>0.0</v>
      </c>
      <c r="BL406" s="93">
        <v>0.0</v>
      </c>
      <c r="BM406" s="93">
        <v>0.0</v>
      </c>
      <c r="BN406" s="93">
        <v>0.0</v>
      </c>
      <c r="BO406" s="5"/>
      <c r="BP406" s="5" t="s">
        <v>1770</v>
      </c>
      <c r="BQ406" s="5" t="s">
        <v>1789</v>
      </c>
      <c r="BR406" s="94">
        <v>45188.51768518519</v>
      </c>
      <c r="BS406" s="5">
        <v>40.0</v>
      </c>
      <c r="BT406" s="94">
        <v>45324.50648148148</v>
      </c>
      <c r="BU406" s="5">
        <v>40.0</v>
      </c>
      <c r="BV406" s="94">
        <v>45855.4328125</v>
      </c>
      <c r="BW406" s="5" t="s">
        <v>1770</v>
      </c>
    </row>
    <row r="407" ht="14.25" customHeight="1">
      <c r="A407" s="5">
        <v>406.0</v>
      </c>
      <c r="B407" s="5">
        <v>665.0</v>
      </c>
      <c r="C407" s="5" t="s">
        <v>4791</v>
      </c>
      <c r="D407" s="5" t="s">
        <v>1981</v>
      </c>
      <c r="E407" s="5" t="s">
        <v>1981</v>
      </c>
      <c r="F407" s="5" t="s">
        <v>4792</v>
      </c>
      <c r="G407" s="5" t="s">
        <v>4793</v>
      </c>
      <c r="H407" s="5" t="s">
        <v>1972</v>
      </c>
      <c r="I407" s="5" t="s">
        <v>1782</v>
      </c>
      <c r="J407" s="91">
        <v>38422.0</v>
      </c>
      <c r="K407" s="5">
        <v>549.0</v>
      </c>
      <c r="L407" s="5" t="s">
        <v>2241</v>
      </c>
      <c r="M407" s="5">
        <v>99.0</v>
      </c>
      <c r="N407" s="5"/>
      <c r="O407" s="5">
        <v>43886.0</v>
      </c>
      <c r="P407" s="5" t="s">
        <v>3139</v>
      </c>
      <c r="Q407" s="5" t="s">
        <v>1798</v>
      </c>
      <c r="R407" s="5">
        <v>549.0</v>
      </c>
      <c r="S407" s="5">
        <v>3.931195081E9</v>
      </c>
      <c r="T407" s="5" t="s">
        <v>4794</v>
      </c>
      <c r="U407" s="5" t="s">
        <v>4795</v>
      </c>
      <c r="V407" s="5">
        <v>3.931171704E9</v>
      </c>
      <c r="W407" s="5" t="s">
        <v>1965</v>
      </c>
      <c r="X407" s="91">
        <v>45139.0</v>
      </c>
      <c r="Y407" s="5">
        <v>1.0</v>
      </c>
      <c r="Z407" s="5">
        <v>18.0</v>
      </c>
      <c r="AA407" s="5">
        <v>39.0</v>
      </c>
      <c r="AB407" s="5"/>
      <c r="AC407" s="5"/>
      <c r="AD407" s="5" t="s">
        <v>1770</v>
      </c>
      <c r="AE407" s="5" t="s">
        <v>1770</v>
      </c>
      <c r="AF407" s="5"/>
      <c r="AG407" s="5"/>
      <c r="AH407" s="5">
        <v>4.9190544863E10</v>
      </c>
      <c r="AI407" s="5">
        <v>23.0</v>
      </c>
      <c r="AJ407" s="5"/>
      <c r="AK407" s="5" t="s">
        <v>1773</v>
      </c>
      <c r="AL407" s="92">
        <v>0.0</v>
      </c>
      <c r="AM407" s="5" t="s">
        <v>1770</v>
      </c>
      <c r="AN407" s="5" t="s">
        <v>4382</v>
      </c>
      <c r="AO407" s="5"/>
      <c r="AP407" s="5"/>
      <c r="AQ407" s="5"/>
      <c r="AR407" s="5"/>
      <c r="AS407" s="5"/>
      <c r="AT407" s="5"/>
      <c r="AU407" s="5"/>
      <c r="AV407" s="5"/>
      <c r="AW407" s="5" t="s">
        <v>1770</v>
      </c>
      <c r="AX407" s="5"/>
      <c r="AY407" s="5"/>
      <c r="AZ407" s="5" t="s">
        <v>1770</v>
      </c>
      <c r="BA407" s="93">
        <v>0.0</v>
      </c>
      <c r="BB407" s="93">
        <v>0.0</v>
      </c>
      <c r="BC407" s="93">
        <v>0.0</v>
      </c>
      <c r="BD407" s="93">
        <v>0.0</v>
      </c>
      <c r="BE407" s="93">
        <v>0.0</v>
      </c>
      <c r="BF407" s="93">
        <v>0.0</v>
      </c>
      <c r="BG407" s="5"/>
      <c r="BH407" s="93">
        <v>0.0</v>
      </c>
      <c r="BI407" s="93">
        <v>0.0</v>
      </c>
      <c r="BJ407" s="93">
        <v>0.0</v>
      </c>
      <c r="BK407" s="93">
        <v>0.0</v>
      </c>
      <c r="BL407" s="93">
        <v>0.0</v>
      </c>
      <c r="BM407" s="93">
        <v>0.0</v>
      </c>
      <c r="BN407" s="93">
        <v>0.0</v>
      </c>
      <c r="BO407" s="5"/>
      <c r="BP407" s="5" t="s">
        <v>1770</v>
      </c>
      <c r="BQ407" s="5" t="s">
        <v>1789</v>
      </c>
      <c r="BR407" s="94">
        <v>45188.52684027778</v>
      </c>
      <c r="BS407" s="5">
        <v>40.0</v>
      </c>
      <c r="BT407" s="94">
        <v>45316.51956018519</v>
      </c>
      <c r="BU407" s="5">
        <v>40.0</v>
      </c>
      <c r="BV407" s="94">
        <v>45532.66326388889</v>
      </c>
      <c r="BW407" s="5">
        <v>275.0</v>
      </c>
    </row>
    <row r="408" ht="14.25" customHeight="1">
      <c r="A408" s="5">
        <v>407.0</v>
      </c>
      <c r="B408" s="5">
        <v>667.0</v>
      </c>
      <c r="C408" s="5" t="s">
        <v>4796</v>
      </c>
      <c r="D408" s="5" t="s">
        <v>2044</v>
      </c>
      <c r="E408" s="5" t="s">
        <v>2918</v>
      </c>
      <c r="F408" s="5" t="s">
        <v>4797</v>
      </c>
      <c r="G408" s="5" t="s">
        <v>4798</v>
      </c>
      <c r="H408" s="5" t="s">
        <v>1972</v>
      </c>
      <c r="I408" s="5" t="s">
        <v>1763</v>
      </c>
      <c r="J408" s="91">
        <v>38623.0</v>
      </c>
      <c r="K408" s="5">
        <v>549.0</v>
      </c>
      <c r="L408" s="5" t="s">
        <v>2921</v>
      </c>
      <c r="M408" s="5">
        <v>547.0</v>
      </c>
      <c r="N408" s="5"/>
      <c r="O408" s="5">
        <v>43882.0</v>
      </c>
      <c r="P408" s="5" t="s">
        <v>2743</v>
      </c>
      <c r="Q408" s="5" t="s">
        <v>1766</v>
      </c>
      <c r="R408" s="5">
        <v>549.0</v>
      </c>
      <c r="S408" s="5">
        <v>3.931062482E9</v>
      </c>
      <c r="T408" s="5" t="s">
        <v>4799</v>
      </c>
      <c r="U408" s="5" t="s">
        <v>4800</v>
      </c>
      <c r="V408" s="5">
        <v>3.931324862E9</v>
      </c>
      <c r="W408" s="5" t="s">
        <v>1808</v>
      </c>
      <c r="X408" s="91">
        <v>45139.0</v>
      </c>
      <c r="Y408" s="5">
        <v>1.0</v>
      </c>
      <c r="Z408" s="5">
        <v>17.0</v>
      </c>
      <c r="AA408" s="5">
        <v>84.0</v>
      </c>
      <c r="AB408" s="5"/>
      <c r="AC408" s="5"/>
      <c r="AD408" s="5" t="s">
        <v>1770</v>
      </c>
      <c r="AE408" s="5" t="s">
        <v>1770</v>
      </c>
      <c r="AF408" s="5"/>
      <c r="AG408" s="5"/>
      <c r="AH408" s="5">
        <v>5.200587557E9</v>
      </c>
      <c r="AI408" s="5">
        <v>23.0</v>
      </c>
      <c r="AJ408" s="5"/>
      <c r="AK408" s="5" t="s">
        <v>1773</v>
      </c>
      <c r="AL408" s="92">
        <v>0.0</v>
      </c>
      <c r="AM408" s="5" t="s">
        <v>1770</v>
      </c>
      <c r="AN408" s="5" t="s">
        <v>1830</v>
      </c>
      <c r="AO408" s="5"/>
      <c r="AP408" s="5"/>
      <c r="AQ408" s="5"/>
      <c r="AR408" s="5"/>
      <c r="AS408" s="5"/>
      <c r="AT408" s="5"/>
      <c r="AU408" s="5"/>
      <c r="AV408" s="5"/>
      <c r="AW408" s="5" t="s">
        <v>1770</v>
      </c>
      <c r="AX408" s="5"/>
      <c r="AY408" s="5"/>
      <c r="AZ408" s="5" t="s">
        <v>1770</v>
      </c>
      <c r="BA408" s="93">
        <v>0.0</v>
      </c>
      <c r="BB408" s="93">
        <v>0.0</v>
      </c>
      <c r="BC408" s="93">
        <v>0.0</v>
      </c>
      <c r="BD408" s="93">
        <v>0.0</v>
      </c>
      <c r="BE408" s="93">
        <v>0.0</v>
      </c>
      <c r="BF408" s="93">
        <v>0.0</v>
      </c>
      <c r="BG408" s="5"/>
      <c r="BH408" s="93">
        <v>0.0</v>
      </c>
      <c r="BI408" s="93">
        <v>0.0</v>
      </c>
      <c r="BJ408" s="93">
        <v>0.0</v>
      </c>
      <c r="BK408" s="93">
        <v>0.0</v>
      </c>
      <c r="BL408" s="93">
        <v>0.0</v>
      </c>
      <c r="BM408" s="93">
        <v>0.0</v>
      </c>
      <c r="BN408" s="93">
        <v>0.0</v>
      </c>
      <c r="BO408" s="5"/>
      <c r="BP408" s="5"/>
      <c r="BQ408" s="5" t="s">
        <v>1775</v>
      </c>
      <c r="BR408" s="94">
        <v>45188.536041666666</v>
      </c>
      <c r="BS408" s="5">
        <v>40.0</v>
      </c>
      <c r="BT408" s="94">
        <v>46133.51106481482</v>
      </c>
      <c r="BU408" s="5">
        <v>272.0</v>
      </c>
      <c r="BV408" s="5" t="s">
        <v>1770</v>
      </c>
      <c r="BW408" s="5" t="s">
        <v>1770</v>
      </c>
    </row>
    <row r="409" ht="14.25" customHeight="1">
      <c r="A409" s="5">
        <v>408.0</v>
      </c>
      <c r="B409" s="5">
        <v>668.0</v>
      </c>
      <c r="C409" s="5" t="s">
        <v>4801</v>
      </c>
      <c r="D409" s="5" t="s">
        <v>2241</v>
      </c>
      <c r="E409" s="5" t="s">
        <v>1778</v>
      </c>
      <c r="F409" s="5" t="s">
        <v>4802</v>
      </c>
      <c r="G409" s="5" t="s">
        <v>4803</v>
      </c>
      <c r="H409" s="5" t="s">
        <v>1972</v>
      </c>
      <c r="I409" s="5" t="s">
        <v>1782</v>
      </c>
      <c r="J409" s="91">
        <v>38384.0</v>
      </c>
      <c r="K409" s="5">
        <v>549.0</v>
      </c>
      <c r="L409" s="5" t="s">
        <v>2784</v>
      </c>
      <c r="M409" s="5">
        <v>30.0</v>
      </c>
      <c r="N409" s="5"/>
      <c r="O409" s="5">
        <v>43896.0</v>
      </c>
      <c r="P409" s="5" t="s">
        <v>3139</v>
      </c>
      <c r="Q409" s="5" t="s">
        <v>4804</v>
      </c>
      <c r="R409" s="5">
        <v>549.0</v>
      </c>
      <c r="S409" s="5">
        <v>3.931091243E9</v>
      </c>
      <c r="T409" s="5" t="s">
        <v>4805</v>
      </c>
      <c r="U409" s="100" t="s">
        <v>4806</v>
      </c>
      <c r="V409" s="5">
        <v>6.507168949E9</v>
      </c>
      <c r="W409" s="5" t="s">
        <v>1808</v>
      </c>
      <c r="X409" s="91">
        <v>45139.0</v>
      </c>
      <c r="Y409" s="5">
        <v>1.0</v>
      </c>
      <c r="Z409" s="5">
        <v>3.0</v>
      </c>
      <c r="AA409" s="5">
        <v>28.0</v>
      </c>
      <c r="AB409" s="5"/>
      <c r="AC409" s="5"/>
      <c r="AD409" s="5" t="s">
        <v>1770</v>
      </c>
      <c r="AE409" s="5" t="s">
        <v>1770</v>
      </c>
      <c r="AF409" s="5"/>
      <c r="AG409" s="5"/>
      <c r="AH409" s="5">
        <v>3.5220593491E10</v>
      </c>
      <c r="AI409" s="5">
        <v>23.0</v>
      </c>
      <c r="AJ409" s="5"/>
      <c r="AK409" s="5" t="s">
        <v>1773</v>
      </c>
      <c r="AL409" s="92">
        <v>0.0</v>
      </c>
      <c r="AM409" s="5" t="s">
        <v>1770</v>
      </c>
      <c r="AN409" s="5" t="s">
        <v>1830</v>
      </c>
      <c r="AO409" s="5"/>
      <c r="AP409" s="5"/>
      <c r="AQ409" s="5"/>
      <c r="AR409" s="5"/>
      <c r="AS409" s="5"/>
      <c r="AT409" s="5"/>
      <c r="AU409" s="5"/>
      <c r="AV409" s="5"/>
      <c r="AW409" s="5" t="s">
        <v>1770</v>
      </c>
      <c r="AX409" s="5"/>
      <c r="AY409" s="5"/>
      <c r="AZ409" s="5" t="s">
        <v>1770</v>
      </c>
      <c r="BA409" s="93">
        <v>0.0</v>
      </c>
      <c r="BB409" s="93">
        <v>0.0</v>
      </c>
      <c r="BC409" s="93">
        <v>0.0</v>
      </c>
      <c r="BD409" s="93">
        <v>0.0</v>
      </c>
      <c r="BE409" s="93">
        <v>0.0</v>
      </c>
      <c r="BF409" s="93">
        <v>0.0</v>
      </c>
      <c r="BG409" s="5"/>
      <c r="BH409" s="93">
        <v>0.0</v>
      </c>
      <c r="BI409" s="93">
        <v>0.0</v>
      </c>
      <c r="BJ409" s="93">
        <v>0.0</v>
      </c>
      <c r="BK409" s="93">
        <v>0.0</v>
      </c>
      <c r="BL409" s="93">
        <v>0.0</v>
      </c>
      <c r="BM409" s="93">
        <v>0.0</v>
      </c>
      <c r="BN409" s="93">
        <v>0.0</v>
      </c>
      <c r="BO409" s="5"/>
      <c r="BP409" s="5" t="s">
        <v>1770</v>
      </c>
      <c r="BQ409" s="5" t="s">
        <v>1789</v>
      </c>
      <c r="BR409" s="94">
        <v>45188.54792824074</v>
      </c>
      <c r="BS409" s="5">
        <v>40.0</v>
      </c>
      <c r="BT409" s="5" t="s">
        <v>1770</v>
      </c>
      <c r="BU409" s="5" t="s">
        <v>1770</v>
      </c>
      <c r="BV409" s="94">
        <v>45299.68243055556</v>
      </c>
      <c r="BW409" s="5">
        <v>40.0</v>
      </c>
    </row>
    <row r="410" ht="14.25" customHeight="1">
      <c r="A410" s="5">
        <v>409.0</v>
      </c>
      <c r="B410" s="5">
        <v>676.0</v>
      </c>
      <c r="C410" s="5" t="s">
        <v>2841</v>
      </c>
      <c r="D410" s="5" t="s">
        <v>3246</v>
      </c>
      <c r="E410" s="5" t="s">
        <v>1950</v>
      </c>
      <c r="F410" s="5" t="s">
        <v>4807</v>
      </c>
      <c r="G410" s="5" t="s">
        <v>4808</v>
      </c>
      <c r="H410" s="5" t="s">
        <v>1972</v>
      </c>
      <c r="I410" s="5" t="s">
        <v>1782</v>
      </c>
      <c r="J410" s="91">
        <v>34855.0</v>
      </c>
      <c r="K410" s="5">
        <v>884.0</v>
      </c>
      <c r="L410" s="100" t="s">
        <v>1953</v>
      </c>
      <c r="M410" s="5">
        <v>73.0</v>
      </c>
      <c r="N410" s="5" t="s">
        <v>2340</v>
      </c>
      <c r="O410" s="5">
        <v>54962.0</v>
      </c>
      <c r="P410" s="5" t="s">
        <v>1797</v>
      </c>
      <c r="Q410" s="5" t="s">
        <v>2591</v>
      </c>
      <c r="R410" s="5">
        <v>884.0</v>
      </c>
      <c r="S410" s="5">
        <v>3.931064755E9</v>
      </c>
      <c r="T410" s="5" t="s">
        <v>4809</v>
      </c>
      <c r="U410" s="5" t="s">
        <v>4810</v>
      </c>
      <c r="V410" s="5">
        <v>3.531848888E9</v>
      </c>
      <c r="W410" s="5" t="s">
        <v>1965</v>
      </c>
      <c r="X410" s="91">
        <v>45194.0</v>
      </c>
      <c r="Y410" s="5">
        <v>3.0</v>
      </c>
      <c r="Z410" s="5">
        <v>4.0</v>
      </c>
      <c r="AA410" s="5">
        <v>54.0</v>
      </c>
      <c r="AB410" s="5" t="s">
        <v>4811</v>
      </c>
      <c r="AC410" s="5" t="s">
        <v>1800</v>
      </c>
      <c r="AD410" s="91">
        <v>44649.0</v>
      </c>
      <c r="AE410" s="91">
        <v>54876.0</v>
      </c>
      <c r="AF410" s="5"/>
      <c r="AG410" s="5"/>
      <c r="AH410" s="5">
        <v>2.3169595438E10</v>
      </c>
      <c r="AI410" s="5">
        <v>77.0</v>
      </c>
      <c r="AJ410" s="5"/>
      <c r="AK410" s="5" t="s">
        <v>1773</v>
      </c>
      <c r="AL410" s="92">
        <v>0.0</v>
      </c>
      <c r="AM410" s="5" t="s">
        <v>1770</v>
      </c>
      <c r="AN410" s="5" t="s">
        <v>1830</v>
      </c>
      <c r="AO410" s="5"/>
      <c r="AP410" s="5"/>
      <c r="AQ410" s="5"/>
      <c r="AR410" s="5"/>
      <c r="AS410" s="5"/>
      <c r="AT410" s="5"/>
      <c r="AU410" s="5"/>
      <c r="AV410" s="5"/>
      <c r="AW410" s="5" t="s">
        <v>1770</v>
      </c>
      <c r="AX410" s="5"/>
      <c r="AY410" s="5"/>
      <c r="AZ410" s="5" t="s">
        <v>1770</v>
      </c>
      <c r="BA410" s="93">
        <v>0.0</v>
      </c>
      <c r="BB410" s="93">
        <v>0.0</v>
      </c>
      <c r="BC410" s="93">
        <v>0.0</v>
      </c>
      <c r="BD410" s="93">
        <v>0.0</v>
      </c>
      <c r="BE410" s="93">
        <v>0.0</v>
      </c>
      <c r="BF410" s="93">
        <v>0.0</v>
      </c>
      <c r="BG410" s="5"/>
      <c r="BH410" s="93">
        <v>0.0</v>
      </c>
      <c r="BI410" s="93">
        <v>0.0</v>
      </c>
      <c r="BJ410" s="93">
        <v>0.0</v>
      </c>
      <c r="BK410" s="93">
        <v>0.0</v>
      </c>
      <c r="BL410" s="93">
        <v>0.0</v>
      </c>
      <c r="BM410" s="93">
        <v>0.0</v>
      </c>
      <c r="BN410" s="93">
        <v>0.0</v>
      </c>
      <c r="BO410" s="5"/>
      <c r="BP410" s="5" t="s">
        <v>1770</v>
      </c>
      <c r="BQ410" s="5" t="s">
        <v>1789</v>
      </c>
      <c r="BR410" s="94">
        <v>45197.69961805556</v>
      </c>
      <c r="BS410" s="5">
        <v>40.0</v>
      </c>
      <c r="BT410" s="5" t="s">
        <v>1770</v>
      </c>
      <c r="BU410" s="5" t="s">
        <v>1770</v>
      </c>
      <c r="BV410" s="94">
        <v>45299.68104166666</v>
      </c>
      <c r="BW410" s="5">
        <v>40.0</v>
      </c>
    </row>
    <row r="411" ht="14.25" customHeight="1">
      <c r="A411" s="5">
        <v>410.0</v>
      </c>
      <c r="B411" s="5">
        <v>677.0</v>
      </c>
      <c r="C411" s="5" t="s">
        <v>3427</v>
      </c>
      <c r="D411" s="5" t="s">
        <v>4466</v>
      </c>
      <c r="E411" s="5" t="s">
        <v>4812</v>
      </c>
      <c r="F411" s="5" t="s">
        <v>4813</v>
      </c>
      <c r="G411" s="5" t="s">
        <v>4814</v>
      </c>
      <c r="H411" s="5" t="s">
        <v>1781</v>
      </c>
      <c r="I411" s="5" t="s">
        <v>1782</v>
      </c>
      <c r="J411" s="91">
        <v>28430.0</v>
      </c>
      <c r="K411" s="5">
        <v>266.0</v>
      </c>
      <c r="L411" s="5" t="s">
        <v>4506</v>
      </c>
      <c r="M411" s="5">
        <v>31.0</v>
      </c>
      <c r="N411" s="5"/>
      <c r="O411" s="5">
        <v>54695.0</v>
      </c>
      <c r="P411" s="5" t="s">
        <v>4815</v>
      </c>
      <c r="Q411" s="5" t="s">
        <v>2342</v>
      </c>
      <c r="R411" s="5">
        <v>869.0</v>
      </c>
      <c r="S411" s="5">
        <v>4.43684015E9</v>
      </c>
      <c r="T411" s="5" t="s">
        <v>4816</v>
      </c>
      <c r="U411" s="5" t="s">
        <v>4817</v>
      </c>
      <c r="V411" s="5">
        <v>4.436840143E9</v>
      </c>
      <c r="W411" s="5" t="s">
        <v>1787</v>
      </c>
      <c r="X411" s="91">
        <v>45201.0</v>
      </c>
      <c r="Y411" s="5">
        <v>4.0</v>
      </c>
      <c r="Z411" s="5">
        <v>3.0</v>
      </c>
      <c r="AA411" s="5">
        <v>58.0</v>
      </c>
      <c r="AB411" s="5" t="s">
        <v>4818</v>
      </c>
      <c r="AC411" s="5" t="s">
        <v>1772</v>
      </c>
      <c r="AD411" s="91">
        <v>38172.0</v>
      </c>
      <c r="AE411" s="91">
        <v>56434.0</v>
      </c>
      <c r="AF411" s="5"/>
      <c r="AG411" s="5"/>
      <c r="AH411" s="5">
        <v>9.0997702684E10</v>
      </c>
      <c r="AI411" s="5">
        <v>80.0</v>
      </c>
      <c r="AJ411" s="5"/>
      <c r="AK411" s="5" t="s">
        <v>1773</v>
      </c>
      <c r="AL411" s="92">
        <v>0.0</v>
      </c>
      <c r="AM411" s="5" t="s">
        <v>1770</v>
      </c>
      <c r="AN411" s="5" t="s">
        <v>1830</v>
      </c>
      <c r="AO411" s="5"/>
      <c r="AP411" s="5"/>
      <c r="AQ411" s="5"/>
      <c r="AR411" s="5"/>
      <c r="AS411" s="5"/>
      <c r="AT411" s="5"/>
      <c r="AU411" s="5"/>
      <c r="AV411" s="5"/>
      <c r="AW411" s="5" t="s">
        <v>1770</v>
      </c>
      <c r="AX411" s="5"/>
      <c r="AY411" s="5"/>
      <c r="AZ411" s="5" t="s">
        <v>1770</v>
      </c>
      <c r="BA411" s="93">
        <v>0.0</v>
      </c>
      <c r="BB411" s="93">
        <v>0.0</v>
      </c>
      <c r="BC411" s="93">
        <v>0.0</v>
      </c>
      <c r="BD411" s="93">
        <v>0.0</v>
      </c>
      <c r="BE411" s="93">
        <v>0.0</v>
      </c>
      <c r="BF411" s="93">
        <v>0.0</v>
      </c>
      <c r="BG411" s="5"/>
      <c r="BH411" s="93">
        <v>0.0</v>
      </c>
      <c r="BI411" s="93">
        <v>0.0</v>
      </c>
      <c r="BJ411" s="93">
        <v>0.0</v>
      </c>
      <c r="BK411" s="93">
        <v>0.0</v>
      </c>
      <c r="BL411" s="93">
        <v>0.0</v>
      </c>
      <c r="BM411" s="93">
        <v>0.0</v>
      </c>
      <c r="BN411" s="93">
        <v>0.0</v>
      </c>
      <c r="BO411" s="5"/>
      <c r="BP411" s="5" t="s">
        <v>1770</v>
      </c>
      <c r="BQ411" s="5" t="s">
        <v>1789</v>
      </c>
      <c r="BR411" s="94">
        <v>45208.72238425926</v>
      </c>
      <c r="BS411" s="5">
        <v>40.0</v>
      </c>
      <c r="BT411" s="94">
        <v>45324.64178240741</v>
      </c>
      <c r="BU411" s="5">
        <v>40.0</v>
      </c>
      <c r="BV411" s="94">
        <v>45407.38381944445</v>
      </c>
      <c r="BW411" s="5">
        <v>40.0</v>
      </c>
    </row>
    <row r="412" ht="14.25" customHeight="1">
      <c r="A412" s="5">
        <v>411.0</v>
      </c>
      <c r="B412" s="5">
        <v>678.0</v>
      </c>
      <c r="C412" s="5" t="s">
        <v>4819</v>
      </c>
      <c r="D412" s="5" t="s">
        <v>1822</v>
      </c>
      <c r="E412" s="5" t="s">
        <v>2399</v>
      </c>
      <c r="F412" s="5" t="s">
        <v>4820</v>
      </c>
      <c r="G412" s="5" t="s">
        <v>4821</v>
      </c>
      <c r="H412" s="5" t="s">
        <v>1972</v>
      </c>
      <c r="I412" s="5" t="s">
        <v>1782</v>
      </c>
      <c r="J412" s="91">
        <v>36689.0</v>
      </c>
      <c r="K412" s="5">
        <v>819.0</v>
      </c>
      <c r="L412" s="5" t="s">
        <v>4822</v>
      </c>
      <c r="M412" s="5">
        <v>19.0</v>
      </c>
      <c r="N412" s="5"/>
      <c r="O412" s="5">
        <v>53918.0</v>
      </c>
      <c r="P412" s="5" t="s">
        <v>4823</v>
      </c>
      <c r="Q412" s="5" t="s">
        <v>2041</v>
      </c>
      <c r="R412" s="5">
        <v>834.0</v>
      </c>
      <c r="S412" s="5">
        <v>4.431317021E9</v>
      </c>
      <c r="T412" s="5" t="s">
        <v>4824</v>
      </c>
      <c r="U412" s="5" t="s">
        <v>4825</v>
      </c>
      <c r="V412" s="5">
        <v>4.434376173E9</v>
      </c>
      <c r="W412" s="5" t="s">
        <v>1819</v>
      </c>
      <c r="X412" s="91">
        <v>45208.0</v>
      </c>
      <c r="Y412" s="5">
        <v>4.0</v>
      </c>
      <c r="Z412" s="5">
        <v>4.0</v>
      </c>
      <c r="AA412" s="5">
        <v>39.0</v>
      </c>
      <c r="AB412" s="5" t="s">
        <v>4826</v>
      </c>
      <c r="AC412" s="5" t="s">
        <v>1800</v>
      </c>
      <c r="AD412" s="91">
        <v>44506.0</v>
      </c>
      <c r="AE412" s="91">
        <v>46332.0</v>
      </c>
      <c r="AF412" s="5"/>
      <c r="AG412" s="5"/>
      <c r="AH412" s="5">
        <v>3.716008024E10</v>
      </c>
      <c r="AI412" s="5">
        <v>80.0</v>
      </c>
      <c r="AJ412" s="5"/>
      <c r="AK412" s="5" t="s">
        <v>1773</v>
      </c>
      <c r="AL412" s="92">
        <v>0.0</v>
      </c>
      <c r="AM412" s="5" t="s">
        <v>1770</v>
      </c>
      <c r="AN412" s="5" t="s">
        <v>4382</v>
      </c>
      <c r="AO412" s="5"/>
      <c r="AP412" s="5"/>
      <c r="AQ412" s="5"/>
      <c r="AR412" s="5"/>
      <c r="AS412" s="5"/>
      <c r="AT412" s="5"/>
      <c r="AU412" s="5"/>
      <c r="AV412" s="5"/>
      <c r="AW412" s="5" t="s">
        <v>1770</v>
      </c>
      <c r="AX412" s="5"/>
      <c r="AY412" s="5"/>
      <c r="AZ412" s="5" t="s">
        <v>1770</v>
      </c>
      <c r="BA412" s="93">
        <v>0.0</v>
      </c>
      <c r="BB412" s="93">
        <v>0.0</v>
      </c>
      <c r="BC412" s="93">
        <v>0.0</v>
      </c>
      <c r="BD412" s="93">
        <v>0.0</v>
      </c>
      <c r="BE412" s="93">
        <v>0.0</v>
      </c>
      <c r="BF412" s="93">
        <v>0.0</v>
      </c>
      <c r="BG412" s="5"/>
      <c r="BH412" s="93">
        <v>0.0</v>
      </c>
      <c r="BI412" s="93">
        <v>0.0</v>
      </c>
      <c r="BJ412" s="93">
        <v>0.0</v>
      </c>
      <c r="BK412" s="93">
        <v>0.0</v>
      </c>
      <c r="BL412" s="93">
        <v>0.0</v>
      </c>
      <c r="BM412" s="93">
        <v>0.0</v>
      </c>
      <c r="BN412" s="93">
        <v>0.0</v>
      </c>
      <c r="BO412" s="5"/>
      <c r="BP412" s="5" t="s">
        <v>1770</v>
      </c>
      <c r="BQ412" s="5" t="s">
        <v>1789</v>
      </c>
      <c r="BR412" s="94">
        <v>45208.73993055556</v>
      </c>
      <c r="BS412" s="5">
        <v>40.0</v>
      </c>
      <c r="BT412" s="94">
        <v>45324.55043981481</v>
      </c>
      <c r="BU412" s="5">
        <v>40.0</v>
      </c>
      <c r="BV412" s="94">
        <v>45471.487291666665</v>
      </c>
      <c r="BW412" s="5">
        <v>40.0</v>
      </c>
    </row>
    <row r="413" ht="14.25" customHeight="1">
      <c r="A413" s="5">
        <v>412.0</v>
      </c>
      <c r="B413" s="5">
        <v>679.0</v>
      </c>
      <c r="C413" s="5" t="s">
        <v>4827</v>
      </c>
      <c r="D413" s="5" t="s">
        <v>2382</v>
      </c>
      <c r="E413" s="5" t="s">
        <v>2534</v>
      </c>
      <c r="F413" s="5" t="s">
        <v>4828</v>
      </c>
      <c r="G413" s="5" t="s">
        <v>4829</v>
      </c>
      <c r="H413" s="5" t="s">
        <v>1781</v>
      </c>
      <c r="I413" s="5" t="s">
        <v>1782</v>
      </c>
      <c r="J413" s="91">
        <v>37276.0</v>
      </c>
      <c r="K413" s="5">
        <v>549.0</v>
      </c>
      <c r="L413" s="5" t="s">
        <v>4157</v>
      </c>
      <c r="M413" s="5">
        <v>47.0</v>
      </c>
      <c r="N413" s="5"/>
      <c r="O413" s="5">
        <v>43885.0</v>
      </c>
      <c r="P413" s="5" t="s">
        <v>3359</v>
      </c>
      <c r="Q413" s="5" t="s">
        <v>1766</v>
      </c>
      <c r="R413" s="5">
        <v>549.0</v>
      </c>
      <c r="S413" s="5">
        <v>3.93101069E9</v>
      </c>
      <c r="T413" s="5" t="s">
        <v>4830</v>
      </c>
      <c r="U413" s="5" t="s">
        <v>4831</v>
      </c>
      <c r="V413" s="5">
        <v>3.931069667E9</v>
      </c>
      <c r="W413" s="5" t="s">
        <v>1965</v>
      </c>
      <c r="X413" s="91">
        <v>45208.0</v>
      </c>
      <c r="Y413" s="5">
        <v>1.0</v>
      </c>
      <c r="Z413" s="5">
        <v>17.0</v>
      </c>
      <c r="AA413" s="5">
        <v>61.0</v>
      </c>
      <c r="AB413" s="5"/>
      <c r="AC413" s="5"/>
      <c r="AD413" s="5" t="s">
        <v>1770</v>
      </c>
      <c r="AE413" s="5" t="s">
        <v>1770</v>
      </c>
      <c r="AF413" s="5"/>
      <c r="AG413" s="5"/>
      <c r="AH413" s="5">
        <v>2.18021049E9</v>
      </c>
      <c r="AI413" s="5">
        <v>23.0</v>
      </c>
      <c r="AJ413" s="5"/>
      <c r="AK413" s="5" t="s">
        <v>1773</v>
      </c>
      <c r="AL413" s="92">
        <v>0.0</v>
      </c>
      <c r="AM413" s="5" t="s">
        <v>1770</v>
      </c>
      <c r="AN413" s="5" t="s">
        <v>1830</v>
      </c>
      <c r="AO413" s="5"/>
      <c r="AP413" s="5"/>
      <c r="AQ413" s="5"/>
      <c r="AR413" s="5"/>
      <c r="AS413" s="5"/>
      <c r="AT413" s="5"/>
      <c r="AU413" s="5"/>
      <c r="AV413" s="5"/>
      <c r="AW413" s="5" t="s">
        <v>1770</v>
      </c>
      <c r="AX413" s="5"/>
      <c r="AY413" s="5"/>
      <c r="AZ413" s="5" t="s">
        <v>1770</v>
      </c>
      <c r="BA413" s="93">
        <v>0.0</v>
      </c>
      <c r="BB413" s="93">
        <v>0.0</v>
      </c>
      <c r="BC413" s="93">
        <v>0.0</v>
      </c>
      <c r="BD413" s="93">
        <v>0.0</v>
      </c>
      <c r="BE413" s="93">
        <v>0.0</v>
      </c>
      <c r="BF413" s="93">
        <v>0.0</v>
      </c>
      <c r="BG413" s="5"/>
      <c r="BH413" s="93">
        <v>0.0</v>
      </c>
      <c r="BI413" s="93">
        <v>0.0</v>
      </c>
      <c r="BJ413" s="93">
        <v>0.0</v>
      </c>
      <c r="BK413" s="93">
        <v>0.0</v>
      </c>
      <c r="BL413" s="93">
        <v>0.0</v>
      </c>
      <c r="BM413" s="93">
        <v>0.0</v>
      </c>
      <c r="BN413" s="93">
        <v>0.0</v>
      </c>
      <c r="BO413" s="5"/>
      <c r="BP413" s="5" t="s">
        <v>1770</v>
      </c>
      <c r="BQ413" s="5" t="s">
        <v>1789</v>
      </c>
      <c r="BR413" s="94">
        <v>45208.74424768519</v>
      </c>
      <c r="BS413" s="5">
        <v>40.0</v>
      </c>
      <c r="BT413" s="5" t="s">
        <v>1770</v>
      </c>
      <c r="BU413" s="5" t="s">
        <v>1770</v>
      </c>
      <c r="BV413" s="94">
        <v>45252.6562962963</v>
      </c>
      <c r="BW413" s="5">
        <v>40.0</v>
      </c>
    </row>
    <row r="414" ht="14.25" customHeight="1">
      <c r="A414" s="5">
        <v>413.0</v>
      </c>
      <c r="B414" s="5">
        <v>680.0</v>
      </c>
      <c r="C414" s="5" t="s">
        <v>4832</v>
      </c>
      <c r="D414" s="5" t="s">
        <v>2691</v>
      </c>
      <c r="E414" s="5" t="s">
        <v>2343</v>
      </c>
      <c r="F414" s="5" t="s">
        <v>4833</v>
      </c>
      <c r="G414" s="5" t="s">
        <v>4834</v>
      </c>
      <c r="H414" s="5" t="s">
        <v>1972</v>
      </c>
      <c r="I414" s="5" t="s">
        <v>1782</v>
      </c>
      <c r="J414" s="91">
        <v>37086.0</v>
      </c>
      <c r="K414" s="5">
        <v>418.0</v>
      </c>
      <c r="L414" s="5" t="s">
        <v>4835</v>
      </c>
      <c r="M414" s="5">
        <v>356.0</v>
      </c>
      <c r="N414" s="5"/>
      <c r="O414" s="5">
        <v>35548.0</v>
      </c>
      <c r="P414" s="5" t="s">
        <v>4836</v>
      </c>
      <c r="Q414" s="5" t="s">
        <v>4749</v>
      </c>
      <c r="R414" s="5">
        <v>418.0</v>
      </c>
      <c r="S414" s="5">
        <v>4.623377343E9</v>
      </c>
      <c r="T414" s="5" t="s">
        <v>4837</v>
      </c>
      <c r="U414" s="5" t="s">
        <v>4838</v>
      </c>
      <c r="V414" s="5">
        <v>4.621252625E9</v>
      </c>
      <c r="W414" s="5" t="s">
        <v>1808</v>
      </c>
      <c r="X414" s="91">
        <v>45215.0</v>
      </c>
      <c r="Y414" s="5">
        <v>2.0</v>
      </c>
      <c r="Z414" s="5">
        <v>4.0</v>
      </c>
      <c r="AA414" s="5">
        <v>54.0</v>
      </c>
      <c r="AB414" s="5" t="s">
        <v>4839</v>
      </c>
      <c r="AC414" s="5" t="s">
        <v>1772</v>
      </c>
      <c r="AD414" s="91">
        <v>45201.0</v>
      </c>
      <c r="AE414" s="91">
        <v>47028.0</v>
      </c>
      <c r="AF414" s="5"/>
      <c r="AG414" s="5"/>
      <c r="AH414" s="5">
        <v>2.013013404E10</v>
      </c>
      <c r="AI414" s="5">
        <v>9.0</v>
      </c>
      <c r="AJ414" s="5"/>
      <c r="AK414" s="5" t="s">
        <v>1773</v>
      </c>
      <c r="AL414" s="92">
        <v>0.0</v>
      </c>
      <c r="AM414" s="5" t="s">
        <v>1770</v>
      </c>
      <c r="AN414" s="5" t="s">
        <v>1830</v>
      </c>
      <c r="AO414" s="5"/>
      <c r="AP414" s="5"/>
      <c r="AQ414" s="5"/>
      <c r="AR414" s="5"/>
      <c r="AS414" s="5"/>
      <c r="AT414" s="5"/>
      <c r="AU414" s="5"/>
      <c r="AV414" s="5"/>
      <c r="AW414" s="5" t="s">
        <v>1770</v>
      </c>
      <c r="AX414" s="5"/>
      <c r="AY414" s="5"/>
      <c r="AZ414" s="5" t="s">
        <v>1770</v>
      </c>
      <c r="BA414" s="93">
        <v>0.0</v>
      </c>
      <c r="BB414" s="93">
        <v>0.0</v>
      </c>
      <c r="BC414" s="93">
        <v>0.0</v>
      </c>
      <c r="BD414" s="93">
        <v>0.0</v>
      </c>
      <c r="BE414" s="93">
        <v>0.0</v>
      </c>
      <c r="BF414" s="93">
        <v>0.0</v>
      </c>
      <c r="BG414" s="5"/>
      <c r="BH414" s="93">
        <v>0.0</v>
      </c>
      <c r="BI414" s="93">
        <v>0.0</v>
      </c>
      <c r="BJ414" s="93">
        <v>0.0</v>
      </c>
      <c r="BK414" s="93">
        <v>0.0</v>
      </c>
      <c r="BL414" s="93">
        <v>0.0</v>
      </c>
      <c r="BM414" s="93">
        <v>0.0</v>
      </c>
      <c r="BN414" s="93">
        <v>0.0</v>
      </c>
      <c r="BO414" s="5"/>
      <c r="BP414" s="5" t="s">
        <v>1770</v>
      </c>
      <c r="BQ414" s="5" t="s">
        <v>1789</v>
      </c>
      <c r="BR414" s="94">
        <v>45222.715150462966</v>
      </c>
      <c r="BS414" s="5">
        <v>40.0</v>
      </c>
      <c r="BT414" s="5" t="s">
        <v>1770</v>
      </c>
      <c r="BU414" s="5" t="s">
        <v>1770</v>
      </c>
      <c r="BV414" s="94">
        <v>45301.69253472222</v>
      </c>
      <c r="BW414" s="5" t="s">
        <v>1770</v>
      </c>
    </row>
    <row r="415" ht="14.25" customHeight="1">
      <c r="A415" s="5">
        <v>414.0</v>
      </c>
      <c r="B415" s="5">
        <v>681.0</v>
      </c>
      <c r="C415" s="5" t="s">
        <v>4840</v>
      </c>
      <c r="D415" s="5" t="s">
        <v>2382</v>
      </c>
      <c r="E415" s="5" t="s">
        <v>3915</v>
      </c>
      <c r="F415" s="5" t="s">
        <v>4841</v>
      </c>
      <c r="G415" s="5" t="s">
        <v>4842</v>
      </c>
      <c r="H415" s="5" t="s">
        <v>1781</v>
      </c>
      <c r="I415" s="5" t="s">
        <v>1782</v>
      </c>
      <c r="J415" s="91">
        <v>33234.0</v>
      </c>
      <c r="K415" s="5">
        <v>834.0</v>
      </c>
      <c r="L415" s="5" t="s">
        <v>4843</v>
      </c>
      <c r="M415" s="5">
        <v>48.0</v>
      </c>
      <c r="N415" s="5"/>
      <c r="O415" s="5">
        <v>53862.0</v>
      </c>
      <c r="P415" s="5" t="s">
        <v>4844</v>
      </c>
      <c r="Q415" s="5" t="s">
        <v>2041</v>
      </c>
      <c r="R415" s="5">
        <v>834.0</v>
      </c>
      <c r="S415" s="5">
        <v>4.437030017E9</v>
      </c>
      <c r="T415" s="5" t="s">
        <v>4845</v>
      </c>
      <c r="U415" s="5" t="s">
        <v>4846</v>
      </c>
      <c r="V415" s="5">
        <v>4.434648367E9</v>
      </c>
      <c r="W415" s="5" t="s">
        <v>3956</v>
      </c>
      <c r="X415" s="91">
        <v>45217.0</v>
      </c>
      <c r="Y415" s="5">
        <v>4.0</v>
      </c>
      <c r="Z415" s="5">
        <v>4.0</v>
      </c>
      <c r="AA415" s="5">
        <v>40.0</v>
      </c>
      <c r="AB415" s="5" t="s">
        <v>4847</v>
      </c>
      <c r="AC415" s="5" t="s">
        <v>1800</v>
      </c>
      <c r="AD415" s="91">
        <v>43699.0</v>
      </c>
      <c r="AE415" s="91">
        <v>46987.0</v>
      </c>
      <c r="AF415" s="5"/>
      <c r="AG415" s="5"/>
      <c r="AH415" s="5">
        <v>5.3119019064E10</v>
      </c>
      <c r="AI415" s="5">
        <v>80.0</v>
      </c>
      <c r="AJ415" s="5"/>
      <c r="AK415" s="5" t="s">
        <v>1773</v>
      </c>
      <c r="AL415" s="92">
        <v>0.0</v>
      </c>
      <c r="AM415" s="5" t="s">
        <v>1770</v>
      </c>
      <c r="AN415" s="5" t="s">
        <v>1935</v>
      </c>
      <c r="AO415" s="5"/>
      <c r="AP415" s="5"/>
      <c r="AQ415" s="5"/>
      <c r="AR415" s="5"/>
      <c r="AS415" s="5"/>
      <c r="AT415" s="5"/>
      <c r="AU415" s="5"/>
      <c r="AV415" s="5"/>
      <c r="AW415" s="5" t="s">
        <v>1770</v>
      </c>
      <c r="AX415" s="5"/>
      <c r="AY415" s="5"/>
      <c r="AZ415" s="5" t="s">
        <v>1770</v>
      </c>
      <c r="BA415" s="93">
        <v>0.0</v>
      </c>
      <c r="BB415" s="93">
        <v>0.0</v>
      </c>
      <c r="BC415" s="93">
        <v>0.0</v>
      </c>
      <c r="BD415" s="93">
        <v>0.0</v>
      </c>
      <c r="BE415" s="93">
        <v>0.0</v>
      </c>
      <c r="BF415" s="93">
        <v>0.0</v>
      </c>
      <c r="BG415" s="5"/>
      <c r="BH415" s="93">
        <v>0.0</v>
      </c>
      <c r="BI415" s="93">
        <v>0.0</v>
      </c>
      <c r="BJ415" s="93">
        <v>0.0</v>
      </c>
      <c r="BK415" s="93">
        <v>0.0</v>
      </c>
      <c r="BL415" s="93">
        <v>0.0</v>
      </c>
      <c r="BM415" s="93">
        <v>0.0</v>
      </c>
      <c r="BN415" s="93">
        <v>0.0</v>
      </c>
      <c r="BO415" s="5"/>
      <c r="BP415" s="5" t="s">
        <v>1770</v>
      </c>
      <c r="BQ415" s="5" t="s">
        <v>1789</v>
      </c>
      <c r="BR415" s="94">
        <v>45222.72008101852</v>
      </c>
      <c r="BS415" s="5">
        <v>40.0</v>
      </c>
      <c r="BT415" s="5" t="s">
        <v>1770</v>
      </c>
      <c r="BU415" s="5" t="s">
        <v>1770</v>
      </c>
      <c r="BV415" s="94">
        <v>45309.37150462963</v>
      </c>
      <c r="BW415" s="5">
        <v>217.0</v>
      </c>
    </row>
    <row r="416" ht="14.25" customHeight="1">
      <c r="A416" s="5">
        <v>415.0</v>
      </c>
      <c r="B416" s="5">
        <v>682.0</v>
      </c>
      <c r="C416" s="5" t="s">
        <v>3055</v>
      </c>
      <c r="D416" s="5" t="s">
        <v>2132</v>
      </c>
      <c r="E416" s="5" t="s">
        <v>1926</v>
      </c>
      <c r="F416" s="5" t="s">
        <v>4848</v>
      </c>
      <c r="G416" s="5" t="s">
        <v>4849</v>
      </c>
      <c r="H416" s="5" t="s">
        <v>1781</v>
      </c>
      <c r="I416" s="5" t="s">
        <v>1782</v>
      </c>
      <c r="J416" s="91">
        <v>32525.0</v>
      </c>
      <c r="K416" s="5">
        <v>594.0</v>
      </c>
      <c r="L416" s="5" t="s">
        <v>2430</v>
      </c>
      <c r="M416" s="5">
        <v>293.0</v>
      </c>
      <c r="N416" s="5"/>
      <c r="O416" s="5">
        <v>41922.0</v>
      </c>
      <c r="P416" s="5" t="s">
        <v>1797</v>
      </c>
      <c r="Q416" s="5" t="s">
        <v>2349</v>
      </c>
      <c r="R416" s="5">
        <v>597.0</v>
      </c>
      <c r="S416" s="5">
        <v>3.312688078E9</v>
      </c>
      <c r="T416" s="5" t="s">
        <v>4850</v>
      </c>
      <c r="U416" s="5" t="s">
        <v>4851</v>
      </c>
      <c r="V416" s="5">
        <v>3.320301586E9</v>
      </c>
      <c r="W416" s="5" t="s">
        <v>1965</v>
      </c>
      <c r="X416" s="91">
        <v>45222.0</v>
      </c>
      <c r="Y416" s="5">
        <v>5.0</v>
      </c>
      <c r="Z416" s="5">
        <v>3.0</v>
      </c>
      <c r="AA416" s="5">
        <v>58.0</v>
      </c>
      <c r="AB416" s="5" t="s">
        <v>4852</v>
      </c>
      <c r="AC416" s="5" t="s">
        <v>1800</v>
      </c>
      <c r="AD416" s="91">
        <v>45322.0</v>
      </c>
      <c r="AE416" s="91">
        <v>46783.0</v>
      </c>
      <c r="AF416" s="5"/>
      <c r="AG416" s="5"/>
      <c r="AH416" s="5">
        <v>4.118913153E9</v>
      </c>
      <c r="AI416" s="5">
        <v>95.0</v>
      </c>
      <c r="AJ416" s="5"/>
      <c r="AK416" s="5" t="s">
        <v>1773</v>
      </c>
      <c r="AL416" s="92">
        <v>0.0</v>
      </c>
      <c r="AM416" s="5" t="s">
        <v>1770</v>
      </c>
      <c r="AN416" s="5" t="s">
        <v>1774</v>
      </c>
      <c r="AO416" s="5"/>
      <c r="AP416" s="5"/>
      <c r="AQ416" s="5"/>
      <c r="AR416" s="5"/>
      <c r="AS416" s="5"/>
      <c r="AT416" s="5"/>
      <c r="AU416" s="5"/>
      <c r="AV416" s="5"/>
      <c r="AW416" s="5" t="s">
        <v>1770</v>
      </c>
      <c r="AX416" s="5"/>
      <c r="AY416" s="5"/>
      <c r="AZ416" s="5" t="s">
        <v>1770</v>
      </c>
      <c r="BA416" s="93">
        <v>0.0</v>
      </c>
      <c r="BB416" s="93">
        <v>0.0</v>
      </c>
      <c r="BC416" s="93">
        <v>0.0</v>
      </c>
      <c r="BD416" s="93">
        <v>0.0</v>
      </c>
      <c r="BE416" s="93">
        <v>0.0</v>
      </c>
      <c r="BF416" s="93">
        <v>0.0</v>
      </c>
      <c r="BG416" s="5"/>
      <c r="BH416" s="93">
        <v>0.0</v>
      </c>
      <c r="BI416" s="93">
        <v>0.0</v>
      </c>
      <c r="BJ416" s="93">
        <v>0.0</v>
      </c>
      <c r="BK416" s="93">
        <v>0.0</v>
      </c>
      <c r="BL416" s="93">
        <v>0.0</v>
      </c>
      <c r="BM416" s="93">
        <v>0.0</v>
      </c>
      <c r="BN416" s="93">
        <v>0.0</v>
      </c>
      <c r="BO416" s="5"/>
      <c r="BP416" s="5"/>
      <c r="BQ416" s="5" t="s">
        <v>1789</v>
      </c>
      <c r="BR416" s="94">
        <v>45222.737349537034</v>
      </c>
      <c r="BS416" s="5">
        <v>40.0</v>
      </c>
      <c r="BT416" s="94">
        <v>46134.56182870371</v>
      </c>
      <c r="BU416" s="5" t="s">
        <v>1770</v>
      </c>
      <c r="BV416" s="94">
        <v>46175.60469907407</v>
      </c>
      <c r="BW416" s="5">
        <v>40.0</v>
      </c>
    </row>
    <row r="417" ht="14.25" customHeight="1">
      <c r="A417" s="5">
        <v>416.0</v>
      </c>
      <c r="B417" s="5">
        <v>684.0</v>
      </c>
      <c r="C417" s="5" t="s">
        <v>1877</v>
      </c>
      <c r="D417" s="5" t="s">
        <v>4853</v>
      </c>
      <c r="E417" s="5" t="s">
        <v>1778</v>
      </c>
      <c r="F417" s="5" t="s">
        <v>4854</v>
      </c>
      <c r="G417" s="5" t="s">
        <v>4855</v>
      </c>
      <c r="H417" s="5" t="s">
        <v>1972</v>
      </c>
      <c r="I417" s="5" t="s">
        <v>1782</v>
      </c>
      <c r="J417" s="91">
        <v>35143.0</v>
      </c>
      <c r="K417" s="5">
        <v>594.0</v>
      </c>
      <c r="L417" s="100" t="s">
        <v>3883</v>
      </c>
      <c r="M417" s="5">
        <v>42.0</v>
      </c>
      <c r="N417" s="5"/>
      <c r="O417" s="5">
        <v>43712.0</v>
      </c>
      <c r="P417" s="5" t="s">
        <v>4856</v>
      </c>
      <c r="Q417" s="5" t="s">
        <v>4856</v>
      </c>
      <c r="R417" s="5">
        <v>636.0</v>
      </c>
      <c r="S417" s="5">
        <v>3.92930636E9</v>
      </c>
      <c r="T417" s="5" t="s">
        <v>4857</v>
      </c>
      <c r="U417" s="5" t="s">
        <v>4858</v>
      </c>
      <c r="V417" s="5">
        <v>3.315767112E9</v>
      </c>
      <c r="W417" s="5" t="s">
        <v>2610</v>
      </c>
      <c r="X417" s="91">
        <v>45233.0</v>
      </c>
      <c r="Y417" s="5">
        <v>6.0</v>
      </c>
      <c r="Z417" s="5">
        <v>19.0</v>
      </c>
      <c r="AA417" s="5">
        <v>1.0</v>
      </c>
      <c r="AB417" s="5" t="s">
        <v>4859</v>
      </c>
      <c r="AC417" s="5" t="s">
        <v>1800</v>
      </c>
      <c r="AD417" s="91">
        <v>45302.0</v>
      </c>
      <c r="AE417" s="91">
        <v>46763.0</v>
      </c>
      <c r="AF417" s="5">
        <v>1.517661972E9</v>
      </c>
      <c r="AG417" s="5"/>
      <c r="AH417" s="5">
        <v>7.16965498E9</v>
      </c>
      <c r="AI417" s="5">
        <v>23.0</v>
      </c>
      <c r="AJ417" s="5"/>
      <c r="AK417" s="5" t="s">
        <v>1773</v>
      </c>
      <c r="AL417" s="92">
        <v>0.0</v>
      </c>
      <c r="AM417" s="5" t="s">
        <v>1770</v>
      </c>
      <c r="AN417" s="5" t="s">
        <v>1774</v>
      </c>
      <c r="AO417" s="5"/>
      <c r="AP417" s="5"/>
      <c r="AQ417" s="5"/>
      <c r="AR417" s="5"/>
      <c r="AS417" s="5"/>
      <c r="AT417" s="5"/>
      <c r="AU417" s="5"/>
      <c r="AV417" s="5"/>
      <c r="AW417" s="5" t="s">
        <v>1770</v>
      </c>
      <c r="AX417" s="5"/>
      <c r="AY417" s="5"/>
      <c r="AZ417" s="5" t="s">
        <v>1770</v>
      </c>
      <c r="BA417" s="93">
        <v>0.0</v>
      </c>
      <c r="BB417" s="93">
        <v>0.0</v>
      </c>
      <c r="BC417" s="93">
        <v>0.0</v>
      </c>
      <c r="BD417" s="93">
        <v>0.0</v>
      </c>
      <c r="BE417" s="93">
        <v>0.0</v>
      </c>
      <c r="BF417" s="93">
        <v>0.0</v>
      </c>
      <c r="BG417" s="5"/>
      <c r="BH417" s="93">
        <v>0.0</v>
      </c>
      <c r="BI417" s="93">
        <v>0.0</v>
      </c>
      <c r="BJ417" s="93">
        <v>0.0</v>
      </c>
      <c r="BK417" s="93">
        <v>0.0</v>
      </c>
      <c r="BL417" s="93">
        <v>0.0</v>
      </c>
      <c r="BM417" s="93">
        <v>0.0</v>
      </c>
      <c r="BN417" s="93">
        <v>0.0</v>
      </c>
      <c r="BO417" s="5"/>
      <c r="BP417" s="5" t="s">
        <v>1770</v>
      </c>
      <c r="BQ417" s="5" t="s">
        <v>1789</v>
      </c>
      <c r="BR417" s="94">
        <v>45233.37725694444</v>
      </c>
      <c r="BS417" s="5">
        <v>40.0</v>
      </c>
      <c r="BT417" s="94">
        <v>45324.62880787037</v>
      </c>
      <c r="BU417" s="5">
        <v>40.0</v>
      </c>
      <c r="BV417" s="94">
        <v>45671.6971412037</v>
      </c>
      <c r="BW417" s="5" t="s">
        <v>1770</v>
      </c>
    </row>
    <row r="418" ht="14.25" customHeight="1">
      <c r="A418" s="5">
        <v>417.0</v>
      </c>
      <c r="B418" s="5">
        <v>683.0</v>
      </c>
      <c r="C418" s="5" t="s">
        <v>4860</v>
      </c>
      <c r="D418" s="5" t="s">
        <v>1792</v>
      </c>
      <c r="E418" s="5" t="s">
        <v>1778</v>
      </c>
      <c r="F418" s="5" t="s">
        <v>4861</v>
      </c>
      <c r="G418" s="5" t="s">
        <v>4862</v>
      </c>
      <c r="H418" s="5" t="s">
        <v>1781</v>
      </c>
      <c r="I418" s="5" t="s">
        <v>1782</v>
      </c>
      <c r="J418" s="91">
        <v>25190.0</v>
      </c>
      <c r="K418" s="5">
        <v>549.0</v>
      </c>
      <c r="L418" s="5" t="s">
        <v>2691</v>
      </c>
      <c r="M418" s="5">
        <v>432.0</v>
      </c>
      <c r="N418" s="5"/>
      <c r="O418" s="5">
        <v>43882.0</v>
      </c>
      <c r="P418" s="5" t="s">
        <v>1797</v>
      </c>
      <c r="Q418" s="5" t="s">
        <v>1766</v>
      </c>
      <c r="R418" s="5">
        <v>549.0</v>
      </c>
      <c r="S418" s="5">
        <v>3.931677865E9</v>
      </c>
      <c r="T418" s="5" t="s">
        <v>4863</v>
      </c>
      <c r="U418" s="5" t="s">
        <v>4864</v>
      </c>
      <c r="V418" s="5">
        <v>3.939351299E9</v>
      </c>
      <c r="W418" s="5" t="s">
        <v>1819</v>
      </c>
      <c r="X418" s="91">
        <v>45229.0</v>
      </c>
      <c r="Y418" s="5">
        <v>1.0</v>
      </c>
      <c r="Z418" s="5">
        <v>17.0</v>
      </c>
      <c r="AA418" s="5">
        <v>32.0</v>
      </c>
      <c r="AB418" s="5"/>
      <c r="AC418" s="5"/>
      <c r="AD418" s="5" t="s">
        <v>1770</v>
      </c>
      <c r="AE418" s="5" t="s">
        <v>1770</v>
      </c>
      <c r="AF418" s="5"/>
      <c r="AG418" s="5"/>
      <c r="AH418" s="5">
        <v>2.236807711E9</v>
      </c>
      <c r="AI418" s="5">
        <v>23.0</v>
      </c>
      <c r="AJ418" s="5"/>
      <c r="AK418" s="5" t="s">
        <v>1773</v>
      </c>
      <c r="AL418" s="92">
        <v>0.0</v>
      </c>
      <c r="AM418" s="5" t="s">
        <v>1770</v>
      </c>
      <c r="AN418" s="5" t="s">
        <v>1774</v>
      </c>
      <c r="AO418" s="5"/>
      <c r="AP418" s="5"/>
      <c r="AQ418" s="5"/>
      <c r="AR418" s="5"/>
      <c r="AS418" s="5"/>
      <c r="AT418" s="5"/>
      <c r="AU418" s="5"/>
      <c r="AV418" s="5"/>
      <c r="AW418" s="5" t="s">
        <v>1770</v>
      </c>
      <c r="AX418" s="5"/>
      <c r="AY418" s="5"/>
      <c r="AZ418" s="5" t="s">
        <v>1770</v>
      </c>
      <c r="BA418" s="93">
        <v>0.0</v>
      </c>
      <c r="BB418" s="93">
        <v>0.0</v>
      </c>
      <c r="BC418" s="93">
        <v>0.0</v>
      </c>
      <c r="BD418" s="93">
        <v>0.0</v>
      </c>
      <c r="BE418" s="93">
        <v>0.0</v>
      </c>
      <c r="BF418" s="93">
        <v>0.0</v>
      </c>
      <c r="BG418" s="5"/>
      <c r="BH418" s="93">
        <v>0.0</v>
      </c>
      <c r="BI418" s="93">
        <v>0.0</v>
      </c>
      <c r="BJ418" s="93">
        <v>0.0</v>
      </c>
      <c r="BK418" s="93">
        <v>0.0</v>
      </c>
      <c r="BL418" s="93">
        <v>0.0</v>
      </c>
      <c r="BM418" s="93">
        <v>0.0</v>
      </c>
      <c r="BN418" s="93">
        <v>0.0</v>
      </c>
      <c r="BO418" s="5"/>
      <c r="BP418" s="5" t="s">
        <v>1770</v>
      </c>
      <c r="BQ418" s="5" t="s">
        <v>1775</v>
      </c>
      <c r="BR418" s="94">
        <v>45239.56165509259</v>
      </c>
      <c r="BS418" s="5">
        <v>40.0</v>
      </c>
      <c r="BT418" s="5" t="s">
        <v>1770</v>
      </c>
      <c r="BU418" s="5" t="s">
        <v>1770</v>
      </c>
      <c r="BV418" s="5" t="s">
        <v>1770</v>
      </c>
      <c r="BW418" s="5" t="s">
        <v>1770</v>
      </c>
    </row>
    <row r="419" ht="14.25" customHeight="1">
      <c r="A419" s="5">
        <v>418.0</v>
      </c>
      <c r="B419" s="5">
        <v>685.0</v>
      </c>
      <c r="C419" s="5" t="s">
        <v>2360</v>
      </c>
      <c r="D419" s="5" t="s">
        <v>4865</v>
      </c>
      <c r="E419" s="5" t="s">
        <v>4866</v>
      </c>
      <c r="F419" s="5" t="s">
        <v>4867</v>
      </c>
      <c r="G419" s="5" t="s">
        <v>4868</v>
      </c>
      <c r="H419" s="5" t="s">
        <v>2671</v>
      </c>
      <c r="I419" s="5" t="s">
        <v>1763</v>
      </c>
      <c r="J419" s="91">
        <v>28096.0</v>
      </c>
      <c r="K419" s="5">
        <v>893.0</v>
      </c>
      <c r="L419" s="5" t="s">
        <v>4869</v>
      </c>
      <c r="M419" s="5">
        <v>377.0</v>
      </c>
      <c r="N419" s="5"/>
      <c r="O419" s="5">
        <v>54682.0</v>
      </c>
      <c r="P419" s="5" t="s">
        <v>4870</v>
      </c>
      <c r="Q419" s="5" t="s">
        <v>2342</v>
      </c>
      <c r="R419" s="5">
        <v>869.0</v>
      </c>
      <c r="S419" s="5">
        <v>4.432192748E9</v>
      </c>
      <c r="T419" s="5" t="s">
        <v>4871</v>
      </c>
      <c r="U419" s="5" t="s">
        <v>4872</v>
      </c>
      <c r="V419" s="5">
        <v>4.432735961E9</v>
      </c>
      <c r="W419" s="5" t="s">
        <v>3328</v>
      </c>
      <c r="X419" s="91">
        <v>45236.0</v>
      </c>
      <c r="Y419" s="5">
        <v>4.0</v>
      </c>
      <c r="Z419" s="5">
        <v>4.0</v>
      </c>
      <c r="AA419" s="5">
        <v>17.0</v>
      </c>
      <c r="AB419" s="5"/>
      <c r="AC419" s="5"/>
      <c r="AD419" s="5" t="s">
        <v>1770</v>
      </c>
      <c r="AE419" s="5" t="s">
        <v>1770</v>
      </c>
      <c r="AF419" s="5"/>
      <c r="AG419" s="5"/>
      <c r="AH419" s="5">
        <v>5.3977620623E10</v>
      </c>
      <c r="AI419" s="5">
        <v>80.0</v>
      </c>
      <c r="AJ419" s="5"/>
      <c r="AK419" s="5" t="s">
        <v>1773</v>
      </c>
      <c r="AL419" s="92">
        <v>0.0</v>
      </c>
      <c r="AM419" s="5" t="s">
        <v>1770</v>
      </c>
      <c r="AN419" s="5" t="s">
        <v>4382</v>
      </c>
      <c r="AO419" s="5"/>
      <c r="AP419" s="5"/>
      <c r="AQ419" s="5"/>
      <c r="AR419" s="5"/>
      <c r="AS419" s="5"/>
      <c r="AT419" s="5"/>
      <c r="AU419" s="5"/>
      <c r="AV419" s="5"/>
      <c r="AW419" s="5" t="s">
        <v>1770</v>
      </c>
      <c r="AX419" s="5"/>
      <c r="AY419" s="5"/>
      <c r="AZ419" s="5" t="s">
        <v>1770</v>
      </c>
      <c r="BA419" s="93">
        <v>0.0</v>
      </c>
      <c r="BB419" s="93">
        <v>0.0</v>
      </c>
      <c r="BC419" s="93">
        <v>0.0</v>
      </c>
      <c r="BD419" s="93">
        <v>0.0</v>
      </c>
      <c r="BE419" s="93">
        <v>0.0</v>
      </c>
      <c r="BF419" s="93">
        <v>0.0</v>
      </c>
      <c r="BG419" s="5"/>
      <c r="BH419" s="93">
        <v>0.0</v>
      </c>
      <c r="BI419" s="93">
        <v>0.0</v>
      </c>
      <c r="BJ419" s="93">
        <v>0.0</v>
      </c>
      <c r="BK419" s="93">
        <v>0.0</v>
      </c>
      <c r="BL419" s="93">
        <v>0.0</v>
      </c>
      <c r="BM419" s="93">
        <v>0.0</v>
      </c>
      <c r="BN419" s="93">
        <v>0.0</v>
      </c>
      <c r="BO419" s="5"/>
      <c r="BP419" s="5" t="s">
        <v>1770</v>
      </c>
      <c r="BQ419" s="5" t="s">
        <v>1789</v>
      </c>
      <c r="BR419" s="94">
        <v>45239.57879629629</v>
      </c>
      <c r="BS419" s="5">
        <v>40.0</v>
      </c>
      <c r="BT419" s="5" t="s">
        <v>1770</v>
      </c>
      <c r="BU419" s="5" t="s">
        <v>1770</v>
      </c>
      <c r="BV419" s="94">
        <v>45580.47087962963</v>
      </c>
      <c r="BW419" s="5">
        <v>40.0</v>
      </c>
    </row>
    <row r="420" ht="14.25" customHeight="1">
      <c r="A420" s="5">
        <v>419.0</v>
      </c>
      <c r="B420" s="5">
        <v>686.0</v>
      </c>
      <c r="C420" s="5" t="s">
        <v>1957</v>
      </c>
      <c r="D420" s="5" t="s">
        <v>4873</v>
      </c>
      <c r="E420" s="5" t="s">
        <v>2081</v>
      </c>
      <c r="F420" s="5" t="s">
        <v>4874</v>
      </c>
      <c r="G420" s="5" t="s">
        <v>4875</v>
      </c>
      <c r="H420" s="5" t="s">
        <v>1781</v>
      </c>
      <c r="I420" s="5" t="s">
        <v>1782</v>
      </c>
      <c r="J420" s="91">
        <v>34764.0</v>
      </c>
      <c r="K420" s="5">
        <v>402.0</v>
      </c>
      <c r="L420" s="5" t="s">
        <v>3632</v>
      </c>
      <c r="M420" s="5">
        <v>309.0</v>
      </c>
      <c r="N420" s="5" t="s">
        <v>2624</v>
      </c>
      <c r="O420" s="5">
        <v>35942.0</v>
      </c>
      <c r="P420" s="5" t="s">
        <v>1797</v>
      </c>
      <c r="Q420" s="5" t="s">
        <v>2061</v>
      </c>
      <c r="R420" s="5">
        <v>402.0</v>
      </c>
      <c r="S420" s="5">
        <v>4.62297259E9</v>
      </c>
      <c r="T420" s="5" t="s">
        <v>4876</v>
      </c>
      <c r="U420" s="5" t="s">
        <v>4877</v>
      </c>
      <c r="V420" s="5">
        <v>4.381069571E9</v>
      </c>
      <c r="W420" s="5" t="s">
        <v>1965</v>
      </c>
      <c r="X420" s="91">
        <v>45251.0</v>
      </c>
      <c r="Y420" s="5">
        <v>2.0</v>
      </c>
      <c r="Z420" s="5">
        <v>4.0</v>
      </c>
      <c r="AA420" s="5">
        <v>12.0</v>
      </c>
      <c r="AB420" s="5" t="s">
        <v>4878</v>
      </c>
      <c r="AC420" s="5" t="s">
        <v>1772</v>
      </c>
      <c r="AD420" s="91">
        <v>45226.0</v>
      </c>
      <c r="AE420" s="91">
        <v>47053.0</v>
      </c>
      <c r="AF420" s="5"/>
      <c r="AG420" s="5"/>
      <c r="AH420" s="5">
        <v>1.2129511197E10</v>
      </c>
      <c r="AI420" s="5">
        <v>9.0</v>
      </c>
      <c r="AJ420" s="5"/>
      <c r="AK420" s="5" t="s">
        <v>1773</v>
      </c>
      <c r="AL420" s="92">
        <v>0.0</v>
      </c>
      <c r="AM420" s="5" t="s">
        <v>1770</v>
      </c>
      <c r="AN420" s="5" t="s">
        <v>1830</v>
      </c>
      <c r="AO420" s="5"/>
      <c r="AP420" s="5"/>
      <c r="AQ420" s="5"/>
      <c r="AR420" s="5"/>
      <c r="AS420" s="5"/>
      <c r="AT420" s="5"/>
      <c r="AU420" s="5"/>
      <c r="AV420" s="5"/>
      <c r="AW420" s="5" t="s">
        <v>1770</v>
      </c>
      <c r="AX420" s="5"/>
      <c r="AY420" s="5"/>
      <c r="AZ420" s="5" t="s">
        <v>1770</v>
      </c>
      <c r="BA420" s="93">
        <v>0.0</v>
      </c>
      <c r="BB420" s="93">
        <v>0.0</v>
      </c>
      <c r="BC420" s="93">
        <v>0.0</v>
      </c>
      <c r="BD420" s="93">
        <v>0.0</v>
      </c>
      <c r="BE420" s="93">
        <v>0.0</v>
      </c>
      <c r="BF420" s="93">
        <v>0.0</v>
      </c>
      <c r="BG420" s="5"/>
      <c r="BH420" s="93">
        <v>0.0</v>
      </c>
      <c r="BI420" s="93">
        <v>0.0</v>
      </c>
      <c r="BJ420" s="93">
        <v>0.0</v>
      </c>
      <c r="BK420" s="93">
        <v>0.0</v>
      </c>
      <c r="BL420" s="93">
        <v>0.0</v>
      </c>
      <c r="BM420" s="93">
        <v>0.0</v>
      </c>
      <c r="BN420" s="93">
        <v>0.0</v>
      </c>
      <c r="BO420" s="5"/>
      <c r="BP420" s="5" t="s">
        <v>1770</v>
      </c>
      <c r="BQ420" s="5" t="s">
        <v>1775</v>
      </c>
      <c r="BR420" s="94">
        <v>45260.69013888889</v>
      </c>
      <c r="BS420" s="5">
        <v>40.0</v>
      </c>
      <c r="BT420" s="94">
        <v>45324.64619212963</v>
      </c>
      <c r="BU420" s="5">
        <v>40.0</v>
      </c>
      <c r="BV420" s="5" t="s">
        <v>1770</v>
      </c>
      <c r="BW420" s="5" t="s">
        <v>1770</v>
      </c>
    </row>
    <row r="421" ht="14.25" customHeight="1">
      <c r="A421" s="5">
        <v>420.0</v>
      </c>
      <c r="B421" s="5">
        <v>687.0</v>
      </c>
      <c r="C421" s="5" t="s">
        <v>2612</v>
      </c>
      <c r="D421" s="5" t="s">
        <v>4879</v>
      </c>
      <c r="E421" s="5" t="s">
        <v>1823</v>
      </c>
      <c r="F421" s="5" t="s">
        <v>4880</v>
      </c>
      <c r="G421" s="5" t="s">
        <v>4881</v>
      </c>
      <c r="H421" s="5" t="s">
        <v>1781</v>
      </c>
      <c r="I421" s="5" t="s">
        <v>1782</v>
      </c>
      <c r="J421" s="91">
        <v>33543.0</v>
      </c>
      <c r="K421" s="5">
        <v>424.0</v>
      </c>
      <c r="L421" s="5" t="s">
        <v>4882</v>
      </c>
      <c r="M421" s="5">
        <v>18.0</v>
      </c>
      <c r="N421" s="5"/>
      <c r="O421" s="5">
        <v>35878.0</v>
      </c>
      <c r="P421" s="5" t="s">
        <v>2817</v>
      </c>
      <c r="Q421" s="5" t="s">
        <v>2406</v>
      </c>
      <c r="R421" s="5">
        <v>424.0</v>
      </c>
      <c r="S421" s="5">
        <v>4.691033939E9</v>
      </c>
      <c r="T421" s="5" t="s">
        <v>4883</v>
      </c>
      <c r="U421" s="5" t="s">
        <v>4884</v>
      </c>
      <c r="V421" s="5">
        <v>4.691123921E9</v>
      </c>
      <c r="W421" s="5" t="s">
        <v>1787</v>
      </c>
      <c r="X421" s="91">
        <v>45293.0</v>
      </c>
      <c r="Y421" s="5">
        <v>2.0</v>
      </c>
      <c r="Z421" s="5">
        <v>4.0</v>
      </c>
      <c r="AA421" s="5">
        <v>17.0</v>
      </c>
      <c r="AB421" s="5" t="s">
        <v>4885</v>
      </c>
      <c r="AC421" s="5" t="s">
        <v>1772</v>
      </c>
      <c r="AD421" s="91">
        <v>44832.0</v>
      </c>
      <c r="AE421" s="91">
        <v>46566.0</v>
      </c>
      <c r="AF421" s="5"/>
      <c r="AG421" s="5"/>
      <c r="AH421" s="5">
        <v>5.159120566E9</v>
      </c>
      <c r="AI421" s="5">
        <v>9.0</v>
      </c>
      <c r="AJ421" s="5"/>
      <c r="AK421" s="5" t="s">
        <v>1773</v>
      </c>
      <c r="AL421" s="92">
        <v>0.0</v>
      </c>
      <c r="AM421" s="5" t="s">
        <v>1770</v>
      </c>
      <c r="AN421" s="5" t="s">
        <v>1830</v>
      </c>
      <c r="AO421" s="5"/>
      <c r="AP421" s="5"/>
      <c r="AQ421" s="5"/>
      <c r="AR421" s="5"/>
      <c r="AS421" s="5"/>
      <c r="AT421" s="5"/>
      <c r="AU421" s="5"/>
      <c r="AV421" s="5"/>
      <c r="AW421" s="5" t="s">
        <v>1770</v>
      </c>
      <c r="AX421" s="5"/>
      <c r="AY421" s="5"/>
      <c r="AZ421" s="5" t="s">
        <v>1770</v>
      </c>
      <c r="BA421" s="93">
        <v>0.0</v>
      </c>
      <c r="BB421" s="93">
        <v>0.0</v>
      </c>
      <c r="BC421" s="93">
        <v>0.0</v>
      </c>
      <c r="BD421" s="93">
        <v>0.0</v>
      </c>
      <c r="BE421" s="93">
        <v>0.0</v>
      </c>
      <c r="BF421" s="93">
        <v>0.0</v>
      </c>
      <c r="BG421" s="5"/>
      <c r="BH421" s="93">
        <v>0.0</v>
      </c>
      <c r="BI421" s="93">
        <v>0.0</v>
      </c>
      <c r="BJ421" s="93">
        <v>0.0</v>
      </c>
      <c r="BK421" s="93">
        <v>0.0</v>
      </c>
      <c r="BL421" s="93">
        <v>0.0</v>
      </c>
      <c r="BM421" s="93">
        <v>0.0</v>
      </c>
      <c r="BN421" s="93">
        <v>0.0</v>
      </c>
      <c r="BO421" s="5"/>
      <c r="BP421" s="5" t="s">
        <v>1770</v>
      </c>
      <c r="BQ421" s="5" t="s">
        <v>1789</v>
      </c>
      <c r="BR421" s="94">
        <v>45299.689108796294</v>
      </c>
      <c r="BS421" s="5">
        <v>40.0</v>
      </c>
      <c r="BT421" s="94">
        <v>45352.49862268518</v>
      </c>
      <c r="BU421" s="5">
        <v>40.0</v>
      </c>
      <c r="BV421" s="94">
        <v>45829.55048611111</v>
      </c>
      <c r="BW421" s="5">
        <v>40.0</v>
      </c>
    </row>
    <row r="422" ht="14.25" customHeight="1">
      <c r="A422" s="5">
        <v>421.0</v>
      </c>
      <c r="B422" s="5">
        <v>688.0</v>
      </c>
      <c r="C422" s="5" t="s">
        <v>4886</v>
      </c>
      <c r="D422" s="5" t="s">
        <v>4253</v>
      </c>
      <c r="E422" s="5" t="s">
        <v>1758</v>
      </c>
      <c r="F422" s="5" t="s">
        <v>4887</v>
      </c>
      <c r="G422" s="5" t="s">
        <v>4888</v>
      </c>
      <c r="H422" s="5" t="s">
        <v>1762</v>
      </c>
      <c r="I422" s="5" t="s">
        <v>1763</v>
      </c>
      <c r="J422" s="91">
        <v>26164.0</v>
      </c>
      <c r="K422" s="5">
        <v>549.0</v>
      </c>
      <c r="L422" s="5" t="s">
        <v>3624</v>
      </c>
      <c r="M422" s="5">
        <v>20.0</v>
      </c>
      <c r="N422" s="5"/>
      <c r="O422" s="5">
        <v>43882.0</v>
      </c>
      <c r="P422" s="5" t="s">
        <v>4889</v>
      </c>
      <c r="Q422" s="5" t="s">
        <v>1766</v>
      </c>
      <c r="R422" s="5">
        <v>549.0</v>
      </c>
      <c r="S422" s="5">
        <v>3.931060212E9</v>
      </c>
      <c r="T422" s="5" t="s">
        <v>4890</v>
      </c>
      <c r="U422" s="5" t="s">
        <v>4891</v>
      </c>
      <c r="V422" s="5">
        <v>1.234567891E9</v>
      </c>
      <c r="W422" s="5" t="s">
        <v>1769</v>
      </c>
      <c r="X422" s="91">
        <v>45301.0</v>
      </c>
      <c r="Y422" s="5">
        <v>1.0</v>
      </c>
      <c r="Z422" s="5">
        <v>17.0</v>
      </c>
      <c r="AA422" s="5">
        <v>25.0</v>
      </c>
      <c r="AB422" s="5"/>
      <c r="AC422" s="5"/>
      <c r="AD422" s="5" t="s">
        <v>1770</v>
      </c>
      <c r="AE422" s="5" t="s">
        <v>1770</v>
      </c>
      <c r="AF422" s="5"/>
      <c r="AG422" s="5"/>
      <c r="AH422" s="5">
        <v>2.21710049E9</v>
      </c>
      <c r="AI422" s="5">
        <v>23.0</v>
      </c>
      <c r="AJ422" s="5"/>
      <c r="AK422" s="5" t="s">
        <v>1773</v>
      </c>
      <c r="AL422" s="92">
        <v>0.0</v>
      </c>
      <c r="AM422" s="5" t="s">
        <v>1770</v>
      </c>
      <c r="AN422" s="5" t="s">
        <v>4382</v>
      </c>
      <c r="AO422" s="5"/>
      <c r="AP422" s="5"/>
      <c r="AQ422" s="5"/>
      <c r="AR422" s="5"/>
      <c r="AS422" s="5"/>
      <c r="AT422" s="5"/>
      <c r="AU422" s="5"/>
      <c r="AV422" s="5"/>
      <c r="AW422" s="5" t="s">
        <v>1770</v>
      </c>
      <c r="AX422" s="5"/>
      <c r="AY422" s="5"/>
      <c r="AZ422" s="5" t="s">
        <v>1770</v>
      </c>
      <c r="BA422" s="93">
        <v>0.0</v>
      </c>
      <c r="BB422" s="93">
        <v>0.0</v>
      </c>
      <c r="BC422" s="93">
        <v>0.0</v>
      </c>
      <c r="BD422" s="93">
        <v>0.0</v>
      </c>
      <c r="BE422" s="93">
        <v>0.0</v>
      </c>
      <c r="BF422" s="93">
        <v>0.0</v>
      </c>
      <c r="BG422" s="5"/>
      <c r="BH422" s="93">
        <v>0.0</v>
      </c>
      <c r="BI422" s="93">
        <v>0.0</v>
      </c>
      <c r="BJ422" s="93">
        <v>0.0</v>
      </c>
      <c r="BK422" s="93">
        <v>0.0</v>
      </c>
      <c r="BL422" s="93">
        <v>0.0</v>
      </c>
      <c r="BM422" s="93">
        <v>0.0</v>
      </c>
      <c r="BN422" s="93">
        <v>0.0</v>
      </c>
      <c r="BO422" s="5"/>
      <c r="BP422" s="5" t="s">
        <v>1770</v>
      </c>
      <c r="BQ422" s="5" t="s">
        <v>1789</v>
      </c>
      <c r="BR422" s="94">
        <v>45311.500451388885</v>
      </c>
      <c r="BS422" s="5">
        <v>40.0</v>
      </c>
      <c r="BT422" s="5" t="s">
        <v>1770</v>
      </c>
      <c r="BU422" s="5" t="s">
        <v>1770</v>
      </c>
      <c r="BV422" s="94">
        <v>45559.752280092594</v>
      </c>
      <c r="BW422" s="5">
        <v>40.0</v>
      </c>
    </row>
    <row r="423" ht="14.25" customHeight="1">
      <c r="A423" s="5">
        <v>422.0</v>
      </c>
      <c r="B423" s="5">
        <v>689.0</v>
      </c>
      <c r="C423" s="5" t="s">
        <v>4892</v>
      </c>
      <c r="D423" s="5" t="s">
        <v>2241</v>
      </c>
      <c r="E423" s="5" t="s">
        <v>2074</v>
      </c>
      <c r="F423" s="5" t="s">
        <v>4893</v>
      </c>
      <c r="G423" s="5" t="s">
        <v>4894</v>
      </c>
      <c r="H423" s="5" t="s">
        <v>1972</v>
      </c>
      <c r="I423" s="5" t="s">
        <v>1782</v>
      </c>
      <c r="J423" s="91">
        <v>37147.0</v>
      </c>
      <c r="K423" s="5">
        <v>549.0</v>
      </c>
      <c r="L423" s="5" t="s">
        <v>2430</v>
      </c>
      <c r="M423" s="5">
        <v>15.0</v>
      </c>
      <c r="N423" s="5"/>
      <c r="O423" s="5">
        <v>43882.0</v>
      </c>
      <c r="P423" s="5" t="s">
        <v>1797</v>
      </c>
      <c r="Q423" s="5" t="s">
        <v>1883</v>
      </c>
      <c r="R423" s="5">
        <v>549.0</v>
      </c>
      <c r="S423" s="5">
        <v>5.103245823E9</v>
      </c>
      <c r="T423" s="5" t="s">
        <v>4895</v>
      </c>
      <c r="U423" s="5" t="s">
        <v>4896</v>
      </c>
      <c r="V423" s="5">
        <v>3.931196714E9</v>
      </c>
      <c r="W423" s="5" t="s">
        <v>1808</v>
      </c>
      <c r="X423" s="91">
        <v>45307.0</v>
      </c>
      <c r="Y423" s="5">
        <v>1.0</v>
      </c>
      <c r="Z423" s="5">
        <v>19.0</v>
      </c>
      <c r="AA423" s="5">
        <v>15.0</v>
      </c>
      <c r="AB423" s="5"/>
      <c r="AC423" s="5"/>
      <c r="AD423" s="5" t="s">
        <v>1770</v>
      </c>
      <c r="AE423" s="5" t="s">
        <v>1770</v>
      </c>
      <c r="AF423" s="5"/>
      <c r="AG423" s="5"/>
      <c r="AH423" s="5">
        <v>1.0190154731E10</v>
      </c>
      <c r="AI423" s="5">
        <v>23.0</v>
      </c>
      <c r="AJ423" s="5"/>
      <c r="AK423" s="5" t="s">
        <v>1773</v>
      </c>
      <c r="AL423" s="92">
        <v>0.0</v>
      </c>
      <c r="AM423" s="5" t="s">
        <v>1770</v>
      </c>
      <c r="AN423" s="5" t="s">
        <v>1774</v>
      </c>
      <c r="AO423" s="5"/>
      <c r="AP423" s="5"/>
      <c r="AQ423" s="5"/>
      <c r="AR423" s="5"/>
      <c r="AS423" s="5"/>
      <c r="AT423" s="5"/>
      <c r="AU423" s="5"/>
      <c r="AV423" s="5"/>
      <c r="AW423" s="5" t="s">
        <v>1770</v>
      </c>
      <c r="AX423" s="5"/>
      <c r="AY423" s="5"/>
      <c r="AZ423" s="5" t="s">
        <v>1770</v>
      </c>
      <c r="BA423" s="93">
        <v>0.0</v>
      </c>
      <c r="BB423" s="93">
        <v>0.0</v>
      </c>
      <c r="BC423" s="93">
        <v>0.0</v>
      </c>
      <c r="BD423" s="93">
        <v>0.0</v>
      </c>
      <c r="BE423" s="93">
        <v>0.0</v>
      </c>
      <c r="BF423" s="93">
        <v>0.0</v>
      </c>
      <c r="BG423" s="5"/>
      <c r="BH423" s="93">
        <v>0.0</v>
      </c>
      <c r="BI423" s="93">
        <v>0.0</v>
      </c>
      <c r="BJ423" s="93">
        <v>0.0</v>
      </c>
      <c r="BK423" s="93">
        <v>0.0</v>
      </c>
      <c r="BL423" s="93">
        <v>0.0</v>
      </c>
      <c r="BM423" s="93">
        <v>0.0</v>
      </c>
      <c r="BN423" s="93">
        <v>0.0</v>
      </c>
      <c r="BO423" s="5"/>
      <c r="BP423" s="5" t="s">
        <v>1770</v>
      </c>
      <c r="BQ423" s="5" t="s">
        <v>1789</v>
      </c>
      <c r="BR423" s="94">
        <v>45311.50368055556</v>
      </c>
      <c r="BS423" s="5">
        <v>40.0</v>
      </c>
      <c r="BT423" s="5" t="s">
        <v>1770</v>
      </c>
      <c r="BU423" s="5" t="s">
        <v>1770</v>
      </c>
      <c r="BV423" s="94">
        <v>45580.471180555556</v>
      </c>
      <c r="BW423" s="5">
        <v>40.0</v>
      </c>
    </row>
    <row r="424" ht="14.25" customHeight="1">
      <c r="A424" s="5">
        <v>423.0</v>
      </c>
      <c r="B424" s="5">
        <v>690.0</v>
      </c>
      <c r="C424" s="5" t="s">
        <v>4897</v>
      </c>
      <c r="D424" s="5" t="s">
        <v>1778</v>
      </c>
      <c r="E424" s="5" t="s">
        <v>1792</v>
      </c>
      <c r="F424" s="5" t="s">
        <v>4898</v>
      </c>
      <c r="G424" s="5" t="s">
        <v>4899</v>
      </c>
      <c r="H424" s="5" t="s">
        <v>1781</v>
      </c>
      <c r="I424" s="5" t="s">
        <v>1782</v>
      </c>
      <c r="J424" s="91">
        <v>32999.0</v>
      </c>
      <c r="K424" s="5">
        <v>570.0</v>
      </c>
      <c r="L424" s="5" t="s">
        <v>4900</v>
      </c>
      <c r="M424" s="5">
        <v>15.0</v>
      </c>
      <c r="N424" s="5"/>
      <c r="O424" s="5">
        <v>43877.0</v>
      </c>
      <c r="P424" s="5" t="s">
        <v>1797</v>
      </c>
      <c r="Q424" s="5" t="s">
        <v>1817</v>
      </c>
      <c r="R424" s="5">
        <v>578.0</v>
      </c>
      <c r="S424" s="5">
        <v>3.921218486E9</v>
      </c>
      <c r="T424" s="5" t="s">
        <v>4901</v>
      </c>
      <c r="U424" s="5" t="s">
        <v>4902</v>
      </c>
      <c r="V424" s="5">
        <v>3.92126524E9</v>
      </c>
      <c r="W424" s="5" t="s">
        <v>1787</v>
      </c>
      <c r="X424" s="91">
        <v>45307.0</v>
      </c>
      <c r="Y424" s="5" t="s">
        <v>1770</v>
      </c>
      <c r="Z424" s="5">
        <v>6.0</v>
      </c>
      <c r="AA424" s="5">
        <v>7.0</v>
      </c>
      <c r="AB424" s="5" t="s">
        <v>4903</v>
      </c>
      <c r="AC424" s="5" t="s">
        <v>1800</v>
      </c>
      <c r="AD424" s="91">
        <v>45009.0</v>
      </c>
      <c r="AE424" s="91">
        <v>46470.0</v>
      </c>
      <c r="AF424" s="5"/>
      <c r="AG424" s="5"/>
      <c r="AH424" s="5">
        <v>4.129067304E9</v>
      </c>
      <c r="AI424" s="5">
        <v>23.0</v>
      </c>
      <c r="AJ424" s="5"/>
      <c r="AK424" s="5" t="s">
        <v>1773</v>
      </c>
      <c r="AL424" s="92">
        <v>0.0</v>
      </c>
      <c r="AM424" s="5" t="s">
        <v>1770</v>
      </c>
      <c r="AN424" s="5" t="s">
        <v>1830</v>
      </c>
      <c r="AO424" s="5"/>
      <c r="AP424" s="5"/>
      <c r="AQ424" s="5"/>
      <c r="AR424" s="5"/>
      <c r="AS424" s="5"/>
      <c r="AT424" s="5"/>
      <c r="AU424" s="5"/>
      <c r="AV424" s="5"/>
      <c r="AW424" s="5" t="s">
        <v>1770</v>
      </c>
      <c r="AX424" s="5"/>
      <c r="AY424" s="5"/>
      <c r="AZ424" s="5" t="s">
        <v>1770</v>
      </c>
      <c r="BA424" s="93">
        <v>0.0</v>
      </c>
      <c r="BB424" s="93">
        <v>0.0</v>
      </c>
      <c r="BC424" s="93">
        <v>0.0</v>
      </c>
      <c r="BD424" s="93">
        <v>0.0</v>
      </c>
      <c r="BE424" s="93">
        <v>0.0</v>
      </c>
      <c r="BF424" s="93">
        <v>0.0</v>
      </c>
      <c r="BG424" s="5"/>
      <c r="BH424" s="93">
        <v>0.0</v>
      </c>
      <c r="BI424" s="93">
        <v>0.0</v>
      </c>
      <c r="BJ424" s="93">
        <v>0.0</v>
      </c>
      <c r="BK424" s="93">
        <v>0.0</v>
      </c>
      <c r="BL424" s="93">
        <v>0.0</v>
      </c>
      <c r="BM424" s="93">
        <v>0.0</v>
      </c>
      <c r="BN424" s="93">
        <v>0.0</v>
      </c>
      <c r="BO424" s="5"/>
      <c r="BP424" s="5" t="s">
        <v>1770</v>
      </c>
      <c r="BQ424" s="5" t="s">
        <v>1789</v>
      </c>
      <c r="BR424" s="94">
        <v>45311.51395833334</v>
      </c>
      <c r="BS424" s="5">
        <v>40.0</v>
      </c>
      <c r="BT424" s="94">
        <v>45324.63471064815</v>
      </c>
      <c r="BU424" s="5">
        <v>40.0</v>
      </c>
      <c r="BV424" s="94">
        <v>45617.36344907407</v>
      </c>
      <c r="BW424" s="5">
        <v>40.0</v>
      </c>
    </row>
    <row r="425" ht="14.25" customHeight="1">
      <c r="A425" s="5">
        <v>424.0</v>
      </c>
      <c r="B425" s="5">
        <v>691.0</v>
      </c>
      <c r="C425" s="5" t="s">
        <v>4904</v>
      </c>
      <c r="D425" s="5" t="s">
        <v>2164</v>
      </c>
      <c r="E425" s="5" t="s">
        <v>4905</v>
      </c>
      <c r="F425" s="5" t="s">
        <v>4906</v>
      </c>
      <c r="G425" s="5" t="s">
        <v>4907</v>
      </c>
      <c r="H425" s="5" t="s">
        <v>1815</v>
      </c>
      <c r="I425" s="5" t="s">
        <v>1763</v>
      </c>
      <c r="J425" s="91">
        <v>29537.0</v>
      </c>
      <c r="K425" s="5">
        <v>850.0</v>
      </c>
      <c r="L425" s="5" t="s">
        <v>4908</v>
      </c>
      <c r="M425" s="5">
        <v>142.0</v>
      </c>
      <c r="N425" s="5"/>
      <c r="O425" s="5">
        <v>55152.0</v>
      </c>
      <c r="P425" s="5" t="s">
        <v>4909</v>
      </c>
      <c r="Q425" s="5" t="s">
        <v>4910</v>
      </c>
      <c r="R425" s="5">
        <v>850.0</v>
      </c>
      <c r="S425" s="5">
        <v>3.521562803E9</v>
      </c>
      <c r="T425" s="5" t="s">
        <v>4911</v>
      </c>
      <c r="U425" s="5" t="s">
        <v>4912</v>
      </c>
      <c r="V425" s="5">
        <v>3.521569228E9</v>
      </c>
      <c r="W425" s="5" t="s">
        <v>2610</v>
      </c>
      <c r="X425" s="91">
        <v>45307.0</v>
      </c>
      <c r="Y425" s="5">
        <v>3.0</v>
      </c>
      <c r="Z425" s="5">
        <v>19.0</v>
      </c>
      <c r="AA425" s="5">
        <v>81.0</v>
      </c>
      <c r="AB425" s="5" t="s">
        <v>4913</v>
      </c>
      <c r="AC425" s="5" t="s">
        <v>1800</v>
      </c>
      <c r="AD425" s="91">
        <v>45917.0</v>
      </c>
      <c r="AE425" s="91">
        <v>46647.0</v>
      </c>
      <c r="AF425" s="5"/>
      <c r="AG425" s="5"/>
      <c r="AH425" s="5">
        <v>5.3958008277E10</v>
      </c>
      <c r="AI425" s="5">
        <v>77.0</v>
      </c>
      <c r="AJ425" s="5"/>
      <c r="AK425" s="5" t="s">
        <v>1773</v>
      </c>
      <c r="AL425" s="92">
        <v>0.0</v>
      </c>
      <c r="AM425" s="5" t="s">
        <v>1770</v>
      </c>
      <c r="AN425" s="5" t="s">
        <v>2052</v>
      </c>
      <c r="AO425" s="5"/>
      <c r="AP425" s="5"/>
      <c r="AQ425" s="5"/>
      <c r="AR425" s="5"/>
      <c r="AS425" s="5"/>
      <c r="AT425" s="5"/>
      <c r="AU425" s="5"/>
      <c r="AV425" s="5"/>
      <c r="AW425" s="5" t="s">
        <v>1770</v>
      </c>
      <c r="AX425" s="5"/>
      <c r="AY425" s="5"/>
      <c r="AZ425" s="5" t="s">
        <v>1770</v>
      </c>
      <c r="BA425" s="93">
        <v>0.0</v>
      </c>
      <c r="BB425" s="93">
        <v>0.0</v>
      </c>
      <c r="BC425" s="93">
        <v>0.0</v>
      </c>
      <c r="BD425" s="93">
        <v>0.0</v>
      </c>
      <c r="BE425" s="93">
        <v>0.0</v>
      </c>
      <c r="BF425" s="93">
        <v>0.0</v>
      </c>
      <c r="BG425" s="5"/>
      <c r="BH425" s="93">
        <v>0.0</v>
      </c>
      <c r="BI425" s="93">
        <v>0.0</v>
      </c>
      <c r="BJ425" s="93">
        <v>0.0</v>
      </c>
      <c r="BK425" s="93">
        <v>0.0</v>
      </c>
      <c r="BL425" s="93">
        <v>0.0</v>
      </c>
      <c r="BM425" s="93">
        <v>0.0</v>
      </c>
      <c r="BN425" s="93">
        <v>0.0</v>
      </c>
      <c r="BO425" s="5"/>
      <c r="BP425" s="5"/>
      <c r="BQ425" s="5" t="s">
        <v>1789</v>
      </c>
      <c r="BR425" s="94">
        <v>45311.51806712963</v>
      </c>
      <c r="BS425" s="5">
        <v>40.0</v>
      </c>
      <c r="BT425" s="94">
        <v>46134.570706018516</v>
      </c>
      <c r="BU425" s="5" t="s">
        <v>1770</v>
      </c>
      <c r="BV425" s="94">
        <v>46197.697696759256</v>
      </c>
      <c r="BW425" s="5">
        <v>40.0</v>
      </c>
    </row>
    <row r="426" ht="14.25" customHeight="1">
      <c r="A426" s="5">
        <v>425.0</v>
      </c>
      <c r="B426" s="5">
        <v>692.0</v>
      </c>
      <c r="C426" s="5" t="s">
        <v>3265</v>
      </c>
      <c r="D426" s="5" t="s">
        <v>2603</v>
      </c>
      <c r="E426" s="5" t="s">
        <v>4914</v>
      </c>
      <c r="F426" s="5" t="s">
        <v>4915</v>
      </c>
      <c r="G426" s="5" t="s">
        <v>4916</v>
      </c>
      <c r="H426" s="5" t="s">
        <v>1815</v>
      </c>
      <c r="I426" s="5" t="s">
        <v>1763</v>
      </c>
      <c r="J426" s="91">
        <v>33737.0</v>
      </c>
      <c r="K426" s="5">
        <v>850.0</v>
      </c>
      <c r="L426" s="5" t="s">
        <v>4917</v>
      </c>
      <c r="M426" s="5">
        <v>956.0</v>
      </c>
      <c r="N426" s="5" t="s">
        <v>2624</v>
      </c>
      <c r="O426" s="5">
        <v>55152.0</v>
      </c>
      <c r="P426" s="5" t="s">
        <v>4918</v>
      </c>
      <c r="Q426" s="5" t="s">
        <v>234</v>
      </c>
      <c r="R426" s="5">
        <v>850.0</v>
      </c>
      <c r="S426" s="5">
        <v>3.522309714E9</v>
      </c>
      <c r="T426" s="5" t="s">
        <v>4919</v>
      </c>
      <c r="U426" s="5" t="s">
        <v>4920</v>
      </c>
      <c r="V426" s="5">
        <v>3.521445129E9</v>
      </c>
      <c r="W426" s="5" t="s">
        <v>1819</v>
      </c>
      <c r="X426" s="91">
        <v>45307.0</v>
      </c>
      <c r="Y426" s="5">
        <v>3.0</v>
      </c>
      <c r="Z426" s="5">
        <v>4.0</v>
      </c>
      <c r="AA426" s="5">
        <v>73.0</v>
      </c>
      <c r="AB426" s="5" t="s">
        <v>4921</v>
      </c>
      <c r="AC426" s="5" t="s">
        <v>1772</v>
      </c>
      <c r="AD426" s="91">
        <v>45240.0</v>
      </c>
      <c r="AE426" s="91">
        <v>56563.0</v>
      </c>
      <c r="AF426" s="5"/>
      <c r="AG426" s="5"/>
      <c r="AH426" s="5">
        <v>1.9159200468E10</v>
      </c>
      <c r="AI426" s="5">
        <v>77.0</v>
      </c>
      <c r="AJ426" s="5"/>
      <c r="AK426" s="5" t="s">
        <v>1773</v>
      </c>
      <c r="AL426" s="92">
        <v>0.0</v>
      </c>
      <c r="AM426" s="5" t="s">
        <v>1770</v>
      </c>
      <c r="AN426" s="5" t="s">
        <v>1830</v>
      </c>
      <c r="AO426" s="5"/>
      <c r="AP426" s="5"/>
      <c r="AQ426" s="5"/>
      <c r="AR426" s="5"/>
      <c r="AS426" s="5"/>
      <c r="AT426" s="5"/>
      <c r="AU426" s="5"/>
      <c r="AV426" s="5"/>
      <c r="AW426" s="5" t="s">
        <v>1770</v>
      </c>
      <c r="AX426" s="5"/>
      <c r="AY426" s="5"/>
      <c r="AZ426" s="5" t="s">
        <v>1770</v>
      </c>
      <c r="BA426" s="93">
        <v>0.0</v>
      </c>
      <c r="BB426" s="93">
        <v>0.0</v>
      </c>
      <c r="BC426" s="93">
        <v>0.0</v>
      </c>
      <c r="BD426" s="93">
        <v>0.0</v>
      </c>
      <c r="BE426" s="93">
        <v>0.0</v>
      </c>
      <c r="BF426" s="93">
        <v>0.0</v>
      </c>
      <c r="BG426" s="5"/>
      <c r="BH426" s="93">
        <v>0.0</v>
      </c>
      <c r="BI426" s="93">
        <v>0.0</v>
      </c>
      <c r="BJ426" s="93">
        <v>0.0</v>
      </c>
      <c r="BK426" s="93">
        <v>0.0</v>
      </c>
      <c r="BL426" s="93">
        <v>0.0</v>
      </c>
      <c r="BM426" s="93">
        <v>0.0</v>
      </c>
      <c r="BN426" s="93">
        <v>0.0</v>
      </c>
      <c r="BO426" s="5"/>
      <c r="BP426" s="5"/>
      <c r="BQ426" s="5" t="s">
        <v>1775</v>
      </c>
      <c r="BR426" s="94">
        <v>45311.52300925926</v>
      </c>
      <c r="BS426" s="5">
        <v>40.0</v>
      </c>
      <c r="BT426" s="94">
        <v>46134.67010416667</v>
      </c>
      <c r="BU426" s="5" t="s">
        <v>1770</v>
      </c>
      <c r="BV426" s="5" t="s">
        <v>1770</v>
      </c>
      <c r="BW426" s="5" t="s">
        <v>1770</v>
      </c>
    </row>
    <row r="427" ht="14.25" customHeight="1">
      <c r="A427" s="5">
        <v>426.0</v>
      </c>
      <c r="B427" s="5">
        <v>693.0</v>
      </c>
      <c r="C427" s="5" t="s">
        <v>4922</v>
      </c>
      <c r="D427" s="5" t="s">
        <v>2486</v>
      </c>
      <c r="E427" s="5" t="s">
        <v>4923</v>
      </c>
      <c r="F427" s="5" t="s">
        <v>4924</v>
      </c>
      <c r="G427" s="5" t="s">
        <v>4925</v>
      </c>
      <c r="H427" s="5" t="s">
        <v>1781</v>
      </c>
      <c r="I427" s="5" t="s">
        <v>1782</v>
      </c>
      <c r="J427" s="91">
        <v>33738.0</v>
      </c>
      <c r="K427" s="5">
        <v>834.0</v>
      </c>
      <c r="L427" s="5" t="s">
        <v>4926</v>
      </c>
      <c r="M427" s="5">
        <v>6100.0</v>
      </c>
      <c r="N427" s="5">
        <v>15.0</v>
      </c>
      <c r="O427" s="5">
        <v>53947.0</v>
      </c>
      <c r="P427" s="5" t="s">
        <v>4927</v>
      </c>
      <c r="Q427" s="5" t="s">
        <v>2041</v>
      </c>
      <c r="R427" s="5">
        <v>834.0</v>
      </c>
      <c r="S427" s="5">
        <v>4.433066307E9</v>
      </c>
      <c r="T427" s="5" t="s">
        <v>4928</v>
      </c>
      <c r="U427" s="5" t="s">
        <v>4929</v>
      </c>
      <c r="V427" s="5">
        <v>4.435689915E9</v>
      </c>
      <c r="W427" s="5" t="s">
        <v>1787</v>
      </c>
      <c r="X427" s="91">
        <v>45314.0</v>
      </c>
      <c r="Y427" s="5">
        <v>4.0</v>
      </c>
      <c r="Z427" s="5">
        <v>3.0</v>
      </c>
      <c r="AA427" s="5">
        <v>58.0</v>
      </c>
      <c r="AB427" s="5" t="s">
        <v>4930</v>
      </c>
      <c r="AC427" s="5" t="s">
        <v>1800</v>
      </c>
      <c r="AD427" s="91">
        <v>44193.0</v>
      </c>
      <c r="AE427" s="91">
        <v>55150.0</v>
      </c>
      <c r="AF427" s="5"/>
      <c r="AG427" s="5"/>
      <c r="AH427" s="5">
        <v>5.3099229485E10</v>
      </c>
      <c r="AI427" s="5">
        <v>80.0</v>
      </c>
      <c r="AJ427" s="5"/>
      <c r="AK427" s="5" t="s">
        <v>1773</v>
      </c>
      <c r="AL427" s="92">
        <v>0.0</v>
      </c>
      <c r="AM427" s="5" t="s">
        <v>1770</v>
      </c>
      <c r="AN427" s="5" t="s">
        <v>1830</v>
      </c>
      <c r="AO427" s="5"/>
      <c r="AP427" s="5"/>
      <c r="AQ427" s="5"/>
      <c r="AR427" s="5"/>
      <c r="AS427" s="5"/>
      <c r="AT427" s="5"/>
      <c r="AU427" s="5"/>
      <c r="AV427" s="5"/>
      <c r="AW427" s="5" t="s">
        <v>1770</v>
      </c>
      <c r="AX427" s="5"/>
      <c r="AY427" s="5"/>
      <c r="AZ427" s="5" t="s">
        <v>1770</v>
      </c>
      <c r="BA427" s="93">
        <v>0.0</v>
      </c>
      <c r="BB427" s="93">
        <v>0.0</v>
      </c>
      <c r="BC427" s="93">
        <v>0.0</v>
      </c>
      <c r="BD427" s="93">
        <v>0.0</v>
      </c>
      <c r="BE427" s="93">
        <v>0.0</v>
      </c>
      <c r="BF427" s="93">
        <v>0.0</v>
      </c>
      <c r="BG427" s="5"/>
      <c r="BH427" s="93">
        <v>0.0</v>
      </c>
      <c r="BI427" s="93">
        <v>0.0</v>
      </c>
      <c r="BJ427" s="93">
        <v>0.0</v>
      </c>
      <c r="BK427" s="93">
        <v>0.0</v>
      </c>
      <c r="BL427" s="93">
        <v>0.0</v>
      </c>
      <c r="BM427" s="93">
        <v>0.0</v>
      </c>
      <c r="BN427" s="93">
        <v>0.0</v>
      </c>
      <c r="BO427" s="5"/>
      <c r="BP427" s="5" t="s">
        <v>1770</v>
      </c>
      <c r="BQ427" s="5" t="s">
        <v>1789</v>
      </c>
      <c r="BR427" s="94">
        <v>45316.42517361111</v>
      </c>
      <c r="BS427" s="5">
        <v>40.0</v>
      </c>
      <c r="BT427" s="5" t="s">
        <v>1770</v>
      </c>
      <c r="BU427" s="5" t="s">
        <v>1770</v>
      </c>
      <c r="BV427" s="94">
        <v>45336.646458333336</v>
      </c>
      <c r="BW427" s="5">
        <v>40.0</v>
      </c>
    </row>
    <row r="428" ht="14.25" customHeight="1">
      <c r="A428" s="5">
        <v>427.0</v>
      </c>
      <c r="B428" s="5">
        <v>694.0</v>
      </c>
      <c r="C428" s="5" t="s">
        <v>4931</v>
      </c>
      <c r="D428" s="5" t="s">
        <v>1792</v>
      </c>
      <c r="E428" s="5" t="s">
        <v>4723</v>
      </c>
      <c r="F428" s="5" t="s">
        <v>4932</v>
      </c>
      <c r="G428" s="5" t="s">
        <v>4933</v>
      </c>
      <c r="H428" s="5" t="s">
        <v>1972</v>
      </c>
      <c r="I428" s="5" t="s">
        <v>1782</v>
      </c>
      <c r="J428" s="91">
        <v>37414.0</v>
      </c>
      <c r="K428" s="5">
        <v>594.0</v>
      </c>
      <c r="L428" s="5" t="s">
        <v>4934</v>
      </c>
      <c r="M428" s="5">
        <v>2.0</v>
      </c>
      <c r="N428" s="5"/>
      <c r="O428" s="5">
        <v>43884.0</v>
      </c>
      <c r="P428" s="5" t="s">
        <v>2048</v>
      </c>
      <c r="Q428" s="5" t="s">
        <v>1766</v>
      </c>
      <c r="R428" s="5">
        <v>549.0</v>
      </c>
      <c r="S428" s="5">
        <v>3.93132609E9</v>
      </c>
      <c r="T428" s="5" t="s">
        <v>4935</v>
      </c>
      <c r="U428" s="5" t="s">
        <v>4936</v>
      </c>
      <c r="V428" s="5">
        <v>3.931586701E9</v>
      </c>
      <c r="W428" s="5" t="s">
        <v>1965</v>
      </c>
      <c r="X428" s="91">
        <v>45330.0</v>
      </c>
      <c r="Y428" s="5">
        <v>1.0</v>
      </c>
      <c r="Z428" s="5">
        <v>4.0</v>
      </c>
      <c r="AA428" s="5">
        <v>7.0</v>
      </c>
      <c r="AB428" s="5" t="s">
        <v>4937</v>
      </c>
      <c r="AC428" s="5" t="s">
        <v>1772</v>
      </c>
      <c r="AD428" s="91">
        <v>45089.0</v>
      </c>
      <c r="AE428" s="91">
        <v>46550.0</v>
      </c>
      <c r="AF428" s="5"/>
      <c r="AG428" s="5"/>
      <c r="AH428" s="5">
        <v>8.6170291628E10</v>
      </c>
      <c r="AI428" s="5">
        <v>23.0</v>
      </c>
      <c r="AJ428" s="5"/>
      <c r="AK428" s="5" t="s">
        <v>1773</v>
      </c>
      <c r="AL428" s="92">
        <v>0.0</v>
      </c>
      <c r="AM428" s="5" t="s">
        <v>1770</v>
      </c>
      <c r="AN428" s="5" t="s">
        <v>1830</v>
      </c>
      <c r="AO428" s="5"/>
      <c r="AP428" s="5"/>
      <c r="AQ428" s="5"/>
      <c r="AR428" s="5"/>
      <c r="AS428" s="5"/>
      <c r="AT428" s="5"/>
      <c r="AU428" s="5"/>
      <c r="AV428" s="5"/>
      <c r="AW428" s="5" t="s">
        <v>1770</v>
      </c>
      <c r="AX428" s="5"/>
      <c r="AY428" s="5"/>
      <c r="AZ428" s="5" t="s">
        <v>1770</v>
      </c>
      <c r="BA428" s="93">
        <v>0.0</v>
      </c>
      <c r="BB428" s="93">
        <v>0.0</v>
      </c>
      <c r="BC428" s="93">
        <v>0.0</v>
      </c>
      <c r="BD428" s="93">
        <v>0.0</v>
      </c>
      <c r="BE428" s="93">
        <v>0.0</v>
      </c>
      <c r="BF428" s="93">
        <v>0.0</v>
      </c>
      <c r="BG428" s="5"/>
      <c r="BH428" s="93">
        <v>0.0</v>
      </c>
      <c r="BI428" s="93">
        <v>0.0</v>
      </c>
      <c r="BJ428" s="93">
        <v>0.0</v>
      </c>
      <c r="BK428" s="93">
        <v>0.0</v>
      </c>
      <c r="BL428" s="93">
        <v>0.0</v>
      </c>
      <c r="BM428" s="93">
        <v>0.0</v>
      </c>
      <c r="BN428" s="93">
        <v>0.0</v>
      </c>
      <c r="BO428" s="5"/>
      <c r="BP428" s="5" t="s">
        <v>1770</v>
      </c>
      <c r="BQ428" s="5" t="s">
        <v>1789</v>
      </c>
      <c r="BR428" s="94">
        <v>45336.64603009259</v>
      </c>
      <c r="BS428" s="5">
        <v>40.0</v>
      </c>
      <c r="BT428" s="5" t="s">
        <v>1770</v>
      </c>
      <c r="BU428" s="5" t="s">
        <v>1770</v>
      </c>
      <c r="BV428" s="94">
        <v>45453.75267361111</v>
      </c>
      <c r="BW428" s="5">
        <v>40.0</v>
      </c>
    </row>
    <row r="429" ht="14.25" customHeight="1">
      <c r="A429" s="5">
        <v>428.0</v>
      </c>
      <c r="B429" s="5">
        <v>695.0</v>
      </c>
      <c r="C429" s="5" t="s">
        <v>1877</v>
      </c>
      <c r="D429" s="5" t="s">
        <v>1778</v>
      </c>
      <c r="E429" s="5" t="s">
        <v>2215</v>
      </c>
      <c r="F429" s="5" t="s">
        <v>4938</v>
      </c>
      <c r="G429" s="5" t="s">
        <v>4939</v>
      </c>
      <c r="H429" s="5" t="s">
        <v>3756</v>
      </c>
      <c r="I429" s="5" t="s">
        <v>1782</v>
      </c>
      <c r="J429" s="91">
        <v>25410.0</v>
      </c>
      <c r="K429" s="5">
        <v>549.0</v>
      </c>
      <c r="L429" s="5" t="s">
        <v>4940</v>
      </c>
      <c r="M429" s="5">
        <v>33.0</v>
      </c>
      <c r="N429" s="5" t="s">
        <v>4941</v>
      </c>
      <c r="O429" s="5">
        <v>43884.0</v>
      </c>
      <c r="P429" s="5" t="s">
        <v>3453</v>
      </c>
      <c r="Q429" s="5" t="s">
        <v>1766</v>
      </c>
      <c r="R429" s="5">
        <v>549.0</v>
      </c>
      <c r="S429" s="5">
        <v>3.931000287E9</v>
      </c>
      <c r="T429" s="5"/>
      <c r="U429" s="5" t="s">
        <v>3111</v>
      </c>
      <c r="V429" s="5">
        <v>1.23456789E9</v>
      </c>
      <c r="W429" s="5" t="s">
        <v>4942</v>
      </c>
      <c r="X429" s="91">
        <v>45334.0</v>
      </c>
      <c r="Y429" s="5">
        <v>1.0</v>
      </c>
      <c r="Z429" s="5">
        <v>17.0</v>
      </c>
      <c r="AA429" s="5">
        <v>61.0</v>
      </c>
      <c r="AB429" s="5"/>
      <c r="AC429" s="5"/>
      <c r="AD429" s="5" t="s">
        <v>1770</v>
      </c>
      <c r="AE429" s="5" t="s">
        <v>1770</v>
      </c>
      <c r="AF429" s="5"/>
      <c r="AG429" s="5"/>
      <c r="AH429" s="5">
        <v>7.4976903356E10</v>
      </c>
      <c r="AI429" s="5">
        <v>23.0</v>
      </c>
      <c r="AJ429" s="5"/>
      <c r="AK429" s="5" t="s">
        <v>1773</v>
      </c>
      <c r="AL429" s="92">
        <v>0.0</v>
      </c>
      <c r="AM429" s="5" t="s">
        <v>1770</v>
      </c>
      <c r="AN429" s="5" t="s">
        <v>4382</v>
      </c>
      <c r="AO429" s="5"/>
      <c r="AP429" s="5"/>
      <c r="AQ429" s="5"/>
      <c r="AR429" s="5"/>
      <c r="AS429" s="5"/>
      <c r="AT429" s="5"/>
      <c r="AU429" s="5"/>
      <c r="AV429" s="5"/>
      <c r="AW429" s="5" t="s">
        <v>1770</v>
      </c>
      <c r="AX429" s="5"/>
      <c r="AY429" s="5"/>
      <c r="AZ429" s="5" t="s">
        <v>1770</v>
      </c>
      <c r="BA429" s="93">
        <v>0.0</v>
      </c>
      <c r="BB429" s="93">
        <v>0.0</v>
      </c>
      <c r="BC429" s="93">
        <v>0.0</v>
      </c>
      <c r="BD429" s="93">
        <v>0.0</v>
      </c>
      <c r="BE429" s="93">
        <v>0.0</v>
      </c>
      <c r="BF429" s="93">
        <v>0.0</v>
      </c>
      <c r="BG429" s="5"/>
      <c r="BH429" s="93">
        <v>0.0</v>
      </c>
      <c r="BI429" s="93">
        <v>0.0</v>
      </c>
      <c r="BJ429" s="93">
        <v>0.0</v>
      </c>
      <c r="BK429" s="93">
        <v>0.0</v>
      </c>
      <c r="BL429" s="93">
        <v>0.0</v>
      </c>
      <c r="BM429" s="93">
        <v>0.0</v>
      </c>
      <c r="BN429" s="93">
        <v>0.0</v>
      </c>
      <c r="BO429" s="5"/>
      <c r="BP429" s="5" t="s">
        <v>1770</v>
      </c>
      <c r="BQ429" s="5" t="s">
        <v>1789</v>
      </c>
      <c r="BR429" s="94">
        <v>45341.475127314814</v>
      </c>
      <c r="BS429" s="5">
        <v>40.0</v>
      </c>
      <c r="BT429" s="5" t="s">
        <v>1770</v>
      </c>
      <c r="BU429" s="5" t="s">
        <v>1770</v>
      </c>
      <c r="BV429" s="94">
        <v>45617.363032407404</v>
      </c>
      <c r="BW429" s="5">
        <v>40.0</v>
      </c>
    </row>
    <row r="430" ht="14.25" customHeight="1">
      <c r="A430" s="5">
        <v>429.0</v>
      </c>
      <c r="B430" s="5">
        <v>696.0</v>
      </c>
      <c r="C430" s="5" t="s">
        <v>2685</v>
      </c>
      <c r="D430" s="5" t="s">
        <v>2235</v>
      </c>
      <c r="E430" s="5" t="s">
        <v>4943</v>
      </c>
      <c r="F430" s="5" t="s">
        <v>4944</v>
      </c>
      <c r="G430" s="5" t="s">
        <v>4945</v>
      </c>
      <c r="H430" s="5" t="s">
        <v>1910</v>
      </c>
      <c r="I430" s="5" t="s">
        <v>1782</v>
      </c>
      <c r="J430" s="91">
        <v>29779.0</v>
      </c>
      <c r="K430" s="5">
        <v>594.0</v>
      </c>
      <c r="L430" s="5" t="s">
        <v>4946</v>
      </c>
      <c r="M430" s="5">
        <v>1001.0</v>
      </c>
      <c r="N430" s="5"/>
      <c r="O430" s="5">
        <v>43832.0</v>
      </c>
      <c r="P430" s="5" t="s">
        <v>4947</v>
      </c>
      <c r="Q430" s="5" t="s">
        <v>2179</v>
      </c>
      <c r="R430" s="5">
        <v>594.0</v>
      </c>
      <c r="S430" s="5">
        <v>3.921000861E9</v>
      </c>
      <c r="T430" s="5" t="s">
        <v>4948</v>
      </c>
      <c r="U430" s="5" t="s">
        <v>4949</v>
      </c>
      <c r="V430" s="5">
        <v>3.9213118E9</v>
      </c>
      <c r="W430" s="5" t="s">
        <v>1819</v>
      </c>
      <c r="X430" s="91">
        <v>45355.0</v>
      </c>
      <c r="Y430" s="5">
        <v>5.0</v>
      </c>
      <c r="Z430" s="5">
        <v>19.0</v>
      </c>
      <c r="AA430" s="5">
        <v>1.0</v>
      </c>
      <c r="AB430" s="5" t="s">
        <v>4950</v>
      </c>
      <c r="AC430" s="5" t="s">
        <v>1800</v>
      </c>
      <c r="AD430" s="91">
        <v>44844.0</v>
      </c>
      <c r="AE430" s="91">
        <v>46305.0</v>
      </c>
      <c r="AF430" s="5"/>
      <c r="AG430" s="5"/>
      <c r="AH430" s="5">
        <v>4.058129489E9</v>
      </c>
      <c r="AI430" s="5">
        <v>95.0</v>
      </c>
      <c r="AJ430" s="5"/>
      <c r="AK430" s="5" t="s">
        <v>1773</v>
      </c>
      <c r="AL430" s="92">
        <v>0.0</v>
      </c>
      <c r="AM430" s="5" t="s">
        <v>1770</v>
      </c>
      <c r="AN430" s="5" t="s">
        <v>1830</v>
      </c>
      <c r="AO430" s="5"/>
      <c r="AP430" s="5"/>
      <c r="AQ430" s="5"/>
      <c r="AR430" s="5"/>
      <c r="AS430" s="5"/>
      <c r="AT430" s="5"/>
      <c r="AU430" s="5"/>
      <c r="AV430" s="5"/>
      <c r="AW430" s="5" t="s">
        <v>1770</v>
      </c>
      <c r="AX430" s="5"/>
      <c r="AY430" s="5"/>
      <c r="AZ430" s="5" t="s">
        <v>1770</v>
      </c>
      <c r="BA430" s="93">
        <v>0.0</v>
      </c>
      <c r="BB430" s="93">
        <v>0.0</v>
      </c>
      <c r="BC430" s="93">
        <v>0.0</v>
      </c>
      <c r="BD430" s="93">
        <v>0.0</v>
      </c>
      <c r="BE430" s="93">
        <v>0.0</v>
      </c>
      <c r="BF430" s="93">
        <v>0.0</v>
      </c>
      <c r="BG430" s="5"/>
      <c r="BH430" s="93">
        <v>0.0</v>
      </c>
      <c r="BI430" s="93">
        <v>0.0</v>
      </c>
      <c r="BJ430" s="93">
        <v>0.0</v>
      </c>
      <c r="BK430" s="93">
        <v>0.0</v>
      </c>
      <c r="BL430" s="93">
        <v>0.0</v>
      </c>
      <c r="BM430" s="93">
        <v>0.0</v>
      </c>
      <c r="BN430" s="93">
        <v>0.0</v>
      </c>
      <c r="BO430" s="5"/>
      <c r="BP430" s="5" t="s">
        <v>1770</v>
      </c>
      <c r="BQ430" s="5" t="s">
        <v>1789</v>
      </c>
      <c r="BR430" s="94">
        <v>45360.455613425926</v>
      </c>
      <c r="BS430" s="5">
        <v>40.0</v>
      </c>
      <c r="BT430" s="5" t="s">
        <v>1770</v>
      </c>
      <c r="BU430" s="5" t="s">
        <v>1770</v>
      </c>
      <c r="BV430" s="94">
        <v>45423.45207175926</v>
      </c>
      <c r="BW430" s="5" t="s">
        <v>1770</v>
      </c>
    </row>
    <row r="431" ht="14.25" customHeight="1">
      <c r="A431" s="5">
        <v>430.0</v>
      </c>
      <c r="B431" s="5">
        <v>697.0</v>
      </c>
      <c r="C431" s="5" t="s">
        <v>3193</v>
      </c>
      <c r="D431" s="5" t="s">
        <v>4951</v>
      </c>
      <c r="E431" s="5" t="s">
        <v>4952</v>
      </c>
      <c r="F431" s="5" t="s">
        <v>4953</v>
      </c>
      <c r="G431" s="5" t="s">
        <v>4954</v>
      </c>
      <c r="H431" s="5" t="s">
        <v>1910</v>
      </c>
      <c r="I431" s="5" t="s">
        <v>1782</v>
      </c>
      <c r="J431" s="91">
        <v>32403.0</v>
      </c>
      <c r="K431" s="5">
        <v>424.0</v>
      </c>
      <c r="L431" s="5" t="s">
        <v>4955</v>
      </c>
      <c r="M431" s="5">
        <v>14.0</v>
      </c>
      <c r="N431" s="5"/>
      <c r="O431" s="5">
        <v>55112.0</v>
      </c>
      <c r="P431" s="5" t="s">
        <v>4045</v>
      </c>
      <c r="Q431" s="5" t="s">
        <v>234</v>
      </c>
      <c r="R431" s="5">
        <v>850.0</v>
      </c>
      <c r="S431" s="5">
        <v>3.521616053E9</v>
      </c>
      <c r="T431" s="5" t="s">
        <v>4956</v>
      </c>
      <c r="U431" s="5" t="s">
        <v>4957</v>
      </c>
      <c r="V431" s="5">
        <v>3.521519632E9</v>
      </c>
      <c r="W431" s="5" t="s">
        <v>1808</v>
      </c>
      <c r="X431" s="91">
        <v>45355.0</v>
      </c>
      <c r="Y431" s="5">
        <v>3.0</v>
      </c>
      <c r="Z431" s="5">
        <v>3.0</v>
      </c>
      <c r="AA431" s="5">
        <v>58.0</v>
      </c>
      <c r="AB431" s="5" t="s">
        <v>4958</v>
      </c>
      <c r="AC431" s="5" t="s">
        <v>1800</v>
      </c>
      <c r="AD431" s="91">
        <v>44183.0</v>
      </c>
      <c r="AE431" s="91">
        <v>45644.0</v>
      </c>
      <c r="AF431" s="5"/>
      <c r="AG431" s="5"/>
      <c r="AH431" s="5">
        <v>5.3078856142E10</v>
      </c>
      <c r="AI431" s="5">
        <v>77.0</v>
      </c>
      <c r="AJ431" s="5"/>
      <c r="AK431" s="5" t="s">
        <v>1773</v>
      </c>
      <c r="AL431" s="92">
        <v>0.0</v>
      </c>
      <c r="AM431" s="5" t="s">
        <v>1770</v>
      </c>
      <c r="AN431" s="5" t="s">
        <v>4382</v>
      </c>
      <c r="AO431" s="5"/>
      <c r="AP431" s="5"/>
      <c r="AQ431" s="5"/>
      <c r="AR431" s="5"/>
      <c r="AS431" s="5"/>
      <c r="AT431" s="5"/>
      <c r="AU431" s="5"/>
      <c r="AV431" s="5"/>
      <c r="AW431" s="5" t="s">
        <v>1770</v>
      </c>
      <c r="AX431" s="5"/>
      <c r="AY431" s="5"/>
      <c r="AZ431" s="5" t="s">
        <v>1770</v>
      </c>
      <c r="BA431" s="93">
        <v>0.0</v>
      </c>
      <c r="BB431" s="93">
        <v>0.0</v>
      </c>
      <c r="BC431" s="93">
        <v>0.0</v>
      </c>
      <c r="BD431" s="93">
        <v>0.0</v>
      </c>
      <c r="BE431" s="93">
        <v>0.0</v>
      </c>
      <c r="BF431" s="93">
        <v>0.0</v>
      </c>
      <c r="BG431" s="5"/>
      <c r="BH431" s="93">
        <v>0.0</v>
      </c>
      <c r="BI431" s="93">
        <v>0.0</v>
      </c>
      <c r="BJ431" s="93">
        <v>0.0</v>
      </c>
      <c r="BK431" s="93">
        <v>0.0</v>
      </c>
      <c r="BL431" s="93">
        <v>0.0</v>
      </c>
      <c r="BM431" s="93">
        <v>0.0</v>
      </c>
      <c r="BN431" s="93">
        <v>0.0</v>
      </c>
      <c r="BO431" s="5"/>
      <c r="BP431" s="5" t="s">
        <v>1770</v>
      </c>
      <c r="BQ431" s="5" t="s">
        <v>1789</v>
      </c>
      <c r="BR431" s="94">
        <v>45360.46125</v>
      </c>
      <c r="BS431" s="5">
        <v>40.0</v>
      </c>
      <c r="BT431" s="5" t="s">
        <v>1770</v>
      </c>
      <c r="BU431" s="5" t="s">
        <v>1770</v>
      </c>
      <c r="BV431" s="94">
        <v>45555.50587962963</v>
      </c>
      <c r="BW431" s="5">
        <v>40.0</v>
      </c>
    </row>
    <row r="432" ht="14.25" customHeight="1">
      <c r="A432" s="5">
        <v>431.0</v>
      </c>
      <c r="B432" s="5">
        <v>698.0</v>
      </c>
      <c r="C432" s="5" t="s">
        <v>4959</v>
      </c>
      <c r="D432" s="5" t="s">
        <v>4960</v>
      </c>
      <c r="E432" s="5" t="s">
        <v>3266</v>
      </c>
      <c r="F432" s="5" t="s">
        <v>4961</v>
      </c>
      <c r="G432" s="5" t="s">
        <v>4962</v>
      </c>
      <c r="H432" s="5" t="s">
        <v>1781</v>
      </c>
      <c r="I432" s="5" t="s">
        <v>1782</v>
      </c>
      <c r="J432" s="91">
        <v>22833.0</v>
      </c>
      <c r="K432" s="5">
        <v>853.0</v>
      </c>
      <c r="L432" s="5" t="s">
        <v>3189</v>
      </c>
      <c r="M432" s="5">
        <v>26.0</v>
      </c>
      <c r="N432" s="5"/>
      <c r="O432" s="5">
        <v>54682.0</v>
      </c>
      <c r="P432" s="5" t="s">
        <v>4963</v>
      </c>
      <c r="Q432" s="5" t="s">
        <v>2342</v>
      </c>
      <c r="R432" s="5">
        <v>869.0</v>
      </c>
      <c r="S432" s="5">
        <v>4.433734662E9</v>
      </c>
      <c r="T432" s="5" t="s">
        <v>4964</v>
      </c>
      <c r="U432" s="5" t="s">
        <v>3111</v>
      </c>
      <c r="V432" s="5">
        <v>1.234567894E9</v>
      </c>
      <c r="W432" s="5" t="s">
        <v>3077</v>
      </c>
      <c r="X432" s="91">
        <v>45364.0</v>
      </c>
      <c r="Y432" s="5">
        <v>4.0</v>
      </c>
      <c r="Z432" s="5">
        <v>3.0</v>
      </c>
      <c r="AA432" s="5">
        <v>58.0</v>
      </c>
      <c r="AB432" s="5" t="s">
        <v>4965</v>
      </c>
      <c r="AC432" s="5" t="s">
        <v>1800</v>
      </c>
      <c r="AD432" s="91">
        <v>45014.0</v>
      </c>
      <c r="AE432" s="91">
        <v>45745.0</v>
      </c>
      <c r="AF432" s="5"/>
      <c r="AG432" s="5"/>
      <c r="AH432" s="5">
        <v>9.493620061E10</v>
      </c>
      <c r="AI432" s="5">
        <v>80.0</v>
      </c>
      <c r="AJ432" s="5"/>
      <c r="AK432" s="5" t="s">
        <v>1773</v>
      </c>
      <c r="AL432" s="92">
        <v>0.0</v>
      </c>
      <c r="AM432" s="5" t="s">
        <v>1770</v>
      </c>
      <c r="AN432" s="5" t="s">
        <v>1830</v>
      </c>
      <c r="AO432" s="5"/>
      <c r="AP432" s="5"/>
      <c r="AQ432" s="5"/>
      <c r="AR432" s="5"/>
      <c r="AS432" s="5"/>
      <c r="AT432" s="5"/>
      <c r="AU432" s="5"/>
      <c r="AV432" s="5"/>
      <c r="AW432" s="5" t="s">
        <v>1770</v>
      </c>
      <c r="AX432" s="5"/>
      <c r="AY432" s="5"/>
      <c r="AZ432" s="5" t="s">
        <v>1770</v>
      </c>
      <c r="BA432" s="93">
        <v>0.0</v>
      </c>
      <c r="BB432" s="93">
        <v>0.0</v>
      </c>
      <c r="BC432" s="93">
        <v>0.0</v>
      </c>
      <c r="BD432" s="93">
        <v>0.0</v>
      </c>
      <c r="BE432" s="93">
        <v>0.0</v>
      </c>
      <c r="BF432" s="93">
        <v>0.0</v>
      </c>
      <c r="BG432" s="5"/>
      <c r="BH432" s="93">
        <v>0.0</v>
      </c>
      <c r="BI432" s="93">
        <v>0.0</v>
      </c>
      <c r="BJ432" s="93">
        <v>0.0</v>
      </c>
      <c r="BK432" s="93">
        <v>0.0</v>
      </c>
      <c r="BL432" s="93">
        <v>0.0</v>
      </c>
      <c r="BM432" s="93">
        <v>0.0</v>
      </c>
      <c r="BN432" s="93">
        <v>0.0</v>
      </c>
      <c r="BO432" s="5"/>
      <c r="BP432" s="5" t="s">
        <v>1770</v>
      </c>
      <c r="BQ432" s="5" t="s">
        <v>1789</v>
      </c>
      <c r="BR432" s="94">
        <v>45366.49105324074</v>
      </c>
      <c r="BS432" s="5">
        <v>40.0</v>
      </c>
      <c r="BT432" s="5" t="s">
        <v>1770</v>
      </c>
      <c r="BU432" s="5" t="s">
        <v>1770</v>
      </c>
      <c r="BV432" s="94">
        <v>45423.4522337963</v>
      </c>
      <c r="BW432" s="5" t="s">
        <v>1770</v>
      </c>
    </row>
    <row r="433" ht="14.25" customHeight="1">
      <c r="A433" s="5">
        <v>432.0</v>
      </c>
      <c r="B433" s="5">
        <v>699.0</v>
      </c>
      <c r="C433" s="5" t="s">
        <v>4966</v>
      </c>
      <c r="D433" s="5" t="s">
        <v>2105</v>
      </c>
      <c r="E433" s="5" t="s">
        <v>4967</v>
      </c>
      <c r="F433" s="5" t="s">
        <v>4968</v>
      </c>
      <c r="G433" s="5" t="s">
        <v>4969</v>
      </c>
      <c r="H433" s="5" t="s">
        <v>2671</v>
      </c>
      <c r="I433" s="5" t="s">
        <v>1782</v>
      </c>
      <c r="J433" s="91">
        <v>32089.0</v>
      </c>
      <c r="K433" s="5">
        <v>549.0</v>
      </c>
      <c r="L433" s="100" t="s">
        <v>4970</v>
      </c>
      <c r="M433" s="5">
        <v>34.0</v>
      </c>
      <c r="N433" s="5" t="s">
        <v>2340</v>
      </c>
      <c r="O433" s="5">
        <v>54922.0</v>
      </c>
      <c r="P433" s="5" t="s">
        <v>1797</v>
      </c>
      <c r="Q433" s="100" t="s">
        <v>2592</v>
      </c>
      <c r="R433" s="5">
        <v>792.0</v>
      </c>
      <c r="S433" s="5">
        <v>3.939337123E9</v>
      </c>
      <c r="T433" s="5" t="s">
        <v>4971</v>
      </c>
      <c r="U433" s="100" t="s">
        <v>4972</v>
      </c>
      <c r="V433" s="5">
        <v>3.939333805E9</v>
      </c>
      <c r="W433" s="5" t="s">
        <v>3956</v>
      </c>
      <c r="X433" s="91">
        <v>45371.0</v>
      </c>
      <c r="Y433" s="5">
        <v>1.0</v>
      </c>
      <c r="Z433" s="5">
        <v>4.0</v>
      </c>
      <c r="AA433" s="5">
        <v>54.0</v>
      </c>
      <c r="AB433" s="5" t="s">
        <v>4973</v>
      </c>
      <c r="AC433" s="5" t="s">
        <v>1800</v>
      </c>
      <c r="AD433" s="91">
        <v>44385.0</v>
      </c>
      <c r="AE433" s="91">
        <v>45846.0</v>
      </c>
      <c r="AF433" s="5"/>
      <c r="AG433" s="5"/>
      <c r="AH433" s="5">
        <v>4.078700947E9</v>
      </c>
      <c r="AI433" s="5">
        <v>23.0</v>
      </c>
      <c r="AJ433" s="5"/>
      <c r="AK433" s="5" t="s">
        <v>1773</v>
      </c>
      <c r="AL433" s="92">
        <v>0.0</v>
      </c>
      <c r="AM433" s="5" t="s">
        <v>1770</v>
      </c>
      <c r="AN433" s="5" t="s">
        <v>1774</v>
      </c>
      <c r="AO433" s="5"/>
      <c r="AP433" s="5"/>
      <c r="AQ433" s="5"/>
      <c r="AR433" s="5"/>
      <c r="AS433" s="5"/>
      <c r="AT433" s="5"/>
      <c r="AU433" s="5"/>
      <c r="AV433" s="5"/>
      <c r="AW433" s="5" t="s">
        <v>1770</v>
      </c>
      <c r="AX433" s="5"/>
      <c r="AY433" s="5"/>
      <c r="AZ433" s="5" t="s">
        <v>1770</v>
      </c>
      <c r="BA433" s="93">
        <v>0.0</v>
      </c>
      <c r="BB433" s="93">
        <v>0.0</v>
      </c>
      <c r="BC433" s="93">
        <v>0.0</v>
      </c>
      <c r="BD433" s="93">
        <v>0.0</v>
      </c>
      <c r="BE433" s="93">
        <v>0.0</v>
      </c>
      <c r="BF433" s="93">
        <v>0.0</v>
      </c>
      <c r="BG433" s="5"/>
      <c r="BH433" s="93">
        <v>0.0</v>
      </c>
      <c r="BI433" s="93">
        <v>0.0</v>
      </c>
      <c r="BJ433" s="93">
        <v>0.0</v>
      </c>
      <c r="BK433" s="93">
        <v>0.0</v>
      </c>
      <c r="BL433" s="93">
        <v>0.0</v>
      </c>
      <c r="BM433" s="93">
        <v>0.0</v>
      </c>
      <c r="BN433" s="93">
        <v>0.0</v>
      </c>
      <c r="BO433" s="5"/>
      <c r="BP433" s="5" t="s">
        <v>1770</v>
      </c>
      <c r="BQ433" s="5" t="s">
        <v>1789</v>
      </c>
      <c r="BR433" s="94">
        <v>45372.67521990741</v>
      </c>
      <c r="BS433" s="5">
        <v>40.0</v>
      </c>
      <c r="BT433" s="5" t="s">
        <v>1770</v>
      </c>
      <c r="BU433" s="5" t="s">
        <v>1770</v>
      </c>
      <c r="BV433" s="94">
        <v>45423.451944444445</v>
      </c>
      <c r="BW433" s="5" t="s">
        <v>1770</v>
      </c>
    </row>
    <row r="434" ht="14.25" customHeight="1">
      <c r="A434" s="5">
        <v>433.0</v>
      </c>
      <c r="B434" s="5">
        <v>700.0</v>
      </c>
      <c r="C434" s="5" t="s">
        <v>4974</v>
      </c>
      <c r="D434" s="5" t="s">
        <v>4975</v>
      </c>
      <c r="E434" s="5" t="s">
        <v>4068</v>
      </c>
      <c r="F434" s="5" t="s">
        <v>4976</v>
      </c>
      <c r="G434" s="5" t="s">
        <v>4977</v>
      </c>
      <c r="H434" s="5" t="s">
        <v>1972</v>
      </c>
      <c r="I434" s="5" t="s">
        <v>1782</v>
      </c>
      <c r="J434" s="91">
        <v>36846.0</v>
      </c>
      <c r="K434" s="5">
        <v>377.0</v>
      </c>
      <c r="L434" s="5" t="s">
        <v>4978</v>
      </c>
      <c r="M434" s="5">
        <v>165.0</v>
      </c>
      <c r="N434" s="5"/>
      <c r="O434" s="5">
        <v>53999.0</v>
      </c>
      <c r="P434" s="5" t="s">
        <v>4979</v>
      </c>
      <c r="Q434" s="5" t="s">
        <v>2041</v>
      </c>
      <c r="R434" s="5">
        <v>834.0</v>
      </c>
      <c r="S434" s="5">
        <v>7.421005634E9</v>
      </c>
      <c r="T434" s="5"/>
      <c r="U434" s="5" t="s">
        <v>4980</v>
      </c>
      <c r="V434" s="5">
        <v>1.234567891E9</v>
      </c>
      <c r="W434" s="5" t="s">
        <v>2411</v>
      </c>
      <c r="X434" s="91">
        <v>45372.0</v>
      </c>
      <c r="Y434" s="5">
        <v>4.0</v>
      </c>
      <c r="Z434" s="5">
        <v>4.0</v>
      </c>
      <c r="AA434" s="5">
        <v>39.0</v>
      </c>
      <c r="AB434" s="5" t="s">
        <v>4981</v>
      </c>
      <c r="AC434" s="5" t="s">
        <v>1800</v>
      </c>
      <c r="AD434" s="91">
        <v>44460.0</v>
      </c>
      <c r="AE434" s="91">
        <v>46286.0</v>
      </c>
      <c r="AF434" s="5"/>
      <c r="AG434" s="5"/>
      <c r="AH434" s="5">
        <v>6.3150082095E10</v>
      </c>
      <c r="AI434" s="5"/>
      <c r="AJ434" s="5"/>
      <c r="AK434" s="5" t="s">
        <v>1773</v>
      </c>
      <c r="AL434" s="92">
        <v>0.0</v>
      </c>
      <c r="AM434" s="5" t="s">
        <v>1770</v>
      </c>
      <c r="AN434" s="5" t="s">
        <v>4382</v>
      </c>
      <c r="AO434" s="5"/>
      <c r="AP434" s="5"/>
      <c r="AQ434" s="5"/>
      <c r="AR434" s="5"/>
      <c r="AS434" s="5"/>
      <c r="AT434" s="5"/>
      <c r="AU434" s="5"/>
      <c r="AV434" s="5"/>
      <c r="AW434" s="5" t="s">
        <v>1770</v>
      </c>
      <c r="AX434" s="5"/>
      <c r="AY434" s="5"/>
      <c r="AZ434" s="5" t="s">
        <v>1770</v>
      </c>
      <c r="BA434" s="93">
        <v>0.0</v>
      </c>
      <c r="BB434" s="93">
        <v>0.0</v>
      </c>
      <c r="BC434" s="93">
        <v>0.0</v>
      </c>
      <c r="BD434" s="93">
        <v>0.0</v>
      </c>
      <c r="BE434" s="93">
        <v>0.0</v>
      </c>
      <c r="BF434" s="93">
        <v>0.0</v>
      </c>
      <c r="BG434" s="5"/>
      <c r="BH434" s="93">
        <v>0.0</v>
      </c>
      <c r="BI434" s="93">
        <v>0.0</v>
      </c>
      <c r="BJ434" s="93">
        <v>0.0</v>
      </c>
      <c r="BK434" s="93">
        <v>0.0</v>
      </c>
      <c r="BL434" s="93">
        <v>0.0</v>
      </c>
      <c r="BM434" s="93">
        <v>0.0</v>
      </c>
      <c r="BN434" s="93">
        <v>0.0</v>
      </c>
      <c r="BO434" s="5"/>
      <c r="BP434" s="5"/>
      <c r="BQ434" s="5" t="s">
        <v>1789</v>
      </c>
      <c r="BR434" s="94">
        <v>45372.68325231481</v>
      </c>
      <c r="BS434" s="5">
        <v>40.0</v>
      </c>
      <c r="BT434" s="94">
        <v>45967.56391203704</v>
      </c>
      <c r="BU434" s="5" t="s">
        <v>1770</v>
      </c>
      <c r="BV434" s="94">
        <v>46031.49060185185</v>
      </c>
      <c r="BW434" s="5">
        <v>40.0</v>
      </c>
    </row>
    <row r="435" ht="14.25" customHeight="1">
      <c r="A435" s="5">
        <v>434.0</v>
      </c>
      <c r="B435" s="5">
        <v>702.0</v>
      </c>
      <c r="C435" s="5" t="s">
        <v>2819</v>
      </c>
      <c r="D435" s="5" t="s">
        <v>1758</v>
      </c>
      <c r="E435" s="5" t="s">
        <v>3346</v>
      </c>
      <c r="F435" s="5" t="s">
        <v>4982</v>
      </c>
      <c r="G435" s="5" t="s">
        <v>4983</v>
      </c>
      <c r="H435" s="5" t="s">
        <v>1781</v>
      </c>
      <c r="I435" s="5" t="s">
        <v>1782</v>
      </c>
      <c r="J435" s="91">
        <v>30996.0</v>
      </c>
      <c r="K435" s="5">
        <v>424.0</v>
      </c>
      <c r="L435" s="5" t="s">
        <v>2784</v>
      </c>
      <c r="M435" s="5">
        <v>15.0</v>
      </c>
      <c r="N435" s="5"/>
      <c r="O435" s="5">
        <v>35902.0</v>
      </c>
      <c r="P435" s="5" t="s">
        <v>2784</v>
      </c>
      <c r="Q435" s="5" t="s">
        <v>3460</v>
      </c>
      <c r="R435" s="5">
        <v>424.0</v>
      </c>
      <c r="S435" s="5">
        <v>3.521398854E9</v>
      </c>
      <c r="T435" s="5" t="s">
        <v>4984</v>
      </c>
      <c r="U435" s="5" t="s">
        <v>4985</v>
      </c>
      <c r="V435" s="5">
        <v>3.522304312E9</v>
      </c>
      <c r="W435" s="5" t="s">
        <v>1787</v>
      </c>
      <c r="X435" s="91">
        <v>45388.0</v>
      </c>
      <c r="Y435" s="5">
        <v>3.0</v>
      </c>
      <c r="Z435" s="5">
        <v>19.0</v>
      </c>
      <c r="AA435" s="5">
        <v>15.0</v>
      </c>
      <c r="AB435" s="5" t="s">
        <v>4986</v>
      </c>
      <c r="AC435" s="5" t="s">
        <v>1800</v>
      </c>
      <c r="AD435" s="91">
        <v>45075.0</v>
      </c>
      <c r="AE435" s="91">
        <v>45806.0</v>
      </c>
      <c r="AF435" s="5">
        <v>4.7870151360198E13</v>
      </c>
      <c r="AG435" s="5">
        <v>1.2749600151360198E17</v>
      </c>
      <c r="AH435" s="5">
        <v>1.2058409371E10</v>
      </c>
      <c r="AI435" s="5">
        <v>77.0</v>
      </c>
      <c r="AJ435" s="5"/>
      <c r="AK435" s="5" t="s">
        <v>1773</v>
      </c>
      <c r="AL435" s="92">
        <v>0.0</v>
      </c>
      <c r="AM435" s="5" t="s">
        <v>1770</v>
      </c>
      <c r="AN435" s="5" t="s">
        <v>1830</v>
      </c>
      <c r="AO435" s="5"/>
      <c r="AP435" s="5"/>
      <c r="AQ435" s="5"/>
      <c r="AR435" s="5"/>
      <c r="AS435" s="5"/>
      <c r="AT435" s="5" t="s">
        <v>2996</v>
      </c>
      <c r="AU435" s="5"/>
      <c r="AV435" s="5"/>
      <c r="AW435" s="5" t="s">
        <v>1770</v>
      </c>
      <c r="AX435" s="5"/>
      <c r="AY435" s="5"/>
      <c r="AZ435" s="5" t="s">
        <v>1770</v>
      </c>
      <c r="BA435" s="93">
        <v>0.0</v>
      </c>
      <c r="BB435" s="93">
        <v>0.0</v>
      </c>
      <c r="BC435" s="93">
        <v>0.0</v>
      </c>
      <c r="BD435" s="93">
        <v>0.0</v>
      </c>
      <c r="BE435" s="93">
        <v>0.0</v>
      </c>
      <c r="BF435" s="93">
        <v>0.0</v>
      </c>
      <c r="BG435" s="5"/>
      <c r="BH435" s="93">
        <v>0.0</v>
      </c>
      <c r="BI435" s="93">
        <v>0.0</v>
      </c>
      <c r="BJ435" s="93">
        <v>0.0</v>
      </c>
      <c r="BK435" s="93">
        <v>0.0</v>
      </c>
      <c r="BL435" s="93">
        <v>0.0</v>
      </c>
      <c r="BM435" s="93">
        <v>0.0</v>
      </c>
      <c r="BN435" s="93">
        <v>0.0</v>
      </c>
      <c r="BO435" s="5"/>
      <c r="BP435" s="5" t="s">
        <v>1770</v>
      </c>
      <c r="BQ435" s="5" t="s">
        <v>1789</v>
      </c>
      <c r="BR435" s="94">
        <v>45395.524988425925</v>
      </c>
      <c r="BS435" s="5">
        <v>40.0</v>
      </c>
      <c r="BT435" s="5" t="s">
        <v>1770</v>
      </c>
      <c r="BU435" s="5" t="s">
        <v>1770</v>
      </c>
      <c r="BV435" s="94">
        <v>45628.67146990741</v>
      </c>
      <c r="BW435" s="5">
        <v>40.0</v>
      </c>
    </row>
    <row r="436" ht="14.25" customHeight="1">
      <c r="A436" s="5">
        <v>435.0</v>
      </c>
      <c r="B436" s="5">
        <v>701.0</v>
      </c>
      <c r="C436" s="5" t="s">
        <v>3564</v>
      </c>
      <c r="D436" s="5" t="s">
        <v>4987</v>
      </c>
      <c r="E436" s="5" t="s">
        <v>2534</v>
      </c>
      <c r="F436" s="5" t="s">
        <v>4988</v>
      </c>
      <c r="G436" s="5" t="s">
        <v>4989</v>
      </c>
      <c r="H436" s="5" t="s">
        <v>1972</v>
      </c>
      <c r="I436" s="5" t="s">
        <v>1763</v>
      </c>
      <c r="J436" s="91">
        <v>37805.0</v>
      </c>
      <c r="K436" s="5">
        <v>594.0</v>
      </c>
      <c r="L436" s="5" t="s">
        <v>4990</v>
      </c>
      <c r="M436" s="5">
        <v>92.0</v>
      </c>
      <c r="N436" s="5"/>
      <c r="O436" s="5">
        <v>43885.0</v>
      </c>
      <c r="P436" s="5" t="s">
        <v>2109</v>
      </c>
      <c r="Q436" s="5" t="s">
        <v>1766</v>
      </c>
      <c r="R436" s="5">
        <v>549.0</v>
      </c>
      <c r="S436" s="5">
        <v>3.316702006E9</v>
      </c>
      <c r="T436" s="5" t="s">
        <v>4991</v>
      </c>
      <c r="U436" s="5" t="s">
        <v>4992</v>
      </c>
      <c r="V436" s="5">
        <v>3.939385437E9</v>
      </c>
      <c r="W436" s="5" t="s">
        <v>3408</v>
      </c>
      <c r="X436" s="91">
        <v>45385.0</v>
      </c>
      <c r="Y436" s="5">
        <v>1.0</v>
      </c>
      <c r="Z436" s="5">
        <v>4.0</v>
      </c>
      <c r="AA436" s="5">
        <v>17.0</v>
      </c>
      <c r="AB436" s="5"/>
      <c r="AC436" s="5"/>
      <c r="AD436" s="5" t="s">
        <v>1770</v>
      </c>
      <c r="AE436" s="5" t="s">
        <v>1770</v>
      </c>
      <c r="AF436" s="5"/>
      <c r="AG436" s="5"/>
      <c r="AH436" s="5">
        <v>8.180303607E9</v>
      </c>
      <c r="AI436" s="5">
        <v>23.0</v>
      </c>
      <c r="AJ436" s="5"/>
      <c r="AK436" s="5" t="s">
        <v>1773</v>
      </c>
      <c r="AL436" s="92">
        <v>0.0</v>
      </c>
      <c r="AM436" s="5" t="s">
        <v>1770</v>
      </c>
      <c r="AN436" s="5" t="s">
        <v>1830</v>
      </c>
      <c r="AO436" s="5"/>
      <c r="AP436" s="5"/>
      <c r="AQ436" s="5"/>
      <c r="AR436" s="5"/>
      <c r="AS436" s="5"/>
      <c r="AT436" s="5"/>
      <c r="AU436" s="5"/>
      <c r="AV436" s="5"/>
      <c r="AW436" s="5" t="s">
        <v>1770</v>
      </c>
      <c r="AX436" s="5"/>
      <c r="AY436" s="5"/>
      <c r="AZ436" s="5" t="s">
        <v>1770</v>
      </c>
      <c r="BA436" s="93">
        <v>0.0</v>
      </c>
      <c r="BB436" s="93">
        <v>0.0</v>
      </c>
      <c r="BC436" s="93">
        <v>0.0</v>
      </c>
      <c r="BD436" s="93">
        <v>0.0</v>
      </c>
      <c r="BE436" s="93">
        <v>0.0</v>
      </c>
      <c r="BF436" s="93">
        <v>0.0</v>
      </c>
      <c r="BG436" s="5"/>
      <c r="BH436" s="93">
        <v>0.0</v>
      </c>
      <c r="BI436" s="93">
        <v>0.0</v>
      </c>
      <c r="BJ436" s="93">
        <v>0.0</v>
      </c>
      <c r="BK436" s="93">
        <v>0.0</v>
      </c>
      <c r="BL436" s="93">
        <v>0.0</v>
      </c>
      <c r="BM436" s="93">
        <v>0.0</v>
      </c>
      <c r="BN436" s="93">
        <v>0.0</v>
      </c>
      <c r="BO436" s="5"/>
      <c r="BP436" s="5" t="s">
        <v>1770</v>
      </c>
      <c r="BQ436" s="5" t="s">
        <v>1789</v>
      </c>
      <c r="BR436" s="94">
        <v>45397.72255787037</v>
      </c>
      <c r="BS436" s="5">
        <v>40.0</v>
      </c>
      <c r="BT436" s="5" t="s">
        <v>1770</v>
      </c>
      <c r="BU436" s="5" t="s">
        <v>1770</v>
      </c>
      <c r="BV436" s="94">
        <v>45707.68503472222</v>
      </c>
      <c r="BW436" s="5">
        <v>275.0</v>
      </c>
    </row>
    <row r="437" ht="14.25" customHeight="1">
      <c r="A437" s="5">
        <v>436.0</v>
      </c>
      <c r="B437" s="5">
        <v>703.0</v>
      </c>
      <c r="C437" s="5" t="s">
        <v>4993</v>
      </c>
      <c r="D437" s="5" t="s">
        <v>2001</v>
      </c>
      <c r="E437" s="5" t="s">
        <v>2036</v>
      </c>
      <c r="F437" s="5" t="s">
        <v>4994</v>
      </c>
      <c r="G437" s="5" t="s">
        <v>4995</v>
      </c>
      <c r="H437" s="5" t="s">
        <v>1910</v>
      </c>
      <c r="I437" s="5" t="s">
        <v>1782</v>
      </c>
      <c r="J437" s="91">
        <v>26236.0</v>
      </c>
      <c r="K437" s="5">
        <v>271.0</v>
      </c>
      <c r="L437" s="5" t="s">
        <v>4996</v>
      </c>
      <c r="M437" s="5">
        <v>155.0</v>
      </c>
      <c r="N437" s="5"/>
      <c r="O437" s="5">
        <v>55102.0</v>
      </c>
      <c r="P437" s="100" t="s">
        <v>4997</v>
      </c>
      <c r="Q437" s="5" t="s">
        <v>234</v>
      </c>
      <c r="R437" s="5">
        <v>850.0</v>
      </c>
      <c r="S437" s="5">
        <v>3.346628461E9</v>
      </c>
      <c r="T437" s="5" t="s">
        <v>4998</v>
      </c>
      <c r="U437" s="5" t="s">
        <v>4999</v>
      </c>
      <c r="V437" s="5">
        <v>3.52193295E9</v>
      </c>
      <c r="W437" s="5" t="s">
        <v>2284</v>
      </c>
      <c r="X437" s="91">
        <v>45398.0</v>
      </c>
      <c r="Y437" s="5">
        <v>3.0</v>
      </c>
      <c r="Z437" s="5">
        <v>4.0</v>
      </c>
      <c r="AA437" s="5">
        <v>39.0</v>
      </c>
      <c r="AB437" s="5" t="s">
        <v>5000</v>
      </c>
      <c r="AC437" s="5" t="s">
        <v>1800</v>
      </c>
      <c r="AD437" s="91">
        <v>45397.0</v>
      </c>
      <c r="AE437" s="91">
        <v>46127.0</v>
      </c>
      <c r="AF437" s="5"/>
      <c r="AG437" s="5"/>
      <c r="AH437" s="5">
        <v>5.3977121291E10</v>
      </c>
      <c r="AI437" s="5">
        <v>77.0</v>
      </c>
      <c r="AJ437" s="5"/>
      <c r="AK437" s="5" t="s">
        <v>1773</v>
      </c>
      <c r="AL437" s="92">
        <v>0.0</v>
      </c>
      <c r="AM437" s="5" t="s">
        <v>1770</v>
      </c>
      <c r="AN437" s="5" t="s">
        <v>1774</v>
      </c>
      <c r="AO437" s="5"/>
      <c r="AP437" s="5"/>
      <c r="AQ437" s="5"/>
      <c r="AR437" s="5"/>
      <c r="AS437" s="5"/>
      <c r="AT437" s="5"/>
      <c r="AU437" s="5"/>
      <c r="AV437" s="5"/>
      <c r="AW437" s="5" t="s">
        <v>1770</v>
      </c>
      <c r="AX437" s="5"/>
      <c r="AY437" s="5"/>
      <c r="AZ437" s="5" t="s">
        <v>1770</v>
      </c>
      <c r="BA437" s="93">
        <v>0.0</v>
      </c>
      <c r="BB437" s="93">
        <v>0.0</v>
      </c>
      <c r="BC437" s="93">
        <v>0.0</v>
      </c>
      <c r="BD437" s="93">
        <v>0.0</v>
      </c>
      <c r="BE437" s="93">
        <v>0.0</v>
      </c>
      <c r="BF437" s="93">
        <v>0.0</v>
      </c>
      <c r="BG437" s="5"/>
      <c r="BH437" s="93">
        <v>0.0</v>
      </c>
      <c r="BI437" s="93">
        <v>0.0</v>
      </c>
      <c r="BJ437" s="93">
        <v>0.0</v>
      </c>
      <c r="BK437" s="93">
        <v>0.0</v>
      </c>
      <c r="BL437" s="93">
        <v>0.0</v>
      </c>
      <c r="BM437" s="93">
        <v>0.0</v>
      </c>
      <c r="BN437" s="93">
        <v>0.0</v>
      </c>
      <c r="BO437" s="5"/>
      <c r="BP437" s="5" t="s">
        <v>1770</v>
      </c>
      <c r="BQ437" s="5" t="s">
        <v>1789</v>
      </c>
      <c r="BR437" s="94">
        <v>45401.52122685185</v>
      </c>
      <c r="BS437" s="5">
        <v>40.0</v>
      </c>
      <c r="BT437" s="5" t="s">
        <v>1770</v>
      </c>
      <c r="BU437" s="5" t="s">
        <v>1770</v>
      </c>
      <c r="BV437" s="94">
        <v>45827.49203703704</v>
      </c>
      <c r="BW437" s="5" t="s">
        <v>1770</v>
      </c>
    </row>
    <row r="438" ht="14.25" customHeight="1">
      <c r="A438" s="5">
        <v>437.0</v>
      </c>
      <c r="B438" s="5">
        <v>704.0</v>
      </c>
      <c r="C438" s="5" t="s">
        <v>2057</v>
      </c>
      <c r="D438" s="5" t="s">
        <v>5001</v>
      </c>
      <c r="E438" s="5" t="s">
        <v>3761</v>
      </c>
      <c r="F438" s="5" t="s">
        <v>5002</v>
      </c>
      <c r="G438" s="5" t="s">
        <v>5003</v>
      </c>
      <c r="H438" s="5" t="s">
        <v>1972</v>
      </c>
      <c r="I438" s="5" t="s">
        <v>1782</v>
      </c>
      <c r="J438" s="91">
        <v>31752.0</v>
      </c>
      <c r="K438" s="5">
        <v>834.0</v>
      </c>
      <c r="L438" s="5" t="s">
        <v>5004</v>
      </c>
      <c r="M438" s="5">
        <v>952.0</v>
      </c>
      <c r="N438" s="5"/>
      <c r="O438" s="5">
        <v>53959.0</v>
      </c>
      <c r="P438" s="5" t="s">
        <v>5005</v>
      </c>
      <c r="Q438" s="5" t="s">
        <v>2041</v>
      </c>
      <c r="R438" s="5">
        <v>834.0</v>
      </c>
      <c r="S438" s="5">
        <v>4.438383671E9</v>
      </c>
      <c r="T438" s="5" t="s">
        <v>5006</v>
      </c>
      <c r="U438" s="5" t="s">
        <v>5007</v>
      </c>
      <c r="V438" s="5">
        <v>4.431873149E9</v>
      </c>
      <c r="W438" s="5" t="s">
        <v>2610</v>
      </c>
      <c r="X438" s="91">
        <v>45404.0</v>
      </c>
      <c r="Y438" s="5">
        <v>4.0</v>
      </c>
      <c r="Z438" s="5">
        <v>4.0</v>
      </c>
      <c r="AA438" s="5">
        <v>40.0</v>
      </c>
      <c r="AB438" s="5" t="s">
        <v>5008</v>
      </c>
      <c r="AC438" s="5" t="s">
        <v>1800</v>
      </c>
      <c r="AD438" s="91">
        <v>44428.0</v>
      </c>
      <c r="AE438" s="91">
        <v>46254.0</v>
      </c>
      <c r="AF438" s="5"/>
      <c r="AG438" s="5"/>
      <c r="AH438" s="5">
        <v>5.3048637416E10</v>
      </c>
      <c r="AI438" s="5">
        <v>80.0</v>
      </c>
      <c r="AJ438" s="5"/>
      <c r="AK438" s="5" t="s">
        <v>1773</v>
      </c>
      <c r="AL438" s="92">
        <v>0.0</v>
      </c>
      <c r="AM438" s="5" t="s">
        <v>1770</v>
      </c>
      <c r="AN438" s="5" t="s">
        <v>4382</v>
      </c>
      <c r="AO438" s="5"/>
      <c r="AP438" s="5"/>
      <c r="AQ438" s="5"/>
      <c r="AR438" s="5"/>
      <c r="AS438" s="5"/>
      <c r="AT438" s="5"/>
      <c r="AU438" s="5"/>
      <c r="AV438" s="5"/>
      <c r="AW438" s="5" t="s">
        <v>1770</v>
      </c>
      <c r="AX438" s="5"/>
      <c r="AY438" s="5"/>
      <c r="AZ438" s="5" t="s">
        <v>1770</v>
      </c>
      <c r="BA438" s="93">
        <v>0.0</v>
      </c>
      <c r="BB438" s="93">
        <v>0.0</v>
      </c>
      <c r="BC438" s="93">
        <v>0.0</v>
      </c>
      <c r="BD438" s="93">
        <v>0.0</v>
      </c>
      <c r="BE438" s="93">
        <v>0.0</v>
      </c>
      <c r="BF438" s="93">
        <v>0.0</v>
      </c>
      <c r="BG438" s="5"/>
      <c r="BH438" s="93">
        <v>0.0</v>
      </c>
      <c r="BI438" s="93">
        <v>0.0</v>
      </c>
      <c r="BJ438" s="93">
        <v>0.0</v>
      </c>
      <c r="BK438" s="93">
        <v>0.0</v>
      </c>
      <c r="BL438" s="93">
        <v>0.0</v>
      </c>
      <c r="BM438" s="93">
        <v>0.0</v>
      </c>
      <c r="BN438" s="93">
        <v>0.0</v>
      </c>
      <c r="BO438" s="5"/>
      <c r="BP438" s="5" t="s">
        <v>1770</v>
      </c>
      <c r="BQ438" s="5" t="s">
        <v>1789</v>
      </c>
      <c r="BR438" s="94">
        <v>45405.47572916667</v>
      </c>
      <c r="BS438" s="5">
        <v>40.0</v>
      </c>
      <c r="BT438" s="5" t="s">
        <v>1770</v>
      </c>
      <c r="BU438" s="5" t="s">
        <v>1770</v>
      </c>
      <c r="BV438" s="94">
        <v>45555.50467592593</v>
      </c>
      <c r="BW438" s="5">
        <v>40.0</v>
      </c>
    </row>
    <row r="439" ht="14.25" customHeight="1">
      <c r="A439" s="5">
        <v>438.0</v>
      </c>
      <c r="B439" s="5">
        <v>705.0</v>
      </c>
      <c r="C439" s="5" t="s">
        <v>1897</v>
      </c>
      <c r="D439" s="5" t="s">
        <v>2627</v>
      </c>
      <c r="E439" s="5" t="s">
        <v>2241</v>
      </c>
      <c r="F439" s="5" t="s">
        <v>5009</v>
      </c>
      <c r="G439" s="5" t="s">
        <v>5010</v>
      </c>
      <c r="H439" s="5" t="s">
        <v>1781</v>
      </c>
      <c r="I439" s="5" t="s">
        <v>1782</v>
      </c>
      <c r="J439" s="91">
        <v>33460.0</v>
      </c>
      <c r="K439" s="5">
        <v>549.0</v>
      </c>
      <c r="L439" s="5" t="s">
        <v>2636</v>
      </c>
      <c r="M439" s="5">
        <v>464.0</v>
      </c>
      <c r="N439" s="5"/>
      <c r="O439" s="5">
        <v>43882.0</v>
      </c>
      <c r="P439" s="5" t="s">
        <v>2743</v>
      </c>
      <c r="Q439" s="5" t="s">
        <v>1766</v>
      </c>
      <c r="R439" s="5">
        <v>549.0</v>
      </c>
      <c r="S439" s="5">
        <v>3.93126112E9</v>
      </c>
      <c r="T439" s="5" t="s">
        <v>5011</v>
      </c>
      <c r="U439" s="5" t="s">
        <v>5012</v>
      </c>
      <c r="V439" s="5">
        <v>3.931732934E9</v>
      </c>
      <c r="W439" s="5" t="s">
        <v>1787</v>
      </c>
      <c r="X439" s="91">
        <v>45404.0</v>
      </c>
      <c r="Y439" s="5">
        <v>1.0</v>
      </c>
      <c r="Z439" s="5">
        <v>19.0</v>
      </c>
      <c r="AA439" s="5">
        <v>34.0</v>
      </c>
      <c r="AB439" s="5"/>
      <c r="AC439" s="5"/>
      <c r="AD439" s="5" t="s">
        <v>1770</v>
      </c>
      <c r="AE439" s="5" t="s">
        <v>1770</v>
      </c>
      <c r="AF439" s="5"/>
      <c r="AG439" s="5"/>
      <c r="AH439" s="5">
        <v>2.17910288E9</v>
      </c>
      <c r="AI439" s="5">
        <v>23.0</v>
      </c>
      <c r="AJ439" s="5"/>
      <c r="AK439" s="5" t="s">
        <v>1773</v>
      </c>
      <c r="AL439" s="92">
        <v>0.0</v>
      </c>
      <c r="AM439" s="5" t="s">
        <v>1770</v>
      </c>
      <c r="AN439" s="5" t="s">
        <v>4382</v>
      </c>
      <c r="AO439" s="5"/>
      <c r="AP439" s="5"/>
      <c r="AQ439" s="5"/>
      <c r="AR439" s="5"/>
      <c r="AS439" s="5"/>
      <c r="AT439" s="5"/>
      <c r="AU439" s="5"/>
      <c r="AV439" s="5"/>
      <c r="AW439" s="5" t="s">
        <v>1770</v>
      </c>
      <c r="AX439" s="5"/>
      <c r="AY439" s="5"/>
      <c r="AZ439" s="5" t="s">
        <v>1770</v>
      </c>
      <c r="BA439" s="93">
        <v>0.0</v>
      </c>
      <c r="BB439" s="93">
        <v>0.0</v>
      </c>
      <c r="BC439" s="93">
        <v>0.0</v>
      </c>
      <c r="BD439" s="93">
        <v>0.0</v>
      </c>
      <c r="BE439" s="93">
        <v>0.0</v>
      </c>
      <c r="BF439" s="93">
        <v>0.0</v>
      </c>
      <c r="BG439" s="5"/>
      <c r="BH439" s="93">
        <v>0.0</v>
      </c>
      <c r="BI439" s="93">
        <v>0.0</v>
      </c>
      <c r="BJ439" s="93">
        <v>0.0</v>
      </c>
      <c r="BK439" s="93">
        <v>0.0</v>
      </c>
      <c r="BL439" s="93">
        <v>0.0</v>
      </c>
      <c r="BM439" s="93">
        <v>0.0</v>
      </c>
      <c r="BN439" s="93">
        <v>0.0</v>
      </c>
      <c r="BO439" s="5"/>
      <c r="BP439" s="5" t="s">
        <v>1770</v>
      </c>
      <c r="BQ439" s="5" t="s">
        <v>1789</v>
      </c>
      <c r="BR439" s="94">
        <v>45407.53979166667</v>
      </c>
      <c r="BS439" s="5">
        <v>40.0</v>
      </c>
      <c r="BT439" s="5" t="s">
        <v>1770</v>
      </c>
      <c r="BU439" s="5" t="s">
        <v>1770</v>
      </c>
      <c r="BV439" s="94">
        <v>45453.75096064815</v>
      </c>
      <c r="BW439" s="5">
        <v>40.0</v>
      </c>
    </row>
    <row r="440" ht="14.25" customHeight="1">
      <c r="A440" s="5">
        <v>439.0</v>
      </c>
      <c r="B440" s="5">
        <v>706.0</v>
      </c>
      <c r="C440" s="5" t="s">
        <v>5013</v>
      </c>
      <c r="D440" s="5" t="s">
        <v>2001</v>
      </c>
      <c r="E440" s="5"/>
      <c r="F440" s="5" t="s">
        <v>5014</v>
      </c>
      <c r="G440" s="5" t="s">
        <v>5015</v>
      </c>
      <c r="H440" s="5" t="s">
        <v>1781</v>
      </c>
      <c r="I440" s="5" t="s">
        <v>1782</v>
      </c>
      <c r="J440" s="91">
        <v>26619.0</v>
      </c>
      <c r="K440" s="5">
        <v>424.0</v>
      </c>
      <c r="L440" s="5" t="s">
        <v>5016</v>
      </c>
      <c r="M440" s="5">
        <v>17.0</v>
      </c>
      <c r="N440" s="5"/>
      <c r="O440" s="5">
        <v>35872.0</v>
      </c>
      <c r="P440" s="5" t="s">
        <v>1797</v>
      </c>
      <c r="Q440" s="5" t="s">
        <v>2406</v>
      </c>
      <c r="R440" s="5">
        <v>424.0</v>
      </c>
      <c r="S440" s="5">
        <v>1.234567899E9</v>
      </c>
      <c r="T440" s="5" t="s">
        <v>5017</v>
      </c>
      <c r="U440" s="5" t="s">
        <v>2340</v>
      </c>
      <c r="V440" s="5">
        <v>1.234567891E9</v>
      </c>
      <c r="W440" s="5" t="s">
        <v>4382</v>
      </c>
      <c r="X440" s="91">
        <v>45414.0</v>
      </c>
      <c r="Y440" s="5">
        <v>2.0</v>
      </c>
      <c r="Z440" s="5">
        <v>19.0</v>
      </c>
      <c r="AA440" s="5">
        <v>45.0</v>
      </c>
      <c r="AB440" s="5">
        <v>3410866.0</v>
      </c>
      <c r="AC440" s="5" t="s">
        <v>2274</v>
      </c>
      <c r="AD440" s="91">
        <v>44074.0</v>
      </c>
      <c r="AE440" s="91">
        <v>45890.0</v>
      </c>
      <c r="AF440" s="5"/>
      <c r="AG440" s="5"/>
      <c r="AH440" s="5">
        <v>1.2987216699E10</v>
      </c>
      <c r="AI440" s="5">
        <v>9.0</v>
      </c>
      <c r="AJ440" s="5"/>
      <c r="AK440" s="5" t="s">
        <v>1773</v>
      </c>
      <c r="AL440" s="92">
        <v>0.0</v>
      </c>
      <c r="AM440" s="5" t="s">
        <v>1770</v>
      </c>
      <c r="AN440" s="5" t="s">
        <v>1830</v>
      </c>
      <c r="AO440" s="5"/>
      <c r="AP440" s="5"/>
      <c r="AQ440" s="5"/>
      <c r="AR440" s="5"/>
      <c r="AS440" s="5"/>
      <c r="AT440" s="5"/>
      <c r="AU440" s="5"/>
      <c r="AV440" s="5"/>
      <c r="AW440" s="5" t="s">
        <v>1770</v>
      </c>
      <c r="AX440" s="5"/>
      <c r="AY440" s="5"/>
      <c r="AZ440" s="5" t="s">
        <v>1770</v>
      </c>
      <c r="BA440" s="93">
        <v>0.0</v>
      </c>
      <c r="BB440" s="93">
        <v>0.0</v>
      </c>
      <c r="BC440" s="93">
        <v>0.0</v>
      </c>
      <c r="BD440" s="93">
        <v>0.0</v>
      </c>
      <c r="BE440" s="93">
        <v>0.0</v>
      </c>
      <c r="BF440" s="93">
        <v>0.0</v>
      </c>
      <c r="BG440" s="5"/>
      <c r="BH440" s="93">
        <v>0.0</v>
      </c>
      <c r="BI440" s="93">
        <v>0.0</v>
      </c>
      <c r="BJ440" s="93">
        <v>0.0</v>
      </c>
      <c r="BK440" s="93">
        <v>0.0</v>
      </c>
      <c r="BL440" s="93">
        <v>0.0</v>
      </c>
      <c r="BM440" s="93">
        <v>0.0</v>
      </c>
      <c r="BN440" s="93">
        <v>0.0</v>
      </c>
      <c r="BO440" s="5"/>
      <c r="BP440" s="5" t="s">
        <v>1770</v>
      </c>
      <c r="BQ440" s="5" t="s">
        <v>1789</v>
      </c>
      <c r="BR440" s="94">
        <v>45415.69055555556</v>
      </c>
      <c r="BS440" s="5">
        <v>40.0</v>
      </c>
      <c r="BT440" s="94">
        <v>45541.59025462963</v>
      </c>
      <c r="BU440" s="5">
        <v>40.0</v>
      </c>
      <c r="BV440" s="94">
        <v>45617.36366898148</v>
      </c>
      <c r="BW440" s="5">
        <v>40.0</v>
      </c>
    </row>
    <row r="441" ht="14.25" customHeight="1">
      <c r="A441" s="5">
        <v>440.0</v>
      </c>
      <c r="B441" s="5">
        <v>708.0</v>
      </c>
      <c r="C441" s="5" t="s">
        <v>5018</v>
      </c>
      <c r="D441" s="5" t="s">
        <v>1759</v>
      </c>
      <c r="E441" s="5" t="s">
        <v>5019</v>
      </c>
      <c r="F441" s="5" t="s">
        <v>5020</v>
      </c>
      <c r="G441" s="5" t="s">
        <v>5021</v>
      </c>
      <c r="H441" s="5" t="s">
        <v>1781</v>
      </c>
      <c r="I441" s="5" t="s">
        <v>1782</v>
      </c>
      <c r="J441" s="91">
        <v>35620.0</v>
      </c>
      <c r="K441" s="5">
        <v>418.0</v>
      </c>
      <c r="L441" s="5" t="s">
        <v>4478</v>
      </c>
      <c r="M441" s="5">
        <v>31.0</v>
      </c>
      <c r="N441" s="5"/>
      <c r="O441" s="5">
        <v>35872.0</v>
      </c>
      <c r="P441" s="5" t="s">
        <v>5022</v>
      </c>
      <c r="Q441" s="5" t="s">
        <v>2406</v>
      </c>
      <c r="R441" s="5">
        <v>424.0</v>
      </c>
      <c r="S441" s="5">
        <v>4.696036434E9</v>
      </c>
      <c r="T441" s="5" t="s">
        <v>5023</v>
      </c>
      <c r="U441" s="5" t="s">
        <v>5024</v>
      </c>
      <c r="V441" s="5">
        <v>4.696037434E9</v>
      </c>
      <c r="W441" s="5" t="s">
        <v>1808</v>
      </c>
      <c r="X441" s="91">
        <v>45428.0</v>
      </c>
      <c r="Y441" s="5">
        <v>2.0</v>
      </c>
      <c r="Z441" s="5">
        <v>1.0</v>
      </c>
      <c r="AA441" s="5">
        <v>79.0</v>
      </c>
      <c r="AB441" s="5" t="s">
        <v>5025</v>
      </c>
      <c r="AC441" s="5" t="s">
        <v>1772</v>
      </c>
      <c r="AD441" s="91">
        <v>45567.0</v>
      </c>
      <c r="AE441" s="91">
        <v>46297.0</v>
      </c>
      <c r="AF441" s="5"/>
      <c r="AG441" s="5"/>
      <c r="AH441" s="5">
        <v>2.169755374E9</v>
      </c>
      <c r="AI441" s="5">
        <v>9.0</v>
      </c>
      <c r="AJ441" s="5"/>
      <c r="AK441" s="5" t="s">
        <v>1773</v>
      </c>
      <c r="AL441" s="92">
        <v>0.0</v>
      </c>
      <c r="AM441" s="5" t="s">
        <v>1770</v>
      </c>
      <c r="AN441" s="5" t="s">
        <v>1809</v>
      </c>
      <c r="AO441" s="5"/>
      <c r="AP441" s="5"/>
      <c r="AQ441" s="5"/>
      <c r="AR441" s="5"/>
      <c r="AS441" s="5"/>
      <c r="AT441" s="5"/>
      <c r="AU441" s="5"/>
      <c r="AV441" s="5"/>
      <c r="AW441" s="5" t="s">
        <v>1770</v>
      </c>
      <c r="AX441" s="5"/>
      <c r="AY441" s="5"/>
      <c r="AZ441" s="5" t="s">
        <v>1770</v>
      </c>
      <c r="BA441" s="93">
        <v>0.0</v>
      </c>
      <c r="BB441" s="93">
        <v>0.0</v>
      </c>
      <c r="BC441" s="93">
        <v>0.0</v>
      </c>
      <c r="BD441" s="93">
        <v>0.0</v>
      </c>
      <c r="BE441" s="93">
        <v>0.0</v>
      </c>
      <c r="BF441" s="93">
        <v>0.0</v>
      </c>
      <c r="BG441" s="5"/>
      <c r="BH441" s="93">
        <v>0.0</v>
      </c>
      <c r="BI441" s="93">
        <v>0.0</v>
      </c>
      <c r="BJ441" s="93">
        <v>0.0</v>
      </c>
      <c r="BK441" s="93">
        <v>0.0</v>
      </c>
      <c r="BL441" s="93">
        <v>0.0</v>
      </c>
      <c r="BM441" s="93">
        <v>0.0</v>
      </c>
      <c r="BN441" s="93">
        <v>0.0</v>
      </c>
      <c r="BO441" s="5"/>
      <c r="BP441" s="5"/>
      <c r="BQ441" s="5" t="s">
        <v>1775</v>
      </c>
      <c r="BR441" s="94">
        <v>45430.50518518518</v>
      </c>
      <c r="BS441" s="5">
        <v>40.0</v>
      </c>
      <c r="BT441" s="94">
        <v>46133.52638888889</v>
      </c>
      <c r="BU441" s="5">
        <v>272.0</v>
      </c>
      <c r="BV441" s="5" t="s">
        <v>1770</v>
      </c>
      <c r="BW441" s="5" t="s">
        <v>1770</v>
      </c>
    </row>
    <row r="442" ht="14.25" customHeight="1">
      <c r="A442" s="5">
        <v>441.0</v>
      </c>
      <c r="B442" s="5">
        <v>707.0</v>
      </c>
      <c r="C442" s="5" t="s">
        <v>5026</v>
      </c>
      <c r="D442" s="5" t="s">
        <v>2097</v>
      </c>
      <c r="E442" s="5" t="s">
        <v>2001</v>
      </c>
      <c r="F442" s="5" t="s">
        <v>5027</v>
      </c>
      <c r="G442" s="5" t="s">
        <v>5028</v>
      </c>
      <c r="H442" s="5" t="s">
        <v>1972</v>
      </c>
      <c r="I442" s="5" t="s">
        <v>1782</v>
      </c>
      <c r="J442" s="91">
        <v>36540.0</v>
      </c>
      <c r="K442" s="5">
        <v>893.0</v>
      </c>
      <c r="L442" s="5" t="s">
        <v>5029</v>
      </c>
      <c r="M442" s="5">
        <v>504.0</v>
      </c>
      <c r="N442" s="5"/>
      <c r="O442" s="5">
        <v>53918.0</v>
      </c>
      <c r="P442" s="5" t="s">
        <v>5030</v>
      </c>
      <c r="Q442" s="5" t="s">
        <v>2041</v>
      </c>
      <c r="R442" s="5">
        <v>834.0</v>
      </c>
      <c r="S442" s="5">
        <v>4.435953928E9</v>
      </c>
      <c r="T442" s="5" t="s">
        <v>5031</v>
      </c>
      <c r="U442" s="5" t="s">
        <v>5032</v>
      </c>
      <c r="V442" s="5">
        <v>4.433370959E9</v>
      </c>
      <c r="W442" s="5" t="s">
        <v>1965</v>
      </c>
      <c r="X442" s="91">
        <v>45429.0</v>
      </c>
      <c r="Y442" s="5">
        <v>4.0</v>
      </c>
      <c r="Z442" s="5">
        <v>3.0</v>
      </c>
      <c r="AA442" s="5">
        <v>58.0</v>
      </c>
      <c r="AB442" s="5" t="s">
        <v>5033</v>
      </c>
      <c r="AC442" s="5" t="s">
        <v>1800</v>
      </c>
      <c r="AD442" s="91">
        <v>44054.0</v>
      </c>
      <c r="AE442" s="91">
        <v>47341.0</v>
      </c>
      <c r="AF442" s="5"/>
      <c r="AG442" s="5"/>
      <c r="AH442" s="5">
        <v>6.6160087095E10</v>
      </c>
      <c r="AI442" s="5">
        <v>80.0</v>
      </c>
      <c r="AJ442" s="5"/>
      <c r="AK442" s="5" t="s">
        <v>1773</v>
      </c>
      <c r="AL442" s="92">
        <v>0.0</v>
      </c>
      <c r="AM442" s="5" t="s">
        <v>1770</v>
      </c>
      <c r="AN442" s="5" t="s">
        <v>2052</v>
      </c>
      <c r="AO442" s="5"/>
      <c r="AP442" s="5"/>
      <c r="AQ442" s="5"/>
      <c r="AR442" s="5"/>
      <c r="AS442" s="5"/>
      <c r="AT442" s="5"/>
      <c r="AU442" s="5"/>
      <c r="AV442" s="5"/>
      <c r="AW442" s="5" t="s">
        <v>1770</v>
      </c>
      <c r="AX442" s="5"/>
      <c r="AY442" s="5"/>
      <c r="AZ442" s="5" t="s">
        <v>1770</v>
      </c>
      <c r="BA442" s="93">
        <v>0.0</v>
      </c>
      <c r="BB442" s="93">
        <v>0.0</v>
      </c>
      <c r="BC442" s="93">
        <v>0.0</v>
      </c>
      <c r="BD442" s="93">
        <v>0.0</v>
      </c>
      <c r="BE442" s="93">
        <v>0.0</v>
      </c>
      <c r="BF442" s="93">
        <v>0.0</v>
      </c>
      <c r="BG442" s="5"/>
      <c r="BH442" s="93">
        <v>0.0</v>
      </c>
      <c r="BI442" s="93">
        <v>0.0</v>
      </c>
      <c r="BJ442" s="93">
        <v>0.0</v>
      </c>
      <c r="BK442" s="93">
        <v>0.0</v>
      </c>
      <c r="BL442" s="93">
        <v>0.0</v>
      </c>
      <c r="BM442" s="93">
        <v>0.0</v>
      </c>
      <c r="BN442" s="93">
        <v>0.0</v>
      </c>
      <c r="BO442" s="5"/>
      <c r="BP442" s="5" t="s">
        <v>1770</v>
      </c>
      <c r="BQ442" s="5" t="s">
        <v>1789</v>
      </c>
      <c r="BR442" s="94">
        <v>45446.602951388886</v>
      </c>
      <c r="BS442" s="5">
        <v>40.0</v>
      </c>
      <c r="BT442" s="5" t="s">
        <v>1770</v>
      </c>
      <c r="BU442" s="5" t="s">
        <v>1770</v>
      </c>
      <c r="BV442" s="94">
        <v>45532.66824074074</v>
      </c>
      <c r="BW442" s="5">
        <v>275.0</v>
      </c>
    </row>
    <row r="443" ht="14.25" customHeight="1">
      <c r="A443" s="5">
        <v>442.0</v>
      </c>
      <c r="B443" s="5">
        <v>711.0</v>
      </c>
      <c r="C443" s="5" t="s">
        <v>5034</v>
      </c>
      <c r="D443" s="5" t="s">
        <v>1927</v>
      </c>
      <c r="E443" s="5" t="s">
        <v>2343</v>
      </c>
      <c r="F443" s="5" t="s">
        <v>5035</v>
      </c>
      <c r="G443" s="5" t="s">
        <v>5036</v>
      </c>
      <c r="H443" s="5" t="s">
        <v>1762</v>
      </c>
      <c r="I443" s="5" t="s">
        <v>1763</v>
      </c>
      <c r="J443" s="91">
        <v>35624.0</v>
      </c>
      <c r="K443" s="5">
        <v>549.0</v>
      </c>
      <c r="L443" s="5" t="s">
        <v>1973</v>
      </c>
      <c r="M443" s="5">
        <v>229.0</v>
      </c>
      <c r="N443" s="5"/>
      <c r="O443" s="5">
        <v>55002.0</v>
      </c>
      <c r="P443" s="5" t="s">
        <v>3748</v>
      </c>
      <c r="Q443" s="5" t="s">
        <v>1974</v>
      </c>
      <c r="R443" s="5">
        <v>886.0</v>
      </c>
      <c r="S443" s="5">
        <v>3.93102135E9</v>
      </c>
      <c r="T443" s="5" t="s">
        <v>5037</v>
      </c>
      <c r="U443" s="5" t="s">
        <v>5038</v>
      </c>
      <c r="V443" s="5">
        <v>3.5113517E9</v>
      </c>
      <c r="W443" s="5" t="s">
        <v>1769</v>
      </c>
      <c r="X443" s="91">
        <v>45456.0</v>
      </c>
      <c r="Y443" s="5">
        <v>1.0</v>
      </c>
      <c r="Z443" s="5">
        <v>4.0</v>
      </c>
      <c r="AA443" s="5">
        <v>77.0</v>
      </c>
      <c r="AB443" s="5"/>
      <c r="AC443" s="5"/>
      <c r="AD443" s="5" t="s">
        <v>1770</v>
      </c>
      <c r="AE443" s="5" t="s">
        <v>1770</v>
      </c>
      <c r="AF443" s="5"/>
      <c r="AG443" s="5"/>
      <c r="AH443" s="5">
        <v>2.2169719329E10</v>
      </c>
      <c r="AI443" s="5">
        <v>23.0</v>
      </c>
      <c r="AJ443" s="5"/>
      <c r="AK443" s="5" t="s">
        <v>1773</v>
      </c>
      <c r="AL443" s="92">
        <v>0.0</v>
      </c>
      <c r="AM443" s="5" t="s">
        <v>1770</v>
      </c>
      <c r="AN443" s="5" t="s">
        <v>3236</v>
      </c>
      <c r="AO443" s="5"/>
      <c r="AP443" s="5"/>
      <c r="AQ443" s="5"/>
      <c r="AR443" s="5"/>
      <c r="AS443" s="5"/>
      <c r="AT443" s="5"/>
      <c r="AU443" s="5"/>
      <c r="AV443" s="5"/>
      <c r="AW443" s="5" t="s">
        <v>1770</v>
      </c>
      <c r="AX443" s="5"/>
      <c r="AY443" s="5"/>
      <c r="AZ443" s="5" t="s">
        <v>1770</v>
      </c>
      <c r="BA443" s="93">
        <v>0.0</v>
      </c>
      <c r="BB443" s="93">
        <v>0.0</v>
      </c>
      <c r="BC443" s="93">
        <v>0.0</v>
      </c>
      <c r="BD443" s="93">
        <v>0.0</v>
      </c>
      <c r="BE443" s="93">
        <v>0.0</v>
      </c>
      <c r="BF443" s="93">
        <v>0.0</v>
      </c>
      <c r="BG443" s="5"/>
      <c r="BH443" s="93">
        <v>0.0</v>
      </c>
      <c r="BI443" s="93">
        <v>0.0</v>
      </c>
      <c r="BJ443" s="93">
        <v>0.0</v>
      </c>
      <c r="BK443" s="93">
        <v>0.0</v>
      </c>
      <c r="BL443" s="93">
        <v>0.0</v>
      </c>
      <c r="BM443" s="93">
        <v>0.0</v>
      </c>
      <c r="BN443" s="93">
        <v>0.0</v>
      </c>
      <c r="BO443" s="5"/>
      <c r="BP443" s="5"/>
      <c r="BQ443" s="5" t="s">
        <v>1789</v>
      </c>
      <c r="BR443" s="94">
        <v>45457.48547453704</v>
      </c>
      <c r="BS443" s="5">
        <v>40.0</v>
      </c>
      <c r="BT443" s="94">
        <v>46134.45415509259</v>
      </c>
      <c r="BU443" s="5">
        <v>40.0</v>
      </c>
      <c r="BV443" s="94">
        <v>46213.74763888889</v>
      </c>
      <c r="BW443" s="5">
        <v>40.0</v>
      </c>
    </row>
    <row r="444" ht="14.25" customHeight="1">
      <c r="A444" s="5">
        <v>443.0</v>
      </c>
      <c r="B444" s="5">
        <v>710.0</v>
      </c>
      <c r="C444" s="5" t="s">
        <v>5039</v>
      </c>
      <c r="D444" s="5" t="s">
        <v>2005</v>
      </c>
      <c r="E444" s="5" t="s">
        <v>2133</v>
      </c>
      <c r="F444" s="5" t="s">
        <v>5040</v>
      </c>
      <c r="G444" s="5" t="s">
        <v>5041</v>
      </c>
      <c r="H444" s="5" t="s">
        <v>1781</v>
      </c>
      <c r="I444" s="5" t="s">
        <v>1782</v>
      </c>
      <c r="J444" s="91">
        <v>34589.0</v>
      </c>
      <c r="K444" s="5">
        <v>549.0</v>
      </c>
      <c r="L444" s="5" t="s">
        <v>5042</v>
      </c>
      <c r="M444" s="5">
        <v>256.0</v>
      </c>
      <c r="N444" s="5"/>
      <c r="O444" s="5">
        <v>43882.0</v>
      </c>
      <c r="P444" s="5" t="s">
        <v>1797</v>
      </c>
      <c r="Q444" s="5" t="s">
        <v>1766</v>
      </c>
      <c r="R444" s="5">
        <v>549.0</v>
      </c>
      <c r="S444" s="5">
        <v>3.9311108E9</v>
      </c>
      <c r="T444" s="5" t="s">
        <v>5043</v>
      </c>
      <c r="U444" s="5" t="s">
        <v>5044</v>
      </c>
      <c r="V444" s="5">
        <v>3.935937532E9</v>
      </c>
      <c r="W444" s="5" t="s">
        <v>1819</v>
      </c>
      <c r="X444" s="91">
        <v>45448.0</v>
      </c>
      <c r="Y444" s="5">
        <v>1.0</v>
      </c>
      <c r="Z444" s="5">
        <v>2.0</v>
      </c>
      <c r="AA444" s="5">
        <v>63.0</v>
      </c>
      <c r="AB444" s="5" t="s">
        <v>5045</v>
      </c>
      <c r="AC444" s="5" t="s">
        <v>1800</v>
      </c>
      <c r="AD444" s="91">
        <v>45953.0</v>
      </c>
      <c r="AE444" s="91">
        <v>47414.0</v>
      </c>
      <c r="AF444" s="5"/>
      <c r="AG444" s="5"/>
      <c r="AH444" s="5">
        <v>7.4169438293E10</v>
      </c>
      <c r="AI444" s="5">
        <v>23.0</v>
      </c>
      <c r="AJ444" s="5"/>
      <c r="AK444" s="5" t="s">
        <v>1773</v>
      </c>
      <c r="AL444" s="92">
        <v>0.0</v>
      </c>
      <c r="AM444" s="5" t="s">
        <v>1770</v>
      </c>
      <c r="AN444" s="5" t="s">
        <v>1935</v>
      </c>
      <c r="AO444" s="5"/>
      <c r="AP444" s="5"/>
      <c r="AQ444" s="5"/>
      <c r="AR444" s="5"/>
      <c r="AS444" s="5"/>
      <c r="AT444" s="5"/>
      <c r="AU444" s="5"/>
      <c r="AV444" s="5"/>
      <c r="AW444" s="5" t="s">
        <v>1770</v>
      </c>
      <c r="AX444" s="5"/>
      <c r="AY444" s="5"/>
      <c r="AZ444" s="5" t="s">
        <v>1770</v>
      </c>
      <c r="BA444" s="93">
        <v>0.0</v>
      </c>
      <c r="BB444" s="93">
        <v>0.0</v>
      </c>
      <c r="BC444" s="93">
        <v>0.0</v>
      </c>
      <c r="BD444" s="93">
        <v>0.0</v>
      </c>
      <c r="BE444" s="93">
        <v>0.0</v>
      </c>
      <c r="BF444" s="93">
        <v>0.0</v>
      </c>
      <c r="BG444" s="5"/>
      <c r="BH444" s="93">
        <v>0.0</v>
      </c>
      <c r="BI444" s="93">
        <v>0.0</v>
      </c>
      <c r="BJ444" s="93">
        <v>0.0</v>
      </c>
      <c r="BK444" s="93">
        <v>0.0</v>
      </c>
      <c r="BL444" s="93">
        <v>0.0</v>
      </c>
      <c r="BM444" s="93">
        <v>0.0</v>
      </c>
      <c r="BN444" s="93">
        <v>0.0</v>
      </c>
      <c r="BO444" s="5"/>
      <c r="BP444" s="5"/>
      <c r="BQ444" s="5" t="s">
        <v>1775</v>
      </c>
      <c r="BR444" s="94">
        <v>45457.49736111111</v>
      </c>
      <c r="BS444" s="5">
        <v>40.0</v>
      </c>
      <c r="BT444" s="94">
        <v>46221.43356481481</v>
      </c>
      <c r="BU444" s="5">
        <v>272.0</v>
      </c>
      <c r="BV444" s="5" t="s">
        <v>1770</v>
      </c>
      <c r="BW444" s="5" t="s">
        <v>1770</v>
      </c>
    </row>
    <row r="445" ht="14.25" customHeight="1">
      <c r="A445" s="5">
        <v>444.0</v>
      </c>
      <c r="B445" s="5">
        <v>709.0</v>
      </c>
      <c r="C445" s="5" t="s">
        <v>2619</v>
      </c>
      <c r="D445" s="5" t="s">
        <v>2036</v>
      </c>
      <c r="E445" s="5" t="s">
        <v>2534</v>
      </c>
      <c r="F445" s="5" t="s">
        <v>5046</v>
      </c>
      <c r="G445" s="5" t="s">
        <v>5047</v>
      </c>
      <c r="H445" s="5" t="s">
        <v>2671</v>
      </c>
      <c r="I445" s="5" t="s">
        <v>1763</v>
      </c>
      <c r="J445" s="91">
        <v>32608.0</v>
      </c>
      <c r="K445" s="5">
        <v>418.0</v>
      </c>
      <c r="L445" s="5" t="s">
        <v>5048</v>
      </c>
      <c r="M445" s="5">
        <v>477.0</v>
      </c>
      <c r="N445" s="5"/>
      <c r="O445" s="5">
        <v>43882.0</v>
      </c>
      <c r="P445" s="5" t="s">
        <v>2048</v>
      </c>
      <c r="Q445" s="5" t="s">
        <v>1766</v>
      </c>
      <c r="R445" s="5">
        <v>549.0</v>
      </c>
      <c r="S445" s="5">
        <v>3.931105966E9</v>
      </c>
      <c r="T445" s="5" t="s">
        <v>5049</v>
      </c>
      <c r="U445" s="5" t="s">
        <v>5050</v>
      </c>
      <c r="V445" s="5">
        <v>3.939366149E9</v>
      </c>
      <c r="W445" s="5" t="s">
        <v>1808</v>
      </c>
      <c r="X445" s="91">
        <v>45435.0</v>
      </c>
      <c r="Y445" s="5">
        <v>1.0</v>
      </c>
      <c r="Z445" s="5">
        <v>4.0</v>
      </c>
      <c r="AA445" s="5">
        <v>56.0</v>
      </c>
      <c r="AB445" s="5"/>
      <c r="AC445" s="5"/>
      <c r="AD445" s="5" t="s">
        <v>1770</v>
      </c>
      <c r="AE445" s="5" t="s">
        <v>1770</v>
      </c>
      <c r="AF445" s="5"/>
      <c r="AG445" s="5"/>
      <c r="AH445" s="5">
        <v>6.2168942829E10</v>
      </c>
      <c r="AI445" s="5">
        <v>23.0</v>
      </c>
      <c r="AJ445" s="5"/>
      <c r="AK445" s="5" t="s">
        <v>1773</v>
      </c>
      <c r="AL445" s="92">
        <v>0.0</v>
      </c>
      <c r="AM445" s="5" t="s">
        <v>1770</v>
      </c>
      <c r="AN445" s="5" t="s">
        <v>1774</v>
      </c>
      <c r="AO445" s="5"/>
      <c r="AP445" s="5"/>
      <c r="AQ445" s="5"/>
      <c r="AR445" s="5"/>
      <c r="AS445" s="5"/>
      <c r="AT445" s="5"/>
      <c r="AU445" s="5"/>
      <c r="AV445" s="5"/>
      <c r="AW445" s="5" t="s">
        <v>1770</v>
      </c>
      <c r="AX445" s="5"/>
      <c r="AY445" s="5"/>
      <c r="AZ445" s="5" t="s">
        <v>1770</v>
      </c>
      <c r="BA445" s="93">
        <v>0.0</v>
      </c>
      <c r="BB445" s="93">
        <v>0.0</v>
      </c>
      <c r="BC445" s="93">
        <v>0.0</v>
      </c>
      <c r="BD445" s="93">
        <v>0.0</v>
      </c>
      <c r="BE445" s="93">
        <v>0.0</v>
      </c>
      <c r="BF445" s="93">
        <v>0.0</v>
      </c>
      <c r="BG445" s="5"/>
      <c r="BH445" s="93">
        <v>0.0</v>
      </c>
      <c r="BI445" s="93">
        <v>0.0</v>
      </c>
      <c r="BJ445" s="93">
        <v>0.0</v>
      </c>
      <c r="BK445" s="93">
        <v>0.0</v>
      </c>
      <c r="BL445" s="93">
        <v>0.0</v>
      </c>
      <c r="BM445" s="93">
        <v>0.0</v>
      </c>
      <c r="BN445" s="93">
        <v>0.0</v>
      </c>
      <c r="BO445" s="5"/>
      <c r="BP445" s="5" t="s">
        <v>1770</v>
      </c>
      <c r="BQ445" s="5" t="s">
        <v>1789</v>
      </c>
      <c r="BR445" s="94">
        <v>45465.4731712963</v>
      </c>
      <c r="BS445" s="5">
        <v>40.0</v>
      </c>
      <c r="BT445" s="5" t="s">
        <v>1770</v>
      </c>
      <c r="BU445" s="5" t="s">
        <v>1770</v>
      </c>
      <c r="BV445" s="94">
        <v>45671.697384259256</v>
      </c>
      <c r="BW445" s="5" t="s">
        <v>1770</v>
      </c>
    </row>
    <row r="446" ht="14.25" customHeight="1">
      <c r="A446" s="5">
        <v>445.0</v>
      </c>
      <c r="B446" s="5">
        <v>712.0</v>
      </c>
      <c r="C446" s="5" t="s">
        <v>5051</v>
      </c>
      <c r="D446" s="5" t="s">
        <v>3346</v>
      </c>
      <c r="E446" s="5" t="s">
        <v>5052</v>
      </c>
      <c r="F446" s="5" t="s">
        <v>5053</v>
      </c>
      <c r="G446" s="5" t="s">
        <v>5054</v>
      </c>
      <c r="H446" s="5" t="s">
        <v>1972</v>
      </c>
      <c r="I446" s="5" t="s">
        <v>1782</v>
      </c>
      <c r="J446" s="91">
        <v>37056.0</v>
      </c>
      <c r="K446" s="5">
        <v>549.0</v>
      </c>
      <c r="L446" s="5" t="s">
        <v>3115</v>
      </c>
      <c r="M446" s="5" t="s">
        <v>5055</v>
      </c>
      <c r="N446" s="5"/>
      <c r="O446" s="5">
        <v>54924.0</v>
      </c>
      <c r="P446" s="5" t="s">
        <v>1797</v>
      </c>
      <c r="Q446" s="5" t="s">
        <v>1946</v>
      </c>
      <c r="R446" s="5">
        <v>792.0</v>
      </c>
      <c r="S446" s="5">
        <v>3.931587797E9</v>
      </c>
      <c r="T446" s="5" t="s">
        <v>5056</v>
      </c>
      <c r="U446" s="5" t="s">
        <v>5057</v>
      </c>
      <c r="V446" s="5">
        <v>3.939344532E9</v>
      </c>
      <c r="W446" s="5" t="s">
        <v>1965</v>
      </c>
      <c r="X446" s="91">
        <v>45467.0</v>
      </c>
      <c r="Y446" s="5">
        <v>1.0</v>
      </c>
      <c r="Z446" s="5">
        <v>1.0</v>
      </c>
      <c r="AA446" s="5">
        <v>1.0</v>
      </c>
      <c r="AB446" s="5" t="s">
        <v>5058</v>
      </c>
      <c r="AC446" s="5" t="s">
        <v>1800</v>
      </c>
      <c r="AD446" s="91">
        <v>45454.0</v>
      </c>
      <c r="AE446" s="91">
        <v>46915.0</v>
      </c>
      <c r="AF446" s="5"/>
      <c r="AG446" s="5"/>
      <c r="AH446" s="5">
        <v>5.130127607E9</v>
      </c>
      <c r="AI446" s="5">
        <v>23.0</v>
      </c>
      <c r="AJ446" s="5"/>
      <c r="AK446" s="5" t="s">
        <v>1773</v>
      </c>
      <c r="AL446" s="92">
        <v>0.0</v>
      </c>
      <c r="AM446" s="5" t="s">
        <v>1770</v>
      </c>
      <c r="AN446" s="5" t="s">
        <v>1774</v>
      </c>
      <c r="AO446" s="5"/>
      <c r="AP446" s="5"/>
      <c r="AQ446" s="5"/>
      <c r="AR446" s="5"/>
      <c r="AS446" s="5"/>
      <c r="AT446" s="5"/>
      <c r="AU446" s="5"/>
      <c r="AV446" s="5"/>
      <c r="AW446" s="5" t="s">
        <v>1770</v>
      </c>
      <c r="AX446" s="5"/>
      <c r="AY446" s="5"/>
      <c r="AZ446" s="5" t="s">
        <v>1770</v>
      </c>
      <c r="BA446" s="93">
        <v>0.0</v>
      </c>
      <c r="BB446" s="93">
        <v>0.0</v>
      </c>
      <c r="BC446" s="93">
        <v>0.0</v>
      </c>
      <c r="BD446" s="93">
        <v>0.0</v>
      </c>
      <c r="BE446" s="93">
        <v>0.0</v>
      </c>
      <c r="BF446" s="93">
        <v>0.0</v>
      </c>
      <c r="BG446" s="5"/>
      <c r="BH446" s="93">
        <v>0.0</v>
      </c>
      <c r="BI446" s="93">
        <v>0.0</v>
      </c>
      <c r="BJ446" s="93">
        <v>0.0</v>
      </c>
      <c r="BK446" s="93">
        <v>0.0</v>
      </c>
      <c r="BL446" s="93">
        <v>0.0</v>
      </c>
      <c r="BM446" s="93">
        <v>0.0</v>
      </c>
      <c r="BN446" s="93">
        <v>0.0</v>
      </c>
      <c r="BO446" s="5"/>
      <c r="BP446" s="5" t="s">
        <v>1770</v>
      </c>
      <c r="BQ446" s="5" t="s">
        <v>1789</v>
      </c>
      <c r="BR446" s="94">
        <v>45467.588738425926</v>
      </c>
      <c r="BS446" s="5">
        <v>40.0</v>
      </c>
      <c r="BT446" s="5" t="s">
        <v>1770</v>
      </c>
      <c r="BU446" s="5" t="s">
        <v>1770</v>
      </c>
      <c r="BV446" s="94">
        <v>45617.36355324074</v>
      </c>
      <c r="BW446" s="5">
        <v>40.0</v>
      </c>
    </row>
    <row r="447" ht="14.25" customHeight="1">
      <c r="A447" s="5">
        <v>446.0</v>
      </c>
      <c r="B447" s="5">
        <v>713.0</v>
      </c>
      <c r="C447" s="5" t="s">
        <v>4026</v>
      </c>
      <c r="D447" s="5" t="s">
        <v>1812</v>
      </c>
      <c r="E447" s="5" t="s">
        <v>2343</v>
      </c>
      <c r="F447" s="5" t="s">
        <v>5059</v>
      </c>
      <c r="G447" s="5" t="s">
        <v>5060</v>
      </c>
      <c r="H447" s="5" t="s">
        <v>1972</v>
      </c>
      <c r="I447" s="5" t="s">
        <v>1763</v>
      </c>
      <c r="J447" s="91">
        <v>32418.0</v>
      </c>
      <c r="K447" s="5">
        <v>597.0</v>
      </c>
      <c r="L447" s="5" t="s">
        <v>2490</v>
      </c>
      <c r="M447" s="5">
        <v>273.0</v>
      </c>
      <c r="N447" s="5"/>
      <c r="O447" s="5">
        <v>41922.0</v>
      </c>
      <c r="P447" s="5" t="s">
        <v>1797</v>
      </c>
      <c r="Q447" s="5" t="s">
        <v>2349</v>
      </c>
      <c r="R447" s="5">
        <v>597.0</v>
      </c>
      <c r="S447" s="5">
        <v>3.318553414E9</v>
      </c>
      <c r="T447" s="5" t="s">
        <v>5061</v>
      </c>
      <c r="U447" s="5" t="s">
        <v>5062</v>
      </c>
      <c r="V447" s="5">
        <v>3.919210458E9</v>
      </c>
      <c r="W447" s="5" t="s">
        <v>1808</v>
      </c>
      <c r="X447" s="91">
        <v>45467.0</v>
      </c>
      <c r="Y447" s="5">
        <v>5.0</v>
      </c>
      <c r="Z447" s="5">
        <v>17.0</v>
      </c>
      <c r="AA447" s="5">
        <v>18.0</v>
      </c>
      <c r="AB447" s="5"/>
      <c r="AC447" s="5"/>
      <c r="AD447" s="5" t="s">
        <v>1770</v>
      </c>
      <c r="AE447" s="5" t="s">
        <v>1770</v>
      </c>
      <c r="AF447" s="5"/>
      <c r="AG447" s="5"/>
      <c r="AH447" s="5">
        <v>3.148807013E9</v>
      </c>
      <c r="AI447" s="5">
        <v>95.0</v>
      </c>
      <c r="AJ447" s="5"/>
      <c r="AK447" s="5" t="s">
        <v>1773</v>
      </c>
      <c r="AL447" s="92">
        <v>0.0</v>
      </c>
      <c r="AM447" s="5" t="s">
        <v>1770</v>
      </c>
      <c r="AN447" s="5" t="s">
        <v>1830</v>
      </c>
      <c r="AO447" s="5"/>
      <c r="AP447" s="5"/>
      <c r="AQ447" s="5"/>
      <c r="AR447" s="5"/>
      <c r="AS447" s="5"/>
      <c r="AT447" s="5"/>
      <c r="AU447" s="5"/>
      <c r="AV447" s="5"/>
      <c r="AW447" s="5" t="s">
        <v>1770</v>
      </c>
      <c r="AX447" s="5"/>
      <c r="AY447" s="5"/>
      <c r="AZ447" s="5" t="s">
        <v>1770</v>
      </c>
      <c r="BA447" s="93">
        <v>0.0</v>
      </c>
      <c r="BB447" s="93">
        <v>0.0</v>
      </c>
      <c r="BC447" s="93">
        <v>0.0</v>
      </c>
      <c r="BD447" s="93">
        <v>0.0</v>
      </c>
      <c r="BE447" s="93">
        <v>0.0</v>
      </c>
      <c r="BF447" s="93">
        <v>0.0</v>
      </c>
      <c r="BG447" s="5"/>
      <c r="BH447" s="93">
        <v>0.0</v>
      </c>
      <c r="BI447" s="93">
        <v>0.0</v>
      </c>
      <c r="BJ447" s="93">
        <v>0.0</v>
      </c>
      <c r="BK447" s="93">
        <v>0.0</v>
      </c>
      <c r="BL447" s="93">
        <v>0.0</v>
      </c>
      <c r="BM447" s="93">
        <v>0.0</v>
      </c>
      <c r="BN447" s="93">
        <v>0.0</v>
      </c>
      <c r="BO447" s="5"/>
      <c r="BP447" s="5"/>
      <c r="BQ447" s="5" t="s">
        <v>1775</v>
      </c>
      <c r="BR447" s="94">
        <v>45471.46328703704</v>
      </c>
      <c r="BS447" s="5">
        <v>40.0</v>
      </c>
      <c r="BT447" s="94">
        <v>46133.505949074075</v>
      </c>
      <c r="BU447" s="5">
        <v>272.0</v>
      </c>
      <c r="BV447" s="5" t="s">
        <v>1770</v>
      </c>
      <c r="BW447" s="5" t="s">
        <v>1770</v>
      </c>
    </row>
    <row r="448" ht="14.25" customHeight="1">
      <c r="A448" s="5">
        <v>447.0</v>
      </c>
      <c r="B448" s="5">
        <v>714.0</v>
      </c>
      <c r="C448" s="5" t="s">
        <v>5063</v>
      </c>
      <c r="D448" s="5" t="s">
        <v>1778</v>
      </c>
      <c r="E448" s="5" t="s">
        <v>4914</v>
      </c>
      <c r="F448" s="5" t="s">
        <v>5064</v>
      </c>
      <c r="G448" s="5" t="s">
        <v>5065</v>
      </c>
      <c r="H448" s="5" t="s">
        <v>1781</v>
      </c>
      <c r="I448" s="5" t="s">
        <v>1782</v>
      </c>
      <c r="J448" s="91">
        <v>25385.0</v>
      </c>
      <c r="K448" s="5">
        <v>850.0</v>
      </c>
      <c r="L448" s="5" t="s">
        <v>3226</v>
      </c>
      <c r="M448" s="5">
        <v>798.0</v>
      </c>
      <c r="N448" s="5"/>
      <c r="O448" s="5">
        <v>55177.0</v>
      </c>
      <c r="P448" s="5" t="s">
        <v>5066</v>
      </c>
      <c r="Q448" s="5" t="s">
        <v>234</v>
      </c>
      <c r="R448" s="5">
        <v>850.0</v>
      </c>
      <c r="S448" s="5">
        <v>3.52107986E9</v>
      </c>
      <c r="T448" s="5" t="s">
        <v>5067</v>
      </c>
      <c r="U448" s="5" t="s">
        <v>5068</v>
      </c>
      <c r="V448" s="5">
        <v>3.521881336E9</v>
      </c>
      <c r="W448" s="5" t="s">
        <v>1787</v>
      </c>
      <c r="X448" s="91">
        <v>45474.0</v>
      </c>
      <c r="Y448" s="5">
        <v>3.0</v>
      </c>
      <c r="Z448" s="5">
        <v>4.0</v>
      </c>
      <c r="AA448" s="5">
        <v>40.0</v>
      </c>
      <c r="AB448" s="5" t="s">
        <v>5069</v>
      </c>
      <c r="AC448" s="5" t="s">
        <v>1800</v>
      </c>
      <c r="AD448" s="91">
        <v>45471.0</v>
      </c>
      <c r="AE448" s="91">
        <v>46201.0</v>
      </c>
      <c r="AF448" s="5"/>
      <c r="AG448" s="5"/>
      <c r="AH448" s="5">
        <v>4.2966703391E10</v>
      </c>
      <c r="AI448" s="5">
        <v>77.0</v>
      </c>
      <c r="AJ448" s="5"/>
      <c r="AK448" s="5" t="s">
        <v>1773</v>
      </c>
      <c r="AL448" s="92">
        <v>0.0</v>
      </c>
      <c r="AM448" s="5" t="s">
        <v>1770</v>
      </c>
      <c r="AN448" s="5" t="s">
        <v>1774</v>
      </c>
      <c r="AO448" s="5"/>
      <c r="AP448" s="5"/>
      <c r="AQ448" s="5"/>
      <c r="AR448" s="5"/>
      <c r="AS448" s="5"/>
      <c r="AT448" s="5"/>
      <c r="AU448" s="5"/>
      <c r="AV448" s="5"/>
      <c r="AW448" s="5" t="s">
        <v>1770</v>
      </c>
      <c r="AX448" s="5"/>
      <c r="AY448" s="5"/>
      <c r="AZ448" s="5" t="s">
        <v>1770</v>
      </c>
      <c r="BA448" s="93">
        <v>0.0</v>
      </c>
      <c r="BB448" s="93">
        <v>0.0</v>
      </c>
      <c r="BC448" s="93">
        <v>0.0</v>
      </c>
      <c r="BD448" s="93">
        <v>0.0</v>
      </c>
      <c r="BE448" s="93">
        <v>0.0</v>
      </c>
      <c r="BF448" s="93">
        <v>0.0</v>
      </c>
      <c r="BG448" s="5"/>
      <c r="BH448" s="93">
        <v>0.0</v>
      </c>
      <c r="BI448" s="93">
        <v>0.0</v>
      </c>
      <c r="BJ448" s="93">
        <v>0.0</v>
      </c>
      <c r="BK448" s="93">
        <v>0.0</v>
      </c>
      <c r="BL448" s="93">
        <v>0.0</v>
      </c>
      <c r="BM448" s="93">
        <v>0.0</v>
      </c>
      <c r="BN448" s="93">
        <v>0.0</v>
      </c>
      <c r="BO448" s="5"/>
      <c r="BP448" s="5" t="s">
        <v>1770</v>
      </c>
      <c r="BQ448" s="5" t="s">
        <v>1789</v>
      </c>
      <c r="BR448" s="94">
        <v>45475.43675925926</v>
      </c>
      <c r="BS448" s="5">
        <v>40.0</v>
      </c>
      <c r="BT448" s="5" t="s">
        <v>1770</v>
      </c>
      <c r="BU448" s="5" t="s">
        <v>1770</v>
      </c>
      <c r="BV448" s="94">
        <v>45628.67118055555</v>
      </c>
      <c r="BW448" s="5">
        <v>40.0</v>
      </c>
    </row>
    <row r="449" ht="14.25" customHeight="1">
      <c r="A449" s="5">
        <v>448.0</v>
      </c>
      <c r="B449" s="5">
        <v>715.0</v>
      </c>
      <c r="C449" s="5" t="s">
        <v>5070</v>
      </c>
      <c r="D449" s="5" t="s">
        <v>5071</v>
      </c>
      <c r="E449" s="5" t="s">
        <v>1946</v>
      </c>
      <c r="F449" s="5" t="s">
        <v>5072</v>
      </c>
      <c r="G449" s="5" t="s">
        <v>5073</v>
      </c>
      <c r="H449" s="5" t="s">
        <v>1972</v>
      </c>
      <c r="I449" s="5" t="s">
        <v>1782</v>
      </c>
      <c r="J449" s="91">
        <v>35906.0</v>
      </c>
      <c r="K449" s="5">
        <v>570.0</v>
      </c>
      <c r="L449" s="5" t="s">
        <v>3534</v>
      </c>
      <c r="M449" s="5">
        <v>7.0</v>
      </c>
      <c r="N449" s="5" t="s">
        <v>2340</v>
      </c>
      <c r="O449" s="5">
        <v>41784.0</v>
      </c>
      <c r="P449" s="5" t="s">
        <v>1797</v>
      </c>
      <c r="Q449" s="5" t="s">
        <v>5074</v>
      </c>
      <c r="R449" s="5">
        <v>581.0</v>
      </c>
      <c r="S449" s="5">
        <v>3.328409605E9</v>
      </c>
      <c r="T449" s="5" t="s">
        <v>5075</v>
      </c>
      <c r="U449" s="5" t="s">
        <v>5076</v>
      </c>
      <c r="V449" s="5">
        <v>3.332467385E9</v>
      </c>
      <c r="W449" s="5" t="s">
        <v>1808</v>
      </c>
      <c r="X449" s="91">
        <v>45477.0</v>
      </c>
      <c r="Y449" s="5">
        <v>5.0</v>
      </c>
      <c r="Z449" s="5">
        <v>1.0</v>
      </c>
      <c r="AA449" s="5">
        <v>79.0</v>
      </c>
      <c r="AB449" s="5" t="s">
        <v>5077</v>
      </c>
      <c r="AC449" s="5" t="s">
        <v>1800</v>
      </c>
      <c r="AD449" s="91">
        <v>45133.0</v>
      </c>
      <c r="AE449" s="91">
        <v>46594.0</v>
      </c>
      <c r="AF449" s="5"/>
      <c r="AG449" s="5"/>
      <c r="AH449" s="5">
        <v>5.3169871984E10</v>
      </c>
      <c r="AI449" s="5">
        <v>95.0</v>
      </c>
      <c r="AJ449" s="5"/>
      <c r="AK449" s="5" t="s">
        <v>1773</v>
      </c>
      <c r="AL449" s="92">
        <v>0.0</v>
      </c>
      <c r="AM449" s="5" t="s">
        <v>1770</v>
      </c>
      <c r="AN449" s="5" t="s">
        <v>1830</v>
      </c>
      <c r="AO449" s="5"/>
      <c r="AP449" s="5"/>
      <c r="AQ449" s="5"/>
      <c r="AR449" s="5"/>
      <c r="AS449" s="5"/>
      <c r="AT449" s="5"/>
      <c r="AU449" s="5"/>
      <c r="AV449" s="5"/>
      <c r="AW449" s="5" t="s">
        <v>1770</v>
      </c>
      <c r="AX449" s="5"/>
      <c r="AY449" s="5"/>
      <c r="AZ449" s="5" t="s">
        <v>1770</v>
      </c>
      <c r="BA449" s="93">
        <v>0.0</v>
      </c>
      <c r="BB449" s="93">
        <v>0.0</v>
      </c>
      <c r="BC449" s="93">
        <v>0.0</v>
      </c>
      <c r="BD449" s="93">
        <v>0.0</v>
      </c>
      <c r="BE449" s="93">
        <v>0.0</v>
      </c>
      <c r="BF449" s="93">
        <v>0.0</v>
      </c>
      <c r="BG449" s="5"/>
      <c r="BH449" s="93">
        <v>0.0</v>
      </c>
      <c r="BI449" s="93">
        <v>0.0</v>
      </c>
      <c r="BJ449" s="93">
        <v>0.0</v>
      </c>
      <c r="BK449" s="93">
        <v>0.0</v>
      </c>
      <c r="BL449" s="93">
        <v>0.0</v>
      </c>
      <c r="BM449" s="93">
        <v>0.0</v>
      </c>
      <c r="BN449" s="93">
        <v>0.0</v>
      </c>
      <c r="BO449" s="5"/>
      <c r="BP449" s="5"/>
      <c r="BQ449" s="5" t="s">
        <v>1775</v>
      </c>
      <c r="BR449" s="94">
        <v>45479.53407407407</v>
      </c>
      <c r="BS449" s="5">
        <v>40.0</v>
      </c>
      <c r="BT449" s="94">
        <v>46134.60329861111</v>
      </c>
      <c r="BU449" s="5" t="s">
        <v>1770</v>
      </c>
      <c r="BV449" s="5" t="s">
        <v>1770</v>
      </c>
      <c r="BW449" s="5" t="s">
        <v>1770</v>
      </c>
    </row>
    <row r="450" ht="14.25" customHeight="1">
      <c r="A450" s="5">
        <v>449.0</v>
      </c>
      <c r="B450" s="5">
        <v>716.0</v>
      </c>
      <c r="C450" s="5" t="s">
        <v>5078</v>
      </c>
      <c r="D450" s="5" t="s">
        <v>2464</v>
      </c>
      <c r="E450" s="5"/>
      <c r="F450" s="5" t="s">
        <v>5079</v>
      </c>
      <c r="G450" s="5" t="s">
        <v>5080</v>
      </c>
      <c r="H450" s="5" t="s">
        <v>1972</v>
      </c>
      <c r="I450" s="5" t="s">
        <v>1782</v>
      </c>
      <c r="J450" s="91">
        <v>36671.0</v>
      </c>
      <c r="K450" s="5">
        <v>2473.0</v>
      </c>
      <c r="L450" s="100" t="s">
        <v>1953</v>
      </c>
      <c r="M450" s="5">
        <v>406.0</v>
      </c>
      <c r="N450" s="5"/>
      <c r="O450" s="5">
        <v>41922.0</v>
      </c>
      <c r="P450" s="5" t="s">
        <v>5081</v>
      </c>
      <c r="Q450" s="5" t="s">
        <v>2349</v>
      </c>
      <c r="R450" s="5">
        <v>597.0</v>
      </c>
      <c r="S450" s="5">
        <v>3.331042311E9</v>
      </c>
      <c r="T450" s="5" t="s">
        <v>5082</v>
      </c>
      <c r="U450" s="5" t="s">
        <v>5083</v>
      </c>
      <c r="V450" s="5">
        <v>3.331755247E9</v>
      </c>
      <c r="W450" s="5" t="s">
        <v>1965</v>
      </c>
      <c r="X450" s="91">
        <v>45484.0</v>
      </c>
      <c r="Y450" s="5">
        <v>5.0</v>
      </c>
      <c r="Z450" s="5">
        <v>19.0</v>
      </c>
      <c r="AA450" s="5">
        <v>1.0</v>
      </c>
      <c r="AB450" s="5" t="s">
        <v>5084</v>
      </c>
      <c r="AC450" s="5" t="s">
        <v>1800</v>
      </c>
      <c r="AD450" s="91">
        <v>45482.0</v>
      </c>
      <c r="AE450" s="91">
        <v>46943.0</v>
      </c>
      <c r="AF450" s="5"/>
      <c r="AG450" s="5"/>
      <c r="AH450" s="5">
        <v>6.130017137E9</v>
      </c>
      <c r="AI450" s="5">
        <v>95.0</v>
      </c>
      <c r="AJ450" s="5"/>
      <c r="AK450" s="5" t="s">
        <v>1773</v>
      </c>
      <c r="AL450" s="92">
        <v>0.0</v>
      </c>
      <c r="AM450" s="5" t="s">
        <v>1770</v>
      </c>
      <c r="AN450" s="5" t="s">
        <v>1830</v>
      </c>
      <c r="AO450" s="5"/>
      <c r="AP450" s="5"/>
      <c r="AQ450" s="5"/>
      <c r="AR450" s="5"/>
      <c r="AS450" s="5"/>
      <c r="AT450" s="5"/>
      <c r="AU450" s="5"/>
      <c r="AV450" s="5"/>
      <c r="AW450" s="5" t="s">
        <v>1770</v>
      </c>
      <c r="AX450" s="5"/>
      <c r="AY450" s="5"/>
      <c r="AZ450" s="5" t="s">
        <v>1770</v>
      </c>
      <c r="BA450" s="93">
        <v>0.0</v>
      </c>
      <c r="BB450" s="93">
        <v>0.0</v>
      </c>
      <c r="BC450" s="93">
        <v>0.0</v>
      </c>
      <c r="BD450" s="93">
        <v>0.0</v>
      </c>
      <c r="BE450" s="93">
        <v>0.0</v>
      </c>
      <c r="BF450" s="93">
        <v>0.0</v>
      </c>
      <c r="BG450" s="5"/>
      <c r="BH450" s="93">
        <v>0.0</v>
      </c>
      <c r="BI450" s="93">
        <v>0.0</v>
      </c>
      <c r="BJ450" s="93">
        <v>0.0</v>
      </c>
      <c r="BK450" s="93">
        <v>0.0</v>
      </c>
      <c r="BL450" s="93">
        <v>0.0</v>
      </c>
      <c r="BM450" s="93">
        <v>0.0</v>
      </c>
      <c r="BN450" s="93">
        <v>0.0</v>
      </c>
      <c r="BO450" s="5"/>
      <c r="BP450" s="5" t="s">
        <v>1770</v>
      </c>
      <c r="BQ450" s="5" t="s">
        <v>1789</v>
      </c>
      <c r="BR450" s="94">
        <v>45484.455717592595</v>
      </c>
      <c r="BS450" s="5">
        <v>40.0</v>
      </c>
      <c r="BT450" s="5" t="s">
        <v>1770</v>
      </c>
      <c r="BU450" s="5" t="s">
        <v>1770</v>
      </c>
      <c r="BV450" s="94">
        <v>45628.672060185185</v>
      </c>
      <c r="BW450" s="5">
        <v>40.0</v>
      </c>
    </row>
    <row r="451" ht="14.25" customHeight="1">
      <c r="A451" s="5">
        <v>450.0</v>
      </c>
      <c r="B451" s="5">
        <v>717.0</v>
      </c>
      <c r="C451" s="5" t="s">
        <v>5085</v>
      </c>
      <c r="D451" s="5" t="s">
        <v>3346</v>
      </c>
      <c r="E451" s="5" t="s">
        <v>5086</v>
      </c>
      <c r="F451" s="5" t="s">
        <v>5087</v>
      </c>
      <c r="G451" s="5" t="s">
        <v>5088</v>
      </c>
      <c r="H451" s="5" t="s">
        <v>1972</v>
      </c>
      <c r="I451" s="5" t="s">
        <v>1782</v>
      </c>
      <c r="J451" s="91">
        <v>36845.0</v>
      </c>
      <c r="K451" s="5">
        <v>549.0</v>
      </c>
      <c r="L451" s="5" t="s">
        <v>5089</v>
      </c>
      <c r="M451" s="5">
        <v>28.0</v>
      </c>
      <c r="N451" s="5"/>
      <c r="O451" s="5">
        <v>41964.0</v>
      </c>
      <c r="P451" s="5" t="s">
        <v>5090</v>
      </c>
      <c r="Q451" s="5" t="s">
        <v>5090</v>
      </c>
      <c r="R451" s="5">
        <v>654.0</v>
      </c>
      <c r="S451" s="5">
        <v>3.921125955E9</v>
      </c>
      <c r="T451" s="5" t="s">
        <v>5091</v>
      </c>
      <c r="U451" s="5" t="s">
        <v>5092</v>
      </c>
      <c r="V451" s="5">
        <v>3.312448196E9</v>
      </c>
      <c r="W451" s="5" t="s">
        <v>1808</v>
      </c>
      <c r="X451" s="91">
        <v>45489.0</v>
      </c>
      <c r="Y451" s="5">
        <v>5.0</v>
      </c>
      <c r="Z451" s="5">
        <v>3.0</v>
      </c>
      <c r="AA451" s="5">
        <v>58.0</v>
      </c>
      <c r="AB451" s="5" t="s">
        <v>5093</v>
      </c>
      <c r="AC451" s="5" t="s">
        <v>1800</v>
      </c>
      <c r="AD451" s="91">
        <v>44861.0</v>
      </c>
      <c r="AE451" s="91">
        <v>46322.0</v>
      </c>
      <c r="AF451" s="5"/>
      <c r="AG451" s="5"/>
      <c r="AH451" s="5">
        <v>7.5160072064E10</v>
      </c>
      <c r="AI451" s="5">
        <v>95.0</v>
      </c>
      <c r="AJ451" s="5"/>
      <c r="AK451" s="5" t="s">
        <v>1773</v>
      </c>
      <c r="AL451" s="92">
        <v>0.0</v>
      </c>
      <c r="AM451" s="5" t="s">
        <v>1770</v>
      </c>
      <c r="AN451" s="5" t="s">
        <v>1830</v>
      </c>
      <c r="AO451" s="5"/>
      <c r="AP451" s="5"/>
      <c r="AQ451" s="5"/>
      <c r="AR451" s="5"/>
      <c r="AS451" s="5"/>
      <c r="AT451" s="5"/>
      <c r="AU451" s="5"/>
      <c r="AV451" s="5"/>
      <c r="AW451" s="5" t="s">
        <v>1770</v>
      </c>
      <c r="AX451" s="5"/>
      <c r="AY451" s="5"/>
      <c r="AZ451" s="5" t="s">
        <v>1770</v>
      </c>
      <c r="BA451" s="93">
        <v>0.0</v>
      </c>
      <c r="BB451" s="93">
        <v>0.0</v>
      </c>
      <c r="BC451" s="93">
        <v>0.0</v>
      </c>
      <c r="BD451" s="93">
        <v>0.0</v>
      </c>
      <c r="BE451" s="93">
        <v>0.0</v>
      </c>
      <c r="BF451" s="93">
        <v>0.0</v>
      </c>
      <c r="BG451" s="5"/>
      <c r="BH451" s="93">
        <v>0.0</v>
      </c>
      <c r="BI451" s="93">
        <v>0.0</v>
      </c>
      <c r="BJ451" s="93">
        <v>0.0</v>
      </c>
      <c r="BK451" s="93">
        <v>0.0</v>
      </c>
      <c r="BL451" s="93">
        <v>0.0</v>
      </c>
      <c r="BM451" s="93">
        <v>0.0</v>
      </c>
      <c r="BN451" s="93">
        <v>0.0</v>
      </c>
      <c r="BO451" s="5"/>
      <c r="BP451" s="5" t="s">
        <v>1770</v>
      </c>
      <c r="BQ451" s="5" t="s">
        <v>1789</v>
      </c>
      <c r="BR451" s="94">
        <v>45490.422951388886</v>
      </c>
      <c r="BS451" s="5">
        <v>40.0</v>
      </c>
      <c r="BT451" s="5" t="s">
        <v>1770</v>
      </c>
      <c r="BU451" s="5" t="s">
        <v>1770</v>
      </c>
      <c r="BV451" s="94">
        <v>45628.67092592592</v>
      </c>
      <c r="BW451" s="5">
        <v>40.0</v>
      </c>
    </row>
    <row r="452" ht="14.25" customHeight="1">
      <c r="A452" s="5">
        <v>451.0</v>
      </c>
      <c r="B452" s="5">
        <v>718.0</v>
      </c>
      <c r="C452" s="5" t="s">
        <v>4619</v>
      </c>
      <c r="D452" s="5" t="s">
        <v>3056</v>
      </c>
      <c r="E452" s="5" t="s">
        <v>1758</v>
      </c>
      <c r="F452" s="5" t="s">
        <v>5094</v>
      </c>
      <c r="G452" s="5" t="s">
        <v>5095</v>
      </c>
      <c r="H452" s="5" t="s">
        <v>1781</v>
      </c>
      <c r="I452" s="5" t="s">
        <v>1782</v>
      </c>
      <c r="J452" s="91">
        <v>23774.0</v>
      </c>
      <c r="K452" s="5">
        <v>549.0</v>
      </c>
      <c r="L452" s="5" t="s">
        <v>5096</v>
      </c>
      <c r="M452" s="5">
        <v>99.0</v>
      </c>
      <c r="N452" s="5"/>
      <c r="O452" s="5">
        <v>43882.0</v>
      </c>
      <c r="P452" s="5" t="s">
        <v>1797</v>
      </c>
      <c r="Q452" s="5" t="s">
        <v>1797</v>
      </c>
      <c r="R452" s="5">
        <v>549.0</v>
      </c>
      <c r="S452" s="5">
        <v>3.932309944E9</v>
      </c>
      <c r="T452" s="5" t="s">
        <v>5097</v>
      </c>
      <c r="U452" s="5" t="s">
        <v>5098</v>
      </c>
      <c r="V452" s="5">
        <v>3.931201511E9</v>
      </c>
      <c r="W452" s="5" t="s">
        <v>1787</v>
      </c>
      <c r="X452" s="91">
        <v>45495.0</v>
      </c>
      <c r="Y452" s="5">
        <v>1.0</v>
      </c>
      <c r="Z452" s="5">
        <v>17.0</v>
      </c>
      <c r="AA452" s="5">
        <v>33.0</v>
      </c>
      <c r="AB452" s="5"/>
      <c r="AC452" s="5"/>
      <c r="AD452" s="5" t="s">
        <v>1770</v>
      </c>
      <c r="AE452" s="5" t="s">
        <v>1770</v>
      </c>
      <c r="AF452" s="5"/>
      <c r="AG452" s="5"/>
      <c r="AH452" s="5">
        <v>4.936615063E9</v>
      </c>
      <c r="AI452" s="5">
        <v>23.0</v>
      </c>
      <c r="AJ452" s="5"/>
      <c r="AK452" s="5" t="s">
        <v>1773</v>
      </c>
      <c r="AL452" s="92">
        <v>0.0</v>
      </c>
      <c r="AM452" s="5" t="s">
        <v>1770</v>
      </c>
      <c r="AN452" s="5" t="s">
        <v>1774</v>
      </c>
      <c r="AO452" s="5"/>
      <c r="AP452" s="5"/>
      <c r="AQ452" s="5"/>
      <c r="AR452" s="5"/>
      <c r="AS452" s="5"/>
      <c r="AT452" s="5"/>
      <c r="AU452" s="5"/>
      <c r="AV452" s="5"/>
      <c r="AW452" s="5" t="s">
        <v>1770</v>
      </c>
      <c r="AX452" s="5"/>
      <c r="AY452" s="5"/>
      <c r="AZ452" s="5" t="s">
        <v>1770</v>
      </c>
      <c r="BA452" s="93">
        <v>0.0</v>
      </c>
      <c r="BB452" s="93">
        <v>0.0</v>
      </c>
      <c r="BC452" s="93">
        <v>0.0</v>
      </c>
      <c r="BD452" s="93">
        <v>0.0</v>
      </c>
      <c r="BE452" s="93">
        <v>0.0</v>
      </c>
      <c r="BF452" s="93">
        <v>0.0</v>
      </c>
      <c r="BG452" s="5"/>
      <c r="BH452" s="93">
        <v>0.0</v>
      </c>
      <c r="BI452" s="93">
        <v>0.0</v>
      </c>
      <c r="BJ452" s="93">
        <v>0.0</v>
      </c>
      <c r="BK452" s="93">
        <v>0.0</v>
      </c>
      <c r="BL452" s="93">
        <v>0.0</v>
      </c>
      <c r="BM452" s="93">
        <v>0.0</v>
      </c>
      <c r="BN452" s="93">
        <v>0.0</v>
      </c>
      <c r="BO452" s="5"/>
      <c r="BP452" s="5"/>
      <c r="BQ452" s="5" t="s">
        <v>1775</v>
      </c>
      <c r="BR452" s="94">
        <v>45496.47210648148</v>
      </c>
      <c r="BS452" s="5">
        <v>40.0</v>
      </c>
      <c r="BT452" s="94">
        <v>46133.47025462963</v>
      </c>
      <c r="BU452" s="5">
        <v>272.0</v>
      </c>
      <c r="BV452" s="5" t="s">
        <v>1770</v>
      </c>
      <c r="BW452" s="5" t="s">
        <v>1770</v>
      </c>
    </row>
    <row r="453" ht="14.25" customHeight="1">
      <c r="A453" s="5">
        <v>452.0</v>
      </c>
      <c r="B453" s="5">
        <v>721.0</v>
      </c>
      <c r="C453" s="5" t="s">
        <v>5099</v>
      </c>
      <c r="D453" s="5" t="s">
        <v>2111</v>
      </c>
      <c r="E453" s="100" t="s">
        <v>1898</v>
      </c>
      <c r="F453" s="5" t="s">
        <v>5100</v>
      </c>
      <c r="G453" s="5" t="s">
        <v>5101</v>
      </c>
      <c r="H453" s="5" t="s">
        <v>1972</v>
      </c>
      <c r="I453" s="5" t="s">
        <v>1782</v>
      </c>
      <c r="J453" s="91">
        <v>38090.0</v>
      </c>
      <c r="K453" s="5">
        <v>594.0</v>
      </c>
      <c r="L453" s="5" t="s">
        <v>5102</v>
      </c>
      <c r="M453" s="5">
        <v>51.0</v>
      </c>
      <c r="N453" s="5"/>
      <c r="O453" s="5">
        <v>43886.0</v>
      </c>
      <c r="P453" s="5" t="s">
        <v>1797</v>
      </c>
      <c r="Q453" s="5" t="s">
        <v>1798</v>
      </c>
      <c r="R453" s="5">
        <v>549.0</v>
      </c>
      <c r="S453" s="5">
        <v>3.931202369E9</v>
      </c>
      <c r="T453" s="5" t="s">
        <v>5103</v>
      </c>
      <c r="U453" s="100" t="s">
        <v>5104</v>
      </c>
      <c r="V453" s="5">
        <v>3.931202369E9</v>
      </c>
      <c r="W453" s="5" t="s">
        <v>1819</v>
      </c>
      <c r="X453" s="91">
        <v>45509.0</v>
      </c>
      <c r="Y453" s="5">
        <v>1.0</v>
      </c>
      <c r="Z453" s="5">
        <v>4.0</v>
      </c>
      <c r="AA453" s="5">
        <v>12.0</v>
      </c>
      <c r="AB453" s="5" t="s">
        <v>5105</v>
      </c>
      <c r="AC453" s="5" t="s">
        <v>1800</v>
      </c>
      <c r="AD453" s="91">
        <v>44936.0</v>
      </c>
      <c r="AE453" s="91">
        <v>46397.0</v>
      </c>
      <c r="AF453" s="5"/>
      <c r="AG453" s="5"/>
      <c r="AH453" s="5">
        <v>6.3180477463E10</v>
      </c>
      <c r="AI453" s="5">
        <v>23.0</v>
      </c>
      <c r="AJ453" s="5"/>
      <c r="AK453" s="5" t="s">
        <v>1773</v>
      </c>
      <c r="AL453" s="92">
        <v>0.0</v>
      </c>
      <c r="AM453" s="5" t="s">
        <v>1770</v>
      </c>
      <c r="AN453" s="5" t="s">
        <v>1809</v>
      </c>
      <c r="AO453" s="5"/>
      <c r="AP453" s="5"/>
      <c r="AQ453" s="5"/>
      <c r="AR453" s="5"/>
      <c r="AS453" s="5"/>
      <c r="AT453" s="5"/>
      <c r="AU453" s="5"/>
      <c r="AV453" s="5"/>
      <c r="AW453" s="5" t="s">
        <v>1770</v>
      </c>
      <c r="AX453" s="5"/>
      <c r="AY453" s="5"/>
      <c r="AZ453" s="5" t="s">
        <v>1770</v>
      </c>
      <c r="BA453" s="93">
        <v>0.0</v>
      </c>
      <c r="BB453" s="93">
        <v>0.0</v>
      </c>
      <c r="BC453" s="93">
        <v>0.0</v>
      </c>
      <c r="BD453" s="93">
        <v>0.0</v>
      </c>
      <c r="BE453" s="93">
        <v>0.0</v>
      </c>
      <c r="BF453" s="93">
        <v>0.0</v>
      </c>
      <c r="BG453" s="5"/>
      <c r="BH453" s="93">
        <v>0.0</v>
      </c>
      <c r="BI453" s="93">
        <v>0.0</v>
      </c>
      <c r="BJ453" s="93">
        <v>0.0</v>
      </c>
      <c r="BK453" s="93">
        <v>0.0</v>
      </c>
      <c r="BL453" s="93">
        <v>0.0</v>
      </c>
      <c r="BM453" s="93">
        <v>0.0</v>
      </c>
      <c r="BN453" s="93">
        <v>0.0</v>
      </c>
      <c r="BO453" s="5"/>
      <c r="BP453" s="5"/>
      <c r="BQ453" s="5" t="s">
        <v>1775</v>
      </c>
      <c r="BR453" s="94">
        <v>45521.48806712963</v>
      </c>
      <c r="BS453" s="5">
        <v>40.0</v>
      </c>
      <c r="BT453" s="94">
        <v>46134.389236111114</v>
      </c>
      <c r="BU453" s="5" t="s">
        <v>1770</v>
      </c>
      <c r="BV453" s="5" t="s">
        <v>1770</v>
      </c>
      <c r="BW453" s="5" t="s">
        <v>1770</v>
      </c>
    </row>
    <row r="454" ht="14.25" customHeight="1">
      <c r="A454" s="5">
        <v>453.0</v>
      </c>
      <c r="B454" s="5">
        <v>719.0</v>
      </c>
      <c r="C454" s="5" t="s">
        <v>5106</v>
      </c>
      <c r="D454" s="5" t="s">
        <v>4914</v>
      </c>
      <c r="E454" s="100" t="s">
        <v>2527</v>
      </c>
      <c r="F454" s="5" t="s">
        <v>5107</v>
      </c>
      <c r="G454" s="5" t="s">
        <v>5108</v>
      </c>
      <c r="H454" s="5" t="s">
        <v>1972</v>
      </c>
      <c r="I454" s="5" t="s">
        <v>1782</v>
      </c>
      <c r="J454" s="91">
        <v>37017.0</v>
      </c>
      <c r="K454" s="5">
        <v>887.0</v>
      </c>
      <c r="L454" s="5" t="s">
        <v>3439</v>
      </c>
      <c r="M454" s="5" t="s">
        <v>2913</v>
      </c>
      <c r="N454" s="5"/>
      <c r="O454" s="5">
        <v>55032.0</v>
      </c>
      <c r="P454" s="5" t="s">
        <v>3139</v>
      </c>
      <c r="Q454" s="5" t="s">
        <v>5109</v>
      </c>
      <c r="R454" s="5">
        <v>867.0</v>
      </c>
      <c r="S454" s="5">
        <v>3.521176867E9</v>
      </c>
      <c r="T454" s="5" t="s">
        <v>5110</v>
      </c>
      <c r="U454" s="5" t="s">
        <v>5111</v>
      </c>
      <c r="V454" s="5">
        <v>3.521465593E9</v>
      </c>
      <c r="W454" s="5" t="s">
        <v>1965</v>
      </c>
      <c r="X454" s="91">
        <v>45509.0</v>
      </c>
      <c r="Y454" s="5">
        <v>1.0</v>
      </c>
      <c r="Z454" s="5">
        <v>4.0</v>
      </c>
      <c r="AA454" s="5">
        <v>39.0</v>
      </c>
      <c r="AB454" s="5" t="s">
        <v>5112</v>
      </c>
      <c r="AC454" s="5" t="s">
        <v>1772</v>
      </c>
      <c r="AD454" s="91">
        <v>44739.0</v>
      </c>
      <c r="AE454" s="91">
        <v>48392.0</v>
      </c>
      <c r="AF454" s="5"/>
      <c r="AG454" s="5"/>
      <c r="AH454" s="5">
        <v>2.5130184473E10</v>
      </c>
      <c r="AI454" s="5">
        <v>23.0</v>
      </c>
      <c r="AJ454" s="5"/>
      <c r="AK454" s="5" t="s">
        <v>1773</v>
      </c>
      <c r="AL454" s="92">
        <v>0.0</v>
      </c>
      <c r="AM454" s="5" t="s">
        <v>1770</v>
      </c>
      <c r="AN454" s="5" t="s">
        <v>1830</v>
      </c>
      <c r="AO454" s="5"/>
      <c r="AP454" s="5"/>
      <c r="AQ454" s="5"/>
      <c r="AR454" s="5"/>
      <c r="AS454" s="5"/>
      <c r="AT454" s="5"/>
      <c r="AU454" s="5"/>
      <c r="AV454" s="5"/>
      <c r="AW454" s="5" t="s">
        <v>1770</v>
      </c>
      <c r="AX454" s="5"/>
      <c r="AY454" s="5"/>
      <c r="AZ454" s="5" t="s">
        <v>1770</v>
      </c>
      <c r="BA454" s="93">
        <v>0.0</v>
      </c>
      <c r="BB454" s="93">
        <v>0.0</v>
      </c>
      <c r="BC454" s="93">
        <v>0.0</v>
      </c>
      <c r="BD454" s="93">
        <v>0.0</v>
      </c>
      <c r="BE454" s="93">
        <v>0.0</v>
      </c>
      <c r="BF454" s="93">
        <v>0.0</v>
      </c>
      <c r="BG454" s="5"/>
      <c r="BH454" s="93">
        <v>0.0</v>
      </c>
      <c r="BI454" s="93">
        <v>0.0</v>
      </c>
      <c r="BJ454" s="93">
        <v>0.0</v>
      </c>
      <c r="BK454" s="93">
        <v>0.0</v>
      </c>
      <c r="BL454" s="93">
        <v>0.0</v>
      </c>
      <c r="BM454" s="93">
        <v>0.0</v>
      </c>
      <c r="BN454" s="93">
        <v>0.0</v>
      </c>
      <c r="BO454" s="5"/>
      <c r="BP454" s="5" t="s">
        <v>1770</v>
      </c>
      <c r="BQ454" s="5" t="s">
        <v>1789</v>
      </c>
      <c r="BR454" s="94">
        <v>45521.49251157408</v>
      </c>
      <c r="BS454" s="5">
        <v>40.0</v>
      </c>
      <c r="BT454" s="5" t="s">
        <v>1770</v>
      </c>
      <c r="BU454" s="5" t="s">
        <v>1770</v>
      </c>
      <c r="BV454" s="94">
        <v>45580.47105324074</v>
      </c>
      <c r="BW454" s="5">
        <v>40.0</v>
      </c>
    </row>
    <row r="455" ht="14.25" customHeight="1">
      <c r="A455" s="5">
        <v>454.0</v>
      </c>
      <c r="B455" s="5">
        <v>720.0</v>
      </c>
      <c r="C455" s="5" t="s">
        <v>5113</v>
      </c>
      <c r="D455" s="5" t="s">
        <v>3267</v>
      </c>
      <c r="E455" s="5" t="s">
        <v>2534</v>
      </c>
      <c r="F455" s="5" t="s">
        <v>5114</v>
      </c>
      <c r="G455" s="5" t="s">
        <v>5115</v>
      </c>
      <c r="H455" s="5" t="s">
        <v>1972</v>
      </c>
      <c r="I455" s="5" t="s">
        <v>1782</v>
      </c>
      <c r="J455" s="91">
        <v>38867.0</v>
      </c>
      <c r="K455" s="5">
        <v>549.0</v>
      </c>
      <c r="L455" s="5" t="s">
        <v>5048</v>
      </c>
      <c r="M455" s="5">
        <v>462.0</v>
      </c>
      <c r="N455" s="5"/>
      <c r="O455" s="5">
        <v>43884.0</v>
      </c>
      <c r="P455" s="5" t="s">
        <v>2048</v>
      </c>
      <c r="Q455" s="5" t="s">
        <v>1766</v>
      </c>
      <c r="R455" s="5">
        <v>549.0</v>
      </c>
      <c r="S455" s="5">
        <v>3.931803309E9</v>
      </c>
      <c r="T455" s="5" t="s">
        <v>5116</v>
      </c>
      <c r="U455" s="5" t="s">
        <v>5117</v>
      </c>
      <c r="V455" s="5">
        <v>3.939351223E9</v>
      </c>
      <c r="W455" s="5" t="s">
        <v>1808</v>
      </c>
      <c r="X455" s="91">
        <v>45509.0</v>
      </c>
      <c r="Y455" s="5">
        <v>1.0</v>
      </c>
      <c r="Z455" s="5">
        <v>4.0</v>
      </c>
      <c r="AA455" s="5">
        <v>39.0</v>
      </c>
      <c r="AB455" s="5">
        <v>3.1045953E7</v>
      </c>
      <c r="AC455" s="5" t="s">
        <v>1800</v>
      </c>
      <c r="AD455" s="91">
        <v>45747.0</v>
      </c>
      <c r="AE455" s="91">
        <v>47208.0</v>
      </c>
      <c r="AF455" s="5"/>
      <c r="AG455" s="5"/>
      <c r="AH455" s="5">
        <v>1.8210609816E10</v>
      </c>
      <c r="AI455" s="5">
        <v>23.0</v>
      </c>
      <c r="AJ455" s="5"/>
      <c r="AK455" s="5" t="s">
        <v>1773</v>
      </c>
      <c r="AL455" s="92">
        <v>0.0</v>
      </c>
      <c r="AM455" s="5" t="s">
        <v>1770</v>
      </c>
      <c r="AN455" s="5" t="s">
        <v>1774</v>
      </c>
      <c r="AO455" s="5"/>
      <c r="AP455" s="5"/>
      <c r="AQ455" s="5"/>
      <c r="AR455" s="5"/>
      <c r="AS455" s="5"/>
      <c r="AT455" s="5"/>
      <c r="AU455" s="5"/>
      <c r="AV455" s="5"/>
      <c r="AW455" s="5" t="s">
        <v>1770</v>
      </c>
      <c r="AX455" s="5"/>
      <c r="AY455" s="5"/>
      <c r="AZ455" s="5" t="s">
        <v>1770</v>
      </c>
      <c r="BA455" s="93">
        <v>0.0</v>
      </c>
      <c r="BB455" s="93">
        <v>0.0</v>
      </c>
      <c r="BC455" s="93">
        <v>0.0</v>
      </c>
      <c r="BD455" s="93">
        <v>0.0</v>
      </c>
      <c r="BE455" s="93">
        <v>0.0</v>
      </c>
      <c r="BF455" s="93">
        <v>0.0</v>
      </c>
      <c r="BG455" s="5"/>
      <c r="BH455" s="93">
        <v>0.0</v>
      </c>
      <c r="BI455" s="93">
        <v>0.0</v>
      </c>
      <c r="BJ455" s="93">
        <v>0.0</v>
      </c>
      <c r="BK455" s="93">
        <v>0.0</v>
      </c>
      <c r="BL455" s="93">
        <v>0.0</v>
      </c>
      <c r="BM455" s="93">
        <v>0.0</v>
      </c>
      <c r="BN455" s="93">
        <v>0.0</v>
      </c>
      <c r="BO455" s="5"/>
      <c r="BP455" s="5"/>
      <c r="BQ455" s="5" t="s">
        <v>1775</v>
      </c>
      <c r="BR455" s="94">
        <v>45521.49784722222</v>
      </c>
      <c r="BS455" s="5">
        <v>40.0</v>
      </c>
      <c r="BT455" s="94">
        <v>46134.39131944445</v>
      </c>
      <c r="BU455" s="5" t="s">
        <v>1770</v>
      </c>
      <c r="BV455" s="5" t="s">
        <v>1770</v>
      </c>
      <c r="BW455" s="5" t="s">
        <v>1770</v>
      </c>
    </row>
    <row r="456" ht="14.25" customHeight="1">
      <c r="A456" s="5">
        <v>455.0</v>
      </c>
      <c r="B456" s="5">
        <v>722.0</v>
      </c>
      <c r="C456" s="5" t="s">
        <v>5118</v>
      </c>
      <c r="D456" s="5" t="s">
        <v>2088</v>
      </c>
      <c r="E456" s="5" t="s">
        <v>2067</v>
      </c>
      <c r="F456" s="5" t="s">
        <v>5119</v>
      </c>
      <c r="G456" s="5" t="s">
        <v>5120</v>
      </c>
      <c r="H456" s="5" t="s">
        <v>1972</v>
      </c>
      <c r="I456" s="5" t="s">
        <v>1763</v>
      </c>
      <c r="J456" s="91">
        <v>35951.0</v>
      </c>
      <c r="K456" s="5">
        <v>594.0</v>
      </c>
      <c r="L456" s="5" t="s">
        <v>3155</v>
      </c>
      <c r="M456" s="5">
        <v>154.0</v>
      </c>
      <c r="N456" s="5"/>
      <c r="O456" s="5">
        <v>43882.0</v>
      </c>
      <c r="P456" s="5" t="s">
        <v>2743</v>
      </c>
      <c r="Q456" s="5" t="s">
        <v>1766</v>
      </c>
      <c r="R456" s="5">
        <v>549.0</v>
      </c>
      <c r="S456" s="5">
        <v>3.315876317E9</v>
      </c>
      <c r="T456" s="5" t="s">
        <v>5121</v>
      </c>
      <c r="U456" s="5" t="s">
        <v>5122</v>
      </c>
      <c r="V456" s="5">
        <v>3.931790406E9</v>
      </c>
      <c r="W456" s="5" t="s">
        <v>1808</v>
      </c>
      <c r="X456" s="91">
        <v>45520.0</v>
      </c>
      <c r="Y456" s="5" t="s">
        <v>1770</v>
      </c>
      <c r="Z456" s="5">
        <v>2.0</v>
      </c>
      <c r="AA456" s="5">
        <v>78.0</v>
      </c>
      <c r="AB456" s="5"/>
      <c r="AC456" s="5"/>
      <c r="AD456" s="5" t="s">
        <v>1770</v>
      </c>
      <c r="AE456" s="5" t="s">
        <v>1770</v>
      </c>
      <c r="AF456" s="5"/>
      <c r="AG456" s="5"/>
      <c r="AH456" s="5">
        <v>4.8169885232E10</v>
      </c>
      <c r="AI456" s="5">
        <v>23.0</v>
      </c>
      <c r="AJ456" s="5"/>
      <c r="AK456" s="5" t="s">
        <v>1773</v>
      </c>
      <c r="AL456" s="92">
        <v>0.0</v>
      </c>
      <c r="AM456" s="5" t="s">
        <v>1770</v>
      </c>
      <c r="AN456" s="5" t="s">
        <v>1830</v>
      </c>
      <c r="AO456" s="5"/>
      <c r="AP456" s="5"/>
      <c r="AQ456" s="5"/>
      <c r="AR456" s="5"/>
      <c r="AS456" s="5"/>
      <c r="AT456" s="5"/>
      <c r="AU456" s="5"/>
      <c r="AV456" s="5"/>
      <c r="AW456" s="5" t="s">
        <v>1770</v>
      </c>
      <c r="AX456" s="5"/>
      <c r="AY456" s="5"/>
      <c r="AZ456" s="5" t="s">
        <v>1770</v>
      </c>
      <c r="BA456" s="93">
        <v>0.0</v>
      </c>
      <c r="BB456" s="93">
        <v>0.0</v>
      </c>
      <c r="BC456" s="93">
        <v>0.0</v>
      </c>
      <c r="BD456" s="93">
        <v>0.0</v>
      </c>
      <c r="BE456" s="93">
        <v>0.0</v>
      </c>
      <c r="BF456" s="93">
        <v>0.0</v>
      </c>
      <c r="BG456" s="5"/>
      <c r="BH456" s="93">
        <v>0.0</v>
      </c>
      <c r="BI456" s="93">
        <v>0.0</v>
      </c>
      <c r="BJ456" s="93">
        <v>0.0</v>
      </c>
      <c r="BK456" s="93">
        <v>0.0</v>
      </c>
      <c r="BL456" s="93">
        <v>0.0</v>
      </c>
      <c r="BM456" s="93">
        <v>0.0</v>
      </c>
      <c r="BN456" s="93">
        <v>0.0</v>
      </c>
      <c r="BO456" s="5"/>
      <c r="BP456" s="5" t="s">
        <v>1770</v>
      </c>
      <c r="BQ456" s="5" t="s">
        <v>1789</v>
      </c>
      <c r="BR456" s="94">
        <v>45521.503229166665</v>
      </c>
      <c r="BS456" s="5">
        <v>40.0</v>
      </c>
      <c r="BT456" s="94">
        <v>45892.53616898148</v>
      </c>
      <c r="BU456" s="5" t="s">
        <v>1770</v>
      </c>
      <c r="BV456" s="94">
        <v>45917.53934027778</v>
      </c>
      <c r="BW456" s="5">
        <v>40.0</v>
      </c>
    </row>
    <row r="457" ht="14.25" customHeight="1">
      <c r="A457" s="5">
        <v>456.0</v>
      </c>
      <c r="B457" s="5">
        <v>724.0</v>
      </c>
      <c r="C457" s="5" t="s">
        <v>3583</v>
      </c>
      <c r="D457" s="5" t="s">
        <v>5123</v>
      </c>
      <c r="E457" s="5" t="s">
        <v>1969</v>
      </c>
      <c r="F457" s="5" t="s">
        <v>5124</v>
      </c>
      <c r="G457" s="5" t="s">
        <v>5125</v>
      </c>
      <c r="H457" s="5" t="s">
        <v>1972</v>
      </c>
      <c r="I457" s="5" t="s">
        <v>1782</v>
      </c>
      <c r="J457" s="91">
        <v>29473.0</v>
      </c>
      <c r="K457" s="5">
        <v>892.0</v>
      </c>
      <c r="L457" s="5" t="s">
        <v>5126</v>
      </c>
      <c r="M457" s="5">
        <v>117.0</v>
      </c>
      <c r="N457" s="5" t="s">
        <v>2425</v>
      </c>
      <c r="O457" s="5">
        <v>55938.0</v>
      </c>
      <c r="P457" s="5" t="s">
        <v>5127</v>
      </c>
      <c r="Q457" s="5" t="s">
        <v>5128</v>
      </c>
      <c r="R457" s="5">
        <v>883.0</v>
      </c>
      <c r="S457" s="5">
        <v>4.521627131E9</v>
      </c>
      <c r="T457" s="5" t="s">
        <v>5129</v>
      </c>
      <c r="U457" s="5" t="s">
        <v>5130</v>
      </c>
      <c r="V457" s="5">
        <v>4.251087691E9</v>
      </c>
      <c r="W457" s="5" t="s">
        <v>1965</v>
      </c>
      <c r="X457" s="91">
        <v>45523.0</v>
      </c>
      <c r="Y457" s="5">
        <v>4.0</v>
      </c>
      <c r="Z457" s="5">
        <v>1.0</v>
      </c>
      <c r="AA457" s="5">
        <v>79.0</v>
      </c>
      <c r="AB457" s="5" t="s">
        <v>5131</v>
      </c>
      <c r="AC457" s="5" t="s">
        <v>1800</v>
      </c>
      <c r="AD457" s="91">
        <v>44830.0</v>
      </c>
      <c r="AE457" s="91">
        <v>46656.0</v>
      </c>
      <c r="AF457" s="5"/>
      <c r="AG457" s="5"/>
      <c r="AH457" s="5">
        <v>5.3048006406E10</v>
      </c>
      <c r="AI457" s="5">
        <v>80.0</v>
      </c>
      <c r="AJ457" s="5"/>
      <c r="AK457" s="5" t="s">
        <v>1773</v>
      </c>
      <c r="AL457" s="92">
        <v>0.0</v>
      </c>
      <c r="AM457" s="5" t="s">
        <v>1770</v>
      </c>
      <c r="AN457" s="5" t="s">
        <v>1830</v>
      </c>
      <c r="AO457" s="5"/>
      <c r="AP457" s="5"/>
      <c r="AQ457" s="5"/>
      <c r="AR457" s="5"/>
      <c r="AS457" s="5"/>
      <c r="AT457" s="5"/>
      <c r="AU457" s="5"/>
      <c r="AV457" s="5"/>
      <c r="AW457" s="5" t="s">
        <v>1770</v>
      </c>
      <c r="AX457" s="5"/>
      <c r="AY457" s="5"/>
      <c r="AZ457" s="5" t="s">
        <v>1770</v>
      </c>
      <c r="BA457" s="93">
        <v>0.0</v>
      </c>
      <c r="BB457" s="93">
        <v>0.0</v>
      </c>
      <c r="BC457" s="93">
        <v>0.0</v>
      </c>
      <c r="BD457" s="93">
        <v>0.0</v>
      </c>
      <c r="BE457" s="93">
        <v>0.0</v>
      </c>
      <c r="BF457" s="93">
        <v>0.0</v>
      </c>
      <c r="BG457" s="5"/>
      <c r="BH457" s="93">
        <v>0.0</v>
      </c>
      <c r="BI457" s="93">
        <v>0.0</v>
      </c>
      <c r="BJ457" s="93">
        <v>0.0</v>
      </c>
      <c r="BK457" s="93">
        <v>0.0</v>
      </c>
      <c r="BL457" s="93">
        <v>0.0</v>
      </c>
      <c r="BM457" s="93">
        <v>0.0</v>
      </c>
      <c r="BN457" s="93">
        <v>0.0</v>
      </c>
      <c r="BO457" s="5"/>
      <c r="BP457" s="5" t="s">
        <v>1770</v>
      </c>
      <c r="BQ457" s="5" t="s">
        <v>1789</v>
      </c>
      <c r="BR457" s="94">
        <v>45527.56045138889</v>
      </c>
      <c r="BS457" s="5">
        <v>40.0</v>
      </c>
      <c r="BT457" s="94">
        <v>45892.55577546296</v>
      </c>
      <c r="BU457" s="5">
        <v>40.0</v>
      </c>
      <c r="BV457" s="94">
        <v>46122.42344907407</v>
      </c>
      <c r="BW457" s="5">
        <v>40.0</v>
      </c>
    </row>
    <row r="458" ht="14.25" customHeight="1">
      <c r="A458" s="5">
        <v>457.0</v>
      </c>
      <c r="B458" s="5">
        <v>723.0</v>
      </c>
      <c r="C458" s="5" t="s">
        <v>2334</v>
      </c>
      <c r="D458" s="5" t="s">
        <v>2132</v>
      </c>
      <c r="E458" s="5" t="s">
        <v>2804</v>
      </c>
      <c r="F458" s="5" t="s">
        <v>5132</v>
      </c>
      <c r="G458" s="5" t="s">
        <v>5133</v>
      </c>
      <c r="H458" s="5" t="s">
        <v>1972</v>
      </c>
      <c r="I458" s="5" t="s">
        <v>1763</v>
      </c>
      <c r="J458" s="91">
        <v>36293.0</v>
      </c>
      <c r="K458" s="5">
        <v>594.0</v>
      </c>
      <c r="L458" s="5" t="s">
        <v>5134</v>
      </c>
      <c r="M458" s="5">
        <v>98.0</v>
      </c>
      <c r="N458" s="5"/>
      <c r="O458" s="5">
        <v>43882.0</v>
      </c>
      <c r="P458" s="5" t="s">
        <v>1931</v>
      </c>
      <c r="Q458" s="5" t="s">
        <v>1766</v>
      </c>
      <c r="R458" s="5">
        <v>549.0</v>
      </c>
      <c r="S458" s="5">
        <v>3.93120398E9</v>
      </c>
      <c r="T458" s="5" t="s">
        <v>5135</v>
      </c>
      <c r="U458" s="5" t="s">
        <v>5136</v>
      </c>
      <c r="V458" s="5">
        <v>3.939357538E9</v>
      </c>
      <c r="W458" s="5" t="s">
        <v>1808</v>
      </c>
      <c r="X458" s="91">
        <v>45523.0</v>
      </c>
      <c r="Y458" s="5" t="s">
        <v>1770</v>
      </c>
      <c r="Z458" s="5">
        <v>3.0</v>
      </c>
      <c r="AA458" s="5">
        <v>43.0</v>
      </c>
      <c r="AB458" s="5"/>
      <c r="AC458" s="5"/>
      <c r="AD458" s="5" t="s">
        <v>1770</v>
      </c>
      <c r="AE458" s="5" t="s">
        <v>1770</v>
      </c>
      <c r="AF458" s="5"/>
      <c r="AG458" s="5"/>
      <c r="AH458" s="5">
        <v>6.163993205E9</v>
      </c>
      <c r="AI458" s="5">
        <v>23.0</v>
      </c>
      <c r="AJ458" s="5"/>
      <c r="AK458" s="5" t="s">
        <v>1773</v>
      </c>
      <c r="AL458" s="92">
        <v>0.0</v>
      </c>
      <c r="AM458" s="5" t="s">
        <v>1770</v>
      </c>
      <c r="AN458" s="5" t="s">
        <v>4382</v>
      </c>
      <c r="AO458" s="5"/>
      <c r="AP458" s="5"/>
      <c r="AQ458" s="5"/>
      <c r="AR458" s="5"/>
      <c r="AS458" s="5"/>
      <c r="AT458" s="5"/>
      <c r="AU458" s="5"/>
      <c r="AV458" s="5"/>
      <c r="AW458" s="5" t="s">
        <v>1770</v>
      </c>
      <c r="AX458" s="5"/>
      <c r="AY458" s="5"/>
      <c r="AZ458" s="5" t="s">
        <v>1770</v>
      </c>
      <c r="BA458" s="93">
        <v>0.0</v>
      </c>
      <c r="BB458" s="93">
        <v>0.0</v>
      </c>
      <c r="BC458" s="93">
        <v>0.0</v>
      </c>
      <c r="BD458" s="93">
        <v>0.0</v>
      </c>
      <c r="BE458" s="93">
        <v>0.0</v>
      </c>
      <c r="BF458" s="93">
        <v>0.0</v>
      </c>
      <c r="BG458" s="5"/>
      <c r="BH458" s="93">
        <v>0.0</v>
      </c>
      <c r="BI458" s="93">
        <v>0.0</v>
      </c>
      <c r="BJ458" s="93">
        <v>0.0</v>
      </c>
      <c r="BK458" s="93">
        <v>0.0</v>
      </c>
      <c r="BL458" s="93">
        <v>0.0</v>
      </c>
      <c r="BM458" s="93">
        <v>0.0</v>
      </c>
      <c r="BN458" s="93">
        <v>0.0</v>
      </c>
      <c r="BO458" s="5"/>
      <c r="BP458" s="5" t="s">
        <v>1770</v>
      </c>
      <c r="BQ458" s="5" t="s">
        <v>1789</v>
      </c>
      <c r="BR458" s="94">
        <v>45527.57989583333</v>
      </c>
      <c r="BS458" s="5">
        <v>40.0</v>
      </c>
      <c r="BT458" s="5" t="s">
        <v>1770</v>
      </c>
      <c r="BU458" s="5" t="s">
        <v>1770</v>
      </c>
      <c r="BV458" s="94">
        <v>45839.52103009259</v>
      </c>
      <c r="BW458" s="5" t="s">
        <v>1770</v>
      </c>
    </row>
    <row r="459" ht="14.25" customHeight="1">
      <c r="A459" s="5">
        <v>458.0</v>
      </c>
      <c r="B459" s="5">
        <v>725.0</v>
      </c>
      <c r="C459" s="5" t="s">
        <v>5137</v>
      </c>
      <c r="D459" s="5" t="s">
        <v>5138</v>
      </c>
      <c r="E459" s="5" t="s">
        <v>2573</v>
      </c>
      <c r="F459" s="5" t="s">
        <v>5139</v>
      </c>
      <c r="G459" s="5" t="s">
        <v>5140</v>
      </c>
      <c r="H459" s="5" t="s">
        <v>1972</v>
      </c>
      <c r="I459" s="5" t="s">
        <v>1782</v>
      </c>
      <c r="J459" s="91">
        <v>33827.0</v>
      </c>
      <c r="K459" s="5">
        <v>834.0</v>
      </c>
      <c r="L459" s="5" t="s">
        <v>5141</v>
      </c>
      <c r="M459" s="5">
        <v>125.0</v>
      </c>
      <c r="N459" s="5"/>
      <c r="O459" s="5">
        <v>53951.0</v>
      </c>
      <c r="P459" s="5" t="s">
        <v>5142</v>
      </c>
      <c r="Q459" s="5" t="s">
        <v>2342</v>
      </c>
      <c r="R459" s="5">
        <v>869.0</v>
      </c>
      <c r="S459" s="5">
        <v>4.431794045E9</v>
      </c>
      <c r="T459" s="5" t="s">
        <v>5143</v>
      </c>
      <c r="U459" s="5" t="s">
        <v>5144</v>
      </c>
      <c r="V459" s="5">
        <v>4.433909059E9</v>
      </c>
      <c r="W459" s="5" t="s">
        <v>1965</v>
      </c>
      <c r="X459" s="91">
        <v>45538.0</v>
      </c>
      <c r="Y459" s="5">
        <v>4.0</v>
      </c>
      <c r="Z459" s="5">
        <v>3.0</v>
      </c>
      <c r="AA459" s="5">
        <v>58.0</v>
      </c>
      <c r="AB459" s="5">
        <v>1.015363737E9</v>
      </c>
      <c r="AC459" s="5" t="s">
        <v>1800</v>
      </c>
      <c r="AD459" s="91">
        <v>45237.0</v>
      </c>
      <c r="AE459" s="91">
        <v>45968.0</v>
      </c>
      <c r="AF459" s="5"/>
      <c r="AG459" s="5"/>
      <c r="AH459" s="5">
        <v>5.3119248655E10</v>
      </c>
      <c r="AI459" s="5">
        <v>80.0</v>
      </c>
      <c r="AJ459" s="5"/>
      <c r="AK459" s="5" t="s">
        <v>1773</v>
      </c>
      <c r="AL459" s="92">
        <v>0.0</v>
      </c>
      <c r="AM459" s="5" t="s">
        <v>1770</v>
      </c>
      <c r="AN459" s="5" t="s">
        <v>4382</v>
      </c>
      <c r="AO459" s="5"/>
      <c r="AP459" s="5"/>
      <c r="AQ459" s="5"/>
      <c r="AR459" s="5"/>
      <c r="AS459" s="5"/>
      <c r="AT459" s="5"/>
      <c r="AU459" s="5"/>
      <c r="AV459" s="5"/>
      <c r="AW459" s="5" t="s">
        <v>1770</v>
      </c>
      <c r="AX459" s="5"/>
      <c r="AY459" s="5"/>
      <c r="AZ459" s="5" t="s">
        <v>1770</v>
      </c>
      <c r="BA459" s="93">
        <v>0.0</v>
      </c>
      <c r="BB459" s="93">
        <v>0.0</v>
      </c>
      <c r="BC459" s="93">
        <v>0.0</v>
      </c>
      <c r="BD459" s="93">
        <v>0.0</v>
      </c>
      <c r="BE459" s="93">
        <v>0.0</v>
      </c>
      <c r="BF459" s="93">
        <v>0.0</v>
      </c>
      <c r="BG459" s="5"/>
      <c r="BH459" s="93">
        <v>0.0</v>
      </c>
      <c r="BI459" s="93">
        <v>0.0</v>
      </c>
      <c r="BJ459" s="93">
        <v>0.0</v>
      </c>
      <c r="BK459" s="93">
        <v>0.0</v>
      </c>
      <c r="BL459" s="93">
        <v>0.0</v>
      </c>
      <c r="BM459" s="93">
        <v>0.0</v>
      </c>
      <c r="BN459" s="93">
        <v>0.0</v>
      </c>
      <c r="BO459" s="5"/>
      <c r="BP459" s="5" t="s">
        <v>1770</v>
      </c>
      <c r="BQ459" s="5" t="s">
        <v>1789</v>
      </c>
      <c r="BR459" s="94">
        <v>45546.49439814815</v>
      </c>
      <c r="BS459" s="5">
        <v>40.0</v>
      </c>
      <c r="BT459" s="5" t="s">
        <v>1770</v>
      </c>
      <c r="BU459" s="5" t="s">
        <v>1770</v>
      </c>
      <c r="BV459" s="94">
        <v>45559.7521412037</v>
      </c>
      <c r="BW459" s="5">
        <v>40.0</v>
      </c>
    </row>
    <row r="460" ht="14.25" customHeight="1">
      <c r="A460" s="5">
        <v>459.0</v>
      </c>
      <c r="B460" s="5">
        <v>726.0</v>
      </c>
      <c r="C460" s="5" t="s">
        <v>5145</v>
      </c>
      <c r="D460" s="5" t="s">
        <v>1778</v>
      </c>
      <c r="E460" s="5" t="s">
        <v>1792</v>
      </c>
      <c r="F460" s="5" t="s">
        <v>5146</v>
      </c>
      <c r="G460" s="5" t="s">
        <v>5147</v>
      </c>
      <c r="H460" s="5" t="s">
        <v>1972</v>
      </c>
      <c r="I460" s="5" t="s">
        <v>1782</v>
      </c>
      <c r="J460" s="91">
        <v>37188.0</v>
      </c>
      <c r="K460" s="5">
        <v>834.0</v>
      </c>
      <c r="L460" s="5" t="s">
        <v>2667</v>
      </c>
      <c r="M460" s="5">
        <v>67.0</v>
      </c>
      <c r="N460" s="5"/>
      <c r="O460" s="5">
        <v>43882.0</v>
      </c>
      <c r="P460" s="5" t="s">
        <v>1797</v>
      </c>
      <c r="Q460" s="5" t="s">
        <v>1766</v>
      </c>
      <c r="R460" s="5">
        <v>549.0</v>
      </c>
      <c r="S460" s="5">
        <v>3.931040063E9</v>
      </c>
      <c r="T460" s="5" t="s">
        <v>5148</v>
      </c>
      <c r="U460" s="5" t="s">
        <v>5149</v>
      </c>
      <c r="V460" s="5">
        <v>3.939352081E9</v>
      </c>
      <c r="W460" s="5" t="s">
        <v>5150</v>
      </c>
      <c r="X460" s="91">
        <v>45544.0</v>
      </c>
      <c r="Y460" s="5">
        <v>1.0</v>
      </c>
      <c r="Z460" s="5">
        <v>19.0</v>
      </c>
      <c r="AA460" s="5">
        <v>34.0</v>
      </c>
      <c r="AB460" s="5" t="s">
        <v>5151</v>
      </c>
      <c r="AC460" s="5" t="s">
        <v>1800</v>
      </c>
      <c r="AD460" s="91">
        <v>45302.0</v>
      </c>
      <c r="AE460" s="91">
        <v>46763.0</v>
      </c>
      <c r="AF460" s="5"/>
      <c r="AG460" s="5"/>
      <c r="AH460" s="5">
        <v>5.0170173731E10</v>
      </c>
      <c r="AI460" s="5">
        <v>23.0</v>
      </c>
      <c r="AJ460" s="5"/>
      <c r="AK460" s="5" t="s">
        <v>1773</v>
      </c>
      <c r="AL460" s="92">
        <v>0.0</v>
      </c>
      <c r="AM460" s="5" t="s">
        <v>1770</v>
      </c>
      <c r="AN460" s="5" t="s">
        <v>1774</v>
      </c>
      <c r="AO460" s="5"/>
      <c r="AP460" s="5"/>
      <c r="AQ460" s="5"/>
      <c r="AR460" s="5"/>
      <c r="AS460" s="5"/>
      <c r="AT460" s="5"/>
      <c r="AU460" s="5"/>
      <c r="AV460" s="5"/>
      <c r="AW460" s="5" t="s">
        <v>1770</v>
      </c>
      <c r="AX460" s="5"/>
      <c r="AY460" s="5"/>
      <c r="AZ460" s="5" t="s">
        <v>1770</v>
      </c>
      <c r="BA460" s="93">
        <v>0.0</v>
      </c>
      <c r="BB460" s="93">
        <v>0.0</v>
      </c>
      <c r="BC460" s="93">
        <v>0.0</v>
      </c>
      <c r="BD460" s="93">
        <v>0.0</v>
      </c>
      <c r="BE460" s="93">
        <v>0.0</v>
      </c>
      <c r="BF460" s="93">
        <v>0.0</v>
      </c>
      <c r="BG460" s="5"/>
      <c r="BH460" s="93">
        <v>0.0</v>
      </c>
      <c r="BI460" s="93">
        <v>0.0</v>
      </c>
      <c r="BJ460" s="93">
        <v>0.0</v>
      </c>
      <c r="BK460" s="93">
        <v>0.0</v>
      </c>
      <c r="BL460" s="93">
        <v>0.0</v>
      </c>
      <c r="BM460" s="93">
        <v>0.0</v>
      </c>
      <c r="BN460" s="93">
        <v>0.0</v>
      </c>
      <c r="BO460" s="5"/>
      <c r="BP460" s="5" t="s">
        <v>1770</v>
      </c>
      <c r="BQ460" s="5" t="s">
        <v>1789</v>
      </c>
      <c r="BR460" s="94">
        <v>45546.500625</v>
      </c>
      <c r="BS460" s="5">
        <v>40.0</v>
      </c>
      <c r="BT460" s="5" t="s">
        <v>1770</v>
      </c>
      <c r="BU460" s="5" t="s">
        <v>1770</v>
      </c>
      <c r="BV460" s="94">
        <v>45707.52230324074</v>
      </c>
      <c r="BW460" s="5">
        <v>40.0</v>
      </c>
    </row>
    <row r="461" ht="14.25" customHeight="1">
      <c r="A461" s="5">
        <v>460.0</v>
      </c>
      <c r="B461" s="5">
        <v>727.0</v>
      </c>
      <c r="C461" s="5" t="s">
        <v>4966</v>
      </c>
      <c r="D461" s="5" t="s">
        <v>2067</v>
      </c>
      <c r="E461" s="5" t="s">
        <v>2098</v>
      </c>
      <c r="F461" s="5" t="s">
        <v>5152</v>
      </c>
      <c r="G461" s="5" t="s">
        <v>5153</v>
      </c>
      <c r="H461" s="5" t="s">
        <v>1972</v>
      </c>
      <c r="I461" s="5" t="s">
        <v>1782</v>
      </c>
      <c r="J461" s="91">
        <v>37881.0</v>
      </c>
      <c r="K461" s="5">
        <v>424.0</v>
      </c>
      <c r="L461" s="5" t="s">
        <v>2846</v>
      </c>
      <c r="M461" s="5">
        <v>132.0</v>
      </c>
      <c r="N461" s="5"/>
      <c r="O461" s="5">
        <v>35879.0</v>
      </c>
      <c r="P461" s="5" t="s">
        <v>1797</v>
      </c>
      <c r="Q461" s="5" t="s">
        <v>5154</v>
      </c>
      <c r="R461" s="5">
        <v>424.0</v>
      </c>
      <c r="S461" s="5">
        <v>4.691067183E9</v>
      </c>
      <c r="T461" s="5" t="s">
        <v>5155</v>
      </c>
      <c r="U461" s="5" t="s">
        <v>2610</v>
      </c>
      <c r="V461" s="5">
        <v>4.691299012E9</v>
      </c>
      <c r="W461" s="5" t="s">
        <v>2610</v>
      </c>
      <c r="X461" s="91">
        <v>45544.0</v>
      </c>
      <c r="Y461" s="5">
        <v>2.0</v>
      </c>
      <c r="Z461" s="5">
        <v>4.0</v>
      </c>
      <c r="AA461" s="5">
        <v>39.0</v>
      </c>
      <c r="AB461" s="5"/>
      <c r="AC461" s="5"/>
      <c r="AD461" s="5" t="s">
        <v>1770</v>
      </c>
      <c r="AE461" s="5" t="s">
        <v>1770</v>
      </c>
      <c r="AF461" s="5"/>
      <c r="AG461" s="5"/>
      <c r="AH461" s="5">
        <v>1.0240318047E10</v>
      </c>
      <c r="AI461" s="5">
        <v>9.0</v>
      </c>
      <c r="AJ461" s="5"/>
      <c r="AK461" s="5" t="s">
        <v>1773</v>
      </c>
      <c r="AL461" s="92">
        <v>0.0</v>
      </c>
      <c r="AM461" s="5" t="s">
        <v>1770</v>
      </c>
      <c r="AN461" s="5" t="s">
        <v>4382</v>
      </c>
      <c r="AO461" s="5"/>
      <c r="AP461" s="5"/>
      <c r="AQ461" s="5"/>
      <c r="AR461" s="5"/>
      <c r="AS461" s="5"/>
      <c r="AT461" s="5"/>
      <c r="AU461" s="5"/>
      <c r="AV461" s="5"/>
      <c r="AW461" s="5" t="s">
        <v>1770</v>
      </c>
      <c r="AX461" s="5"/>
      <c r="AY461" s="5"/>
      <c r="AZ461" s="5" t="s">
        <v>1770</v>
      </c>
      <c r="BA461" s="93">
        <v>0.0</v>
      </c>
      <c r="BB461" s="93">
        <v>0.0</v>
      </c>
      <c r="BC461" s="93">
        <v>0.0</v>
      </c>
      <c r="BD461" s="93">
        <v>0.0</v>
      </c>
      <c r="BE461" s="93">
        <v>0.0</v>
      </c>
      <c r="BF461" s="93">
        <v>0.0</v>
      </c>
      <c r="BG461" s="5"/>
      <c r="BH461" s="93">
        <v>0.0</v>
      </c>
      <c r="BI461" s="93">
        <v>0.0</v>
      </c>
      <c r="BJ461" s="93">
        <v>0.0</v>
      </c>
      <c r="BK461" s="93">
        <v>0.0</v>
      </c>
      <c r="BL461" s="93">
        <v>0.0</v>
      </c>
      <c r="BM461" s="93">
        <v>0.0</v>
      </c>
      <c r="BN461" s="93">
        <v>0.0</v>
      </c>
      <c r="BO461" s="5"/>
      <c r="BP461" s="5" t="s">
        <v>1770</v>
      </c>
      <c r="BQ461" s="5" t="s">
        <v>1789</v>
      </c>
      <c r="BR461" s="94">
        <v>45546.522939814815</v>
      </c>
      <c r="BS461" s="5">
        <v>40.0</v>
      </c>
      <c r="BT461" s="5" t="s">
        <v>1770</v>
      </c>
      <c r="BU461" s="5" t="s">
        <v>1770</v>
      </c>
      <c r="BV461" s="94">
        <v>45776.57592592593</v>
      </c>
      <c r="BW461" s="5">
        <v>40.0</v>
      </c>
    </row>
    <row r="462" ht="14.25" customHeight="1">
      <c r="A462" s="5">
        <v>461.0</v>
      </c>
      <c r="B462" s="5">
        <v>728.0</v>
      </c>
      <c r="C462" s="5" t="s">
        <v>5156</v>
      </c>
      <c r="D462" s="5" t="s">
        <v>5157</v>
      </c>
      <c r="E462" s="5" t="s">
        <v>1758</v>
      </c>
      <c r="F462" s="5" t="s">
        <v>5158</v>
      </c>
      <c r="G462" s="5" t="s">
        <v>5159</v>
      </c>
      <c r="H462" s="5" t="s">
        <v>1972</v>
      </c>
      <c r="I462" s="5" t="s">
        <v>1763</v>
      </c>
      <c r="J462" s="91">
        <v>33004.0</v>
      </c>
      <c r="K462" s="5">
        <v>69.0</v>
      </c>
      <c r="L462" s="5" t="s">
        <v>5160</v>
      </c>
      <c r="M462" s="5">
        <v>39.0</v>
      </c>
      <c r="N462" s="5"/>
      <c r="O462" s="5">
        <v>53950.0</v>
      </c>
      <c r="P462" s="5" t="s">
        <v>5161</v>
      </c>
      <c r="Q462" s="5" t="s">
        <v>2041</v>
      </c>
      <c r="R462" s="5">
        <v>834.0</v>
      </c>
      <c r="S462" s="5">
        <v>4.436875297E9</v>
      </c>
      <c r="T462" s="5" t="s">
        <v>5162</v>
      </c>
      <c r="U462" s="5" t="s">
        <v>5163</v>
      </c>
      <c r="V462" s="5">
        <v>4.341562243E9</v>
      </c>
      <c r="W462" s="5" t="s">
        <v>2675</v>
      </c>
      <c r="X462" s="91">
        <v>45545.0</v>
      </c>
      <c r="Y462" s="5">
        <v>4.0</v>
      </c>
      <c r="Z462" s="5">
        <v>17.0</v>
      </c>
      <c r="AA462" s="5">
        <v>74.0</v>
      </c>
      <c r="AB462" s="5"/>
      <c r="AC462" s="5"/>
      <c r="AD462" s="5" t="s">
        <v>1770</v>
      </c>
      <c r="AE462" s="5" t="s">
        <v>1770</v>
      </c>
      <c r="AF462" s="5"/>
      <c r="AG462" s="5"/>
      <c r="AH462" s="5">
        <v>1.209015047E9</v>
      </c>
      <c r="AI462" s="5">
        <v>80.0</v>
      </c>
      <c r="AJ462" s="5"/>
      <c r="AK462" s="5" t="s">
        <v>1773</v>
      </c>
      <c r="AL462" s="92">
        <v>0.0</v>
      </c>
      <c r="AM462" s="5" t="s">
        <v>1770</v>
      </c>
      <c r="AN462" s="5" t="s">
        <v>1774</v>
      </c>
      <c r="AO462" s="5"/>
      <c r="AP462" s="5"/>
      <c r="AQ462" s="5"/>
      <c r="AR462" s="5"/>
      <c r="AS462" s="5"/>
      <c r="AT462" s="5"/>
      <c r="AU462" s="5"/>
      <c r="AV462" s="5"/>
      <c r="AW462" s="5" t="s">
        <v>1770</v>
      </c>
      <c r="AX462" s="5"/>
      <c r="AY462" s="5"/>
      <c r="AZ462" s="5" t="s">
        <v>1770</v>
      </c>
      <c r="BA462" s="93">
        <v>0.0</v>
      </c>
      <c r="BB462" s="93">
        <v>0.0</v>
      </c>
      <c r="BC462" s="93">
        <v>0.0</v>
      </c>
      <c r="BD462" s="93">
        <v>0.0</v>
      </c>
      <c r="BE462" s="93">
        <v>0.0</v>
      </c>
      <c r="BF462" s="93">
        <v>0.0</v>
      </c>
      <c r="BG462" s="5"/>
      <c r="BH462" s="93">
        <v>0.0</v>
      </c>
      <c r="BI462" s="93">
        <v>0.0</v>
      </c>
      <c r="BJ462" s="93">
        <v>0.0</v>
      </c>
      <c r="BK462" s="93">
        <v>0.0</v>
      </c>
      <c r="BL462" s="93">
        <v>0.0</v>
      </c>
      <c r="BM462" s="93">
        <v>0.0</v>
      </c>
      <c r="BN462" s="93">
        <v>0.0</v>
      </c>
      <c r="BO462" s="5"/>
      <c r="BP462" s="5"/>
      <c r="BQ462" s="5" t="s">
        <v>1775</v>
      </c>
      <c r="BR462" s="94">
        <v>45546.55820601852</v>
      </c>
      <c r="BS462" s="5">
        <v>40.0</v>
      </c>
      <c r="BT462" s="94">
        <v>46133.52175925926</v>
      </c>
      <c r="BU462" s="5">
        <v>272.0</v>
      </c>
      <c r="BV462" s="5" t="s">
        <v>1770</v>
      </c>
      <c r="BW462" s="5" t="s">
        <v>1770</v>
      </c>
    </row>
    <row r="463" ht="14.25" customHeight="1">
      <c r="A463" s="5">
        <v>462.0</v>
      </c>
      <c r="B463" s="5">
        <v>729.0</v>
      </c>
      <c r="C463" s="5" t="s">
        <v>5164</v>
      </c>
      <c r="D463" s="5" t="s">
        <v>2383</v>
      </c>
      <c r="E463" s="5" t="s">
        <v>4659</v>
      </c>
      <c r="F463" s="5" t="s">
        <v>5165</v>
      </c>
      <c r="G463" s="5" t="s">
        <v>5166</v>
      </c>
      <c r="H463" s="5" t="s">
        <v>1781</v>
      </c>
      <c r="I463" s="5" t="s">
        <v>1782</v>
      </c>
      <c r="J463" s="91">
        <v>26276.0</v>
      </c>
      <c r="K463" s="5">
        <v>424.0</v>
      </c>
      <c r="L463" s="5" t="s">
        <v>3068</v>
      </c>
      <c r="M463" s="5">
        <v>1.0</v>
      </c>
      <c r="N463" s="5"/>
      <c r="O463" s="5">
        <v>35896.0</v>
      </c>
      <c r="P463" s="5" t="s">
        <v>3139</v>
      </c>
      <c r="Q463" s="5" t="s">
        <v>1902</v>
      </c>
      <c r="R463" s="5">
        <v>424.0</v>
      </c>
      <c r="S463" s="5">
        <v>4.691248762E9</v>
      </c>
      <c r="T463" s="5" t="s">
        <v>5167</v>
      </c>
      <c r="U463" s="5" t="s">
        <v>5168</v>
      </c>
      <c r="V463" s="5">
        <v>4.696976017E9</v>
      </c>
      <c r="W463" s="5" t="s">
        <v>1787</v>
      </c>
      <c r="X463" s="91">
        <v>45546.0</v>
      </c>
      <c r="Y463" s="5">
        <v>2.0</v>
      </c>
      <c r="Z463" s="5">
        <v>4.0</v>
      </c>
      <c r="AA463" s="5">
        <v>112.0</v>
      </c>
      <c r="AB463" s="5" t="s">
        <v>5169</v>
      </c>
      <c r="AC463" s="5" t="s">
        <v>1772</v>
      </c>
      <c r="AD463" s="91">
        <v>44323.0</v>
      </c>
      <c r="AE463" s="91">
        <v>46149.0</v>
      </c>
      <c r="AF463" s="5"/>
      <c r="AG463" s="5"/>
      <c r="AH463" s="5">
        <v>7.4917197688E10</v>
      </c>
      <c r="AI463" s="5">
        <v>9.0</v>
      </c>
      <c r="AJ463" s="5"/>
      <c r="AK463" s="5" t="s">
        <v>1773</v>
      </c>
      <c r="AL463" s="92">
        <v>0.0</v>
      </c>
      <c r="AM463" s="5" t="s">
        <v>1770</v>
      </c>
      <c r="AN463" s="5" t="s">
        <v>1830</v>
      </c>
      <c r="AO463" s="5"/>
      <c r="AP463" s="5"/>
      <c r="AQ463" s="5"/>
      <c r="AR463" s="5"/>
      <c r="AS463" s="5"/>
      <c r="AT463" s="5"/>
      <c r="AU463" s="5"/>
      <c r="AV463" s="5"/>
      <c r="AW463" s="5" t="s">
        <v>1770</v>
      </c>
      <c r="AX463" s="5"/>
      <c r="AY463" s="5"/>
      <c r="AZ463" s="5" t="s">
        <v>1770</v>
      </c>
      <c r="BA463" s="93">
        <v>0.0</v>
      </c>
      <c r="BB463" s="93">
        <v>0.0</v>
      </c>
      <c r="BC463" s="93">
        <v>0.0</v>
      </c>
      <c r="BD463" s="93">
        <v>0.0</v>
      </c>
      <c r="BE463" s="93">
        <v>0.0</v>
      </c>
      <c r="BF463" s="93">
        <v>0.0</v>
      </c>
      <c r="BG463" s="5"/>
      <c r="BH463" s="93">
        <v>0.0</v>
      </c>
      <c r="BI463" s="93">
        <v>0.0</v>
      </c>
      <c r="BJ463" s="93">
        <v>0.0</v>
      </c>
      <c r="BK463" s="93">
        <v>0.0</v>
      </c>
      <c r="BL463" s="93">
        <v>0.0</v>
      </c>
      <c r="BM463" s="93">
        <v>0.0</v>
      </c>
      <c r="BN463" s="93">
        <v>0.0</v>
      </c>
      <c r="BO463" s="5"/>
      <c r="BP463" s="5" t="s">
        <v>1770</v>
      </c>
      <c r="BQ463" s="5" t="s">
        <v>1789</v>
      </c>
      <c r="BR463" s="94">
        <v>45546.66899305556</v>
      </c>
      <c r="BS463" s="5">
        <v>40.0</v>
      </c>
      <c r="BT463" s="94">
        <v>45892.55378472222</v>
      </c>
      <c r="BU463" s="5">
        <v>40.0</v>
      </c>
      <c r="BV463" s="94">
        <v>46042.70333333333</v>
      </c>
      <c r="BW463" s="5">
        <v>40.0</v>
      </c>
    </row>
    <row r="464" ht="14.25" customHeight="1">
      <c r="A464" s="5">
        <v>463.0</v>
      </c>
      <c r="B464" s="5">
        <v>730.0</v>
      </c>
      <c r="C464" s="5" t="s">
        <v>5170</v>
      </c>
      <c r="D464" s="5" t="s">
        <v>1778</v>
      </c>
      <c r="E464" s="5" t="s">
        <v>1792</v>
      </c>
      <c r="F464" s="5" t="s">
        <v>5171</v>
      </c>
      <c r="G464" s="5" t="s">
        <v>5172</v>
      </c>
      <c r="H464" s="5" t="s">
        <v>1762</v>
      </c>
      <c r="I464" s="5" t="s">
        <v>1763</v>
      </c>
      <c r="J464" s="91">
        <v>25778.0</v>
      </c>
      <c r="K464" s="5">
        <v>869.0</v>
      </c>
      <c r="L464" s="5" t="s">
        <v>3197</v>
      </c>
      <c r="M464" s="5">
        <v>50.0</v>
      </c>
      <c r="N464" s="5"/>
      <c r="O464" s="5">
        <v>54682.0</v>
      </c>
      <c r="P464" s="5" t="s">
        <v>3139</v>
      </c>
      <c r="Q464" s="5" t="s">
        <v>5173</v>
      </c>
      <c r="R464" s="5">
        <v>869.0</v>
      </c>
      <c r="S464" s="5">
        <v>4.436894897E9</v>
      </c>
      <c r="T464" s="5" t="s">
        <v>5174</v>
      </c>
      <c r="U464" s="5" t="s">
        <v>5175</v>
      </c>
      <c r="V464" s="5">
        <v>4.436829964E9</v>
      </c>
      <c r="W464" s="5" t="s">
        <v>2780</v>
      </c>
      <c r="X464" s="91">
        <v>45552.0</v>
      </c>
      <c r="Y464" s="5">
        <v>4.0</v>
      </c>
      <c r="Z464" s="5">
        <v>17.0</v>
      </c>
      <c r="AA464" s="5">
        <v>109.0</v>
      </c>
      <c r="AB464" s="5"/>
      <c r="AC464" s="5"/>
      <c r="AD464" s="5" t="s">
        <v>1770</v>
      </c>
      <c r="AE464" s="5" t="s">
        <v>1770</v>
      </c>
      <c r="AF464" s="5"/>
      <c r="AG464" s="5"/>
      <c r="AH464" s="5">
        <v>5.3917003427E10</v>
      </c>
      <c r="AI464" s="5">
        <v>80.0</v>
      </c>
      <c r="AJ464" s="5"/>
      <c r="AK464" s="5" t="s">
        <v>1773</v>
      </c>
      <c r="AL464" s="92">
        <v>0.0</v>
      </c>
      <c r="AM464" s="5" t="s">
        <v>1770</v>
      </c>
      <c r="AN464" s="5" t="s">
        <v>1830</v>
      </c>
      <c r="AO464" s="5"/>
      <c r="AP464" s="5"/>
      <c r="AQ464" s="5"/>
      <c r="AR464" s="5"/>
      <c r="AS464" s="5"/>
      <c r="AT464" s="5"/>
      <c r="AU464" s="5"/>
      <c r="AV464" s="5"/>
      <c r="AW464" s="5" t="s">
        <v>1770</v>
      </c>
      <c r="AX464" s="5"/>
      <c r="AY464" s="5"/>
      <c r="AZ464" s="5" t="s">
        <v>1770</v>
      </c>
      <c r="BA464" s="93">
        <v>0.0</v>
      </c>
      <c r="BB464" s="93">
        <v>0.0</v>
      </c>
      <c r="BC464" s="93">
        <v>0.0</v>
      </c>
      <c r="BD464" s="93">
        <v>0.0</v>
      </c>
      <c r="BE464" s="93">
        <v>0.0</v>
      </c>
      <c r="BF464" s="93">
        <v>0.0</v>
      </c>
      <c r="BG464" s="5"/>
      <c r="BH464" s="93">
        <v>0.0</v>
      </c>
      <c r="BI464" s="93">
        <v>0.0</v>
      </c>
      <c r="BJ464" s="93">
        <v>0.0</v>
      </c>
      <c r="BK464" s="93">
        <v>0.0</v>
      </c>
      <c r="BL464" s="93">
        <v>0.0</v>
      </c>
      <c r="BM464" s="93">
        <v>0.0</v>
      </c>
      <c r="BN464" s="93">
        <v>0.0</v>
      </c>
      <c r="BO464" s="5"/>
      <c r="BP464" s="5"/>
      <c r="BQ464" s="5" t="s">
        <v>1775</v>
      </c>
      <c r="BR464" s="94">
        <v>45559.738900462966</v>
      </c>
      <c r="BS464" s="5">
        <v>40.0</v>
      </c>
      <c r="BT464" s="94">
        <v>46135.438784722224</v>
      </c>
      <c r="BU464" s="5" t="s">
        <v>1770</v>
      </c>
      <c r="BV464" s="5" t="s">
        <v>1770</v>
      </c>
      <c r="BW464" s="5" t="s">
        <v>1770</v>
      </c>
    </row>
    <row r="465" ht="14.25" customHeight="1">
      <c r="A465" s="5">
        <v>464.0</v>
      </c>
      <c r="B465" s="5">
        <v>731.0</v>
      </c>
      <c r="C465" s="5" t="s">
        <v>3338</v>
      </c>
      <c r="D465" s="5" t="s">
        <v>4914</v>
      </c>
      <c r="E465" s="5" t="s">
        <v>1969</v>
      </c>
      <c r="F465" s="5" t="s">
        <v>5176</v>
      </c>
      <c r="G465" s="5" t="s">
        <v>5177</v>
      </c>
      <c r="H465" s="5" t="s">
        <v>1762</v>
      </c>
      <c r="I465" s="5" t="s">
        <v>1763</v>
      </c>
      <c r="J465" s="91">
        <v>27888.0</v>
      </c>
      <c r="K465" s="5">
        <v>549.0</v>
      </c>
      <c r="L465" s="5" t="s">
        <v>5178</v>
      </c>
      <c r="M465" s="5">
        <v>5.0</v>
      </c>
      <c r="N465" s="5"/>
      <c r="O465" s="5">
        <v>45684.0</v>
      </c>
      <c r="P465" s="5" t="s">
        <v>2032</v>
      </c>
      <c r="Q465" s="5" t="s">
        <v>1766</v>
      </c>
      <c r="R465" s="5">
        <v>549.0</v>
      </c>
      <c r="S465" s="5">
        <v>3.931529857E9</v>
      </c>
      <c r="T465" s="5" t="s">
        <v>5179</v>
      </c>
      <c r="U465" s="5" t="s">
        <v>5180</v>
      </c>
      <c r="V465" s="5">
        <v>1.234567891E9</v>
      </c>
      <c r="W465" s="5" t="s">
        <v>2780</v>
      </c>
      <c r="X465" s="91">
        <v>45558.0</v>
      </c>
      <c r="Y465" s="5">
        <v>1.0</v>
      </c>
      <c r="Z465" s="5">
        <v>17.0</v>
      </c>
      <c r="AA465" s="5">
        <v>25.0</v>
      </c>
      <c r="AB465" s="5"/>
      <c r="AC465" s="5"/>
      <c r="AD465" s="5" t="s">
        <v>1770</v>
      </c>
      <c r="AE465" s="5" t="s">
        <v>1770</v>
      </c>
      <c r="AF465" s="5"/>
      <c r="AG465" s="5"/>
      <c r="AH465" s="5">
        <v>3.147631471E9</v>
      </c>
      <c r="AI465" s="5">
        <v>23.0</v>
      </c>
      <c r="AJ465" s="5"/>
      <c r="AK465" s="5" t="s">
        <v>1773</v>
      </c>
      <c r="AL465" s="92">
        <v>0.0</v>
      </c>
      <c r="AM465" s="5" t="s">
        <v>1770</v>
      </c>
      <c r="AN465" s="5" t="s">
        <v>4382</v>
      </c>
      <c r="AO465" s="5"/>
      <c r="AP465" s="5"/>
      <c r="AQ465" s="5"/>
      <c r="AR465" s="5"/>
      <c r="AS465" s="5"/>
      <c r="AT465" s="5"/>
      <c r="AU465" s="5"/>
      <c r="AV465" s="5"/>
      <c r="AW465" s="5" t="s">
        <v>1770</v>
      </c>
      <c r="AX465" s="5"/>
      <c r="AY465" s="5"/>
      <c r="AZ465" s="5" t="s">
        <v>1770</v>
      </c>
      <c r="BA465" s="93">
        <v>0.0</v>
      </c>
      <c r="BB465" s="93">
        <v>0.0</v>
      </c>
      <c r="BC465" s="93">
        <v>0.0</v>
      </c>
      <c r="BD465" s="93">
        <v>0.0</v>
      </c>
      <c r="BE465" s="93">
        <v>0.0</v>
      </c>
      <c r="BF465" s="93">
        <v>0.0</v>
      </c>
      <c r="BG465" s="5"/>
      <c r="BH465" s="93">
        <v>0.0</v>
      </c>
      <c r="BI465" s="93">
        <v>0.0</v>
      </c>
      <c r="BJ465" s="93">
        <v>0.0</v>
      </c>
      <c r="BK465" s="93">
        <v>0.0</v>
      </c>
      <c r="BL465" s="93">
        <v>0.0</v>
      </c>
      <c r="BM465" s="93">
        <v>0.0</v>
      </c>
      <c r="BN465" s="93">
        <v>0.0</v>
      </c>
      <c r="BO465" s="5"/>
      <c r="BP465" s="5"/>
      <c r="BQ465" s="5" t="s">
        <v>1775</v>
      </c>
      <c r="BR465" s="94">
        <v>45559.743726851855</v>
      </c>
      <c r="BS465" s="5">
        <v>40.0</v>
      </c>
      <c r="BT465" s="94">
        <v>46134.70427083333</v>
      </c>
      <c r="BU465" s="5">
        <v>339.0</v>
      </c>
      <c r="BV465" s="5" t="s">
        <v>1770</v>
      </c>
      <c r="BW465" s="5" t="s">
        <v>1770</v>
      </c>
    </row>
    <row r="466" ht="14.25" customHeight="1">
      <c r="A466" s="5">
        <v>465.0</v>
      </c>
      <c r="B466" s="5">
        <v>732.0</v>
      </c>
      <c r="C466" s="5" t="s">
        <v>1810</v>
      </c>
      <c r="D466" s="5" t="s">
        <v>2005</v>
      </c>
      <c r="E466" s="5" t="s">
        <v>1758</v>
      </c>
      <c r="F466" s="5" t="s">
        <v>5181</v>
      </c>
      <c r="G466" s="5" t="s">
        <v>5182</v>
      </c>
      <c r="H466" s="5" t="s">
        <v>1815</v>
      </c>
      <c r="I466" s="5" t="s">
        <v>1763</v>
      </c>
      <c r="J466" s="91">
        <v>36408.0</v>
      </c>
      <c r="K466" s="5">
        <v>594.0</v>
      </c>
      <c r="L466" s="5" t="s">
        <v>5183</v>
      </c>
      <c r="M466" s="5">
        <v>22.0</v>
      </c>
      <c r="N466" s="5"/>
      <c r="O466" s="5">
        <v>43882.0</v>
      </c>
      <c r="P466" s="5" t="s">
        <v>1827</v>
      </c>
      <c r="Q466" s="5" t="s">
        <v>1766</v>
      </c>
      <c r="R466" s="5">
        <v>549.0</v>
      </c>
      <c r="S466" s="5">
        <v>3.931088835E9</v>
      </c>
      <c r="T466" s="5" t="s">
        <v>5184</v>
      </c>
      <c r="U466" s="5">
        <v>1.0</v>
      </c>
      <c r="V466" s="5">
        <v>1.234569874E9</v>
      </c>
      <c r="W466" s="5">
        <v>1.0</v>
      </c>
      <c r="X466" s="91">
        <v>45558.0</v>
      </c>
      <c r="Y466" s="5">
        <v>1.0</v>
      </c>
      <c r="Z466" s="5">
        <v>6.0</v>
      </c>
      <c r="AA466" s="5">
        <v>10.0</v>
      </c>
      <c r="AB466" s="5" t="s">
        <v>5185</v>
      </c>
      <c r="AC466" s="5" t="s">
        <v>1800</v>
      </c>
      <c r="AD466" s="91">
        <v>44568.0</v>
      </c>
      <c r="AE466" s="91">
        <v>46029.0</v>
      </c>
      <c r="AF466" s="5"/>
      <c r="AG466" s="5"/>
      <c r="AH466" s="5">
        <v>6.7169968996E10</v>
      </c>
      <c r="AI466" s="5">
        <v>23.0</v>
      </c>
      <c r="AJ466" s="5"/>
      <c r="AK466" s="5" t="s">
        <v>1773</v>
      </c>
      <c r="AL466" s="92">
        <v>0.0</v>
      </c>
      <c r="AM466" s="5" t="s">
        <v>1770</v>
      </c>
      <c r="AN466" s="5" t="s">
        <v>1774</v>
      </c>
      <c r="AO466" s="5"/>
      <c r="AP466" s="5"/>
      <c r="AQ466" s="5"/>
      <c r="AR466" s="5"/>
      <c r="AS466" s="5"/>
      <c r="AT466" s="5"/>
      <c r="AU466" s="5"/>
      <c r="AV466" s="5"/>
      <c r="AW466" s="5" t="s">
        <v>1770</v>
      </c>
      <c r="AX466" s="5"/>
      <c r="AY466" s="5"/>
      <c r="AZ466" s="5" t="s">
        <v>1770</v>
      </c>
      <c r="BA466" s="93">
        <v>0.0</v>
      </c>
      <c r="BB466" s="93">
        <v>0.0</v>
      </c>
      <c r="BC466" s="93">
        <v>0.0</v>
      </c>
      <c r="BD466" s="93">
        <v>0.0</v>
      </c>
      <c r="BE466" s="93">
        <v>0.0</v>
      </c>
      <c r="BF466" s="93">
        <v>0.0</v>
      </c>
      <c r="BG466" s="5"/>
      <c r="BH466" s="93">
        <v>0.0</v>
      </c>
      <c r="BI466" s="93">
        <v>0.0</v>
      </c>
      <c r="BJ466" s="93">
        <v>0.0</v>
      </c>
      <c r="BK466" s="93">
        <v>0.0</v>
      </c>
      <c r="BL466" s="93">
        <v>0.0</v>
      </c>
      <c r="BM466" s="93">
        <v>0.0</v>
      </c>
      <c r="BN466" s="93">
        <v>0.0</v>
      </c>
      <c r="BO466" s="5"/>
      <c r="BP466" s="5" t="s">
        <v>1770</v>
      </c>
      <c r="BQ466" s="5" t="s">
        <v>1789</v>
      </c>
      <c r="BR466" s="94">
        <v>45559.75188657407</v>
      </c>
      <c r="BS466" s="5">
        <v>40.0</v>
      </c>
      <c r="BT466" s="5" t="s">
        <v>1770</v>
      </c>
      <c r="BU466" s="5" t="s">
        <v>1770</v>
      </c>
      <c r="BV466" s="94">
        <v>45707.6853587963</v>
      </c>
      <c r="BW466" s="5">
        <v>275.0</v>
      </c>
    </row>
    <row r="467" ht="14.25" customHeight="1">
      <c r="A467" s="5">
        <v>466.0</v>
      </c>
      <c r="B467" s="5">
        <v>733.0</v>
      </c>
      <c r="C467" s="5" t="s">
        <v>5186</v>
      </c>
      <c r="D467" s="5" t="s">
        <v>2521</v>
      </c>
      <c r="E467" s="5" t="s">
        <v>2195</v>
      </c>
      <c r="F467" s="5" t="s">
        <v>5187</v>
      </c>
      <c r="G467" s="5" t="s">
        <v>5188</v>
      </c>
      <c r="H467" s="5" t="s">
        <v>1781</v>
      </c>
      <c r="I467" s="5" t="s">
        <v>1782</v>
      </c>
      <c r="J467" s="91">
        <v>31925.0</v>
      </c>
      <c r="K467" s="5">
        <v>850.0</v>
      </c>
      <c r="L467" s="5" t="s">
        <v>5189</v>
      </c>
      <c r="M467" s="5">
        <v>7.0</v>
      </c>
      <c r="N467" s="5"/>
      <c r="O467" s="5">
        <v>13942.0</v>
      </c>
      <c r="P467" s="5" t="s">
        <v>5190</v>
      </c>
      <c r="Q467" s="5" t="s">
        <v>5191</v>
      </c>
      <c r="R467" s="5">
        <v>889.0</v>
      </c>
      <c r="S467" s="5">
        <v>3.51127177E9</v>
      </c>
      <c r="T467" s="5" t="s">
        <v>5192</v>
      </c>
      <c r="U467" s="5" t="s">
        <v>2411</v>
      </c>
      <c r="V467" s="5">
        <v>1.234567891E9</v>
      </c>
      <c r="W467" s="5" t="s">
        <v>2411</v>
      </c>
      <c r="X467" s="91">
        <v>45559.0</v>
      </c>
      <c r="Y467" s="5">
        <v>3.0</v>
      </c>
      <c r="Z467" s="5">
        <v>4.0</v>
      </c>
      <c r="AA467" s="5">
        <v>39.0</v>
      </c>
      <c r="AB467" s="5"/>
      <c r="AC467" s="5"/>
      <c r="AD467" s="5" t="s">
        <v>1770</v>
      </c>
      <c r="AE467" s="5" t="s">
        <v>1770</v>
      </c>
      <c r="AF467" s="5"/>
      <c r="AG467" s="5"/>
      <c r="AH467" s="5">
        <v>5.3038722913E10</v>
      </c>
      <c r="AI467" s="5">
        <v>77.0</v>
      </c>
      <c r="AJ467" s="5"/>
      <c r="AK467" s="5" t="s">
        <v>1773</v>
      </c>
      <c r="AL467" s="92">
        <v>0.0</v>
      </c>
      <c r="AM467" s="5" t="s">
        <v>1770</v>
      </c>
      <c r="AN467" s="5" t="s">
        <v>4382</v>
      </c>
      <c r="AO467" s="5"/>
      <c r="AP467" s="5"/>
      <c r="AQ467" s="5"/>
      <c r="AR467" s="5"/>
      <c r="AS467" s="5"/>
      <c r="AT467" s="5"/>
      <c r="AU467" s="5"/>
      <c r="AV467" s="5"/>
      <c r="AW467" s="5" t="s">
        <v>1770</v>
      </c>
      <c r="AX467" s="5"/>
      <c r="AY467" s="5"/>
      <c r="AZ467" s="5" t="s">
        <v>1770</v>
      </c>
      <c r="BA467" s="93">
        <v>0.0</v>
      </c>
      <c r="BB467" s="93">
        <v>0.0</v>
      </c>
      <c r="BC467" s="93">
        <v>0.0</v>
      </c>
      <c r="BD467" s="93">
        <v>0.0</v>
      </c>
      <c r="BE467" s="93">
        <v>0.0</v>
      </c>
      <c r="BF467" s="93">
        <v>0.0</v>
      </c>
      <c r="BG467" s="5"/>
      <c r="BH467" s="93">
        <v>0.0</v>
      </c>
      <c r="BI467" s="93">
        <v>0.0</v>
      </c>
      <c r="BJ467" s="93">
        <v>0.0</v>
      </c>
      <c r="BK467" s="93">
        <v>0.0</v>
      </c>
      <c r="BL467" s="93">
        <v>0.0</v>
      </c>
      <c r="BM467" s="93">
        <v>0.0</v>
      </c>
      <c r="BN467" s="93">
        <v>0.0</v>
      </c>
      <c r="BO467" s="5"/>
      <c r="BP467" s="5" t="s">
        <v>1770</v>
      </c>
      <c r="BQ467" s="5" t="s">
        <v>1789</v>
      </c>
      <c r="BR467" s="94">
        <v>45575.719814814816</v>
      </c>
      <c r="BS467" s="5">
        <v>40.0</v>
      </c>
      <c r="BT467" s="5" t="s">
        <v>1770</v>
      </c>
      <c r="BU467" s="5" t="s">
        <v>1770</v>
      </c>
      <c r="BV467" s="94">
        <v>45580.471296296295</v>
      </c>
      <c r="BW467" s="5">
        <v>40.0</v>
      </c>
    </row>
    <row r="468" ht="14.25" customHeight="1">
      <c r="A468" s="5">
        <v>467.0</v>
      </c>
      <c r="B468" s="5">
        <v>734.0</v>
      </c>
      <c r="C468" s="5" t="s">
        <v>2657</v>
      </c>
      <c r="D468" s="5" t="s">
        <v>1792</v>
      </c>
      <c r="E468" s="5" t="s">
        <v>2765</v>
      </c>
      <c r="F468" s="5" t="s">
        <v>5193</v>
      </c>
      <c r="G468" s="5" t="s">
        <v>5194</v>
      </c>
      <c r="H468" s="5" t="s">
        <v>2671</v>
      </c>
      <c r="I468" s="5" t="s">
        <v>1763</v>
      </c>
      <c r="J468" s="91">
        <v>27027.0</v>
      </c>
      <c r="K468" s="5">
        <v>424.0</v>
      </c>
      <c r="L468" s="5" t="s">
        <v>2061</v>
      </c>
      <c r="M468" s="5">
        <v>54.0</v>
      </c>
      <c r="N468" s="5" t="s">
        <v>2340</v>
      </c>
      <c r="O468" s="5">
        <v>35872.0</v>
      </c>
      <c r="P468" s="5" t="s">
        <v>1797</v>
      </c>
      <c r="Q468" s="5" t="s">
        <v>2406</v>
      </c>
      <c r="R468" s="5">
        <v>424.0</v>
      </c>
      <c r="S468" s="5">
        <v>4.691418737E9</v>
      </c>
      <c r="T468" s="5"/>
      <c r="U468" s="5" t="s">
        <v>5195</v>
      </c>
      <c r="V468" s="5">
        <v>4.691243919E9</v>
      </c>
      <c r="W468" s="5" t="s">
        <v>2675</v>
      </c>
      <c r="X468" s="91">
        <v>45567.0</v>
      </c>
      <c r="Y468" s="5">
        <v>2.0</v>
      </c>
      <c r="Z468" s="5">
        <v>17.0</v>
      </c>
      <c r="AA468" s="5">
        <v>25.0</v>
      </c>
      <c r="AB468" s="5"/>
      <c r="AC468" s="5"/>
      <c r="AD468" s="5" t="s">
        <v>1770</v>
      </c>
      <c r="AE468" s="5" t="s">
        <v>1770</v>
      </c>
      <c r="AF468" s="5"/>
      <c r="AG468" s="5"/>
      <c r="AH468" s="5">
        <v>1.2087306549E10</v>
      </c>
      <c r="AI468" s="5">
        <v>9.0</v>
      </c>
      <c r="AJ468" s="5"/>
      <c r="AK468" s="5" t="s">
        <v>1773</v>
      </c>
      <c r="AL468" s="92">
        <v>0.0</v>
      </c>
      <c r="AM468" s="5" t="s">
        <v>1770</v>
      </c>
      <c r="AN468" s="5" t="s">
        <v>1774</v>
      </c>
      <c r="AO468" s="5"/>
      <c r="AP468" s="5"/>
      <c r="AQ468" s="5"/>
      <c r="AR468" s="5"/>
      <c r="AS468" s="5"/>
      <c r="AT468" s="5"/>
      <c r="AU468" s="5"/>
      <c r="AV468" s="5"/>
      <c r="AW468" s="5" t="s">
        <v>1770</v>
      </c>
      <c r="AX468" s="5"/>
      <c r="AY468" s="5"/>
      <c r="AZ468" s="5" t="s">
        <v>1770</v>
      </c>
      <c r="BA468" s="93">
        <v>0.0</v>
      </c>
      <c r="BB468" s="93">
        <v>0.0</v>
      </c>
      <c r="BC468" s="93">
        <v>0.0</v>
      </c>
      <c r="BD468" s="93">
        <v>0.0</v>
      </c>
      <c r="BE468" s="93">
        <v>0.0</v>
      </c>
      <c r="BF468" s="93">
        <v>0.0</v>
      </c>
      <c r="BG468" s="5"/>
      <c r="BH468" s="93">
        <v>0.0</v>
      </c>
      <c r="BI468" s="93">
        <v>0.0</v>
      </c>
      <c r="BJ468" s="93">
        <v>0.0</v>
      </c>
      <c r="BK468" s="93">
        <v>0.0</v>
      </c>
      <c r="BL468" s="93">
        <v>0.0</v>
      </c>
      <c r="BM468" s="93">
        <v>0.0</v>
      </c>
      <c r="BN468" s="93">
        <v>0.0</v>
      </c>
      <c r="BO468" s="5"/>
      <c r="BP468" s="5" t="s">
        <v>1770</v>
      </c>
      <c r="BQ468" s="5" t="s">
        <v>1789</v>
      </c>
      <c r="BR468" s="94">
        <v>45575.73201388889</v>
      </c>
      <c r="BS468" s="5">
        <v>40.0</v>
      </c>
      <c r="BT468" s="5" t="s">
        <v>1770</v>
      </c>
      <c r="BU468" s="5" t="s">
        <v>1770</v>
      </c>
      <c r="BV468" s="94">
        <v>45631.458969907406</v>
      </c>
      <c r="BW468" s="5">
        <v>40.0</v>
      </c>
    </row>
    <row r="469" ht="14.25" customHeight="1">
      <c r="A469" s="5">
        <v>468.0</v>
      </c>
      <c r="B469" s="5">
        <v>735.0</v>
      </c>
      <c r="C469" s="5" t="s">
        <v>5196</v>
      </c>
      <c r="D469" s="5" t="s">
        <v>4914</v>
      </c>
      <c r="E469" s="5" t="s">
        <v>2943</v>
      </c>
      <c r="F469" s="5" t="s">
        <v>5197</v>
      </c>
      <c r="G469" s="5" t="s">
        <v>5198</v>
      </c>
      <c r="H469" s="5" t="s">
        <v>1815</v>
      </c>
      <c r="I469" s="5" t="s">
        <v>1763</v>
      </c>
      <c r="J469" s="91">
        <v>33626.0</v>
      </c>
      <c r="K469" s="5">
        <v>886.0</v>
      </c>
      <c r="L469" s="5" t="s">
        <v>5199</v>
      </c>
      <c r="M469" s="5">
        <v>123.0</v>
      </c>
      <c r="N469" s="5"/>
      <c r="O469" s="5">
        <v>55002.0</v>
      </c>
      <c r="P469" s="5" t="s">
        <v>2817</v>
      </c>
      <c r="Q469" s="5" t="s">
        <v>1974</v>
      </c>
      <c r="R469" s="5">
        <v>886.0</v>
      </c>
      <c r="S469" s="5">
        <v>3.93100687E9</v>
      </c>
      <c r="T469" s="5" t="s">
        <v>5200</v>
      </c>
      <c r="U469" s="5" t="s">
        <v>5201</v>
      </c>
      <c r="V469" s="5">
        <v>3.931808624E9</v>
      </c>
      <c r="W469" s="5" t="s">
        <v>1808</v>
      </c>
      <c r="X469" s="91">
        <v>45567.0</v>
      </c>
      <c r="Y469" s="5">
        <v>1.0</v>
      </c>
      <c r="Z469" s="5">
        <v>17.0</v>
      </c>
      <c r="AA469" s="5">
        <v>87.0</v>
      </c>
      <c r="AB469" s="5" t="s">
        <v>5202</v>
      </c>
      <c r="AC469" s="5" t="s">
        <v>1800</v>
      </c>
      <c r="AD469" s="91">
        <v>44270.0</v>
      </c>
      <c r="AE469" s="91">
        <v>47922.0</v>
      </c>
      <c r="AF469" s="5"/>
      <c r="AG469" s="5"/>
      <c r="AH469" s="5">
        <v>3.179201763E9</v>
      </c>
      <c r="AI469" s="5">
        <v>23.0</v>
      </c>
      <c r="AJ469" s="5"/>
      <c r="AK469" s="5" t="s">
        <v>1773</v>
      </c>
      <c r="AL469" s="92">
        <v>0.0</v>
      </c>
      <c r="AM469" s="5" t="s">
        <v>1770</v>
      </c>
      <c r="AN469" s="5" t="s">
        <v>1905</v>
      </c>
      <c r="AO469" s="5"/>
      <c r="AP469" s="5"/>
      <c r="AQ469" s="5"/>
      <c r="AR469" s="5"/>
      <c r="AS469" s="5"/>
      <c r="AT469" s="5"/>
      <c r="AU469" s="5"/>
      <c r="AV469" s="5"/>
      <c r="AW469" s="5" t="s">
        <v>1770</v>
      </c>
      <c r="AX469" s="5"/>
      <c r="AY469" s="5"/>
      <c r="AZ469" s="5" t="s">
        <v>1770</v>
      </c>
      <c r="BA469" s="93">
        <v>0.0</v>
      </c>
      <c r="BB469" s="93">
        <v>0.0</v>
      </c>
      <c r="BC469" s="93">
        <v>0.0</v>
      </c>
      <c r="BD469" s="93">
        <v>0.0</v>
      </c>
      <c r="BE469" s="93">
        <v>0.0</v>
      </c>
      <c r="BF469" s="93">
        <v>0.0</v>
      </c>
      <c r="BG469" s="5"/>
      <c r="BH469" s="93">
        <v>0.0</v>
      </c>
      <c r="BI469" s="93">
        <v>0.0</v>
      </c>
      <c r="BJ469" s="93">
        <v>0.0</v>
      </c>
      <c r="BK469" s="93">
        <v>0.0</v>
      </c>
      <c r="BL469" s="93">
        <v>0.0</v>
      </c>
      <c r="BM469" s="93">
        <v>0.0</v>
      </c>
      <c r="BN469" s="93">
        <v>0.0</v>
      </c>
      <c r="BO469" s="5"/>
      <c r="BP469" s="5" t="s">
        <v>1770</v>
      </c>
      <c r="BQ469" s="5" t="s">
        <v>1789</v>
      </c>
      <c r="BR469" s="94">
        <v>45575.74445601852</v>
      </c>
      <c r="BS469" s="5">
        <v>40.0</v>
      </c>
      <c r="BT469" s="94">
        <v>45892.58864583333</v>
      </c>
      <c r="BU469" s="5">
        <v>40.0</v>
      </c>
      <c r="BV469" s="94">
        <v>45917.539502314816</v>
      </c>
      <c r="BW469" s="5">
        <v>40.0</v>
      </c>
    </row>
    <row r="470" ht="14.25" customHeight="1">
      <c r="A470" s="5">
        <v>469.0</v>
      </c>
      <c r="B470" s="5">
        <v>736.0</v>
      </c>
      <c r="C470" s="5" t="s">
        <v>5203</v>
      </c>
      <c r="D470" s="5" t="s">
        <v>2011</v>
      </c>
      <c r="E470" s="5" t="s">
        <v>1792</v>
      </c>
      <c r="F470" s="5" t="s">
        <v>5204</v>
      </c>
      <c r="G470" s="5" t="s">
        <v>5205</v>
      </c>
      <c r="H470" s="5" t="s">
        <v>1781</v>
      </c>
      <c r="I470" s="5" t="s">
        <v>1782</v>
      </c>
      <c r="J470" s="91">
        <v>30117.0</v>
      </c>
      <c r="K470" s="5">
        <v>834.0</v>
      </c>
      <c r="L470" s="5" t="s">
        <v>2636</v>
      </c>
      <c r="M470" s="5">
        <v>9.0</v>
      </c>
      <c r="N470" s="5"/>
      <c r="O470" s="5">
        <v>54693.0</v>
      </c>
      <c r="P470" s="5" t="s">
        <v>3139</v>
      </c>
      <c r="Q470" s="5" t="s">
        <v>4076</v>
      </c>
      <c r="R470" s="5">
        <v>869.0</v>
      </c>
      <c r="S470" s="5">
        <v>4.438346857E9</v>
      </c>
      <c r="T470" s="5" t="s">
        <v>5206</v>
      </c>
      <c r="U470" s="5" t="s">
        <v>5207</v>
      </c>
      <c r="V470" s="5">
        <v>4.436304441E9</v>
      </c>
      <c r="W470" s="5" t="s">
        <v>1787</v>
      </c>
      <c r="X470" s="91">
        <v>45567.0</v>
      </c>
      <c r="Y470" s="5">
        <v>4.0</v>
      </c>
      <c r="Z470" s="5">
        <v>3.0</v>
      </c>
      <c r="AA470" s="5">
        <v>58.0</v>
      </c>
      <c r="AB470" s="5" t="s">
        <v>5208</v>
      </c>
      <c r="AC470" s="5" t="s">
        <v>1800</v>
      </c>
      <c r="AD470" s="91">
        <v>45247.0</v>
      </c>
      <c r="AE470" s="91">
        <v>48535.0</v>
      </c>
      <c r="AF470" s="5"/>
      <c r="AG470" s="5"/>
      <c r="AH470" s="5">
        <v>7.008222387E9</v>
      </c>
      <c r="AI470" s="5">
        <v>80.0</v>
      </c>
      <c r="AJ470" s="5"/>
      <c r="AK470" s="5" t="s">
        <v>1773</v>
      </c>
      <c r="AL470" s="92">
        <v>0.0</v>
      </c>
      <c r="AM470" s="5" t="s">
        <v>1770</v>
      </c>
      <c r="AN470" s="5" t="s">
        <v>2052</v>
      </c>
      <c r="AO470" s="5"/>
      <c r="AP470" s="5"/>
      <c r="AQ470" s="5"/>
      <c r="AR470" s="5"/>
      <c r="AS470" s="5"/>
      <c r="AT470" s="5"/>
      <c r="AU470" s="5"/>
      <c r="AV470" s="5"/>
      <c r="AW470" s="5" t="s">
        <v>1770</v>
      </c>
      <c r="AX470" s="5"/>
      <c r="AY470" s="5"/>
      <c r="AZ470" s="5" t="s">
        <v>1770</v>
      </c>
      <c r="BA470" s="93">
        <v>0.0</v>
      </c>
      <c r="BB470" s="93">
        <v>0.0</v>
      </c>
      <c r="BC470" s="93">
        <v>0.0</v>
      </c>
      <c r="BD470" s="93">
        <v>0.0</v>
      </c>
      <c r="BE470" s="93">
        <v>0.0</v>
      </c>
      <c r="BF470" s="93">
        <v>0.0</v>
      </c>
      <c r="BG470" s="5"/>
      <c r="BH470" s="93">
        <v>0.0</v>
      </c>
      <c r="BI470" s="93">
        <v>0.0</v>
      </c>
      <c r="BJ470" s="93">
        <v>0.0</v>
      </c>
      <c r="BK470" s="93">
        <v>0.0</v>
      </c>
      <c r="BL470" s="93">
        <v>0.0</v>
      </c>
      <c r="BM470" s="93">
        <v>0.0</v>
      </c>
      <c r="BN470" s="93">
        <v>0.0</v>
      </c>
      <c r="BO470" s="5"/>
      <c r="BP470" s="5" t="s">
        <v>1770</v>
      </c>
      <c r="BQ470" s="5" t="s">
        <v>1789</v>
      </c>
      <c r="BR470" s="94">
        <v>45580.493368055555</v>
      </c>
      <c r="BS470" s="5">
        <v>40.0</v>
      </c>
      <c r="BT470" s="5" t="s">
        <v>1770</v>
      </c>
      <c r="BU470" s="5" t="s">
        <v>1770</v>
      </c>
      <c r="BV470" s="94">
        <v>45628.67042824074</v>
      </c>
      <c r="BW470" s="5">
        <v>40.0</v>
      </c>
    </row>
    <row r="471" ht="14.25" customHeight="1">
      <c r="A471" s="5">
        <v>470.0</v>
      </c>
      <c r="B471" s="5">
        <v>737.0</v>
      </c>
      <c r="C471" s="5" t="s">
        <v>5209</v>
      </c>
      <c r="D471" s="5" t="s">
        <v>5210</v>
      </c>
      <c r="E471" s="5" t="s">
        <v>2164</v>
      </c>
      <c r="F471" s="5" t="s">
        <v>5211</v>
      </c>
      <c r="G471" s="5" t="s">
        <v>5212</v>
      </c>
      <c r="H471" s="5" t="s">
        <v>1972</v>
      </c>
      <c r="I471" s="5" t="s">
        <v>1782</v>
      </c>
      <c r="J471" s="91">
        <v>36730.0</v>
      </c>
      <c r="K471" s="5">
        <v>774.0</v>
      </c>
      <c r="L471" s="5" t="s">
        <v>5213</v>
      </c>
      <c r="M471" s="5">
        <v>3.0</v>
      </c>
      <c r="N471" s="5"/>
      <c r="O471" s="5">
        <v>47342.0</v>
      </c>
      <c r="P471" s="5" t="s">
        <v>3139</v>
      </c>
      <c r="Q471" s="5" t="s">
        <v>5214</v>
      </c>
      <c r="R471" s="5">
        <v>774.0</v>
      </c>
      <c r="S471" s="5">
        <v>7.226594367E9</v>
      </c>
      <c r="T471" s="5" t="s">
        <v>5215</v>
      </c>
      <c r="U471" s="5" t="s">
        <v>5216</v>
      </c>
      <c r="V471" s="5">
        <v>7.226255377E9</v>
      </c>
      <c r="W471" s="5" t="s">
        <v>1965</v>
      </c>
      <c r="X471" s="91">
        <v>45577.0</v>
      </c>
      <c r="Y471" s="5">
        <v>4.0</v>
      </c>
      <c r="Z471" s="5">
        <v>4.0</v>
      </c>
      <c r="AA471" s="5">
        <v>40.0</v>
      </c>
      <c r="AB471" s="5">
        <v>180944.0</v>
      </c>
      <c r="AC471" s="5" t="s">
        <v>1800</v>
      </c>
      <c r="AD471" s="91">
        <v>44356.0</v>
      </c>
      <c r="AE471" s="91">
        <v>46182.0</v>
      </c>
      <c r="AF471" s="5"/>
      <c r="AG471" s="5"/>
      <c r="AH471" s="5">
        <v>1.6150023139E10</v>
      </c>
      <c r="AI471" s="5">
        <v>80.0</v>
      </c>
      <c r="AJ471" s="5"/>
      <c r="AK471" s="5" t="s">
        <v>1773</v>
      </c>
      <c r="AL471" s="92">
        <v>0.0</v>
      </c>
      <c r="AM471" s="5" t="s">
        <v>1770</v>
      </c>
      <c r="AN471" s="5" t="s">
        <v>1830</v>
      </c>
      <c r="AO471" s="5"/>
      <c r="AP471" s="5"/>
      <c r="AQ471" s="5"/>
      <c r="AR471" s="5"/>
      <c r="AS471" s="5"/>
      <c r="AT471" s="5"/>
      <c r="AU471" s="5"/>
      <c r="AV471" s="5"/>
      <c r="AW471" s="5" t="s">
        <v>1770</v>
      </c>
      <c r="AX471" s="5"/>
      <c r="AY471" s="5"/>
      <c r="AZ471" s="5" t="s">
        <v>1770</v>
      </c>
      <c r="BA471" s="93">
        <v>0.0</v>
      </c>
      <c r="BB471" s="93">
        <v>0.0</v>
      </c>
      <c r="BC471" s="93">
        <v>0.0</v>
      </c>
      <c r="BD471" s="93">
        <v>0.0</v>
      </c>
      <c r="BE471" s="93">
        <v>0.0</v>
      </c>
      <c r="BF471" s="93">
        <v>0.0</v>
      </c>
      <c r="BG471" s="5"/>
      <c r="BH471" s="93">
        <v>0.0</v>
      </c>
      <c r="BI471" s="93">
        <v>0.0</v>
      </c>
      <c r="BJ471" s="93">
        <v>0.0</v>
      </c>
      <c r="BK471" s="93">
        <v>0.0</v>
      </c>
      <c r="BL471" s="93">
        <v>0.0</v>
      </c>
      <c r="BM471" s="93">
        <v>0.0</v>
      </c>
      <c r="BN471" s="93">
        <v>0.0</v>
      </c>
      <c r="BO471" s="5"/>
      <c r="BP471" s="5" t="s">
        <v>1770</v>
      </c>
      <c r="BQ471" s="5" t="s">
        <v>1789</v>
      </c>
      <c r="BR471" s="94">
        <v>45580.50331018519</v>
      </c>
      <c r="BS471" s="5">
        <v>40.0</v>
      </c>
      <c r="BT471" s="5" t="s">
        <v>1770</v>
      </c>
      <c r="BU471" s="5" t="s">
        <v>1770</v>
      </c>
      <c r="BV471" s="94">
        <v>45707.52197916667</v>
      </c>
      <c r="BW471" s="5">
        <v>40.0</v>
      </c>
    </row>
    <row r="472" ht="14.25" customHeight="1">
      <c r="A472" s="5">
        <v>471.0</v>
      </c>
      <c r="B472" s="5">
        <v>738.0</v>
      </c>
      <c r="C472" s="5" t="s">
        <v>3005</v>
      </c>
      <c r="D472" s="5" t="s">
        <v>1758</v>
      </c>
      <c r="E472" s="5" t="s">
        <v>1959</v>
      </c>
      <c r="F472" s="5" t="s">
        <v>5217</v>
      </c>
      <c r="G472" s="5" t="s">
        <v>5218</v>
      </c>
      <c r="H472" s="5" t="s">
        <v>1781</v>
      </c>
      <c r="I472" s="5" t="s">
        <v>1782</v>
      </c>
      <c r="J472" s="91">
        <v>27919.0</v>
      </c>
      <c r="K472" s="5">
        <v>597.0</v>
      </c>
      <c r="L472" s="5" t="s">
        <v>3115</v>
      </c>
      <c r="M472" s="5">
        <v>210.0</v>
      </c>
      <c r="N472" s="5"/>
      <c r="O472" s="5">
        <v>41922.0</v>
      </c>
      <c r="P472" s="5" t="s">
        <v>1797</v>
      </c>
      <c r="Q472" s="5" t="s">
        <v>2349</v>
      </c>
      <c r="R472" s="5">
        <v>597.0</v>
      </c>
      <c r="S472" s="5">
        <v>3.31437106E9</v>
      </c>
      <c r="T472" s="5" t="s">
        <v>5219</v>
      </c>
      <c r="U472" s="5" t="s">
        <v>5220</v>
      </c>
      <c r="V472" s="5">
        <v>3.312228467E9</v>
      </c>
      <c r="W472" s="5" t="s">
        <v>1787</v>
      </c>
      <c r="X472" s="91">
        <v>45581.0</v>
      </c>
      <c r="Y472" s="5">
        <v>5.0</v>
      </c>
      <c r="Z472" s="5">
        <v>3.0</v>
      </c>
      <c r="AA472" s="5">
        <v>97.0</v>
      </c>
      <c r="AB472" s="5"/>
      <c r="AC472" s="5"/>
      <c r="AD472" s="5" t="s">
        <v>1770</v>
      </c>
      <c r="AE472" s="5" t="s">
        <v>1770</v>
      </c>
      <c r="AF472" s="5"/>
      <c r="AG472" s="5"/>
      <c r="AH472" s="5">
        <v>5.6917604656E10</v>
      </c>
      <c r="AI472" s="5">
        <v>95.0</v>
      </c>
      <c r="AJ472" s="5"/>
      <c r="AK472" s="5" t="s">
        <v>1773</v>
      </c>
      <c r="AL472" s="92">
        <v>0.0</v>
      </c>
      <c r="AM472" s="5" t="s">
        <v>1770</v>
      </c>
      <c r="AN472" s="5" t="s">
        <v>1830</v>
      </c>
      <c r="AO472" s="5"/>
      <c r="AP472" s="5"/>
      <c r="AQ472" s="5"/>
      <c r="AR472" s="5"/>
      <c r="AS472" s="5"/>
      <c r="AT472" s="5"/>
      <c r="AU472" s="5"/>
      <c r="AV472" s="5"/>
      <c r="AW472" s="5" t="s">
        <v>1770</v>
      </c>
      <c r="AX472" s="5"/>
      <c r="AY472" s="5"/>
      <c r="AZ472" s="5" t="s">
        <v>1770</v>
      </c>
      <c r="BA472" s="93">
        <v>0.0</v>
      </c>
      <c r="BB472" s="93">
        <v>0.0</v>
      </c>
      <c r="BC472" s="93">
        <v>0.0</v>
      </c>
      <c r="BD472" s="93">
        <v>0.0</v>
      </c>
      <c r="BE472" s="93">
        <v>0.0</v>
      </c>
      <c r="BF472" s="93">
        <v>0.0</v>
      </c>
      <c r="BG472" s="5"/>
      <c r="BH472" s="93">
        <v>0.0</v>
      </c>
      <c r="BI472" s="93">
        <v>0.0</v>
      </c>
      <c r="BJ472" s="93">
        <v>0.0</v>
      </c>
      <c r="BK472" s="93">
        <v>0.0</v>
      </c>
      <c r="BL472" s="93">
        <v>0.0</v>
      </c>
      <c r="BM472" s="93">
        <v>0.0</v>
      </c>
      <c r="BN472" s="93">
        <v>0.0</v>
      </c>
      <c r="BO472" s="5"/>
      <c r="BP472" s="5" t="s">
        <v>1770</v>
      </c>
      <c r="BQ472" s="5" t="s">
        <v>1789</v>
      </c>
      <c r="BR472" s="94">
        <v>45596.45853009259</v>
      </c>
      <c r="BS472" s="5">
        <v>40.0</v>
      </c>
      <c r="BT472" s="94">
        <v>45894.40898148148</v>
      </c>
      <c r="BU472" s="5">
        <v>40.0</v>
      </c>
      <c r="BV472" s="94">
        <v>45986.74047453704</v>
      </c>
      <c r="BW472" s="5">
        <v>40.0</v>
      </c>
    </row>
    <row r="473" ht="14.25" customHeight="1">
      <c r="A473" s="5">
        <v>472.0</v>
      </c>
      <c r="B473" s="5">
        <v>739.0</v>
      </c>
      <c r="C473" s="5" t="s">
        <v>5221</v>
      </c>
      <c r="D473" s="5" t="s">
        <v>2019</v>
      </c>
      <c r="E473" s="5" t="s">
        <v>3561</v>
      </c>
      <c r="F473" s="5" t="s">
        <v>5222</v>
      </c>
      <c r="G473" s="5" t="s">
        <v>5223</v>
      </c>
      <c r="H473" s="5" t="s">
        <v>2671</v>
      </c>
      <c r="I473" s="5" t="s">
        <v>1782</v>
      </c>
      <c r="J473" s="91">
        <v>27635.0</v>
      </c>
      <c r="K473" s="5">
        <v>2456.0</v>
      </c>
      <c r="L473" s="5" t="s">
        <v>5224</v>
      </c>
      <c r="M473" s="5">
        <v>23.0</v>
      </c>
      <c r="N473" s="5"/>
      <c r="O473" s="5">
        <v>55469.0</v>
      </c>
      <c r="P473" s="5" t="s">
        <v>5190</v>
      </c>
      <c r="Q473" s="5" t="s">
        <v>5191</v>
      </c>
      <c r="R473" s="5">
        <v>889.0</v>
      </c>
      <c r="S473" s="5">
        <v>3.511254455E9</v>
      </c>
      <c r="T473" s="5" t="s">
        <v>5225</v>
      </c>
      <c r="U473" s="5" t="s">
        <v>5226</v>
      </c>
      <c r="V473" s="5">
        <v>3.513712949E9</v>
      </c>
      <c r="W473" s="5" t="s">
        <v>1787</v>
      </c>
      <c r="X473" s="91">
        <v>45593.0</v>
      </c>
      <c r="Y473" s="5">
        <v>3.0</v>
      </c>
      <c r="Z473" s="5">
        <v>3.0</v>
      </c>
      <c r="AA473" s="5">
        <v>42.0</v>
      </c>
      <c r="AB473" s="5"/>
      <c r="AC473" s="5" t="s">
        <v>1772</v>
      </c>
      <c r="AD473" s="91">
        <v>44532.0</v>
      </c>
      <c r="AE473" s="91">
        <v>48184.0</v>
      </c>
      <c r="AF473" s="5"/>
      <c r="AG473" s="5"/>
      <c r="AH473" s="5">
        <v>5.3937440674E10</v>
      </c>
      <c r="AI473" s="5">
        <v>77.0</v>
      </c>
      <c r="AJ473" s="5"/>
      <c r="AK473" s="5" t="s">
        <v>1773</v>
      </c>
      <c r="AL473" s="92">
        <v>0.0</v>
      </c>
      <c r="AM473" s="5" t="s">
        <v>1770</v>
      </c>
      <c r="AN473" s="5" t="s">
        <v>1830</v>
      </c>
      <c r="AO473" s="5"/>
      <c r="AP473" s="5"/>
      <c r="AQ473" s="5"/>
      <c r="AR473" s="5"/>
      <c r="AS473" s="5"/>
      <c r="AT473" s="5"/>
      <c r="AU473" s="5"/>
      <c r="AV473" s="5"/>
      <c r="AW473" s="5" t="s">
        <v>1770</v>
      </c>
      <c r="AX473" s="5"/>
      <c r="AY473" s="5"/>
      <c r="AZ473" s="5" t="s">
        <v>1770</v>
      </c>
      <c r="BA473" s="93">
        <v>0.0</v>
      </c>
      <c r="BB473" s="93">
        <v>0.0</v>
      </c>
      <c r="BC473" s="93">
        <v>0.0</v>
      </c>
      <c r="BD473" s="93">
        <v>0.0</v>
      </c>
      <c r="BE473" s="93">
        <v>0.0</v>
      </c>
      <c r="BF473" s="93">
        <v>0.0</v>
      </c>
      <c r="BG473" s="5"/>
      <c r="BH473" s="93">
        <v>0.0</v>
      </c>
      <c r="BI473" s="93">
        <v>0.0</v>
      </c>
      <c r="BJ473" s="93">
        <v>0.0</v>
      </c>
      <c r="BK473" s="93">
        <v>0.0</v>
      </c>
      <c r="BL473" s="93">
        <v>0.0</v>
      </c>
      <c r="BM473" s="93">
        <v>0.0</v>
      </c>
      <c r="BN473" s="93">
        <v>0.0</v>
      </c>
      <c r="BO473" s="5"/>
      <c r="BP473" s="5" t="s">
        <v>1770</v>
      </c>
      <c r="BQ473" s="5" t="s">
        <v>1789</v>
      </c>
      <c r="BR473" s="94">
        <v>45596.475069444445</v>
      </c>
      <c r="BS473" s="5">
        <v>40.0</v>
      </c>
      <c r="BT473" s="5" t="s">
        <v>1770</v>
      </c>
      <c r="BU473" s="5" t="s">
        <v>1770</v>
      </c>
      <c r="BV473" s="94">
        <v>45642.70350694445</v>
      </c>
      <c r="BW473" s="5">
        <v>40.0</v>
      </c>
    </row>
    <row r="474" ht="14.25" customHeight="1">
      <c r="A474" s="5">
        <v>473.0</v>
      </c>
      <c r="B474" s="5">
        <v>741.0</v>
      </c>
      <c r="C474" s="5" t="s">
        <v>5227</v>
      </c>
      <c r="D474" s="5" t="s">
        <v>2067</v>
      </c>
      <c r="E474" s="5" t="s">
        <v>5228</v>
      </c>
      <c r="F474" s="5" t="s">
        <v>5229</v>
      </c>
      <c r="G474" s="5" t="s">
        <v>5230</v>
      </c>
      <c r="H474" s="5" t="s">
        <v>2671</v>
      </c>
      <c r="I474" s="5" t="s">
        <v>1782</v>
      </c>
      <c r="J474" s="91">
        <v>29850.0</v>
      </c>
      <c r="K474" s="5">
        <v>424.0</v>
      </c>
      <c r="L474" s="5" t="s">
        <v>5231</v>
      </c>
      <c r="M474" s="5" t="s">
        <v>2913</v>
      </c>
      <c r="N474" s="5"/>
      <c r="O474" s="5">
        <v>36101.0</v>
      </c>
      <c r="P474" s="5" t="s">
        <v>2556</v>
      </c>
      <c r="Q474" s="5" t="s">
        <v>5231</v>
      </c>
      <c r="R474" s="5">
        <v>402.0</v>
      </c>
      <c r="S474" s="5">
        <v>6.531212428E9</v>
      </c>
      <c r="T474" s="5" t="s">
        <v>5232</v>
      </c>
      <c r="U474" s="5" t="s">
        <v>1787</v>
      </c>
      <c r="V474" s="5">
        <v>1.234567896E9</v>
      </c>
      <c r="W474" s="5" t="s">
        <v>1787</v>
      </c>
      <c r="X474" s="91">
        <v>45603.0</v>
      </c>
      <c r="Y474" s="5">
        <v>2.0</v>
      </c>
      <c r="Z474" s="5">
        <v>19.0</v>
      </c>
      <c r="AA474" s="5">
        <v>45.0</v>
      </c>
      <c r="AB474" s="5" t="s">
        <v>5233</v>
      </c>
      <c r="AC474" s="5" t="s">
        <v>2274</v>
      </c>
      <c r="AD474" s="91">
        <v>45405.0</v>
      </c>
      <c r="AE474" s="91">
        <v>46866.0</v>
      </c>
      <c r="AF474" s="5"/>
      <c r="AG474" s="5"/>
      <c r="AH474" s="5">
        <v>1.2978112865E10</v>
      </c>
      <c r="AI474" s="5">
        <v>9.0</v>
      </c>
      <c r="AJ474" s="5"/>
      <c r="AK474" s="5" t="s">
        <v>1773</v>
      </c>
      <c r="AL474" s="92">
        <v>0.0</v>
      </c>
      <c r="AM474" s="5" t="s">
        <v>1770</v>
      </c>
      <c r="AN474" s="5" t="s">
        <v>1830</v>
      </c>
      <c r="AO474" s="5"/>
      <c r="AP474" s="5"/>
      <c r="AQ474" s="5"/>
      <c r="AR474" s="5"/>
      <c r="AS474" s="5"/>
      <c r="AT474" s="5"/>
      <c r="AU474" s="5"/>
      <c r="AV474" s="5"/>
      <c r="AW474" s="5" t="s">
        <v>1770</v>
      </c>
      <c r="AX474" s="5"/>
      <c r="AY474" s="5"/>
      <c r="AZ474" s="5" t="s">
        <v>1770</v>
      </c>
      <c r="BA474" s="93">
        <v>0.0</v>
      </c>
      <c r="BB474" s="93">
        <v>0.0</v>
      </c>
      <c r="BC474" s="93">
        <v>0.0</v>
      </c>
      <c r="BD474" s="93">
        <v>0.0</v>
      </c>
      <c r="BE474" s="93">
        <v>0.0</v>
      </c>
      <c r="BF474" s="93">
        <v>0.0</v>
      </c>
      <c r="BG474" s="5"/>
      <c r="BH474" s="93">
        <v>0.0</v>
      </c>
      <c r="BI474" s="93">
        <v>0.0</v>
      </c>
      <c r="BJ474" s="93">
        <v>0.0</v>
      </c>
      <c r="BK474" s="93">
        <v>0.0</v>
      </c>
      <c r="BL474" s="93">
        <v>0.0</v>
      </c>
      <c r="BM474" s="93">
        <v>0.0</v>
      </c>
      <c r="BN474" s="93">
        <v>0.0</v>
      </c>
      <c r="BO474" s="5"/>
      <c r="BP474" s="5" t="s">
        <v>1770</v>
      </c>
      <c r="BQ474" s="5" t="s">
        <v>1789</v>
      </c>
      <c r="BR474" s="94">
        <v>45616.71090277778</v>
      </c>
      <c r="BS474" s="5">
        <v>40.0</v>
      </c>
      <c r="BT474" s="5" t="s">
        <v>1770</v>
      </c>
      <c r="BU474" s="5" t="s">
        <v>1770</v>
      </c>
      <c r="BV474" s="94">
        <v>45688.61707175926</v>
      </c>
      <c r="BW474" s="5" t="s">
        <v>1770</v>
      </c>
    </row>
    <row r="475" ht="14.25" customHeight="1">
      <c r="A475" s="5">
        <v>474.0</v>
      </c>
      <c r="B475" s="5">
        <v>740.0</v>
      </c>
      <c r="C475" s="5" t="s">
        <v>2715</v>
      </c>
      <c r="D475" s="5" t="s">
        <v>1758</v>
      </c>
      <c r="E475" s="5" t="s">
        <v>4923</v>
      </c>
      <c r="F475" s="5" t="s">
        <v>5234</v>
      </c>
      <c r="G475" s="5" t="s">
        <v>5235</v>
      </c>
      <c r="H475" s="5" t="s">
        <v>2671</v>
      </c>
      <c r="I475" s="5" t="s">
        <v>1782</v>
      </c>
      <c r="J475" s="91">
        <v>27909.0</v>
      </c>
      <c r="K475" s="5">
        <v>883.0</v>
      </c>
      <c r="L475" s="5" t="s">
        <v>5236</v>
      </c>
      <c r="M475" s="5">
        <v>2434.0</v>
      </c>
      <c r="N475" s="5" t="s">
        <v>5237</v>
      </c>
      <c r="O475" s="5">
        <v>54132.0</v>
      </c>
      <c r="P475" s="5" t="s">
        <v>5238</v>
      </c>
      <c r="Q475" s="5" t="s">
        <v>2041</v>
      </c>
      <c r="R475" s="5">
        <v>834.0</v>
      </c>
      <c r="S475" s="5">
        <v>4.434877673E9</v>
      </c>
      <c r="T475" s="5" t="s">
        <v>5239</v>
      </c>
      <c r="U475" s="5" t="s">
        <v>1787</v>
      </c>
      <c r="V475" s="5">
        <v>1.234567891E9</v>
      </c>
      <c r="W475" s="5" t="s">
        <v>1787</v>
      </c>
      <c r="X475" s="91">
        <v>45600.0</v>
      </c>
      <c r="Y475" s="5">
        <v>4.0</v>
      </c>
      <c r="Z475" s="5">
        <v>3.0</v>
      </c>
      <c r="AA475" s="5">
        <v>58.0</v>
      </c>
      <c r="AB475" s="5" t="s">
        <v>5240</v>
      </c>
      <c r="AC475" s="5"/>
      <c r="AD475" s="5" t="s">
        <v>1770</v>
      </c>
      <c r="AE475" s="5" t="s">
        <v>1770</v>
      </c>
      <c r="AF475" s="5"/>
      <c r="AG475" s="5"/>
      <c r="AH475" s="5">
        <v>1.1967615995E10</v>
      </c>
      <c r="AI475" s="5"/>
      <c r="AJ475" s="5"/>
      <c r="AK475" s="5" t="s">
        <v>1773</v>
      </c>
      <c r="AL475" s="92">
        <v>0.0</v>
      </c>
      <c r="AM475" s="5" t="s">
        <v>1770</v>
      </c>
      <c r="AN475" s="5" t="s">
        <v>4382</v>
      </c>
      <c r="AO475" s="5"/>
      <c r="AP475" s="5"/>
      <c r="AQ475" s="5"/>
      <c r="AR475" s="5"/>
      <c r="AS475" s="5"/>
      <c r="AT475" s="5"/>
      <c r="AU475" s="5"/>
      <c r="AV475" s="5"/>
      <c r="AW475" s="5" t="s">
        <v>1770</v>
      </c>
      <c r="AX475" s="5"/>
      <c r="AY475" s="5"/>
      <c r="AZ475" s="5" t="s">
        <v>1770</v>
      </c>
      <c r="BA475" s="93">
        <v>0.0</v>
      </c>
      <c r="BB475" s="93">
        <v>0.0</v>
      </c>
      <c r="BC475" s="93">
        <v>0.0</v>
      </c>
      <c r="BD475" s="93">
        <v>0.0</v>
      </c>
      <c r="BE475" s="93">
        <v>0.0</v>
      </c>
      <c r="BF475" s="93">
        <v>0.0</v>
      </c>
      <c r="BG475" s="5"/>
      <c r="BH475" s="93">
        <v>0.0</v>
      </c>
      <c r="BI475" s="93">
        <v>0.0</v>
      </c>
      <c r="BJ475" s="93">
        <v>0.0</v>
      </c>
      <c r="BK475" s="93">
        <v>0.0</v>
      </c>
      <c r="BL475" s="93">
        <v>0.0</v>
      </c>
      <c r="BM475" s="93">
        <v>0.0</v>
      </c>
      <c r="BN475" s="93">
        <v>0.0</v>
      </c>
      <c r="BO475" s="5"/>
      <c r="BP475" s="5" t="s">
        <v>1770</v>
      </c>
      <c r="BQ475" s="5" t="s">
        <v>1789</v>
      </c>
      <c r="BR475" s="94">
        <v>45617.36252314815</v>
      </c>
      <c r="BS475" s="5">
        <v>40.0</v>
      </c>
      <c r="BT475" s="5" t="s">
        <v>1770</v>
      </c>
      <c r="BU475" s="5" t="s">
        <v>1770</v>
      </c>
      <c r="BV475" s="94">
        <v>45631.45925925926</v>
      </c>
      <c r="BW475" s="5">
        <v>40.0</v>
      </c>
    </row>
    <row r="476" ht="14.25" customHeight="1">
      <c r="A476" s="5">
        <v>475.0</v>
      </c>
      <c r="B476" s="5">
        <v>742.0</v>
      </c>
      <c r="C476" s="5" t="s">
        <v>5241</v>
      </c>
      <c r="D476" s="5" t="s">
        <v>2111</v>
      </c>
      <c r="E476" s="5" t="s">
        <v>2252</v>
      </c>
      <c r="F476" s="5" t="s">
        <v>5242</v>
      </c>
      <c r="G476" s="5" t="s">
        <v>5243</v>
      </c>
      <c r="H476" s="5" t="s">
        <v>1762</v>
      </c>
      <c r="I476" s="5" t="s">
        <v>1763</v>
      </c>
      <c r="J476" s="91">
        <v>31921.0</v>
      </c>
      <c r="K476" s="5">
        <v>549.0</v>
      </c>
      <c r="L476" s="5" t="s">
        <v>5244</v>
      </c>
      <c r="M476" s="5">
        <v>89.0</v>
      </c>
      <c r="N476" s="5"/>
      <c r="O476" s="5">
        <v>73893.0</v>
      </c>
      <c r="P476" s="5" t="s">
        <v>2109</v>
      </c>
      <c r="Q476" s="5" t="s">
        <v>1766</v>
      </c>
      <c r="R476" s="5">
        <v>549.0</v>
      </c>
      <c r="S476" s="5">
        <v>3.931000398E9</v>
      </c>
      <c r="T476" s="5" t="s">
        <v>5245</v>
      </c>
      <c r="U476" s="5" t="s">
        <v>5246</v>
      </c>
      <c r="V476" s="5">
        <v>3.931010629E9</v>
      </c>
      <c r="W476" s="5" t="s">
        <v>1769</v>
      </c>
      <c r="X476" s="91">
        <v>45628.0</v>
      </c>
      <c r="Y476" s="5" t="s">
        <v>1770</v>
      </c>
      <c r="Z476" s="5">
        <v>17.0</v>
      </c>
      <c r="AA476" s="5">
        <v>84.0</v>
      </c>
      <c r="AB476" s="5"/>
      <c r="AC476" s="5"/>
      <c r="AD476" s="5" t="s">
        <v>1770</v>
      </c>
      <c r="AE476" s="5" t="s">
        <v>1770</v>
      </c>
      <c r="AF476" s="5"/>
      <c r="AG476" s="5"/>
      <c r="AH476" s="5">
        <v>7.5058718109E10</v>
      </c>
      <c r="AI476" s="5">
        <v>23.0</v>
      </c>
      <c r="AJ476" s="5"/>
      <c r="AK476" s="5" t="s">
        <v>1773</v>
      </c>
      <c r="AL476" s="92">
        <v>0.0</v>
      </c>
      <c r="AM476" s="5" t="s">
        <v>1770</v>
      </c>
      <c r="AN476" s="5" t="s">
        <v>1774</v>
      </c>
      <c r="AO476" s="5"/>
      <c r="AP476" s="5"/>
      <c r="AQ476" s="5"/>
      <c r="AR476" s="5"/>
      <c r="AS476" s="5"/>
      <c r="AT476" s="5"/>
      <c r="AU476" s="5"/>
      <c r="AV476" s="5"/>
      <c r="AW476" s="5" t="s">
        <v>1770</v>
      </c>
      <c r="AX476" s="5"/>
      <c r="AY476" s="5"/>
      <c r="AZ476" s="5" t="s">
        <v>1770</v>
      </c>
      <c r="BA476" s="93">
        <v>0.0</v>
      </c>
      <c r="BB476" s="93">
        <v>0.0</v>
      </c>
      <c r="BC476" s="93">
        <v>0.0</v>
      </c>
      <c r="BD476" s="93">
        <v>0.0</v>
      </c>
      <c r="BE476" s="93">
        <v>0.0</v>
      </c>
      <c r="BF476" s="93">
        <v>0.0</v>
      </c>
      <c r="BG476" s="5"/>
      <c r="BH476" s="93">
        <v>0.0</v>
      </c>
      <c r="BI476" s="93">
        <v>0.0</v>
      </c>
      <c r="BJ476" s="93">
        <v>0.0</v>
      </c>
      <c r="BK476" s="93">
        <v>0.0</v>
      </c>
      <c r="BL476" s="93">
        <v>0.0</v>
      </c>
      <c r="BM476" s="93">
        <v>0.0</v>
      </c>
      <c r="BN476" s="93">
        <v>0.0</v>
      </c>
      <c r="BO476" s="5"/>
      <c r="BP476" s="5" t="s">
        <v>1770</v>
      </c>
      <c r="BQ476" s="5" t="s">
        <v>1775</v>
      </c>
      <c r="BR476" s="94">
        <v>45631.43368055556</v>
      </c>
      <c r="BS476" s="5">
        <v>40.0</v>
      </c>
      <c r="BT476" s="94">
        <v>45892.55012731482</v>
      </c>
      <c r="BU476" s="5" t="s">
        <v>1770</v>
      </c>
      <c r="BV476" s="5" t="s">
        <v>1770</v>
      </c>
      <c r="BW476" s="5" t="s">
        <v>1770</v>
      </c>
    </row>
    <row r="477" ht="14.25" customHeight="1">
      <c r="A477" s="5">
        <v>476.0</v>
      </c>
      <c r="B477" s="5">
        <v>743.0</v>
      </c>
      <c r="C477" s="5" t="s">
        <v>1855</v>
      </c>
      <c r="D477" s="5" t="s">
        <v>2098</v>
      </c>
      <c r="E477" s="5" t="s">
        <v>2005</v>
      </c>
      <c r="F477" s="5" t="s">
        <v>5247</v>
      </c>
      <c r="G477" s="5" t="s">
        <v>5248</v>
      </c>
      <c r="H477" s="5" t="s">
        <v>1781</v>
      </c>
      <c r="I477" s="5" t="s">
        <v>1782</v>
      </c>
      <c r="J477" s="91">
        <v>25695.0</v>
      </c>
      <c r="K477" s="5">
        <v>269.0</v>
      </c>
      <c r="L477" s="5" t="s">
        <v>2881</v>
      </c>
      <c r="M477" s="5">
        <v>247.0</v>
      </c>
      <c r="N477" s="5"/>
      <c r="O477" s="5">
        <v>43801.0</v>
      </c>
      <c r="P477" s="5" t="s">
        <v>2855</v>
      </c>
      <c r="Q477" s="5" t="s">
        <v>2179</v>
      </c>
      <c r="R477" s="5">
        <v>594.0</v>
      </c>
      <c r="S477" s="5">
        <v>3.921669801E9</v>
      </c>
      <c r="T477" s="5" t="s">
        <v>5249</v>
      </c>
      <c r="U477" s="5" t="s">
        <v>5250</v>
      </c>
      <c r="V477" s="5">
        <v>3.929408534E9</v>
      </c>
      <c r="W477" s="5" t="s">
        <v>1787</v>
      </c>
      <c r="X477" s="91">
        <v>45630.0</v>
      </c>
      <c r="Y477" s="5">
        <v>5.0</v>
      </c>
      <c r="Z477" s="5">
        <v>3.0</v>
      </c>
      <c r="AA477" s="5">
        <v>58.0</v>
      </c>
      <c r="AB477" s="5" t="s">
        <v>5251</v>
      </c>
      <c r="AC477" s="5" t="s">
        <v>1800</v>
      </c>
      <c r="AD477" s="91">
        <v>45622.0</v>
      </c>
      <c r="AE477" s="91">
        <v>47083.0</v>
      </c>
      <c r="AF477" s="5"/>
      <c r="AG477" s="5"/>
      <c r="AH477" s="5">
        <v>3.0937006853E10</v>
      </c>
      <c r="AI477" s="5">
        <v>95.0</v>
      </c>
      <c r="AJ477" s="5"/>
      <c r="AK477" s="5" t="s">
        <v>1773</v>
      </c>
      <c r="AL477" s="92">
        <v>0.0</v>
      </c>
      <c r="AM477" s="5" t="s">
        <v>1770</v>
      </c>
      <c r="AN477" s="5" t="s">
        <v>1830</v>
      </c>
      <c r="AO477" s="5"/>
      <c r="AP477" s="5"/>
      <c r="AQ477" s="5"/>
      <c r="AR477" s="5"/>
      <c r="AS477" s="5"/>
      <c r="AT477" s="5"/>
      <c r="AU477" s="5"/>
      <c r="AV477" s="5"/>
      <c r="AW477" s="5" t="s">
        <v>1770</v>
      </c>
      <c r="AX477" s="5"/>
      <c r="AY477" s="5"/>
      <c r="AZ477" s="5" t="s">
        <v>1770</v>
      </c>
      <c r="BA477" s="93">
        <v>0.0</v>
      </c>
      <c r="BB477" s="93">
        <v>0.0</v>
      </c>
      <c r="BC477" s="93">
        <v>0.0</v>
      </c>
      <c r="BD477" s="93">
        <v>0.0</v>
      </c>
      <c r="BE477" s="93">
        <v>0.0</v>
      </c>
      <c r="BF477" s="93">
        <v>0.0</v>
      </c>
      <c r="BG477" s="5"/>
      <c r="BH477" s="93">
        <v>0.0</v>
      </c>
      <c r="BI477" s="93">
        <v>0.0</v>
      </c>
      <c r="BJ477" s="93">
        <v>0.0</v>
      </c>
      <c r="BK477" s="93">
        <v>0.0</v>
      </c>
      <c r="BL477" s="93">
        <v>0.0</v>
      </c>
      <c r="BM477" s="93">
        <v>0.0</v>
      </c>
      <c r="BN477" s="93">
        <v>0.0</v>
      </c>
      <c r="BO477" s="5"/>
      <c r="BP477" s="5" t="s">
        <v>1770</v>
      </c>
      <c r="BQ477" s="5" t="s">
        <v>1789</v>
      </c>
      <c r="BR477" s="94">
        <v>45631.458599537036</v>
      </c>
      <c r="BS477" s="5">
        <v>40.0</v>
      </c>
      <c r="BT477" s="94">
        <v>45643.57134259259</v>
      </c>
      <c r="BU477" s="5">
        <v>40.0</v>
      </c>
      <c r="BV477" s="94">
        <v>45707.52247685185</v>
      </c>
      <c r="BW477" s="5">
        <v>40.0</v>
      </c>
    </row>
    <row r="478" ht="14.25" customHeight="1">
      <c r="A478" s="5">
        <v>477.0</v>
      </c>
      <c r="B478" s="5">
        <v>744.0</v>
      </c>
      <c r="C478" s="5" t="s">
        <v>5252</v>
      </c>
      <c r="D478" s="100" t="s">
        <v>5253</v>
      </c>
      <c r="E478" s="5" t="s">
        <v>5254</v>
      </c>
      <c r="F478" s="5" t="s">
        <v>5255</v>
      </c>
      <c r="G478" s="5" t="s">
        <v>5256</v>
      </c>
      <c r="H478" s="5" t="s">
        <v>1762</v>
      </c>
      <c r="I478" s="5" t="s">
        <v>1763</v>
      </c>
      <c r="J478" s="91">
        <v>29129.0</v>
      </c>
      <c r="K478" s="5">
        <v>424.0</v>
      </c>
      <c r="L478" s="5" t="s">
        <v>5257</v>
      </c>
      <c r="M478" s="5" t="s">
        <v>2913</v>
      </c>
      <c r="N478" s="5"/>
      <c r="O478" s="5">
        <v>35872.0</v>
      </c>
      <c r="P478" s="5" t="s">
        <v>2817</v>
      </c>
      <c r="Q478" s="5" t="s">
        <v>2406</v>
      </c>
      <c r="R478" s="5">
        <v>424.0</v>
      </c>
      <c r="S478" s="5">
        <v>4.691082193E9</v>
      </c>
      <c r="T478" s="5" t="s">
        <v>5258</v>
      </c>
      <c r="U478" s="5" t="s">
        <v>5259</v>
      </c>
      <c r="V478" s="5">
        <v>4.691236189E9</v>
      </c>
      <c r="W478" s="5" t="s">
        <v>1769</v>
      </c>
      <c r="X478" s="91">
        <v>45631.0</v>
      </c>
      <c r="Y478" s="5">
        <v>2.0</v>
      </c>
      <c r="Z478" s="5">
        <v>17.0</v>
      </c>
      <c r="AA478" s="5">
        <v>109.0</v>
      </c>
      <c r="AB478" s="5"/>
      <c r="AC478" s="5"/>
      <c r="AD478" s="5" t="s">
        <v>1770</v>
      </c>
      <c r="AE478" s="5" t="s">
        <v>1770</v>
      </c>
      <c r="AF478" s="5"/>
      <c r="AG478" s="5"/>
      <c r="AH478" s="5">
        <v>1.107909157E9</v>
      </c>
      <c r="AI478" s="5"/>
      <c r="AJ478" s="5"/>
      <c r="AK478" s="5" t="s">
        <v>1773</v>
      </c>
      <c r="AL478" s="92">
        <v>0.0</v>
      </c>
      <c r="AM478" s="5" t="s">
        <v>1770</v>
      </c>
      <c r="AN478" s="5" t="s">
        <v>1774</v>
      </c>
      <c r="AO478" s="5"/>
      <c r="AP478" s="5"/>
      <c r="AQ478" s="5"/>
      <c r="AR478" s="5"/>
      <c r="AS478" s="5"/>
      <c r="AT478" s="5"/>
      <c r="AU478" s="5"/>
      <c r="AV478" s="5"/>
      <c r="AW478" s="5" t="s">
        <v>1770</v>
      </c>
      <c r="AX478" s="5"/>
      <c r="AY478" s="5"/>
      <c r="AZ478" s="5" t="s">
        <v>1770</v>
      </c>
      <c r="BA478" s="93">
        <v>0.0</v>
      </c>
      <c r="BB478" s="93">
        <v>0.0</v>
      </c>
      <c r="BC478" s="93">
        <v>0.0</v>
      </c>
      <c r="BD478" s="93">
        <v>0.0</v>
      </c>
      <c r="BE478" s="93">
        <v>0.0</v>
      </c>
      <c r="BF478" s="93">
        <v>0.0</v>
      </c>
      <c r="BG478" s="5"/>
      <c r="BH478" s="93">
        <v>0.0</v>
      </c>
      <c r="BI478" s="93">
        <v>0.0</v>
      </c>
      <c r="BJ478" s="93">
        <v>0.0</v>
      </c>
      <c r="BK478" s="93">
        <v>0.0</v>
      </c>
      <c r="BL478" s="93">
        <v>0.0</v>
      </c>
      <c r="BM478" s="93">
        <v>0.0</v>
      </c>
      <c r="BN478" s="93">
        <v>0.0</v>
      </c>
      <c r="BO478" s="5"/>
      <c r="BP478" s="5"/>
      <c r="BQ478" s="5" t="s">
        <v>1775</v>
      </c>
      <c r="BR478" s="94">
        <v>45643.55100694444</v>
      </c>
      <c r="BS478" s="5">
        <v>40.0</v>
      </c>
      <c r="BT478" s="94">
        <v>46134.61732638889</v>
      </c>
      <c r="BU478" s="5" t="s">
        <v>1770</v>
      </c>
      <c r="BV478" s="5" t="s">
        <v>1770</v>
      </c>
      <c r="BW478" s="5" t="s">
        <v>1770</v>
      </c>
    </row>
    <row r="479" ht="14.25" customHeight="1">
      <c r="A479" s="5">
        <v>478.0</v>
      </c>
      <c r="B479" s="5">
        <v>10003.0</v>
      </c>
      <c r="C479" s="5" t="s">
        <v>5260</v>
      </c>
      <c r="D479" s="5" t="s">
        <v>2132</v>
      </c>
      <c r="E479" s="5"/>
      <c r="F479" s="5" t="s">
        <v>5261</v>
      </c>
      <c r="G479" s="5" t="s">
        <v>5262</v>
      </c>
      <c r="H479" s="5" t="s">
        <v>1781</v>
      </c>
      <c r="I479" s="5" t="s">
        <v>1782</v>
      </c>
      <c r="J479" s="91">
        <v>23073.0</v>
      </c>
      <c r="K479" s="5">
        <v>424.0</v>
      </c>
      <c r="L479" s="5" t="s">
        <v>3107</v>
      </c>
      <c r="M479" s="5">
        <v>77.0</v>
      </c>
      <c r="N479" s="5"/>
      <c r="O479" s="5">
        <v>55162.0</v>
      </c>
      <c r="P479" s="5" t="s">
        <v>5263</v>
      </c>
      <c r="Q479" s="5" t="s">
        <v>234</v>
      </c>
      <c r="R479" s="5">
        <v>850.0</v>
      </c>
      <c r="S479" s="5">
        <v>3.521632567E9</v>
      </c>
      <c r="T479" s="5"/>
      <c r="U479" s="5" t="s">
        <v>5264</v>
      </c>
      <c r="V479" s="5">
        <v>3.521273137E9</v>
      </c>
      <c r="W479" s="5" t="s">
        <v>1787</v>
      </c>
      <c r="X479" s="91">
        <v>45124.0</v>
      </c>
      <c r="Y479" s="5">
        <v>3.0</v>
      </c>
      <c r="Z479" s="5">
        <v>14.0</v>
      </c>
      <c r="AA479" s="5">
        <v>61.0</v>
      </c>
      <c r="AB479" s="5"/>
      <c r="AC479" s="5"/>
      <c r="AD479" s="5" t="s">
        <v>1770</v>
      </c>
      <c r="AE479" s="5" t="s">
        <v>1770</v>
      </c>
      <c r="AF479" s="5"/>
      <c r="AG479" s="5"/>
      <c r="AH479" s="5">
        <v>1.2345678941E10</v>
      </c>
      <c r="AI479" s="5"/>
      <c r="AJ479" s="5"/>
      <c r="AK479" s="5" t="s">
        <v>1773</v>
      </c>
      <c r="AL479" s="92">
        <v>0.0</v>
      </c>
      <c r="AM479" s="5" t="s">
        <v>1770</v>
      </c>
      <c r="AN479" s="5" t="s">
        <v>1830</v>
      </c>
      <c r="AO479" s="5" t="s">
        <v>3111</v>
      </c>
      <c r="AP479" s="5"/>
      <c r="AQ479" s="5">
        <v>27.0</v>
      </c>
      <c r="AR479" s="5"/>
      <c r="AS479" s="5"/>
      <c r="AT479" s="5"/>
      <c r="AU479" s="5"/>
      <c r="AV479" s="5"/>
      <c r="AW479" s="5" t="s">
        <v>1770</v>
      </c>
      <c r="AX479" s="5"/>
      <c r="AY479" s="5"/>
      <c r="AZ479" s="5" t="s">
        <v>1770</v>
      </c>
      <c r="BA479" s="93">
        <v>0.0</v>
      </c>
      <c r="BB479" s="93">
        <v>0.0</v>
      </c>
      <c r="BC479" s="93">
        <v>0.0</v>
      </c>
      <c r="BD479" s="93">
        <v>0.0</v>
      </c>
      <c r="BE479" s="93">
        <v>0.0</v>
      </c>
      <c r="BF479" s="93">
        <v>0.0</v>
      </c>
      <c r="BG479" s="5"/>
      <c r="BH479" s="93">
        <v>0.0</v>
      </c>
      <c r="BI479" s="93">
        <v>0.0</v>
      </c>
      <c r="BJ479" s="93">
        <v>0.0</v>
      </c>
      <c r="BK479" s="93">
        <v>0.0</v>
      </c>
      <c r="BL479" s="93">
        <v>0.0</v>
      </c>
      <c r="BM479" s="93">
        <v>0.0</v>
      </c>
      <c r="BN479" s="93">
        <v>0.0</v>
      </c>
      <c r="BO479" s="5"/>
      <c r="BP479" s="5" t="s">
        <v>5265</v>
      </c>
      <c r="BQ479" s="5" t="s">
        <v>1775</v>
      </c>
      <c r="BR479" s="94">
        <v>45645.43748842592</v>
      </c>
      <c r="BS479" s="5">
        <v>40.0</v>
      </c>
      <c r="BT479" s="94">
        <v>46135.39398148148</v>
      </c>
      <c r="BU479" s="5">
        <v>339.0</v>
      </c>
      <c r="BV479" s="5" t="s">
        <v>1770</v>
      </c>
      <c r="BW479" s="5" t="s">
        <v>1770</v>
      </c>
    </row>
    <row r="480" ht="14.25" customHeight="1">
      <c r="A480" s="5">
        <v>479.0</v>
      </c>
      <c r="B480" s="5">
        <v>745.0</v>
      </c>
      <c r="C480" s="5" t="s">
        <v>3628</v>
      </c>
      <c r="D480" s="5" t="s">
        <v>4253</v>
      </c>
      <c r="E480" s="5" t="s">
        <v>2603</v>
      </c>
      <c r="F480" s="5" t="s">
        <v>5266</v>
      </c>
      <c r="G480" s="5" t="s">
        <v>5267</v>
      </c>
      <c r="H480" s="5" t="s">
        <v>1781</v>
      </c>
      <c r="I480" s="5" t="s">
        <v>1782</v>
      </c>
      <c r="J480" s="91">
        <v>35490.0</v>
      </c>
      <c r="K480" s="5">
        <v>850.0</v>
      </c>
      <c r="L480" s="5" t="s">
        <v>5268</v>
      </c>
      <c r="M480" s="5">
        <v>14.0</v>
      </c>
      <c r="N480" s="5"/>
      <c r="O480" s="5">
        <v>55152.0</v>
      </c>
      <c r="P480" s="5" t="s">
        <v>5269</v>
      </c>
      <c r="Q480" s="5" t="s">
        <v>234</v>
      </c>
      <c r="R480" s="5">
        <v>850.0</v>
      </c>
      <c r="S480" s="5">
        <v>3.521452176E9</v>
      </c>
      <c r="T480" s="5" t="s">
        <v>5270</v>
      </c>
      <c r="U480" s="5" t="s">
        <v>5271</v>
      </c>
      <c r="V480" s="5">
        <v>3.521100349E9</v>
      </c>
      <c r="W480" s="5" t="s">
        <v>1787</v>
      </c>
      <c r="X480" s="91">
        <v>45647.0</v>
      </c>
      <c r="Y480" s="5">
        <v>3.0</v>
      </c>
      <c r="Z480" s="5">
        <v>19.0</v>
      </c>
      <c r="AA480" s="5">
        <v>15.0</v>
      </c>
      <c r="AB480" s="5"/>
      <c r="AC480" s="5"/>
      <c r="AD480" s="5" t="s">
        <v>1770</v>
      </c>
      <c r="AE480" s="5" t="s">
        <v>1770</v>
      </c>
      <c r="AF480" s="5"/>
      <c r="AG480" s="5"/>
      <c r="AH480" s="5">
        <v>6.5169748202E10</v>
      </c>
      <c r="AI480" s="5">
        <v>77.0</v>
      </c>
      <c r="AJ480" s="5"/>
      <c r="AK480" s="5" t="s">
        <v>1773</v>
      </c>
      <c r="AL480" s="92">
        <v>0.0</v>
      </c>
      <c r="AM480" s="5" t="s">
        <v>1770</v>
      </c>
      <c r="AN480" s="5" t="s">
        <v>2052</v>
      </c>
      <c r="AO480" s="5" t="s">
        <v>2425</v>
      </c>
      <c r="AP480" s="5"/>
      <c r="AQ480" s="5">
        <v>26.0</v>
      </c>
      <c r="AR480" s="5"/>
      <c r="AS480" s="5"/>
      <c r="AT480" s="5"/>
      <c r="AU480" s="5"/>
      <c r="AV480" s="5"/>
      <c r="AW480" s="5" t="s">
        <v>1770</v>
      </c>
      <c r="AX480" s="5"/>
      <c r="AY480" s="5"/>
      <c r="AZ480" s="5" t="s">
        <v>1770</v>
      </c>
      <c r="BA480" s="93">
        <v>0.0</v>
      </c>
      <c r="BB480" s="93">
        <v>0.0</v>
      </c>
      <c r="BC480" s="93">
        <v>0.0</v>
      </c>
      <c r="BD480" s="93">
        <v>0.0</v>
      </c>
      <c r="BE480" s="93">
        <v>0.0</v>
      </c>
      <c r="BF480" s="93">
        <v>0.0</v>
      </c>
      <c r="BG480" s="5"/>
      <c r="BH480" s="93">
        <v>0.0</v>
      </c>
      <c r="BI480" s="93">
        <v>0.0</v>
      </c>
      <c r="BJ480" s="93">
        <v>0.0</v>
      </c>
      <c r="BK480" s="93">
        <v>0.0</v>
      </c>
      <c r="BL480" s="93">
        <v>0.0</v>
      </c>
      <c r="BM480" s="93">
        <v>0.0</v>
      </c>
      <c r="BN480" s="93">
        <v>0.0</v>
      </c>
      <c r="BO480" s="5"/>
      <c r="BP480" s="5"/>
      <c r="BQ480" s="5" t="s">
        <v>1775</v>
      </c>
      <c r="BR480" s="94">
        <v>45650.437002314815</v>
      </c>
      <c r="BS480" s="5">
        <v>40.0</v>
      </c>
      <c r="BT480" s="94">
        <v>46135.38444444445</v>
      </c>
      <c r="BU480" s="5">
        <v>339.0</v>
      </c>
      <c r="BV480" s="5" t="s">
        <v>1770</v>
      </c>
      <c r="BW480" s="5" t="s">
        <v>1770</v>
      </c>
    </row>
    <row r="481" ht="14.25" customHeight="1">
      <c r="A481" s="5">
        <v>480.0</v>
      </c>
      <c r="B481" s="5">
        <v>746.0</v>
      </c>
      <c r="C481" s="5" t="s">
        <v>5272</v>
      </c>
      <c r="D481" s="5" t="s">
        <v>2144</v>
      </c>
      <c r="E481" s="5" t="s">
        <v>4279</v>
      </c>
      <c r="F481" s="5" t="s">
        <v>5273</v>
      </c>
      <c r="G481" s="5" t="s">
        <v>5274</v>
      </c>
      <c r="H481" s="5" t="s">
        <v>1815</v>
      </c>
      <c r="I481" s="5" t="s">
        <v>1763</v>
      </c>
      <c r="J481" s="91">
        <v>36686.0</v>
      </c>
      <c r="K481" s="5">
        <v>850.0</v>
      </c>
      <c r="L481" s="5" t="s">
        <v>5275</v>
      </c>
      <c r="M481" s="5">
        <v>423.0</v>
      </c>
      <c r="N481" s="5"/>
      <c r="O481" s="5">
        <v>55186.0</v>
      </c>
      <c r="P481" s="5" t="s">
        <v>3633</v>
      </c>
      <c r="Q481" s="5" t="s">
        <v>234</v>
      </c>
      <c r="R481" s="5">
        <v>850.0</v>
      </c>
      <c r="S481" s="5">
        <v>3.521159243E9</v>
      </c>
      <c r="T481" s="5" t="s">
        <v>5276</v>
      </c>
      <c r="U481" s="5" t="s">
        <v>1924</v>
      </c>
      <c r="V481" s="5">
        <v>1.234567894E9</v>
      </c>
      <c r="W481" s="5" t="s">
        <v>1924</v>
      </c>
      <c r="X481" s="91">
        <v>45649.0</v>
      </c>
      <c r="Y481" s="5">
        <v>3.0</v>
      </c>
      <c r="Z481" s="5">
        <v>4.0</v>
      </c>
      <c r="AA481" s="5">
        <v>37.0</v>
      </c>
      <c r="AB481" s="5"/>
      <c r="AC481" s="5"/>
      <c r="AD481" s="5" t="s">
        <v>1770</v>
      </c>
      <c r="AE481" s="5" t="s">
        <v>1770</v>
      </c>
      <c r="AF481" s="5"/>
      <c r="AG481" s="5"/>
      <c r="AH481" s="5">
        <v>6.130076935E9</v>
      </c>
      <c r="AI481" s="5">
        <v>77.0</v>
      </c>
      <c r="AJ481" s="5"/>
      <c r="AK481" s="5" t="s">
        <v>1773</v>
      </c>
      <c r="AL481" s="92">
        <v>0.0</v>
      </c>
      <c r="AM481" s="5" t="s">
        <v>1770</v>
      </c>
      <c r="AN481" s="5" t="s">
        <v>4382</v>
      </c>
      <c r="AO481" s="5"/>
      <c r="AP481" s="5"/>
      <c r="AQ481" s="5"/>
      <c r="AR481" s="5"/>
      <c r="AS481" s="5"/>
      <c r="AT481" s="5"/>
      <c r="AU481" s="5"/>
      <c r="AV481" s="5"/>
      <c r="AW481" s="5" t="s">
        <v>1770</v>
      </c>
      <c r="AX481" s="5"/>
      <c r="AY481" s="5"/>
      <c r="AZ481" s="5" t="s">
        <v>1770</v>
      </c>
      <c r="BA481" s="93">
        <v>0.0</v>
      </c>
      <c r="BB481" s="93">
        <v>0.0</v>
      </c>
      <c r="BC481" s="93">
        <v>0.0</v>
      </c>
      <c r="BD481" s="93">
        <v>0.0</v>
      </c>
      <c r="BE481" s="93">
        <v>0.0</v>
      </c>
      <c r="BF481" s="93">
        <v>0.0</v>
      </c>
      <c r="BG481" s="5"/>
      <c r="BH481" s="93">
        <v>0.0</v>
      </c>
      <c r="BI481" s="93">
        <v>0.0</v>
      </c>
      <c r="BJ481" s="93">
        <v>0.0</v>
      </c>
      <c r="BK481" s="93">
        <v>0.0</v>
      </c>
      <c r="BL481" s="93">
        <v>0.0</v>
      </c>
      <c r="BM481" s="93">
        <v>0.0</v>
      </c>
      <c r="BN481" s="93">
        <v>0.0</v>
      </c>
      <c r="BO481" s="5"/>
      <c r="BP481" s="5" t="s">
        <v>1770</v>
      </c>
      <c r="BQ481" s="5" t="s">
        <v>1789</v>
      </c>
      <c r="BR481" s="94">
        <v>45650.44931712963</v>
      </c>
      <c r="BS481" s="5">
        <v>40.0</v>
      </c>
      <c r="BT481" s="94">
        <v>45894.41153935185</v>
      </c>
      <c r="BU481" s="5">
        <v>40.0</v>
      </c>
      <c r="BV481" s="94">
        <v>46042.70296296296</v>
      </c>
      <c r="BW481" s="5">
        <v>40.0</v>
      </c>
    </row>
    <row r="482" ht="14.25" customHeight="1">
      <c r="A482" s="5">
        <v>481.0</v>
      </c>
      <c r="B482" s="5">
        <v>747.0</v>
      </c>
      <c r="C482" s="5" t="s">
        <v>5277</v>
      </c>
      <c r="D482" s="5" t="s">
        <v>5278</v>
      </c>
      <c r="E482" s="5" t="s">
        <v>1969</v>
      </c>
      <c r="F482" s="5" t="s">
        <v>5279</v>
      </c>
      <c r="G482" s="5" t="s">
        <v>5280</v>
      </c>
      <c r="H482" s="5" t="s">
        <v>1781</v>
      </c>
      <c r="I482" s="5" t="s">
        <v>1782</v>
      </c>
      <c r="J482" s="91">
        <v>26272.0</v>
      </c>
      <c r="K482" s="5">
        <v>834.0</v>
      </c>
      <c r="L482" s="5" t="s">
        <v>5281</v>
      </c>
      <c r="M482" s="5">
        <v>271.0</v>
      </c>
      <c r="N482" s="5"/>
      <c r="O482" s="5">
        <v>53922.0</v>
      </c>
      <c r="P482" s="5" t="s">
        <v>5282</v>
      </c>
      <c r="Q482" s="5" t="s">
        <v>2041</v>
      </c>
      <c r="R482" s="5">
        <v>834.0</v>
      </c>
      <c r="S482" s="5">
        <v>4.435110143E9</v>
      </c>
      <c r="T482" s="5" t="s">
        <v>5283</v>
      </c>
      <c r="U482" s="5" t="s">
        <v>5284</v>
      </c>
      <c r="V482" s="5">
        <v>1.234567891E9</v>
      </c>
      <c r="W482" s="5" t="s">
        <v>1787</v>
      </c>
      <c r="X482" s="91">
        <v>45652.0</v>
      </c>
      <c r="Y482" s="5">
        <v>4.0</v>
      </c>
      <c r="Z482" s="5">
        <v>3.0</v>
      </c>
      <c r="AA482" s="5">
        <v>58.0</v>
      </c>
      <c r="AB482" s="5" t="s">
        <v>5285</v>
      </c>
      <c r="AC482" s="5" t="s">
        <v>1772</v>
      </c>
      <c r="AD482" s="91">
        <v>45411.0</v>
      </c>
      <c r="AE482" s="91">
        <v>52707.0</v>
      </c>
      <c r="AF482" s="5"/>
      <c r="AG482" s="5"/>
      <c r="AH482" s="5">
        <v>5.3947100417E10</v>
      </c>
      <c r="AI482" s="5">
        <v>80.0</v>
      </c>
      <c r="AJ482" s="5"/>
      <c r="AK482" s="5" t="s">
        <v>1773</v>
      </c>
      <c r="AL482" s="92">
        <v>0.0</v>
      </c>
      <c r="AM482" s="5" t="s">
        <v>1770</v>
      </c>
      <c r="AN482" s="5" t="s">
        <v>4382</v>
      </c>
      <c r="AO482" s="5"/>
      <c r="AP482" s="5"/>
      <c r="AQ482" s="5"/>
      <c r="AR482" s="5"/>
      <c r="AS482" s="5"/>
      <c r="AT482" s="5"/>
      <c r="AU482" s="5"/>
      <c r="AV482" s="5"/>
      <c r="AW482" s="5" t="s">
        <v>1770</v>
      </c>
      <c r="AX482" s="5"/>
      <c r="AY482" s="5"/>
      <c r="AZ482" s="5" t="s">
        <v>1770</v>
      </c>
      <c r="BA482" s="93">
        <v>0.0</v>
      </c>
      <c r="BB482" s="93">
        <v>0.0</v>
      </c>
      <c r="BC482" s="93">
        <v>0.0</v>
      </c>
      <c r="BD482" s="93">
        <v>0.0</v>
      </c>
      <c r="BE482" s="93">
        <v>0.0</v>
      </c>
      <c r="BF482" s="93">
        <v>0.0</v>
      </c>
      <c r="BG482" s="5"/>
      <c r="BH482" s="93">
        <v>0.0</v>
      </c>
      <c r="BI482" s="93">
        <v>0.0</v>
      </c>
      <c r="BJ482" s="93">
        <v>0.0</v>
      </c>
      <c r="BK482" s="93">
        <v>0.0</v>
      </c>
      <c r="BL482" s="93">
        <v>0.0</v>
      </c>
      <c r="BM482" s="93">
        <v>0.0</v>
      </c>
      <c r="BN482" s="93">
        <v>0.0</v>
      </c>
      <c r="BO482" s="5"/>
      <c r="BP482" s="5" t="s">
        <v>1770</v>
      </c>
      <c r="BQ482" s="5" t="s">
        <v>1789</v>
      </c>
      <c r="BR482" s="94">
        <v>45657.53741898148</v>
      </c>
      <c r="BS482" s="5">
        <v>40.0</v>
      </c>
      <c r="BT482" s="5" t="s">
        <v>1770</v>
      </c>
      <c r="BU482" s="5" t="s">
        <v>1770</v>
      </c>
      <c r="BV482" s="94">
        <v>45737.71533564815</v>
      </c>
      <c r="BW482" s="5">
        <v>40.0</v>
      </c>
    </row>
    <row r="483" ht="14.25" customHeight="1">
      <c r="A483" s="5">
        <v>482.0</v>
      </c>
      <c r="B483" s="5">
        <v>749.0</v>
      </c>
      <c r="C483" s="5" t="s">
        <v>5286</v>
      </c>
      <c r="D483" s="5" t="s">
        <v>2105</v>
      </c>
      <c r="E483" s="5" t="s">
        <v>1778</v>
      </c>
      <c r="F483" s="5" t="s">
        <v>5287</v>
      </c>
      <c r="G483" s="5" t="s">
        <v>5288</v>
      </c>
      <c r="H483" s="5" t="s">
        <v>1972</v>
      </c>
      <c r="I483" s="5" t="s">
        <v>1782</v>
      </c>
      <c r="J483" s="91">
        <v>32972.0</v>
      </c>
      <c r="K483" s="5">
        <v>549.0</v>
      </c>
      <c r="L483" s="5" t="s">
        <v>3091</v>
      </c>
      <c r="M483" s="5">
        <v>18.0</v>
      </c>
      <c r="N483" s="5"/>
      <c r="O483" s="5">
        <v>43882.0</v>
      </c>
      <c r="P483" s="5" t="s">
        <v>2048</v>
      </c>
      <c r="Q483" s="5" t="s">
        <v>1766</v>
      </c>
      <c r="R483" s="5">
        <v>549.0</v>
      </c>
      <c r="S483" s="5">
        <v>3.93100771E9</v>
      </c>
      <c r="T483" s="5" t="s">
        <v>5289</v>
      </c>
      <c r="U483" s="5" t="s">
        <v>5290</v>
      </c>
      <c r="V483" s="5">
        <v>3.931199678E9</v>
      </c>
      <c r="W483" s="5" t="s">
        <v>1819</v>
      </c>
      <c r="X483" s="91">
        <v>45659.0</v>
      </c>
      <c r="Y483" s="5">
        <v>1.0</v>
      </c>
      <c r="Z483" s="5">
        <v>4.0</v>
      </c>
      <c r="AA483" s="5">
        <v>98.0</v>
      </c>
      <c r="AB483" s="5"/>
      <c r="AC483" s="5"/>
      <c r="AD483" s="5" t="s">
        <v>1770</v>
      </c>
      <c r="AE483" s="5" t="s">
        <v>1770</v>
      </c>
      <c r="AF483" s="5"/>
      <c r="AG483" s="5"/>
      <c r="AH483" s="5">
        <v>4.139055893E9</v>
      </c>
      <c r="AI483" s="5">
        <v>23.0</v>
      </c>
      <c r="AJ483" s="5"/>
      <c r="AK483" s="5" t="s">
        <v>1773</v>
      </c>
      <c r="AL483" s="92">
        <v>0.0</v>
      </c>
      <c r="AM483" s="5" t="s">
        <v>1770</v>
      </c>
      <c r="AN483" s="5" t="s">
        <v>1830</v>
      </c>
      <c r="AO483" s="5"/>
      <c r="AP483" s="5"/>
      <c r="AQ483" s="5"/>
      <c r="AR483" s="5"/>
      <c r="AS483" s="5"/>
      <c r="AT483" s="5"/>
      <c r="AU483" s="5"/>
      <c r="AV483" s="5"/>
      <c r="AW483" s="5" t="s">
        <v>1770</v>
      </c>
      <c r="AX483" s="5"/>
      <c r="AY483" s="5"/>
      <c r="AZ483" s="5" t="s">
        <v>1770</v>
      </c>
      <c r="BA483" s="93">
        <v>0.0</v>
      </c>
      <c r="BB483" s="93">
        <v>0.0</v>
      </c>
      <c r="BC483" s="93">
        <v>0.0</v>
      </c>
      <c r="BD483" s="93">
        <v>0.0</v>
      </c>
      <c r="BE483" s="93">
        <v>0.0</v>
      </c>
      <c r="BF483" s="93">
        <v>0.0</v>
      </c>
      <c r="BG483" s="5"/>
      <c r="BH483" s="93">
        <v>0.0</v>
      </c>
      <c r="BI483" s="93">
        <v>0.0</v>
      </c>
      <c r="BJ483" s="93">
        <v>0.0</v>
      </c>
      <c r="BK483" s="93">
        <v>0.0</v>
      </c>
      <c r="BL483" s="93">
        <v>0.0</v>
      </c>
      <c r="BM483" s="93">
        <v>0.0</v>
      </c>
      <c r="BN483" s="93">
        <v>0.0</v>
      </c>
      <c r="BO483" s="5"/>
      <c r="BP483" s="5" t="s">
        <v>1770</v>
      </c>
      <c r="BQ483" s="5" t="s">
        <v>1775</v>
      </c>
      <c r="BR483" s="94">
        <v>45661.46209490741</v>
      </c>
      <c r="BS483" s="5">
        <v>40.0</v>
      </c>
      <c r="BT483" s="94">
        <v>45892.537777777776</v>
      </c>
      <c r="BU483" s="5" t="s">
        <v>1770</v>
      </c>
      <c r="BV483" s="5" t="s">
        <v>1770</v>
      </c>
      <c r="BW483" s="5" t="s">
        <v>1770</v>
      </c>
    </row>
    <row r="484" ht="14.25" customHeight="1">
      <c r="A484" s="5">
        <v>483.0</v>
      </c>
      <c r="B484" s="5">
        <v>752.0</v>
      </c>
      <c r="C484" s="5" t="s">
        <v>5291</v>
      </c>
      <c r="D484" s="5" t="s">
        <v>1878</v>
      </c>
      <c r="E484" s="5" t="s">
        <v>1926</v>
      </c>
      <c r="F484" s="5" t="s">
        <v>5292</v>
      </c>
      <c r="G484" s="5" t="s">
        <v>5293</v>
      </c>
      <c r="H484" s="5" t="s">
        <v>1972</v>
      </c>
      <c r="I484" s="5" t="s">
        <v>1782</v>
      </c>
      <c r="J484" s="91">
        <v>35771.0</v>
      </c>
      <c r="K484" s="5">
        <v>549.0</v>
      </c>
      <c r="L484" s="5" t="s">
        <v>3115</v>
      </c>
      <c r="M484" s="5">
        <v>16.0</v>
      </c>
      <c r="N484" s="5"/>
      <c r="O484" s="5">
        <v>43882.0</v>
      </c>
      <c r="P484" s="5" t="s">
        <v>3139</v>
      </c>
      <c r="Q484" s="5" t="s">
        <v>1883</v>
      </c>
      <c r="R484" s="5">
        <v>549.0</v>
      </c>
      <c r="S484" s="5">
        <v>3.931174336E9</v>
      </c>
      <c r="T484" s="5" t="s">
        <v>5294</v>
      </c>
      <c r="U484" s="5" t="s">
        <v>5295</v>
      </c>
      <c r="V484" s="5">
        <v>3.939359007E9</v>
      </c>
      <c r="W484" s="5" t="s">
        <v>1808</v>
      </c>
      <c r="X484" s="91">
        <v>45673.0</v>
      </c>
      <c r="Y484" s="5">
        <v>1.0</v>
      </c>
      <c r="Z484" s="5">
        <v>1.0</v>
      </c>
      <c r="AA484" s="5">
        <v>1.0</v>
      </c>
      <c r="AB484" s="5" t="s">
        <v>5296</v>
      </c>
      <c r="AC484" s="5" t="s">
        <v>1800</v>
      </c>
      <c r="AD484" s="91">
        <v>45505.0</v>
      </c>
      <c r="AE484" s="91">
        <v>46966.0</v>
      </c>
      <c r="AF484" s="5"/>
      <c r="AG484" s="5"/>
      <c r="AH484" s="5">
        <v>2.1169728199E10</v>
      </c>
      <c r="AI484" s="5">
        <v>23.0</v>
      </c>
      <c r="AJ484" s="5"/>
      <c r="AK484" s="5" t="s">
        <v>1773</v>
      </c>
      <c r="AL484" s="92">
        <v>0.0</v>
      </c>
      <c r="AM484" s="5" t="s">
        <v>1770</v>
      </c>
      <c r="AN484" s="5" t="s">
        <v>1774</v>
      </c>
      <c r="AO484" s="5"/>
      <c r="AP484" s="5"/>
      <c r="AQ484" s="5"/>
      <c r="AR484" s="5"/>
      <c r="AS484" s="5"/>
      <c r="AT484" s="5"/>
      <c r="AU484" s="5"/>
      <c r="AV484" s="5"/>
      <c r="AW484" s="5" t="s">
        <v>1770</v>
      </c>
      <c r="AX484" s="5"/>
      <c r="AY484" s="5"/>
      <c r="AZ484" s="5" t="s">
        <v>1770</v>
      </c>
      <c r="BA484" s="93">
        <v>0.0</v>
      </c>
      <c r="BB484" s="93">
        <v>0.0</v>
      </c>
      <c r="BC484" s="93">
        <v>0.0</v>
      </c>
      <c r="BD484" s="93">
        <v>0.0</v>
      </c>
      <c r="BE484" s="93">
        <v>0.0</v>
      </c>
      <c r="BF484" s="93">
        <v>0.0</v>
      </c>
      <c r="BG484" s="5"/>
      <c r="BH484" s="93">
        <v>0.0</v>
      </c>
      <c r="BI484" s="93">
        <v>0.0</v>
      </c>
      <c r="BJ484" s="93">
        <v>0.0</v>
      </c>
      <c r="BK484" s="93">
        <v>0.0</v>
      </c>
      <c r="BL484" s="93">
        <v>0.0</v>
      </c>
      <c r="BM484" s="93">
        <v>0.0</v>
      </c>
      <c r="BN484" s="93">
        <v>0.0</v>
      </c>
      <c r="BO484" s="5"/>
      <c r="BP484" s="5" t="s">
        <v>1770</v>
      </c>
      <c r="BQ484" s="5" t="s">
        <v>1789</v>
      </c>
      <c r="BR484" s="94">
        <v>45673.57200231482</v>
      </c>
      <c r="BS484" s="5">
        <v>40.0</v>
      </c>
      <c r="BT484" s="5" t="s">
        <v>1770</v>
      </c>
      <c r="BU484" s="5" t="s">
        <v>1770</v>
      </c>
      <c r="BV484" s="94">
        <v>45811.41439814815</v>
      </c>
      <c r="BW484" s="5">
        <v>275.0</v>
      </c>
    </row>
    <row r="485" ht="14.25" customHeight="1">
      <c r="A485" s="5">
        <v>484.0</v>
      </c>
      <c r="B485" s="5">
        <v>750.0</v>
      </c>
      <c r="C485" s="5" t="s">
        <v>5196</v>
      </c>
      <c r="D485" s="5" t="s">
        <v>1792</v>
      </c>
      <c r="E485" s="5" t="s">
        <v>3449</v>
      </c>
      <c r="F485" s="5" t="s">
        <v>5297</v>
      </c>
      <c r="G485" s="5" t="s">
        <v>5298</v>
      </c>
      <c r="H485" s="5" t="s">
        <v>2577</v>
      </c>
      <c r="I485" s="5" t="s">
        <v>1763</v>
      </c>
      <c r="J485" s="91">
        <v>24663.0</v>
      </c>
      <c r="K485" s="5">
        <v>418.0</v>
      </c>
      <c r="L485" s="5" t="s">
        <v>5299</v>
      </c>
      <c r="M485" s="5">
        <v>73.0</v>
      </c>
      <c r="N485" s="5"/>
      <c r="O485" s="5">
        <v>54082.0</v>
      </c>
      <c r="P485" s="5" t="s">
        <v>5300</v>
      </c>
      <c r="Q485" s="5" t="s">
        <v>2342</v>
      </c>
      <c r="R485" s="5">
        <v>869.0</v>
      </c>
      <c r="S485" s="5">
        <v>4.43131655E9</v>
      </c>
      <c r="T485" s="5" t="s">
        <v>5301</v>
      </c>
      <c r="U485" s="5" t="s">
        <v>5302</v>
      </c>
      <c r="V485" s="5">
        <v>1.234567891E9</v>
      </c>
      <c r="W485" s="5" t="s">
        <v>2284</v>
      </c>
      <c r="X485" s="91">
        <v>45665.0</v>
      </c>
      <c r="Y485" s="5">
        <v>4.0</v>
      </c>
      <c r="Z485" s="5">
        <v>4.0</v>
      </c>
      <c r="AA485" s="5">
        <v>17.0</v>
      </c>
      <c r="AB485" s="5"/>
      <c r="AC485" s="5"/>
      <c r="AD485" s="5" t="s">
        <v>1770</v>
      </c>
      <c r="AE485" s="5" t="s">
        <v>1770</v>
      </c>
      <c r="AF485" s="5"/>
      <c r="AG485" s="5"/>
      <c r="AH485" s="5">
        <v>4.016711592E9</v>
      </c>
      <c r="AI485" s="5">
        <v>80.0</v>
      </c>
      <c r="AJ485" s="5"/>
      <c r="AK485" s="5" t="s">
        <v>1773</v>
      </c>
      <c r="AL485" s="92">
        <v>0.0</v>
      </c>
      <c r="AM485" s="5" t="s">
        <v>1770</v>
      </c>
      <c r="AN485" s="5" t="s">
        <v>1774</v>
      </c>
      <c r="AO485" s="5"/>
      <c r="AP485" s="5"/>
      <c r="AQ485" s="5"/>
      <c r="AR485" s="5"/>
      <c r="AS485" s="5"/>
      <c r="AT485" s="5"/>
      <c r="AU485" s="5"/>
      <c r="AV485" s="5"/>
      <c r="AW485" s="5" t="s">
        <v>1770</v>
      </c>
      <c r="AX485" s="5"/>
      <c r="AY485" s="5"/>
      <c r="AZ485" s="5" t="s">
        <v>1770</v>
      </c>
      <c r="BA485" s="93">
        <v>0.0</v>
      </c>
      <c r="BB485" s="93">
        <v>0.0</v>
      </c>
      <c r="BC485" s="93">
        <v>0.0</v>
      </c>
      <c r="BD485" s="93">
        <v>0.0</v>
      </c>
      <c r="BE485" s="93">
        <v>0.0</v>
      </c>
      <c r="BF485" s="93">
        <v>0.0</v>
      </c>
      <c r="BG485" s="5"/>
      <c r="BH485" s="93">
        <v>0.0</v>
      </c>
      <c r="BI485" s="93">
        <v>0.0</v>
      </c>
      <c r="BJ485" s="93">
        <v>0.0</v>
      </c>
      <c r="BK485" s="93">
        <v>0.0</v>
      </c>
      <c r="BL485" s="93">
        <v>0.0</v>
      </c>
      <c r="BM485" s="93">
        <v>0.0</v>
      </c>
      <c r="BN485" s="93">
        <v>0.0</v>
      </c>
      <c r="BO485" s="5"/>
      <c r="BP485" s="5" t="s">
        <v>1770</v>
      </c>
      <c r="BQ485" s="5" t="s">
        <v>1789</v>
      </c>
      <c r="BR485" s="94">
        <v>45673.58049768519</v>
      </c>
      <c r="BS485" s="5">
        <v>40.0</v>
      </c>
      <c r="BT485" s="5" t="s">
        <v>1770</v>
      </c>
      <c r="BU485" s="5" t="s">
        <v>1770</v>
      </c>
      <c r="BV485" s="94">
        <v>45707.521875</v>
      </c>
      <c r="BW485" s="5">
        <v>40.0</v>
      </c>
    </row>
    <row r="486" ht="14.25" customHeight="1">
      <c r="A486" s="5">
        <v>485.0</v>
      </c>
      <c r="B486" s="5">
        <v>748.0</v>
      </c>
      <c r="C486" s="5" t="s">
        <v>5303</v>
      </c>
      <c r="D486" s="5" t="s">
        <v>2788</v>
      </c>
      <c r="E486" s="5" t="s">
        <v>3611</v>
      </c>
      <c r="F486" s="5" t="s">
        <v>5304</v>
      </c>
      <c r="G486" s="5" t="s">
        <v>5305</v>
      </c>
      <c r="H486" s="5" t="s">
        <v>1972</v>
      </c>
      <c r="I486" s="5" t="s">
        <v>1782</v>
      </c>
      <c r="J486" s="91">
        <v>33279.0</v>
      </c>
      <c r="K486" s="5">
        <v>844.0</v>
      </c>
      <c r="L486" s="5" t="s">
        <v>5306</v>
      </c>
      <c r="M486" s="5">
        <v>7.0</v>
      </c>
      <c r="N486" s="5"/>
      <c r="O486" s="5">
        <v>54382.0</v>
      </c>
      <c r="P486" s="5" t="s">
        <v>1797</v>
      </c>
      <c r="Q486" s="5"/>
      <c r="R486" s="5">
        <v>844.0</v>
      </c>
      <c r="S486" s="5">
        <v>4.43105996E9</v>
      </c>
      <c r="T486" s="5" t="s">
        <v>5307</v>
      </c>
      <c r="U486" s="5" t="s">
        <v>5308</v>
      </c>
      <c r="V486" s="5">
        <v>4.433786617E9</v>
      </c>
      <c r="W486" s="5" t="s">
        <v>2610</v>
      </c>
      <c r="X486" s="91">
        <v>45659.0</v>
      </c>
      <c r="Y486" s="5" t="s">
        <v>1770</v>
      </c>
      <c r="Z486" s="5">
        <v>6.0</v>
      </c>
      <c r="AA486" s="5">
        <v>67.0</v>
      </c>
      <c r="AB486" s="5" t="s">
        <v>5309</v>
      </c>
      <c r="AC486" s="5" t="s">
        <v>1772</v>
      </c>
      <c r="AD486" s="91">
        <v>44694.0</v>
      </c>
      <c r="AE486" s="91">
        <v>48500.0</v>
      </c>
      <c r="AF486" s="5"/>
      <c r="AG486" s="5"/>
      <c r="AH486" s="5">
        <v>5.3139135353E10</v>
      </c>
      <c r="AI486" s="5">
        <v>80.0</v>
      </c>
      <c r="AJ486" s="5"/>
      <c r="AK486" s="5" t="s">
        <v>1773</v>
      </c>
      <c r="AL486" s="92">
        <v>0.0</v>
      </c>
      <c r="AM486" s="5" t="s">
        <v>1770</v>
      </c>
      <c r="AN486" s="5" t="s">
        <v>2052</v>
      </c>
      <c r="AO486" s="5"/>
      <c r="AP486" s="5"/>
      <c r="AQ486" s="5"/>
      <c r="AR486" s="5"/>
      <c r="AS486" s="5"/>
      <c r="AT486" s="5"/>
      <c r="AU486" s="5"/>
      <c r="AV486" s="5"/>
      <c r="AW486" s="5" t="s">
        <v>1770</v>
      </c>
      <c r="AX486" s="5"/>
      <c r="AY486" s="5"/>
      <c r="AZ486" s="5" t="s">
        <v>1770</v>
      </c>
      <c r="BA486" s="93">
        <v>0.0</v>
      </c>
      <c r="BB486" s="93">
        <v>0.0</v>
      </c>
      <c r="BC486" s="93">
        <v>0.0</v>
      </c>
      <c r="BD486" s="93">
        <v>0.0</v>
      </c>
      <c r="BE486" s="93">
        <v>0.0</v>
      </c>
      <c r="BF486" s="93">
        <v>0.0</v>
      </c>
      <c r="BG486" s="5"/>
      <c r="BH486" s="93">
        <v>0.0</v>
      </c>
      <c r="BI486" s="93">
        <v>0.0</v>
      </c>
      <c r="BJ486" s="93">
        <v>0.0</v>
      </c>
      <c r="BK486" s="93">
        <v>0.0</v>
      </c>
      <c r="BL486" s="93">
        <v>0.0</v>
      </c>
      <c r="BM486" s="93">
        <v>0.0</v>
      </c>
      <c r="BN486" s="93">
        <v>0.0</v>
      </c>
      <c r="BO486" s="5"/>
      <c r="BP486" s="5"/>
      <c r="BQ486" s="5" t="s">
        <v>1775</v>
      </c>
      <c r="BR486" s="94">
        <v>45673.58982638889</v>
      </c>
      <c r="BS486" s="5">
        <v>40.0</v>
      </c>
      <c r="BT486" s="94">
        <v>46134.680972222224</v>
      </c>
      <c r="BU486" s="5" t="s">
        <v>1770</v>
      </c>
      <c r="BV486" s="5" t="s">
        <v>1770</v>
      </c>
      <c r="BW486" s="5" t="s">
        <v>1770</v>
      </c>
    </row>
    <row r="487" ht="14.25" customHeight="1">
      <c r="A487" s="5">
        <v>486.0</v>
      </c>
      <c r="B487" s="5">
        <v>751.0</v>
      </c>
      <c r="C487" s="5" t="s">
        <v>5310</v>
      </c>
      <c r="D487" s="100" t="s">
        <v>5311</v>
      </c>
      <c r="E487" s="5" t="s">
        <v>1950</v>
      </c>
      <c r="F487" s="5" t="s">
        <v>5312</v>
      </c>
      <c r="G487" s="5" t="s">
        <v>5313</v>
      </c>
      <c r="H487" s="5" t="s">
        <v>1781</v>
      </c>
      <c r="I487" s="5" t="s">
        <v>1782</v>
      </c>
      <c r="J487" s="91">
        <v>36623.0</v>
      </c>
      <c r="K487" s="5">
        <v>850.0</v>
      </c>
      <c r="L487" s="5" t="s">
        <v>5314</v>
      </c>
      <c r="M487" s="5">
        <v>387.0</v>
      </c>
      <c r="N487" s="5"/>
      <c r="O487" s="5">
        <v>55182.0</v>
      </c>
      <c r="P487" s="5" t="s">
        <v>3271</v>
      </c>
      <c r="Q487" s="5" t="s">
        <v>234</v>
      </c>
      <c r="R487" s="5">
        <v>850.0</v>
      </c>
      <c r="S487" s="5">
        <v>3.521392516E9</v>
      </c>
      <c r="T487" s="5"/>
      <c r="U487" s="5" t="s">
        <v>5315</v>
      </c>
      <c r="V487" s="5">
        <v>4.691323996E9</v>
      </c>
      <c r="W487" s="5" t="s">
        <v>1924</v>
      </c>
      <c r="X487" s="91">
        <v>45666.0</v>
      </c>
      <c r="Y487" s="5">
        <v>3.0</v>
      </c>
      <c r="Z487" s="5">
        <v>4.0</v>
      </c>
      <c r="AA487" s="5">
        <v>39.0</v>
      </c>
      <c r="AB487" s="5"/>
      <c r="AC487" s="5"/>
      <c r="AD487" s="5" t="s">
        <v>1770</v>
      </c>
      <c r="AE487" s="5" t="s">
        <v>1770</v>
      </c>
      <c r="AF487" s="5"/>
      <c r="AG487" s="5"/>
      <c r="AH487" s="5">
        <v>1.718007325E10</v>
      </c>
      <c r="AI487" s="5">
        <v>77.0</v>
      </c>
      <c r="AJ487" s="5"/>
      <c r="AK487" s="5" t="s">
        <v>1773</v>
      </c>
      <c r="AL487" s="92">
        <v>0.0</v>
      </c>
      <c r="AM487" s="5" t="s">
        <v>1770</v>
      </c>
      <c r="AN487" s="5" t="s">
        <v>1774</v>
      </c>
      <c r="AO487" s="5" t="s">
        <v>3111</v>
      </c>
      <c r="AP487" s="5"/>
      <c r="AQ487" s="5">
        <v>29.0</v>
      </c>
      <c r="AR487" s="5"/>
      <c r="AS487" s="5"/>
      <c r="AT487" s="5"/>
      <c r="AU487" s="5"/>
      <c r="AV487" s="5"/>
      <c r="AW487" s="5" t="s">
        <v>1770</v>
      </c>
      <c r="AX487" s="5"/>
      <c r="AY487" s="5"/>
      <c r="AZ487" s="5" t="s">
        <v>1770</v>
      </c>
      <c r="BA487" s="93">
        <v>0.0</v>
      </c>
      <c r="BB487" s="93">
        <v>0.0</v>
      </c>
      <c r="BC487" s="93">
        <v>0.0</v>
      </c>
      <c r="BD487" s="93">
        <v>0.0</v>
      </c>
      <c r="BE487" s="93">
        <v>0.0</v>
      </c>
      <c r="BF487" s="93">
        <v>0.0</v>
      </c>
      <c r="BG487" s="5"/>
      <c r="BH487" s="93">
        <v>0.0</v>
      </c>
      <c r="BI487" s="93">
        <v>0.0</v>
      </c>
      <c r="BJ487" s="93">
        <v>0.0</v>
      </c>
      <c r="BK487" s="93">
        <v>0.0</v>
      </c>
      <c r="BL487" s="93">
        <v>0.0</v>
      </c>
      <c r="BM487" s="93">
        <v>0.0</v>
      </c>
      <c r="BN487" s="93">
        <v>0.0</v>
      </c>
      <c r="BO487" s="5"/>
      <c r="BP487" s="5"/>
      <c r="BQ487" s="5" t="s">
        <v>1789</v>
      </c>
      <c r="BR487" s="94">
        <v>45673.601793981485</v>
      </c>
      <c r="BS487" s="5">
        <v>40.0</v>
      </c>
      <c r="BT487" s="94">
        <v>46135.382893518516</v>
      </c>
      <c r="BU487" s="5">
        <v>339.0</v>
      </c>
      <c r="BV487" s="94">
        <v>46154.42319444445</v>
      </c>
      <c r="BW487" s="5">
        <v>40.0</v>
      </c>
    </row>
    <row r="488" ht="14.25" customHeight="1">
      <c r="A488" s="5">
        <v>487.0</v>
      </c>
      <c r="B488" s="5">
        <v>754.0</v>
      </c>
      <c r="C488" s="5" t="s">
        <v>2057</v>
      </c>
      <c r="D488" s="5" t="s">
        <v>5316</v>
      </c>
      <c r="E488" s="100" t="s">
        <v>3483</v>
      </c>
      <c r="F488" s="5" t="s">
        <v>5317</v>
      </c>
      <c r="G488" s="5" t="s">
        <v>5318</v>
      </c>
      <c r="H488" s="5" t="s">
        <v>2671</v>
      </c>
      <c r="I488" s="5" t="s">
        <v>1782</v>
      </c>
      <c r="J488" s="91">
        <v>35918.0</v>
      </c>
      <c r="K488" s="5">
        <v>424.0</v>
      </c>
      <c r="L488" s="5" t="s">
        <v>5319</v>
      </c>
      <c r="M488" s="5">
        <v>5.0</v>
      </c>
      <c r="N488" s="5"/>
      <c r="O488" s="5">
        <v>35912.0</v>
      </c>
      <c r="P488" s="5" t="s">
        <v>3139</v>
      </c>
      <c r="Q488" s="5" t="s">
        <v>5320</v>
      </c>
      <c r="R488" s="5">
        <v>424.0</v>
      </c>
      <c r="S488" s="5">
        <v>4.691138164E9</v>
      </c>
      <c r="T488" s="5" t="s">
        <v>5321</v>
      </c>
      <c r="U488" s="100" t="s">
        <v>5322</v>
      </c>
      <c r="V488" s="5">
        <v>4.691138164E9</v>
      </c>
      <c r="W488" s="5" t="s">
        <v>1808</v>
      </c>
      <c r="X488" s="91">
        <v>45684.0</v>
      </c>
      <c r="Y488" s="5">
        <v>2.0</v>
      </c>
      <c r="Z488" s="5">
        <v>19.0</v>
      </c>
      <c r="AA488" s="5">
        <v>45.0</v>
      </c>
      <c r="AB488" s="5" t="s">
        <v>5323</v>
      </c>
      <c r="AC488" s="5" t="s">
        <v>2274</v>
      </c>
      <c r="AD488" s="91">
        <v>45426.0</v>
      </c>
      <c r="AE488" s="91">
        <v>46156.0</v>
      </c>
      <c r="AF488" s="5"/>
      <c r="AG488" s="5"/>
      <c r="AH488" s="5">
        <v>8.139814134E9</v>
      </c>
      <c r="AI488" s="5">
        <v>9.0</v>
      </c>
      <c r="AJ488" s="5"/>
      <c r="AK488" s="5" t="s">
        <v>1773</v>
      </c>
      <c r="AL488" s="92">
        <v>0.0</v>
      </c>
      <c r="AM488" s="5" t="s">
        <v>1770</v>
      </c>
      <c r="AN488" s="5" t="s">
        <v>1774</v>
      </c>
      <c r="AO488" s="5"/>
      <c r="AP488" s="5"/>
      <c r="AQ488" s="5"/>
      <c r="AR488" s="5"/>
      <c r="AS488" s="5"/>
      <c r="AT488" s="5"/>
      <c r="AU488" s="5"/>
      <c r="AV488" s="5"/>
      <c r="AW488" s="5" t="s">
        <v>1770</v>
      </c>
      <c r="AX488" s="5"/>
      <c r="AY488" s="5"/>
      <c r="AZ488" s="5" t="s">
        <v>1770</v>
      </c>
      <c r="BA488" s="93">
        <v>0.0</v>
      </c>
      <c r="BB488" s="93">
        <v>0.0</v>
      </c>
      <c r="BC488" s="93">
        <v>0.0</v>
      </c>
      <c r="BD488" s="93">
        <v>0.0</v>
      </c>
      <c r="BE488" s="93">
        <v>0.0</v>
      </c>
      <c r="BF488" s="93">
        <v>0.0</v>
      </c>
      <c r="BG488" s="5"/>
      <c r="BH488" s="93">
        <v>0.0</v>
      </c>
      <c r="BI488" s="93">
        <v>0.0</v>
      </c>
      <c r="BJ488" s="93">
        <v>0.0</v>
      </c>
      <c r="BK488" s="93">
        <v>0.0</v>
      </c>
      <c r="BL488" s="93">
        <v>0.0</v>
      </c>
      <c r="BM488" s="93">
        <v>0.0</v>
      </c>
      <c r="BN488" s="93">
        <v>0.0</v>
      </c>
      <c r="BO488" s="5"/>
      <c r="BP488" s="5" t="s">
        <v>1770</v>
      </c>
      <c r="BQ488" s="5" t="s">
        <v>1789</v>
      </c>
      <c r="BR488" s="94">
        <v>45688.39375</v>
      </c>
      <c r="BS488" s="5">
        <v>40.0</v>
      </c>
      <c r="BT488" s="5" t="s">
        <v>1770</v>
      </c>
      <c r="BU488" s="5" t="s">
        <v>1770</v>
      </c>
      <c r="BV488" s="94">
        <v>46064.580625</v>
      </c>
      <c r="BW488" s="5">
        <v>40.0</v>
      </c>
    </row>
    <row r="489" ht="14.25" customHeight="1">
      <c r="A489" s="5">
        <v>488.0</v>
      </c>
      <c r="B489" s="5">
        <v>755.0</v>
      </c>
      <c r="C489" s="5" t="s">
        <v>5324</v>
      </c>
      <c r="D489" s="5" t="s">
        <v>5325</v>
      </c>
      <c r="E489" s="5" t="s">
        <v>2335</v>
      </c>
      <c r="F489" s="5" t="s">
        <v>5326</v>
      </c>
      <c r="G489" s="5" t="s">
        <v>5327</v>
      </c>
      <c r="H489" s="5" t="s">
        <v>2671</v>
      </c>
      <c r="I489" s="5" t="s">
        <v>1782</v>
      </c>
      <c r="J489" s="91">
        <v>34367.0</v>
      </c>
      <c r="K489" s="5">
        <v>834.0</v>
      </c>
      <c r="L489" s="5" t="s">
        <v>5328</v>
      </c>
      <c r="M489" s="5">
        <v>4.0</v>
      </c>
      <c r="N489" s="5"/>
      <c r="O489" s="5">
        <v>53942.0</v>
      </c>
      <c r="P489" s="5" t="s">
        <v>5329</v>
      </c>
      <c r="Q489" s="5" t="s">
        <v>2342</v>
      </c>
      <c r="R489" s="5">
        <v>869.0</v>
      </c>
      <c r="S489" s="5">
        <v>4.437970755E9</v>
      </c>
      <c r="T489" s="5" t="s">
        <v>5330</v>
      </c>
      <c r="U489" s="5" t="s">
        <v>1787</v>
      </c>
      <c r="V489" s="5">
        <v>1.234567894E9</v>
      </c>
      <c r="W489" s="5" t="s">
        <v>1787</v>
      </c>
      <c r="X489" s="91">
        <v>45692.0</v>
      </c>
      <c r="Y489" s="5">
        <v>4.0</v>
      </c>
      <c r="Z489" s="5">
        <v>3.0</v>
      </c>
      <c r="AA489" s="5">
        <v>58.0</v>
      </c>
      <c r="AB489" s="5" t="s">
        <v>5331</v>
      </c>
      <c r="AC489" s="5" t="s">
        <v>1800</v>
      </c>
      <c r="AD489" s="91">
        <v>45560.0</v>
      </c>
      <c r="AE489" s="91">
        <v>48847.0</v>
      </c>
      <c r="AF489" s="5"/>
      <c r="AG489" s="5"/>
      <c r="AH489" s="5">
        <v>5.3129403589E10</v>
      </c>
      <c r="AI489" s="5">
        <v>80.0</v>
      </c>
      <c r="AJ489" s="5"/>
      <c r="AK489" s="5" t="s">
        <v>1773</v>
      </c>
      <c r="AL489" s="92">
        <v>0.0</v>
      </c>
      <c r="AM489" s="5" t="s">
        <v>1770</v>
      </c>
      <c r="AN489" s="5" t="s">
        <v>2052</v>
      </c>
      <c r="AO489" s="5"/>
      <c r="AP489" s="5"/>
      <c r="AQ489" s="5"/>
      <c r="AR489" s="5"/>
      <c r="AS489" s="5"/>
      <c r="AT489" s="5"/>
      <c r="AU489" s="5"/>
      <c r="AV489" s="5"/>
      <c r="AW489" s="5" t="s">
        <v>1770</v>
      </c>
      <c r="AX489" s="5"/>
      <c r="AY489" s="5"/>
      <c r="AZ489" s="5" t="s">
        <v>1770</v>
      </c>
      <c r="BA489" s="93">
        <v>0.0</v>
      </c>
      <c r="BB489" s="93">
        <v>0.0</v>
      </c>
      <c r="BC489" s="93">
        <v>0.0</v>
      </c>
      <c r="BD489" s="93">
        <v>0.0</v>
      </c>
      <c r="BE489" s="93">
        <v>0.0</v>
      </c>
      <c r="BF489" s="93">
        <v>0.0</v>
      </c>
      <c r="BG489" s="5"/>
      <c r="BH489" s="93">
        <v>0.0</v>
      </c>
      <c r="BI489" s="93">
        <v>0.0</v>
      </c>
      <c r="BJ489" s="93">
        <v>0.0</v>
      </c>
      <c r="BK489" s="93">
        <v>0.0</v>
      </c>
      <c r="BL489" s="93">
        <v>0.0</v>
      </c>
      <c r="BM489" s="93">
        <v>0.0</v>
      </c>
      <c r="BN489" s="93">
        <v>0.0</v>
      </c>
      <c r="BO489" s="5"/>
      <c r="BP489" s="5" t="s">
        <v>1770</v>
      </c>
      <c r="BQ489" s="5" t="s">
        <v>1789</v>
      </c>
      <c r="BR489" s="94">
        <v>45693.59961805555</v>
      </c>
      <c r="BS489" s="5">
        <v>40.0</v>
      </c>
      <c r="BT489" s="5" t="s">
        <v>1770</v>
      </c>
      <c r="BU489" s="5" t="s">
        <v>1770</v>
      </c>
      <c r="BV489" s="94">
        <v>45827.49172453704</v>
      </c>
      <c r="BW489" s="5" t="s">
        <v>1770</v>
      </c>
    </row>
    <row r="490" ht="14.25" customHeight="1">
      <c r="A490" s="5">
        <v>489.0</v>
      </c>
      <c r="B490" s="5">
        <v>753.0</v>
      </c>
      <c r="C490" s="5" t="s">
        <v>5332</v>
      </c>
      <c r="D490" s="5" t="s">
        <v>5333</v>
      </c>
      <c r="E490" s="5" t="s">
        <v>3678</v>
      </c>
      <c r="F490" s="5" t="s">
        <v>5334</v>
      </c>
      <c r="G490" s="5" t="s">
        <v>5335</v>
      </c>
      <c r="H490" s="5" t="s">
        <v>1972</v>
      </c>
      <c r="I490" s="5" t="s">
        <v>1782</v>
      </c>
      <c r="J490" s="91">
        <v>36560.0</v>
      </c>
      <c r="K490" s="5">
        <v>549.0</v>
      </c>
      <c r="L490" s="5" t="s">
        <v>3211</v>
      </c>
      <c r="M490" s="5">
        <v>5.0</v>
      </c>
      <c r="N490" s="5" t="s">
        <v>2624</v>
      </c>
      <c r="O490" s="5">
        <v>43897.0</v>
      </c>
      <c r="P490" s="5" t="s">
        <v>3139</v>
      </c>
      <c r="Q490" s="5" t="s">
        <v>4532</v>
      </c>
      <c r="R490" s="5">
        <v>549.0</v>
      </c>
      <c r="S490" s="5">
        <v>3.931316725E9</v>
      </c>
      <c r="T490" s="5" t="s">
        <v>5336</v>
      </c>
      <c r="U490" s="5" t="s">
        <v>5337</v>
      </c>
      <c r="V490" s="5">
        <v>3.931588969E9</v>
      </c>
      <c r="W490" s="5" t="s">
        <v>1965</v>
      </c>
      <c r="X490" s="91">
        <v>45681.0</v>
      </c>
      <c r="Y490" s="5">
        <v>1.0</v>
      </c>
      <c r="Z490" s="5">
        <v>17.0</v>
      </c>
      <c r="AA490" s="5">
        <v>45.0</v>
      </c>
      <c r="AB490" s="5" t="s">
        <v>5338</v>
      </c>
      <c r="AC490" s="5" t="s">
        <v>1800</v>
      </c>
      <c r="AD490" s="91">
        <v>44554.0</v>
      </c>
      <c r="AE490" s="91">
        <v>46380.0</v>
      </c>
      <c r="AF490" s="5"/>
      <c r="AG490" s="5"/>
      <c r="AH490" s="5">
        <v>1.5160075998E10</v>
      </c>
      <c r="AI490" s="5">
        <v>23.0</v>
      </c>
      <c r="AJ490" s="5"/>
      <c r="AK490" s="5" t="s">
        <v>1773</v>
      </c>
      <c r="AL490" s="92">
        <v>0.0</v>
      </c>
      <c r="AM490" s="5" t="s">
        <v>1770</v>
      </c>
      <c r="AN490" s="5" t="s">
        <v>1774</v>
      </c>
      <c r="AO490" s="5"/>
      <c r="AP490" s="5"/>
      <c r="AQ490" s="5"/>
      <c r="AR490" s="5"/>
      <c r="AS490" s="5"/>
      <c r="AT490" s="5"/>
      <c r="AU490" s="5"/>
      <c r="AV490" s="5"/>
      <c r="AW490" s="5" t="s">
        <v>1770</v>
      </c>
      <c r="AX490" s="5"/>
      <c r="AY490" s="5"/>
      <c r="AZ490" s="5" t="s">
        <v>1770</v>
      </c>
      <c r="BA490" s="93">
        <v>0.0</v>
      </c>
      <c r="BB490" s="93">
        <v>0.0</v>
      </c>
      <c r="BC490" s="93">
        <v>0.0</v>
      </c>
      <c r="BD490" s="93">
        <v>0.0</v>
      </c>
      <c r="BE490" s="93">
        <v>0.0</v>
      </c>
      <c r="BF490" s="93">
        <v>0.0</v>
      </c>
      <c r="BG490" s="5"/>
      <c r="BH490" s="93">
        <v>0.0</v>
      </c>
      <c r="BI490" s="93">
        <v>0.0</v>
      </c>
      <c r="BJ490" s="93">
        <v>0.0</v>
      </c>
      <c r="BK490" s="93">
        <v>0.0</v>
      </c>
      <c r="BL490" s="93">
        <v>0.0</v>
      </c>
      <c r="BM490" s="93">
        <v>0.0</v>
      </c>
      <c r="BN490" s="93">
        <v>0.0</v>
      </c>
      <c r="BO490" s="5"/>
      <c r="BP490" s="5" t="s">
        <v>1770</v>
      </c>
      <c r="BQ490" s="5" t="s">
        <v>1789</v>
      </c>
      <c r="BR490" s="94">
        <v>45693.62412037037</v>
      </c>
      <c r="BS490" s="5">
        <v>40.0</v>
      </c>
      <c r="BT490" s="5" t="s">
        <v>1770</v>
      </c>
      <c r="BU490" s="5" t="s">
        <v>1770</v>
      </c>
      <c r="BV490" s="94">
        <v>45719.74601851852</v>
      </c>
      <c r="BW490" s="5" t="s">
        <v>1770</v>
      </c>
    </row>
    <row r="491" ht="14.25" customHeight="1">
      <c r="A491" s="5">
        <v>490.0</v>
      </c>
      <c r="B491" s="5">
        <v>756.0</v>
      </c>
      <c r="C491" s="5" t="s">
        <v>5339</v>
      </c>
      <c r="D491" s="5" t="s">
        <v>1778</v>
      </c>
      <c r="E491" s="5" t="s">
        <v>4296</v>
      </c>
      <c r="F491" s="5" t="s">
        <v>5340</v>
      </c>
      <c r="G491" s="5" t="s">
        <v>5341</v>
      </c>
      <c r="H491" s="5" t="s">
        <v>1972</v>
      </c>
      <c r="I491" s="5" t="s">
        <v>1763</v>
      </c>
      <c r="J491" s="91">
        <v>37178.0</v>
      </c>
      <c r="K491" s="5">
        <v>549.0</v>
      </c>
      <c r="L491" s="5" t="s">
        <v>2248</v>
      </c>
      <c r="M491" s="5">
        <v>9.0</v>
      </c>
      <c r="N491" s="5"/>
      <c r="O491" s="5">
        <v>43882.0</v>
      </c>
      <c r="P491" s="5" t="s">
        <v>1797</v>
      </c>
      <c r="Q491" s="5" t="s">
        <v>1766</v>
      </c>
      <c r="R491" s="5">
        <v>549.0</v>
      </c>
      <c r="S491" s="5">
        <v>3.931320898E9</v>
      </c>
      <c r="T491" s="5" t="s">
        <v>5342</v>
      </c>
      <c r="U491" s="5" t="s">
        <v>5343</v>
      </c>
      <c r="V491" s="5">
        <v>3.931005851E9</v>
      </c>
      <c r="W491" s="5" t="s">
        <v>1808</v>
      </c>
      <c r="X491" s="91">
        <v>45692.0</v>
      </c>
      <c r="Y491" s="5" t="s">
        <v>1770</v>
      </c>
      <c r="Z491" s="5">
        <v>6.0</v>
      </c>
      <c r="AA491" s="5">
        <v>66.0</v>
      </c>
      <c r="AB491" s="5"/>
      <c r="AC491" s="5"/>
      <c r="AD491" s="5" t="s">
        <v>1770</v>
      </c>
      <c r="AE491" s="5" t="s">
        <v>1770</v>
      </c>
      <c r="AF491" s="5"/>
      <c r="AG491" s="5"/>
      <c r="AH491" s="5">
        <v>5.13010038E9</v>
      </c>
      <c r="AI491" s="5">
        <v>23.0</v>
      </c>
      <c r="AJ491" s="5"/>
      <c r="AK491" s="5" t="s">
        <v>1773</v>
      </c>
      <c r="AL491" s="92">
        <v>0.0</v>
      </c>
      <c r="AM491" s="5" t="s">
        <v>1770</v>
      </c>
      <c r="AN491" s="5" t="s">
        <v>1830</v>
      </c>
      <c r="AO491" s="5"/>
      <c r="AP491" s="5"/>
      <c r="AQ491" s="5"/>
      <c r="AR491" s="5"/>
      <c r="AS491" s="5"/>
      <c r="AT491" s="5"/>
      <c r="AU491" s="5"/>
      <c r="AV491" s="5"/>
      <c r="AW491" s="5" t="s">
        <v>1770</v>
      </c>
      <c r="AX491" s="5"/>
      <c r="AY491" s="5"/>
      <c r="AZ491" s="5" t="s">
        <v>1770</v>
      </c>
      <c r="BA491" s="93">
        <v>0.0</v>
      </c>
      <c r="BB491" s="93">
        <v>0.0</v>
      </c>
      <c r="BC491" s="93">
        <v>0.0</v>
      </c>
      <c r="BD491" s="93">
        <v>0.0</v>
      </c>
      <c r="BE491" s="93">
        <v>0.0</v>
      </c>
      <c r="BF491" s="93">
        <v>0.0</v>
      </c>
      <c r="BG491" s="5"/>
      <c r="BH491" s="93">
        <v>0.0</v>
      </c>
      <c r="BI491" s="93">
        <v>0.0</v>
      </c>
      <c r="BJ491" s="93">
        <v>0.0</v>
      </c>
      <c r="BK491" s="93">
        <v>0.0</v>
      </c>
      <c r="BL491" s="93">
        <v>0.0</v>
      </c>
      <c r="BM491" s="93">
        <v>0.0</v>
      </c>
      <c r="BN491" s="93">
        <v>0.0</v>
      </c>
      <c r="BO491" s="5"/>
      <c r="BP491" s="5" t="s">
        <v>1770</v>
      </c>
      <c r="BQ491" s="5" t="s">
        <v>1789</v>
      </c>
      <c r="BR491" s="94">
        <v>45706.576516203706</v>
      </c>
      <c r="BS491" s="5">
        <v>40.0</v>
      </c>
      <c r="BT491" s="94">
        <v>45892.57393518519</v>
      </c>
      <c r="BU491" s="5">
        <v>40.0</v>
      </c>
      <c r="BV491" s="94">
        <v>46104.45385416667</v>
      </c>
      <c r="BW491" s="5">
        <v>40.0</v>
      </c>
    </row>
    <row r="492" ht="14.25" customHeight="1">
      <c r="A492" s="5">
        <v>491.0</v>
      </c>
      <c r="B492" s="5">
        <v>757.0</v>
      </c>
      <c r="C492" s="5" t="s">
        <v>5344</v>
      </c>
      <c r="D492" s="5" t="s">
        <v>2494</v>
      </c>
      <c r="E492" s="5" t="s">
        <v>5345</v>
      </c>
      <c r="F492" s="5" t="s">
        <v>5346</v>
      </c>
      <c r="G492" s="5" t="s">
        <v>5347</v>
      </c>
      <c r="H492" s="5" t="s">
        <v>1781</v>
      </c>
      <c r="I492" s="5" t="s">
        <v>1763</v>
      </c>
      <c r="J492" s="91">
        <v>34585.0</v>
      </c>
      <c r="K492" s="5">
        <v>570.0</v>
      </c>
      <c r="L492" s="5" t="s">
        <v>3008</v>
      </c>
      <c r="M492" s="5">
        <v>224.0</v>
      </c>
      <c r="N492" s="5" t="s">
        <v>2624</v>
      </c>
      <c r="O492" s="5">
        <v>43882.0</v>
      </c>
      <c r="P492" s="5" t="s">
        <v>1797</v>
      </c>
      <c r="Q492" s="5" t="s">
        <v>1766</v>
      </c>
      <c r="R492" s="5">
        <v>549.0</v>
      </c>
      <c r="S492" s="5">
        <v>3.931171486E9</v>
      </c>
      <c r="T492" s="5" t="s">
        <v>5348</v>
      </c>
      <c r="U492" s="5" t="s">
        <v>5349</v>
      </c>
      <c r="V492" s="5">
        <v>3.931068739E9</v>
      </c>
      <c r="W492" s="5" t="s">
        <v>1769</v>
      </c>
      <c r="X492" s="91">
        <v>45698.0</v>
      </c>
      <c r="Y492" s="5">
        <v>1.0</v>
      </c>
      <c r="Z492" s="5">
        <v>4.0</v>
      </c>
      <c r="AA492" s="5">
        <v>37.0</v>
      </c>
      <c r="AB492" s="5"/>
      <c r="AC492" s="5"/>
      <c r="AD492" s="5" t="s">
        <v>1770</v>
      </c>
      <c r="AE492" s="5" t="s">
        <v>1770</v>
      </c>
      <c r="AF492" s="5"/>
      <c r="AG492" s="5"/>
      <c r="AH492" s="5">
        <v>1.16948698E9</v>
      </c>
      <c r="AI492" s="5">
        <v>23.0</v>
      </c>
      <c r="AJ492" s="5"/>
      <c r="AK492" s="5" t="s">
        <v>1773</v>
      </c>
      <c r="AL492" s="92">
        <v>0.0</v>
      </c>
      <c r="AM492" s="5" t="s">
        <v>1770</v>
      </c>
      <c r="AN492" s="5" t="s">
        <v>1774</v>
      </c>
      <c r="AO492" s="5"/>
      <c r="AP492" s="5"/>
      <c r="AQ492" s="5"/>
      <c r="AR492" s="5"/>
      <c r="AS492" s="5"/>
      <c r="AT492" s="5"/>
      <c r="AU492" s="5"/>
      <c r="AV492" s="5"/>
      <c r="AW492" s="5" t="s">
        <v>1770</v>
      </c>
      <c r="AX492" s="5"/>
      <c r="AY492" s="5"/>
      <c r="AZ492" s="5" t="s">
        <v>1770</v>
      </c>
      <c r="BA492" s="93">
        <v>0.0</v>
      </c>
      <c r="BB492" s="93">
        <v>0.0</v>
      </c>
      <c r="BC492" s="93">
        <v>0.0</v>
      </c>
      <c r="BD492" s="93">
        <v>0.0</v>
      </c>
      <c r="BE492" s="93">
        <v>0.0</v>
      </c>
      <c r="BF492" s="93">
        <v>0.0</v>
      </c>
      <c r="BG492" s="5"/>
      <c r="BH492" s="93">
        <v>0.0</v>
      </c>
      <c r="BI492" s="93">
        <v>0.0</v>
      </c>
      <c r="BJ492" s="93">
        <v>0.0</v>
      </c>
      <c r="BK492" s="93">
        <v>0.0</v>
      </c>
      <c r="BL492" s="93">
        <v>0.0</v>
      </c>
      <c r="BM492" s="93">
        <v>0.0</v>
      </c>
      <c r="BN492" s="93">
        <v>0.0</v>
      </c>
      <c r="BO492" s="5"/>
      <c r="BP492" s="5" t="s">
        <v>1770</v>
      </c>
      <c r="BQ492" s="5" t="s">
        <v>1789</v>
      </c>
      <c r="BR492" s="94">
        <v>45706.580092592594</v>
      </c>
      <c r="BS492" s="5">
        <v>40.0</v>
      </c>
      <c r="BT492" s="94">
        <v>45892.53975694445</v>
      </c>
      <c r="BU492" s="5" t="s">
        <v>1770</v>
      </c>
      <c r="BV492" s="94">
        <v>46031.49072916667</v>
      </c>
      <c r="BW492" s="5">
        <v>40.0</v>
      </c>
    </row>
    <row r="493" ht="14.25" customHeight="1">
      <c r="A493" s="5">
        <v>492.0</v>
      </c>
      <c r="B493" s="5">
        <v>758.0</v>
      </c>
      <c r="C493" s="5" t="s">
        <v>5350</v>
      </c>
      <c r="D493" s="5" t="s">
        <v>2972</v>
      </c>
      <c r="E493" s="5" t="s">
        <v>5351</v>
      </c>
      <c r="F493" s="5" t="s">
        <v>5352</v>
      </c>
      <c r="G493" s="5" t="s">
        <v>5353</v>
      </c>
      <c r="H493" s="5" t="s">
        <v>2671</v>
      </c>
      <c r="I493" s="5" t="s">
        <v>1782</v>
      </c>
      <c r="J493" s="91">
        <v>31486.0</v>
      </c>
      <c r="K493" s="5">
        <v>570.0</v>
      </c>
      <c r="L493" s="5" t="s">
        <v>3766</v>
      </c>
      <c r="M493" s="5">
        <v>4.0</v>
      </c>
      <c r="N493" s="5"/>
      <c r="O493" s="5">
        <v>43884.0</v>
      </c>
      <c r="P493" s="5" t="s">
        <v>2032</v>
      </c>
      <c r="Q493" s="5" t="s">
        <v>1766</v>
      </c>
      <c r="R493" s="5">
        <v>549.0</v>
      </c>
      <c r="S493" s="5">
        <v>3.931329912E9</v>
      </c>
      <c r="T493" s="5" t="s">
        <v>5354</v>
      </c>
      <c r="U493" s="5" t="s">
        <v>5355</v>
      </c>
      <c r="V493" s="5">
        <v>3.93936504E9</v>
      </c>
      <c r="W493" s="5" t="s">
        <v>2675</v>
      </c>
      <c r="X493" s="91">
        <v>45705.0</v>
      </c>
      <c r="Y493" s="5">
        <v>1.0</v>
      </c>
      <c r="Z493" s="5">
        <v>19.0</v>
      </c>
      <c r="AA493" s="5">
        <v>34.0</v>
      </c>
      <c r="AB493" s="5" t="s">
        <v>5356</v>
      </c>
      <c r="AC493" s="5" t="s">
        <v>1800</v>
      </c>
      <c r="AD493" s="91">
        <v>44585.0</v>
      </c>
      <c r="AE493" s="91">
        <v>46046.0</v>
      </c>
      <c r="AF493" s="5"/>
      <c r="AG493" s="5"/>
      <c r="AH493" s="5">
        <v>4.028675223E9</v>
      </c>
      <c r="AI493" s="5">
        <v>23.0</v>
      </c>
      <c r="AJ493" s="5"/>
      <c r="AK493" s="5" t="s">
        <v>1773</v>
      </c>
      <c r="AL493" s="92">
        <v>0.0</v>
      </c>
      <c r="AM493" s="5" t="s">
        <v>1770</v>
      </c>
      <c r="AN493" s="5" t="s">
        <v>1830</v>
      </c>
      <c r="AO493" s="5"/>
      <c r="AP493" s="5"/>
      <c r="AQ493" s="5"/>
      <c r="AR493" s="5"/>
      <c r="AS493" s="5"/>
      <c r="AT493" s="5"/>
      <c r="AU493" s="5"/>
      <c r="AV493" s="5"/>
      <c r="AW493" s="5" t="s">
        <v>1770</v>
      </c>
      <c r="AX493" s="5"/>
      <c r="AY493" s="5"/>
      <c r="AZ493" s="5" t="s">
        <v>1770</v>
      </c>
      <c r="BA493" s="93">
        <v>0.0</v>
      </c>
      <c r="BB493" s="93">
        <v>0.0</v>
      </c>
      <c r="BC493" s="93">
        <v>0.0</v>
      </c>
      <c r="BD493" s="93">
        <v>0.0</v>
      </c>
      <c r="BE493" s="93">
        <v>0.0</v>
      </c>
      <c r="BF493" s="93">
        <v>0.0</v>
      </c>
      <c r="BG493" s="5"/>
      <c r="BH493" s="93">
        <v>0.0</v>
      </c>
      <c r="BI493" s="93">
        <v>0.0</v>
      </c>
      <c r="BJ493" s="93">
        <v>0.0</v>
      </c>
      <c r="BK493" s="93">
        <v>0.0</v>
      </c>
      <c r="BL493" s="93">
        <v>0.0</v>
      </c>
      <c r="BM493" s="93">
        <v>0.0</v>
      </c>
      <c r="BN493" s="93">
        <v>0.0</v>
      </c>
      <c r="BO493" s="5"/>
      <c r="BP493" s="5" t="s">
        <v>1770</v>
      </c>
      <c r="BQ493" s="5" t="s">
        <v>1789</v>
      </c>
      <c r="BR493" s="94">
        <v>45706.58802083333</v>
      </c>
      <c r="BS493" s="5">
        <v>40.0</v>
      </c>
      <c r="BT493" s="5" t="s">
        <v>1770</v>
      </c>
      <c r="BU493" s="5" t="s">
        <v>1770</v>
      </c>
      <c r="BV493" s="94">
        <v>45882.74116898148</v>
      </c>
      <c r="BW493" s="5">
        <v>40.0</v>
      </c>
    </row>
    <row r="494" ht="14.25" customHeight="1">
      <c r="A494" s="5">
        <v>493.0</v>
      </c>
      <c r="B494" s="5">
        <v>759.0</v>
      </c>
      <c r="C494" s="5" t="s">
        <v>5357</v>
      </c>
      <c r="D494" s="5" t="s">
        <v>4088</v>
      </c>
      <c r="E494" s="5" t="s">
        <v>5358</v>
      </c>
      <c r="F494" s="5" t="s">
        <v>5359</v>
      </c>
      <c r="G494" s="5" t="s">
        <v>5360</v>
      </c>
      <c r="H494" s="5" t="s">
        <v>1781</v>
      </c>
      <c r="I494" s="5" t="s">
        <v>1782</v>
      </c>
      <c r="J494" s="91">
        <v>31702.0</v>
      </c>
      <c r="K494" s="5">
        <v>624.0</v>
      </c>
      <c r="L494" s="5" t="s">
        <v>2792</v>
      </c>
      <c r="M494" s="5">
        <v>134.0</v>
      </c>
      <c r="N494" s="5"/>
      <c r="O494" s="5">
        <v>43152.0</v>
      </c>
      <c r="P494" s="5" t="s">
        <v>5361</v>
      </c>
      <c r="Q494" s="5" t="s">
        <v>5362</v>
      </c>
      <c r="R494" s="5">
        <v>539.0</v>
      </c>
      <c r="S494" s="5">
        <v>3.481053338E9</v>
      </c>
      <c r="T494" s="5" t="s">
        <v>5363</v>
      </c>
      <c r="U494" s="100" t="s">
        <v>5364</v>
      </c>
      <c r="V494" s="5">
        <v>3.48141203E9</v>
      </c>
      <c r="W494" s="5" t="s">
        <v>1787</v>
      </c>
      <c r="X494" s="91">
        <v>45706.0</v>
      </c>
      <c r="Y494" s="5">
        <v>6.0</v>
      </c>
      <c r="Z494" s="5">
        <v>19.0</v>
      </c>
      <c r="AA494" s="5">
        <v>81.0</v>
      </c>
      <c r="AB494" s="5" t="s">
        <v>5365</v>
      </c>
      <c r="AC494" s="5" t="s">
        <v>1800</v>
      </c>
      <c r="AD494" s="91">
        <v>45495.0</v>
      </c>
      <c r="AE494" s="91">
        <v>46956.0</v>
      </c>
      <c r="AF494" s="5"/>
      <c r="AG494" s="5"/>
      <c r="AH494" s="5">
        <v>3.158684385E9</v>
      </c>
      <c r="AI494" s="5">
        <v>23.0</v>
      </c>
      <c r="AJ494" s="5"/>
      <c r="AK494" s="5" t="s">
        <v>1773</v>
      </c>
      <c r="AL494" s="92">
        <v>0.0</v>
      </c>
      <c r="AM494" s="5" t="s">
        <v>1770</v>
      </c>
      <c r="AN494" s="5" t="s">
        <v>1774</v>
      </c>
      <c r="AO494" s="5"/>
      <c r="AP494" s="5"/>
      <c r="AQ494" s="5"/>
      <c r="AR494" s="5"/>
      <c r="AS494" s="5"/>
      <c r="AT494" s="5"/>
      <c r="AU494" s="5"/>
      <c r="AV494" s="5"/>
      <c r="AW494" s="5" t="s">
        <v>1770</v>
      </c>
      <c r="AX494" s="5"/>
      <c r="AY494" s="5"/>
      <c r="AZ494" s="5" t="s">
        <v>1770</v>
      </c>
      <c r="BA494" s="93">
        <v>0.0</v>
      </c>
      <c r="BB494" s="93">
        <v>0.0</v>
      </c>
      <c r="BC494" s="93">
        <v>0.0</v>
      </c>
      <c r="BD494" s="93">
        <v>0.0</v>
      </c>
      <c r="BE494" s="93">
        <v>0.0</v>
      </c>
      <c r="BF494" s="93">
        <v>0.0</v>
      </c>
      <c r="BG494" s="5"/>
      <c r="BH494" s="93">
        <v>0.0</v>
      </c>
      <c r="BI494" s="93">
        <v>0.0</v>
      </c>
      <c r="BJ494" s="93">
        <v>0.0</v>
      </c>
      <c r="BK494" s="93">
        <v>0.0</v>
      </c>
      <c r="BL494" s="93">
        <v>0.0</v>
      </c>
      <c r="BM494" s="93">
        <v>0.0</v>
      </c>
      <c r="BN494" s="93">
        <v>0.0</v>
      </c>
      <c r="BO494" s="5"/>
      <c r="BP494" s="5" t="s">
        <v>1770</v>
      </c>
      <c r="BQ494" s="5" t="s">
        <v>1789</v>
      </c>
      <c r="BR494" s="94">
        <v>45707.521678240744</v>
      </c>
      <c r="BS494" s="5">
        <v>40.0</v>
      </c>
      <c r="BT494" s="94">
        <v>45892.576898148145</v>
      </c>
      <c r="BU494" s="5">
        <v>40.0</v>
      </c>
      <c r="BV494" s="94">
        <v>46175.60494212963</v>
      </c>
      <c r="BW494" s="5">
        <v>40.0</v>
      </c>
    </row>
    <row r="495" ht="14.25" customHeight="1">
      <c r="A495" s="5">
        <v>494.0</v>
      </c>
      <c r="B495" s="5">
        <v>760.0</v>
      </c>
      <c r="C495" s="5" t="s">
        <v>5366</v>
      </c>
      <c r="D495" s="100" t="s">
        <v>3483</v>
      </c>
      <c r="E495" s="5" t="s">
        <v>5367</v>
      </c>
      <c r="F495" s="5" t="s">
        <v>5368</v>
      </c>
      <c r="G495" s="5" t="s">
        <v>5369</v>
      </c>
      <c r="H495" s="5" t="s">
        <v>1815</v>
      </c>
      <c r="I495" s="5" t="s">
        <v>1763</v>
      </c>
      <c r="J495" s="91">
        <v>37713.0</v>
      </c>
      <c r="K495" s="5">
        <v>424.0</v>
      </c>
      <c r="L495" s="5" t="s">
        <v>3197</v>
      </c>
      <c r="M495" s="5">
        <v>54.0</v>
      </c>
      <c r="N495" s="5"/>
      <c r="O495" s="5">
        <v>35920.0</v>
      </c>
      <c r="P495" s="5" t="s">
        <v>3139</v>
      </c>
      <c r="Q495" s="5" t="s">
        <v>5370</v>
      </c>
      <c r="R495" s="5">
        <v>424.0</v>
      </c>
      <c r="S495" s="5">
        <v>4.696977852E9</v>
      </c>
      <c r="T495" s="5" t="s">
        <v>5371</v>
      </c>
      <c r="U495" s="5" t="s">
        <v>5372</v>
      </c>
      <c r="V495" s="5">
        <v>1.234567891E9</v>
      </c>
      <c r="W495" s="5" t="s">
        <v>1808</v>
      </c>
      <c r="X495" s="91">
        <v>45707.0</v>
      </c>
      <c r="Y495" s="5">
        <v>2.0</v>
      </c>
      <c r="Z495" s="5">
        <v>19.0</v>
      </c>
      <c r="AA495" s="5">
        <v>9.0</v>
      </c>
      <c r="AB495" s="5"/>
      <c r="AC495" s="5"/>
      <c r="AD495" s="5" t="s">
        <v>1770</v>
      </c>
      <c r="AE495" s="5" t="s">
        <v>1770</v>
      </c>
      <c r="AF495" s="5"/>
      <c r="AG495" s="5"/>
      <c r="AH495" s="5">
        <v>6.4170361204E10</v>
      </c>
      <c r="AI495" s="5">
        <v>9.0</v>
      </c>
      <c r="AJ495" s="5"/>
      <c r="AK495" s="5" t="s">
        <v>1773</v>
      </c>
      <c r="AL495" s="92">
        <v>0.0</v>
      </c>
      <c r="AM495" s="5" t="s">
        <v>1770</v>
      </c>
      <c r="AN495" s="5" t="s">
        <v>4382</v>
      </c>
      <c r="AO495" s="5"/>
      <c r="AP495" s="5"/>
      <c r="AQ495" s="5"/>
      <c r="AR495" s="5"/>
      <c r="AS495" s="5"/>
      <c r="AT495" s="5"/>
      <c r="AU495" s="5"/>
      <c r="AV495" s="5"/>
      <c r="AW495" s="5" t="s">
        <v>1770</v>
      </c>
      <c r="AX495" s="5"/>
      <c r="AY495" s="5"/>
      <c r="AZ495" s="5" t="s">
        <v>1770</v>
      </c>
      <c r="BA495" s="93">
        <v>0.0</v>
      </c>
      <c r="BB495" s="93">
        <v>0.0</v>
      </c>
      <c r="BC495" s="93">
        <v>0.0</v>
      </c>
      <c r="BD495" s="93">
        <v>0.0</v>
      </c>
      <c r="BE495" s="93">
        <v>0.0</v>
      </c>
      <c r="BF495" s="93">
        <v>0.0</v>
      </c>
      <c r="BG495" s="5"/>
      <c r="BH495" s="93">
        <v>0.0</v>
      </c>
      <c r="BI495" s="93">
        <v>0.0</v>
      </c>
      <c r="BJ495" s="93">
        <v>0.0</v>
      </c>
      <c r="BK495" s="93">
        <v>0.0</v>
      </c>
      <c r="BL495" s="93">
        <v>0.0</v>
      </c>
      <c r="BM495" s="93">
        <v>0.0</v>
      </c>
      <c r="BN495" s="93">
        <v>0.0</v>
      </c>
      <c r="BO495" s="5"/>
      <c r="BP495" s="5" t="s">
        <v>1770</v>
      </c>
      <c r="BQ495" s="5" t="s">
        <v>1789</v>
      </c>
      <c r="BR495" s="94">
        <v>45709.39633101852</v>
      </c>
      <c r="BS495" s="5">
        <v>40.0</v>
      </c>
      <c r="BT495" s="5" t="s">
        <v>1770</v>
      </c>
      <c r="BU495" s="5" t="s">
        <v>1770</v>
      </c>
      <c r="BV495" s="94">
        <v>45715.69568287037</v>
      </c>
      <c r="BW495" s="5">
        <v>40.0</v>
      </c>
    </row>
    <row r="496" ht="14.25" customHeight="1">
      <c r="A496" s="5">
        <v>495.0</v>
      </c>
      <c r="B496" s="5">
        <v>761.0</v>
      </c>
      <c r="C496" s="5" t="s">
        <v>5373</v>
      </c>
      <c r="D496" s="5" t="s">
        <v>1926</v>
      </c>
      <c r="E496" s="5" t="s">
        <v>5374</v>
      </c>
      <c r="F496" s="5" t="s">
        <v>5375</v>
      </c>
      <c r="G496" s="5" t="s">
        <v>5376</v>
      </c>
      <c r="H496" s="5" t="s">
        <v>1815</v>
      </c>
      <c r="I496" s="5" t="s">
        <v>1763</v>
      </c>
      <c r="J496" s="91">
        <v>33447.0</v>
      </c>
      <c r="K496" s="5">
        <v>834.0</v>
      </c>
      <c r="L496" s="5" t="s">
        <v>5377</v>
      </c>
      <c r="M496" s="5">
        <v>550.0</v>
      </c>
      <c r="N496" s="5">
        <v>5.0</v>
      </c>
      <c r="O496" s="5">
        <v>54139.0</v>
      </c>
      <c r="P496" s="5" t="s">
        <v>5238</v>
      </c>
      <c r="Q496" s="5" t="s">
        <v>2041</v>
      </c>
      <c r="R496" s="5">
        <v>834.0</v>
      </c>
      <c r="S496" s="5">
        <v>4.432838155E9</v>
      </c>
      <c r="T496" s="5" t="s">
        <v>5378</v>
      </c>
      <c r="U496" s="5" t="s">
        <v>5379</v>
      </c>
      <c r="V496" s="5">
        <v>1.234567891E9</v>
      </c>
      <c r="W496" s="5" t="s">
        <v>1819</v>
      </c>
      <c r="X496" s="91">
        <v>45707.0</v>
      </c>
      <c r="Y496" s="5">
        <v>4.0</v>
      </c>
      <c r="Z496" s="5">
        <v>4.0</v>
      </c>
      <c r="AA496" s="5">
        <v>73.0</v>
      </c>
      <c r="AB496" s="5"/>
      <c r="AC496" s="5"/>
      <c r="AD496" s="5" t="s">
        <v>1770</v>
      </c>
      <c r="AE496" s="5" t="s">
        <v>1770</v>
      </c>
      <c r="AF496" s="5"/>
      <c r="AG496" s="5"/>
      <c r="AH496" s="5">
        <v>5.3109122621E10</v>
      </c>
      <c r="AI496" s="5">
        <v>80.0</v>
      </c>
      <c r="AJ496" s="5"/>
      <c r="AK496" s="5" t="s">
        <v>1773</v>
      </c>
      <c r="AL496" s="92">
        <v>0.0</v>
      </c>
      <c r="AM496" s="5" t="s">
        <v>1770</v>
      </c>
      <c r="AN496" s="5" t="s">
        <v>5380</v>
      </c>
      <c r="AO496" s="5"/>
      <c r="AP496" s="5"/>
      <c r="AQ496" s="5"/>
      <c r="AR496" s="5"/>
      <c r="AS496" s="5"/>
      <c r="AT496" s="5"/>
      <c r="AU496" s="5"/>
      <c r="AV496" s="5"/>
      <c r="AW496" s="5" t="s">
        <v>1770</v>
      </c>
      <c r="AX496" s="5"/>
      <c r="AY496" s="5"/>
      <c r="AZ496" s="5" t="s">
        <v>1770</v>
      </c>
      <c r="BA496" s="93">
        <v>0.0</v>
      </c>
      <c r="BB496" s="93">
        <v>0.0</v>
      </c>
      <c r="BC496" s="93">
        <v>0.0</v>
      </c>
      <c r="BD496" s="93">
        <v>0.0</v>
      </c>
      <c r="BE496" s="93">
        <v>0.0</v>
      </c>
      <c r="BF496" s="93">
        <v>0.0</v>
      </c>
      <c r="BG496" s="5"/>
      <c r="BH496" s="93">
        <v>0.0</v>
      </c>
      <c r="BI496" s="93">
        <v>0.0</v>
      </c>
      <c r="BJ496" s="93">
        <v>0.0</v>
      </c>
      <c r="BK496" s="93">
        <v>0.0</v>
      </c>
      <c r="BL496" s="93">
        <v>0.0</v>
      </c>
      <c r="BM496" s="93">
        <v>0.0</v>
      </c>
      <c r="BN496" s="93">
        <v>0.0</v>
      </c>
      <c r="BO496" s="5"/>
      <c r="BP496" s="5" t="s">
        <v>1770</v>
      </c>
      <c r="BQ496" s="5" t="s">
        <v>1775</v>
      </c>
      <c r="BR496" s="94">
        <v>45709.403761574074</v>
      </c>
      <c r="BS496" s="5">
        <v>40.0</v>
      </c>
      <c r="BT496" s="94">
        <v>45892.56730324074</v>
      </c>
      <c r="BU496" s="5">
        <v>40.0</v>
      </c>
      <c r="BV496" s="5" t="s">
        <v>1770</v>
      </c>
      <c r="BW496" s="5" t="s">
        <v>1770</v>
      </c>
    </row>
    <row r="497" ht="14.25" customHeight="1">
      <c r="A497" s="5">
        <v>496.0</v>
      </c>
      <c r="B497" s="5">
        <v>767.0</v>
      </c>
      <c r="C497" s="5" t="s">
        <v>5381</v>
      </c>
      <c r="D497" s="5" t="s">
        <v>2627</v>
      </c>
      <c r="E497" s="5" t="s">
        <v>5382</v>
      </c>
      <c r="F497" s="5" t="s">
        <v>5383</v>
      </c>
      <c r="G497" s="5" t="s">
        <v>5384</v>
      </c>
      <c r="H497" s="5" t="s">
        <v>1781</v>
      </c>
      <c r="I497" s="5" t="s">
        <v>1782</v>
      </c>
      <c r="J497" s="91">
        <v>37390.0</v>
      </c>
      <c r="K497" s="5">
        <v>418.0</v>
      </c>
      <c r="L497" s="5" t="s">
        <v>2816</v>
      </c>
      <c r="M497" s="5">
        <v>21.0</v>
      </c>
      <c r="N497" s="5"/>
      <c r="O497" s="5">
        <v>35877.0</v>
      </c>
      <c r="P497" s="5" t="s">
        <v>3139</v>
      </c>
      <c r="Q497" s="5" t="s">
        <v>2817</v>
      </c>
      <c r="R497" s="5">
        <v>424.0</v>
      </c>
      <c r="S497" s="5">
        <v>6.684685819E9</v>
      </c>
      <c r="T497" s="5" t="s">
        <v>5385</v>
      </c>
      <c r="U497" s="5" t="s">
        <v>1787</v>
      </c>
      <c r="V497" s="5">
        <v>1.234567911E9</v>
      </c>
      <c r="W497" s="5" t="s">
        <v>1787</v>
      </c>
      <c r="X497" s="91">
        <v>45717.0</v>
      </c>
      <c r="Y497" s="5">
        <v>2.0</v>
      </c>
      <c r="Z497" s="5">
        <v>4.0</v>
      </c>
      <c r="AA497" s="5">
        <v>12.0</v>
      </c>
      <c r="AB497" s="5"/>
      <c r="AC497" s="5"/>
      <c r="AD497" s="5" t="s">
        <v>1770</v>
      </c>
      <c r="AE497" s="5" t="s">
        <v>1770</v>
      </c>
      <c r="AF497" s="5"/>
      <c r="AG497" s="5"/>
      <c r="AH497" s="5">
        <v>1.2345678912E10</v>
      </c>
      <c r="AI497" s="5">
        <v>9.0</v>
      </c>
      <c r="AJ497" s="5"/>
      <c r="AK497" s="5" t="s">
        <v>1773</v>
      </c>
      <c r="AL497" s="92">
        <v>0.0</v>
      </c>
      <c r="AM497" s="5" t="s">
        <v>1770</v>
      </c>
      <c r="AN497" s="5" t="s">
        <v>4382</v>
      </c>
      <c r="AO497" s="5"/>
      <c r="AP497" s="5"/>
      <c r="AQ497" s="5"/>
      <c r="AR497" s="5"/>
      <c r="AS497" s="5"/>
      <c r="AT497" s="5"/>
      <c r="AU497" s="5"/>
      <c r="AV497" s="5"/>
      <c r="AW497" s="5" t="s">
        <v>1770</v>
      </c>
      <c r="AX497" s="5"/>
      <c r="AY497" s="5"/>
      <c r="AZ497" s="5" t="s">
        <v>1770</v>
      </c>
      <c r="BA497" s="93">
        <v>0.0</v>
      </c>
      <c r="BB497" s="93">
        <v>0.0</v>
      </c>
      <c r="BC497" s="93">
        <v>0.0</v>
      </c>
      <c r="BD497" s="93">
        <v>0.0</v>
      </c>
      <c r="BE497" s="93">
        <v>0.0</v>
      </c>
      <c r="BF497" s="93">
        <v>0.0</v>
      </c>
      <c r="BG497" s="5"/>
      <c r="BH497" s="93">
        <v>0.0</v>
      </c>
      <c r="BI497" s="93">
        <v>0.0</v>
      </c>
      <c r="BJ497" s="93">
        <v>0.0</v>
      </c>
      <c r="BK497" s="93">
        <v>0.0</v>
      </c>
      <c r="BL497" s="93">
        <v>0.0</v>
      </c>
      <c r="BM497" s="93">
        <v>0.0</v>
      </c>
      <c r="BN497" s="93">
        <v>0.0</v>
      </c>
      <c r="BO497" s="5"/>
      <c r="BP497" s="5" t="s">
        <v>1770</v>
      </c>
      <c r="BQ497" s="5" t="s">
        <v>1789</v>
      </c>
      <c r="BR497" s="94">
        <v>45716.55835648148</v>
      </c>
      <c r="BS497" s="5">
        <v>40.0</v>
      </c>
      <c r="BT497" s="94">
        <v>45755.483090277776</v>
      </c>
      <c r="BU497" s="5">
        <v>40.0</v>
      </c>
      <c r="BV497" s="94">
        <v>45827.491574074076</v>
      </c>
      <c r="BW497" s="5" t="s">
        <v>1770</v>
      </c>
    </row>
    <row r="498" ht="14.25" customHeight="1">
      <c r="A498" s="5">
        <v>497.0</v>
      </c>
      <c r="B498" s="5">
        <v>762.0</v>
      </c>
      <c r="C498" s="5" t="s">
        <v>5386</v>
      </c>
      <c r="D498" s="5" t="s">
        <v>2164</v>
      </c>
      <c r="E498" s="5" t="s">
        <v>1790</v>
      </c>
      <c r="F498" s="5" t="s">
        <v>5387</v>
      </c>
      <c r="G498" s="5" t="s">
        <v>5388</v>
      </c>
      <c r="H498" s="5" t="s">
        <v>1972</v>
      </c>
      <c r="I498" s="5" t="s">
        <v>1782</v>
      </c>
      <c r="J498" s="91">
        <v>34486.0</v>
      </c>
      <c r="K498" s="5">
        <v>762.0</v>
      </c>
      <c r="L498" s="5" t="s">
        <v>5389</v>
      </c>
      <c r="M498" s="5">
        <v>12.0</v>
      </c>
      <c r="N498" s="5"/>
      <c r="O498" s="5">
        <v>46872.0</v>
      </c>
      <c r="P498" s="5" t="s">
        <v>1797</v>
      </c>
      <c r="Q498" s="5" t="s">
        <v>5390</v>
      </c>
      <c r="R498" s="5">
        <v>661.0</v>
      </c>
      <c r="S498" s="5">
        <v>7.224296937E9</v>
      </c>
      <c r="T498" s="5" t="s">
        <v>5391</v>
      </c>
      <c r="U498" s="5" t="s">
        <v>5392</v>
      </c>
      <c r="V498" s="5">
        <v>7.221833444E9</v>
      </c>
      <c r="W498" s="5" t="s">
        <v>1965</v>
      </c>
      <c r="X498" s="91">
        <v>45719.0</v>
      </c>
      <c r="Y498" s="5">
        <v>4.0</v>
      </c>
      <c r="Z498" s="5">
        <v>1.0</v>
      </c>
      <c r="AA498" s="5">
        <v>79.0</v>
      </c>
      <c r="AB498" s="5">
        <v>5.2000013003E10</v>
      </c>
      <c r="AC498" s="5" t="s">
        <v>5393</v>
      </c>
      <c r="AD498" s="91">
        <v>45924.0</v>
      </c>
      <c r="AE498" s="91">
        <v>46654.0</v>
      </c>
      <c r="AF498" s="5"/>
      <c r="AG498" s="5"/>
      <c r="AH498" s="5">
        <v>1.6119447627E10</v>
      </c>
      <c r="AI498" s="5">
        <v>80.0</v>
      </c>
      <c r="AJ498" s="5"/>
      <c r="AK498" s="5" t="s">
        <v>1773</v>
      </c>
      <c r="AL498" s="92">
        <v>0.0</v>
      </c>
      <c r="AM498" s="5" t="s">
        <v>1770</v>
      </c>
      <c r="AN498" s="5" t="s">
        <v>1809</v>
      </c>
      <c r="AO498" s="5"/>
      <c r="AP498" s="5"/>
      <c r="AQ498" s="5"/>
      <c r="AR498" s="5"/>
      <c r="AS498" s="5"/>
      <c r="AT498" s="5"/>
      <c r="AU498" s="5"/>
      <c r="AV498" s="5"/>
      <c r="AW498" s="5" t="s">
        <v>1770</v>
      </c>
      <c r="AX498" s="5"/>
      <c r="AY498" s="5"/>
      <c r="AZ498" s="5" t="s">
        <v>1770</v>
      </c>
      <c r="BA498" s="93">
        <v>0.0</v>
      </c>
      <c r="BB498" s="93">
        <v>0.0</v>
      </c>
      <c r="BC498" s="93">
        <v>0.0</v>
      </c>
      <c r="BD498" s="93">
        <v>0.0</v>
      </c>
      <c r="BE498" s="93">
        <v>0.0</v>
      </c>
      <c r="BF498" s="93">
        <v>0.0</v>
      </c>
      <c r="BG498" s="5"/>
      <c r="BH498" s="93">
        <v>0.0</v>
      </c>
      <c r="BI498" s="93">
        <v>0.0</v>
      </c>
      <c r="BJ498" s="93">
        <v>0.0</v>
      </c>
      <c r="BK498" s="93">
        <v>0.0</v>
      </c>
      <c r="BL498" s="93">
        <v>0.0</v>
      </c>
      <c r="BM498" s="93">
        <v>0.0</v>
      </c>
      <c r="BN498" s="93">
        <v>0.0</v>
      </c>
      <c r="BO498" s="5"/>
      <c r="BP498" s="5"/>
      <c r="BQ498" s="5" t="s">
        <v>1775</v>
      </c>
      <c r="BR498" s="94">
        <v>45719.60633101852</v>
      </c>
      <c r="BS498" s="5">
        <v>40.0</v>
      </c>
      <c r="BT498" s="94">
        <v>46176.54215277778</v>
      </c>
      <c r="BU498" s="5">
        <v>40.0</v>
      </c>
      <c r="BV498" s="5" t="s">
        <v>1770</v>
      </c>
      <c r="BW498" s="5" t="s">
        <v>1770</v>
      </c>
    </row>
    <row r="499" ht="14.25" customHeight="1">
      <c r="A499" s="5">
        <v>498.0</v>
      </c>
      <c r="B499" s="5">
        <v>763.0</v>
      </c>
      <c r="C499" s="5" t="s">
        <v>5394</v>
      </c>
      <c r="D499" s="5" t="s">
        <v>1778</v>
      </c>
      <c r="E499" s="5" t="s">
        <v>2005</v>
      </c>
      <c r="F499" s="5" t="s">
        <v>5395</v>
      </c>
      <c r="G499" s="5" t="s">
        <v>5396</v>
      </c>
      <c r="H499" s="5" t="s">
        <v>1815</v>
      </c>
      <c r="I499" s="5" t="s">
        <v>1763</v>
      </c>
      <c r="J499" s="91">
        <v>36806.0</v>
      </c>
      <c r="K499" s="5">
        <v>418.0</v>
      </c>
      <c r="L499" s="5" t="s">
        <v>5397</v>
      </c>
      <c r="M499" s="5" t="s">
        <v>2913</v>
      </c>
      <c r="N499" s="5"/>
      <c r="O499" s="5">
        <v>35908.0</v>
      </c>
      <c r="P499" s="5" t="s">
        <v>3139</v>
      </c>
      <c r="Q499" s="5" t="s">
        <v>5397</v>
      </c>
      <c r="R499" s="5">
        <v>424.0</v>
      </c>
      <c r="S499" s="5">
        <v>3.521177837E9</v>
      </c>
      <c r="T499" s="5" t="s">
        <v>5398</v>
      </c>
      <c r="U499" s="5" t="s">
        <v>5399</v>
      </c>
      <c r="V499" s="5">
        <v>4.691100068E9</v>
      </c>
      <c r="W499" s="5" t="s">
        <v>1808</v>
      </c>
      <c r="X499" s="91">
        <v>45720.0</v>
      </c>
      <c r="Y499" s="5">
        <v>2.0</v>
      </c>
      <c r="Z499" s="5">
        <v>19.0</v>
      </c>
      <c r="AA499" s="5">
        <v>74.0</v>
      </c>
      <c r="AB499" s="5"/>
      <c r="AC499" s="5"/>
      <c r="AD499" s="5" t="s">
        <v>1770</v>
      </c>
      <c r="AE499" s="5" t="s">
        <v>1770</v>
      </c>
      <c r="AF499" s="5"/>
      <c r="AG499" s="5"/>
      <c r="AH499" s="5">
        <v>2.4130022064E10</v>
      </c>
      <c r="AI499" s="5"/>
      <c r="AJ499" s="5"/>
      <c r="AK499" s="5" t="s">
        <v>1773</v>
      </c>
      <c r="AL499" s="92">
        <v>0.0</v>
      </c>
      <c r="AM499" s="5" t="s">
        <v>1770</v>
      </c>
      <c r="AN499" s="5" t="s">
        <v>1774</v>
      </c>
      <c r="AO499" s="5"/>
      <c r="AP499" s="5"/>
      <c r="AQ499" s="5"/>
      <c r="AR499" s="5"/>
      <c r="AS499" s="5"/>
      <c r="AT499" s="5"/>
      <c r="AU499" s="5"/>
      <c r="AV499" s="5"/>
      <c r="AW499" s="5" t="s">
        <v>1770</v>
      </c>
      <c r="AX499" s="5"/>
      <c r="AY499" s="5"/>
      <c r="AZ499" s="5" t="s">
        <v>1770</v>
      </c>
      <c r="BA499" s="93">
        <v>0.0</v>
      </c>
      <c r="BB499" s="93">
        <v>0.0</v>
      </c>
      <c r="BC499" s="93">
        <v>0.0</v>
      </c>
      <c r="BD499" s="93">
        <v>0.0</v>
      </c>
      <c r="BE499" s="93">
        <v>0.0</v>
      </c>
      <c r="BF499" s="93">
        <v>0.0</v>
      </c>
      <c r="BG499" s="5"/>
      <c r="BH499" s="93">
        <v>0.0</v>
      </c>
      <c r="BI499" s="93">
        <v>0.0</v>
      </c>
      <c r="BJ499" s="93">
        <v>0.0</v>
      </c>
      <c r="BK499" s="93">
        <v>0.0</v>
      </c>
      <c r="BL499" s="93">
        <v>0.0</v>
      </c>
      <c r="BM499" s="93">
        <v>0.0</v>
      </c>
      <c r="BN499" s="93">
        <v>0.0</v>
      </c>
      <c r="BO499" s="5"/>
      <c r="BP499" s="5" t="s">
        <v>1770</v>
      </c>
      <c r="BQ499" s="5" t="s">
        <v>1789</v>
      </c>
      <c r="BR499" s="94">
        <v>45721.700162037036</v>
      </c>
      <c r="BS499" s="5">
        <v>40.0</v>
      </c>
      <c r="BT499" s="94">
        <v>45892.57346064815</v>
      </c>
      <c r="BU499" s="5">
        <v>40.0</v>
      </c>
      <c r="BV499" s="94">
        <v>46129.701215277775</v>
      </c>
      <c r="BW499" s="5">
        <v>40.0</v>
      </c>
    </row>
    <row r="500" ht="14.25" customHeight="1">
      <c r="A500" s="5">
        <v>499.0</v>
      </c>
      <c r="B500" s="5">
        <v>764.0</v>
      </c>
      <c r="C500" s="5" t="s">
        <v>2877</v>
      </c>
      <c r="D500" s="5" t="s">
        <v>2558</v>
      </c>
      <c r="E500" s="5" t="s">
        <v>1758</v>
      </c>
      <c r="F500" s="5" t="s">
        <v>5400</v>
      </c>
      <c r="G500" s="5" t="s">
        <v>5401</v>
      </c>
      <c r="H500" s="5" t="s">
        <v>1972</v>
      </c>
      <c r="I500" s="5" t="s">
        <v>1782</v>
      </c>
      <c r="J500" s="91">
        <v>36189.0</v>
      </c>
      <c r="K500" s="5">
        <v>549.0</v>
      </c>
      <c r="L500" s="5" t="s">
        <v>5402</v>
      </c>
      <c r="M500" s="5">
        <v>72.0</v>
      </c>
      <c r="N500" s="5"/>
      <c r="O500" s="5">
        <v>43882.0</v>
      </c>
      <c r="P500" s="5" t="s">
        <v>1797</v>
      </c>
      <c r="Q500" s="5" t="s">
        <v>1766</v>
      </c>
      <c r="R500" s="5">
        <v>549.0</v>
      </c>
      <c r="S500" s="5">
        <v>3.931048534E9</v>
      </c>
      <c r="T500" s="5" t="s">
        <v>5403</v>
      </c>
      <c r="U500" s="5" t="s">
        <v>5404</v>
      </c>
      <c r="V500" s="5">
        <v>3.939354889E9</v>
      </c>
      <c r="W500" s="5" t="s">
        <v>1808</v>
      </c>
      <c r="X500" s="91">
        <v>45728.0</v>
      </c>
      <c r="Y500" s="5">
        <v>1.0</v>
      </c>
      <c r="Z500" s="5">
        <v>17.0</v>
      </c>
      <c r="AA500" s="5">
        <v>90.0</v>
      </c>
      <c r="AB500" s="5" t="s">
        <v>5405</v>
      </c>
      <c r="AC500" s="5" t="s">
        <v>1800</v>
      </c>
      <c r="AD500" s="91">
        <v>45722.0</v>
      </c>
      <c r="AE500" s="91">
        <v>47183.0</v>
      </c>
      <c r="AF500" s="5"/>
      <c r="AG500" s="5"/>
      <c r="AH500" s="5">
        <v>1.5139971483E10</v>
      </c>
      <c r="AI500" s="5">
        <v>23.0</v>
      </c>
      <c r="AJ500" s="5"/>
      <c r="AK500" s="5" t="s">
        <v>1773</v>
      </c>
      <c r="AL500" s="92">
        <v>0.0</v>
      </c>
      <c r="AM500" s="5" t="s">
        <v>1770</v>
      </c>
      <c r="AN500" s="5" t="s">
        <v>1774</v>
      </c>
      <c r="AO500" s="5"/>
      <c r="AP500" s="5"/>
      <c r="AQ500" s="5"/>
      <c r="AR500" s="5"/>
      <c r="AS500" s="5"/>
      <c r="AT500" s="5"/>
      <c r="AU500" s="5"/>
      <c r="AV500" s="5"/>
      <c r="AW500" s="5" t="s">
        <v>1770</v>
      </c>
      <c r="AX500" s="5"/>
      <c r="AY500" s="5"/>
      <c r="AZ500" s="5" t="s">
        <v>1770</v>
      </c>
      <c r="BA500" s="93">
        <v>0.0</v>
      </c>
      <c r="BB500" s="93">
        <v>0.0</v>
      </c>
      <c r="BC500" s="93">
        <v>0.0</v>
      </c>
      <c r="BD500" s="93">
        <v>0.0</v>
      </c>
      <c r="BE500" s="93">
        <v>0.0</v>
      </c>
      <c r="BF500" s="93">
        <v>0.0</v>
      </c>
      <c r="BG500" s="5"/>
      <c r="BH500" s="93">
        <v>0.0</v>
      </c>
      <c r="BI500" s="93">
        <v>0.0</v>
      </c>
      <c r="BJ500" s="93">
        <v>0.0</v>
      </c>
      <c r="BK500" s="93">
        <v>0.0</v>
      </c>
      <c r="BL500" s="93">
        <v>0.0</v>
      </c>
      <c r="BM500" s="93">
        <v>0.0</v>
      </c>
      <c r="BN500" s="93">
        <v>0.0</v>
      </c>
      <c r="BO500" s="5"/>
      <c r="BP500" s="5" t="s">
        <v>1770</v>
      </c>
      <c r="BQ500" s="5" t="s">
        <v>1789</v>
      </c>
      <c r="BR500" s="94">
        <v>45737.62771990741</v>
      </c>
      <c r="BS500" s="5">
        <v>40.0</v>
      </c>
      <c r="BT500" s="94">
        <v>45892.57653935185</v>
      </c>
      <c r="BU500" s="5">
        <v>40.0</v>
      </c>
      <c r="BV500" s="94">
        <v>45992.5622337963</v>
      </c>
      <c r="BW500" s="5">
        <v>40.0</v>
      </c>
    </row>
    <row r="501" ht="14.25" customHeight="1">
      <c r="A501" s="5">
        <v>500.0</v>
      </c>
      <c r="B501" s="5">
        <v>765.0</v>
      </c>
      <c r="C501" s="5" t="s">
        <v>5406</v>
      </c>
      <c r="D501" s="5" t="s">
        <v>5407</v>
      </c>
      <c r="E501" s="5" t="s">
        <v>2157</v>
      </c>
      <c r="F501" s="5" t="s">
        <v>5408</v>
      </c>
      <c r="G501" s="5" t="s">
        <v>5409</v>
      </c>
      <c r="H501" s="5" t="s">
        <v>1815</v>
      </c>
      <c r="I501" s="5" t="s">
        <v>1763</v>
      </c>
      <c r="J501" s="91">
        <v>34687.0</v>
      </c>
      <c r="K501" s="5">
        <v>886.0</v>
      </c>
      <c r="L501" s="5" t="s">
        <v>5410</v>
      </c>
      <c r="M501" s="5">
        <v>156.0</v>
      </c>
      <c r="N501" s="5" t="s">
        <v>2340</v>
      </c>
      <c r="O501" s="5">
        <v>55002.0</v>
      </c>
      <c r="P501" s="5" t="s">
        <v>1797</v>
      </c>
      <c r="Q501" s="5" t="s">
        <v>1974</v>
      </c>
      <c r="R501" s="5">
        <v>886.0</v>
      </c>
      <c r="S501" s="5">
        <v>3.931977443E9</v>
      </c>
      <c r="T501" s="5" t="s">
        <v>5411</v>
      </c>
      <c r="U501" s="5" t="s">
        <v>5412</v>
      </c>
      <c r="V501" s="5">
        <v>3.931243201E9</v>
      </c>
      <c r="W501" s="5" t="s">
        <v>1965</v>
      </c>
      <c r="X501" s="91">
        <v>45734.0</v>
      </c>
      <c r="Y501" s="5">
        <v>1.0</v>
      </c>
      <c r="Z501" s="5">
        <v>4.0</v>
      </c>
      <c r="AA501" s="5">
        <v>9.0</v>
      </c>
      <c r="AB501" s="5" t="s">
        <v>5413</v>
      </c>
      <c r="AC501" s="5" t="s">
        <v>1772</v>
      </c>
      <c r="AD501" s="91">
        <v>45015.0</v>
      </c>
      <c r="AE501" s="91">
        <v>48668.0</v>
      </c>
      <c r="AF501" s="5"/>
      <c r="AG501" s="5"/>
      <c r="AH501" s="5">
        <v>6.616949425E10</v>
      </c>
      <c r="AI501" s="5">
        <v>23.0</v>
      </c>
      <c r="AJ501" s="5"/>
      <c r="AK501" s="5" t="s">
        <v>1773</v>
      </c>
      <c r="AL501" s="92">
        <v>0.0</v>
      </c>
      <c r="AM501" s="5" t="s">
        <v>1770</v>
      </c>
      <c r="AN501" s="5" t="s">
        <v>1830</v>
      </c>
      <c r="AO501" s="5"/>
      <c r="AP501" s="5"/>
      <c r="AQ501" s="5"/>
      <c r="AR501" s="5"/>
      <c r="AS501" s="5"/>
      <c r="AT501" s="5"/>
      <c r="AU501" s="5"/>
      <c r="AV501" s="5"/>
      <c r="AW501" s="5" t="s">
        <v>1770</v>
      </c>
      <c r="AX501" s="5"/>
      <c r="AY501" s="5"/>
      <c r="AZ501" s="5" t="s">
        <v>1770</v>
      </c>
      <c r="BA501" s="93">
        <v>0.0</v>
      </c>
      <c r="BB501" s="93">
        <v>0.0</v>
      </c>
      <c r="BC501" s="93">
        <v>0.0</v>
      </c>
      <c r="BD501" s="93">
        <v>0.0</v>
      </c>
      <c r="BE501" s="93">
        <v>0.0</v>
      </c>
      <c r="BF501" s="93">
        <v>0.0</v>
      </c>
      <c r="BG501" s="5"/>
      <c r="BH501" s="93">
        <v>0.0</v>
      </c>
      <c r="BI501" s="93">
        <v>0.0</v>
      </c>
      <c r="BJ501" s="93">
        <v>0.0</v>
      </c>
      <c r="BK501" s="93">
        <v>0.0</v>
      </c>
      <c r="BL501" s="93">
        <v>0.0</v>
      </c>
      <c r="BM501" s="93">
        <v>0.0</v>
      </c>
      <c r="BN501" s="93">
        <v>0.0</v>
      </c>
      <c r="BO501" s="5"/>
      <c r="BP501" s="5" t="s">
        <v>1770</v>
      </c>
      <c r="BQ501" s="5" t="s">
        <v>1789</v>
      </c>
      <c r="BR501" s="94">
        <v>45737.67978009259</v>
      </c>
      <c r="BS501" s="5">
        <v>40.0</v>
      </c>
      <c r="BT501" s="5" t="s">
        <v>1770</v>
      </c>
      <c r="BU501" s="5" t="s">
        <v>1770</v>
      </c>
      <c r="BV501" s="94">
        <v>45874.517372685186</v>
      </c>
      <c r="BW501" s="5">
        <v>275.0</v>
      </c>
    </row>
    <row r="502" ht="14.25" customHeight="1">
      <c r="A502" s="5">
        <v>501.0</v>
      </c>
      <c r="B502" s="5">
        <v>766.0</v>
      </c>
      <c r="C502" s="5" t="s">
        <v>5414</v>
      </c>
      <c r="D502" s="5" t="s">
        <v>1812</v>
      </c>
      <c r="E502" s="5" t="s">
        <v>5415</v>
      </c>
      <c r="F502" s="5" t="s">
        <v>5416</v>
      </c>
      <c r="G502" s="5" t="s">
        <v>5417</v>
      </c>
      <c r="H502" s="5" t="s">
        <v>2671</v>
      </c>
      <c r="I502" s="5" t="s">
        <v>1782</v>
      </c>
      <c r="J502" s="91">
        <v>32001.0</v>
      </c>
      <c r="K502" s="5">
        <v>549.0</v>
      </c>
      <c r="L502" s="5" t="s">
        <v>5418</v>
      </c>
      <c r="M502" s="5">
        <v>28.0</v>
      </c>
      <c r="N502" s="5"/>
      <c r="O502" s="5">
        <v>43877.0</v>
      </c>
      <c r="P502" s="5" t="s">
        <v>1797</v>
      </c>
      <c r="Q502" s="5" t="s">
        <v>1817</v>
      </c>
      <c r="R502" s="5">
        <v>578.0</v>
      </c>
      <c r="S502" s="5">
        <v>3.481444633E9</v>
      </c>
      <c r="T502" s="5" t="s">
        <v>5419</v>
      </c>
      <c r="U502" s="5" t="s">
        <v>5420</v>
      </c>
      <c r="V502" s="5">
        <v>3.939364038E9</v>
      </c>
      <c r="W502" s="5" t="s">
        <v>3956</v>
      </c>
      <c r="X502" s="91">
        <v>45734.0</v>
      </c>
      <c r="Y502" s="5">
        <v>1.0</v>
      </c>
      <c r="Z502" s="5">
        <v>4.0</v>
      </c>
      <c r="AA502" s="5">
        <v>12.0</v>
      </c>
      <c r="AB502" s="5">
        <v>1.6294295E7</v>
      </c>
      <c r="AC502" s="5" t="s">
        <v>1800</v>
      </c>
      <c r="AD502" s="91">
        <v>44769.0</v>
      </c>
      <c r="AE502" s="91">
        <v>46230.0</v>
      </c>
      <c r="AF502" s="5"/>
      <c r="AG502" s="5"/>
      <c r="AH502" s="5">
        <v>4.138729357E9</v>
      </c>
      <c r="AI502" s="5">
        <v>23.0</v>
      </c>
      <c r="AJ502" s="5"/>
      <c r="AK502" s="5" t="s">
        <v>1773</v>
      </c>
      <c r="AL502" s="92">
        <v>0.0</v>
      </c>
      <c r="AM502" s="5" t="s">
        <v>1770</v>
      </c>
      <c r="AN502" s="5" t="s">
        <v>1830</v>
      </c>
      <c r="AO502" s="5"/>
      <c r="AP502" s="5"/>
      <c r="AQ502" s="5"/>
      <c r="AR502" s="5"/>
      <c r="AS502" s="5"/>
      <c r="AT502" s="5"/>
      <c r="AU502" s="5"/>
      <c r="AV502" s="5"/>
      <c r="AW502" s="5" t="s">
        <v>1770</v>
      </c>
      <c r="AX502" s="5"/>
      <c r="AY502" s="5"/>
      <c r="AZ502" s="5" t="s">
        <v>1770</v>
      </c>
      <c r="BA502" s="93">
        <v>0.0</v>
      </c>
      <c r="BB502" s="93">
        <v>0.0</v>
      </c>
      <c r="BC502" s="93">
        <v>0.0</v>
      </c>
      <c r="BD502" s="93">
        <v>0.0</v>
      </c>
      <c r="BE502" s="93">
        <v>0.0</v>
      </c>
      <c r="BF502" s="93">
        <v>0.0</v>
      </c>
      <c r="BG502" s="5"/>
      <c r="BH502" s="93">
        <v>0.0</v>
      </c>
      <c r="BI502" s="93">
        <v>0.0</v>
      </c>
      <c r="BJ502" s="93">
        <v>0.0</v>
      </c>
      <c r="BK502" s="93">
        <v>0.0</v>
      </c>
      <c r="BL502" s="93">
        <v>0.0</v>
      </c>
      <c r="BM502" s="93">
        <v>0.0</v>
      </c>
      <c r="BN502" s="93">
        <v>0.0</v>
      </c>
      <c r="BO502" s="5"/>
      <c r="BP502" s="5" t="s">
        <v>1770</v>
      </c>
      <c r="BQ502" s="5" t="s">
        <v>1775</v>
      </c>
      <c r="BR502" s="94">
        <v>45737.684212962966</v>
      </c>
      <c r="BS502" s="5">
        <v>40.0</v>
      </c>
      <c r="BT502" s="5" t="s">
        <v>1770</v>
      </c>
      <c r="BU502" s="5" t="s">
        <v>1770</v>
      </c>
      <c r="BV502" s="5" t="s">
        <v>1770</v>
      </c>
      <c r="BW502" s="5" t="s">
        <v>1770</v>
      </c>
    </row>
    <row r="503" ht="14.25" customHeight="1">
      <c r="A503" s="5">
        <v>502.0</v>
      </c>
      <c r="B503" s="5">
        <v>768.0</v>
      </c>
      <c r="C503" s="5" t="s">
        <v>2877</v>
      </c>
      <c r="D503" s="5" t="s">
        <v>5421</v>
      </c>
      <c r="E503" s="5" t="s">
        <v>1812</v>
      </c>
      <c r="F503" s="5" t="s">
        <v>5422</v>
      </c>
      <c r="G503" s="5" t="s">
        <v>5423</v>
      </c>
      <c r="H503" s="5" t="s">
        <v>1972</v>
      </c>
      <c r="I503" s="5" t="s">
        <v>1782</v>
      </c>
      <c r="J503" s="91">
        <v>35800.0</v>
      </c>
      <c r="K503" s="5">
        <v>425.0</v>
      </c>
      <c r="L503" s="5" t="s">
        <v>4345</v>
      </c>
      <c r="M503" s="5">
        <v>145.0</v>
      </c>
      <c r="N503" s="5"/>
      <c r="O503" s="5">
        <v>35862.0</v>
      </c>
      <c r="P503" s="5" t="s">
        <v>1797</v>
      </c>
      <c r="Q503" s="5" t="s">
        <v>5424</v>
      </c>
      <c r="R503" s="5">
        <v>425.0</v>
      </c>
      <c r="S503" s="5">
        <v>4.622913883E9</v>
      </c>
      <c r="T503" s="5" t="s">
        <v>5425</v>
      </c>
      <c r="U503" s="5" t="s">
        <v>5426</v>
      </c>
      <c r="V503" s="5">
        <v>3.315384538E9</v>
      </c>
      <c r="W503" s="5" t="s">
        <v>1965</v>
      </c>
      <c r="X503" s="91">
        <v>45748.0</v>
      </c>
      <c r="Y503" s="5">
        <v>2.0</v>
      </c>
      <c r="Z503" s="5">
        <v>1.0</v>
      </c>
      <c r="AA503" s="5">
        <v>79.0</v>
      </c>
      <c r="AB503" s="5" t="s">
        <v>5427</v>
      </c>
      <c r="AC503" s="5" t="s">
        <v>1772</v>
      </c>
      <c r="AD503" s="91">
        <v>45932.0</v>
      </c>
      <c r="AE503" s="91">
        <v>47758.0</v>
      </c>
      <c r="AF503" s="5"/>
      <c r="AG503" s="5"/>
      <c r="AH503" s="5">
        <v>2.1018104915E10</v>
      </c>
      <c r="AI503" s="5">
        <v>9.0</v>
      </c>
      <c r="AJ503" s="5"/>
      <c r="AK503" s="5" t="s">
        <v>1773</v>
      </c>
      <c r="AL503" s="92">
        <v>0.0</v>
      </c>
      <c r="AM503" s="5" t="s">
        <v>1770</v>
      </c>
      <c r="AN503" s="5" t="s">
        <v>1830</v>
      </c>
      <c r="AO503" s="5"/>
      <c r="AP503" s="5"/>
      <c r="AQ503" s="5"/>
      <c r="AR503" s="5"/>
      <c r="AS503" s="5"/>
      <c r="AT503" s="5"/>
      <c r="AU503" s="5"/>
      <c r="AV503" s="5"/>
      <c r="AW503" s="5" t="s">
        <v>1770</v>
      </c>
      <c r="AX503" s="5"/>
      <c r="AY503" s="5"/>
      <c r="AZ503" s="5" t="s">
        <v>1770</v>
      </c>
      <c r="BA503" s="93">
        <v>0.0</v>
      </c>
      <c r="BB503" s="93">
        <v>0.0</v>
      </c>
      <c r="BC503" s="93">
        <v>0.0</v>
      </c>
      <c r="BD503" s="93">
        <v>0.0</v>
      </c>
      <c r="BE503" s="93">
        <v>0.0</v>
      </c>
      <c r="BF503" s="93">
        <v>0.0</v>
      </c>
      <c r="BG503" s="5"/>
      <c r="BH503" s="93">
        <v>0.0</v>
      </c>
      <c r="BI503" s="93">
        <v>0.0</v>
      </c>
      <c r="BJ503" s="93">
        <v>0.0</v>
      </c>
      <c r="BK503" s="93">
        <v>0.0</v>
      </c>
      <c r="BL503" s="93">
        <v>0.0</v>
      </c>
      <c r="BM503" s="93">
        <v>0.0</v>
      </c>
      <c r="BN503" s="93">
        <v>0.0</v>
      </c>
      <c r="BO503" s="5"/>
      <c r="BP503" s="5" t="s">
        <v>1770</v>
      </c>
      <c r="BQ503" s="5" t="s">
        <v>1775</v>
      </c>
      <c r="BR503" s="94">
        <v>45750.48034722222</v>
      </c>
      <c r="BS503" s="5">
        <v>40.0</v>
      </c>
      <c r="BT503" s="94">
        <v>45932.62741898148</v>
      </c>
      <c r="BU503" s="5">
        <v>40.0</v>
      </c>
      <c r="BV503" s="5" t="s">
        <v>1770</v>
      </c>
      <c r="BW503" s="5" t="s">
        <v>1770</v>
      </c>
    </row>
    <row r="504" ht="14.25" customHeight="1">
      <c r="A504" s="5">
        <v>503.0</v>
      </c>
      <c r="B504" s="5">
        <v>769.0</v>
      </c>
      <c r="C504" s="5" t="s">
        <v>5428</v>
      </c>
      <c r="D504" s="5" t="s">
        <v>2522</v>
      </c>
      <c r="E504" s="5" t="s">
        <v>1946</v>
      </c>
      <c r="F504" s="5" t="s">
        <v>5429</v>
      </c>
      <c r="G504" s="5" t="s">
        <v>5430</v>
      </c>
      <c r="H504" s="5" t="s">
        <v>1972</v>
      </c>
      <c r="I504" s="5" t="s">
        <v>1782</v>
      </c>
      <c r="J504" s="91">
        <v>36561.0</v>
      </c>
      <c r="K504" s="5">
        <v>424.0</v>
      </c>
      <c r="L504" s="5" t="s">
        <v>2895</v>
      </c>
      <c r="M504" s="5">
        <v>25.0</v>
      </c>
      <c r="N504" s="5"/>
      <c r="O504" s="5">
        <v>35918.0</v>
      </c>
      <c r="P504" s="5" t="s">
        <v>3139</v>
      </c>
      <c r="Q504" s="5" t="s">
        <v>5431</v>
      </c>
      <c r="R504" s="5">
        <v>424.0</v>
      </c>
      <c r="S504" s="5">
        <v>3.521512323E9</v>
      </c>
      <c r="T504" s="5" t="s">
        <v>5432</v>
      </c>
      <c r="U504" s="5" t="s">
        <v>5433</v>
      </c>
      <c r="V504" s="5">
        <v>4.69121865E9</v>
      </c>
      <c r="W504" s="5" t="s">
        <v>2610</v>
      </c>
      <c r="X504" s="91">
        <v>45754.0</v>
      </c>
      <c r="Y504" s="5">
        <v>2.0</v>
      </c>
      <c r="Z504" s="5">
        <v>19.0</v>
      </c>
      <c r="AA504" s="5">
        <v>81.0</v>
      </c>
      <c r="AB504" s="5" t="s">
        <v>5434</v>
      </c>
      <c r="AC504" s="5" t="s">
        <v>1772</v>
      </c>
      <c r="AD504" s="91">
        <v>45219.0</v>
      </c>
      <c r="AE504" s="91">
        <v>47046.0</v>
      </c>
      <c r="AF504" s="5"/>
      <c r="AG504" s="5"/>
      <c r="AH504" s="5">
        <v>4.9160011984E10</v>
      </c>
      <c r="AI504" s="5"/>
      <c r="AJ504" s="5"/>
      <c r="AK504" s="5" t="s">
        <v>1773</v>
      </c>
      <c r="AL504" s="92">
        <v>0.0</v>
      </c>
      <c r="AM504" s="5" t="s">
        <v>1770</v>
      </c>
      <c r="AN504" s="5" t="s">
        <v>1830</v>
      </c>
      <c r="AO504" s="5"/>
      <c r="AP504" s="5"/>
      <c r="AQ504" s="5"/>
      <c r="AR504" s="5"/>
      <c r="AS504" s="5"/>
      <c r="AT504" s="5"/>
      <c r="AU504" s="5"/>
      <c r="AV504" s="5"/>
      <c r="AW504" s="5" t="s">
        <v>1770</v>
      </c>
      <c r="AX504" s="5"/>
      <c r="AY504" s="5"/>
      <c r="AZ504" s="5" t="s">
        <v>1770</v>
      </c>
      <c r="BA504" s="93">
        <v>0.0</v>
      </c>
      <c r="BB504" s="93">
        <v>0.0</v>
      </c>
      <c r="BC504" s="93">
        <v>0.0</v>
      </c>
      <c r="BD504" s="93">
        <v>0.0</v>
      </c>
      <c r="BE504" s="93">
        <v>0.0</v>
      </c>
      <c r="BF504" s="93">
        <v>0.0</v>
      </c>
      <c r="BG504" s="5"/>
      <c r="BH504" s="93">
        <v>0.0</v>
      </c>
      <c r="BI504" s="93">
        <v>0.0</v>
      </c>
      <c r="BJ504" s="93">
        <v>0.0</v>
      </c>
      <c r="BK504" s="93">
        <v>0.0</v>
      </c>
      <c r="BL504" s="93">
        <v>0.0</v>
      </c>
      <c r="BM504" s="93">
        <v>0.0</v>
      </c>
      <c r="BN504" s="93">
        <v>0.0</v>
      </c>
      <c r="BO504" s="5"/>
      <c r="BP504" s="5"/>
      <c r="BQ504" s="5" t="s">
        <v>1775</v>
      </c>
      <c r="BR504" s="94">
        <v>45756.445601851854</v>
      </c>
      <c r="BS504" s="5">
        <v>40.0</v>
      </c>
      <c r="BT504" s="94">
        <v>46134.57798611111</v>
      </c>
      <c r="BU504" s="5" t="s">
        <v>1770</v>
      </c>
      <c r="BV504" s="5" t="s">
        <v>1770</v>
      </c>
      <c r="BW504" s="5" t="s">
        <v>1770</v>
      </c>
    </row>
    <row r="505" ht="14.25" customHeight="1">
      <c r="A505" s="5">
        <v>504.0</v>
      </c>
      <c r="B505" s="5">
        <v>770.0</v>
      </c>
      <c r="C505" s="5" t="s">
        <v>2117</v>
      </c>
      <c r="D505" s="5" t="s">
        <v>5435</v>
      </c>
      <c r="E505" s="5" t="s">
        <v>2157</v>
      </c>
      <c r="F505" s="5" t="s">
        <v>5436</v>
      </c>
      <c r="G505" s="5" t="s">
        <v>5437</v>
      </c>
      <c r="H505" s="5" t="s">
        <v>1972</v>
      </c>
      <c r="I505" s="5" t="s">
        <v>1782</v>
      </c>
      <c r="J505" s="91">
        <v>30903.0</v>
      </c>
      <c r="K505" s="5">
        <v>841.0</v>
      </c>
      <c r="L505" s="5" t="s">
        <v>5438</v>
      </c>
      <c r="M505" s="5">
        <v>7.0</v>
      </c>
      <c r="N505" s="5" t="s">
        <v>2340</v>
      </c>
      <c r="O505" s="5">
        <v>55232.0</v>
      </c>
      <c r="P505" s="5" t="s">
        <v>1797</v>
      </c>
      <c r="Q505" s="5" t="s">
        <v>3000</v>
      </c>
      <c r="R505" s="5">
        <v>841.0</v>
      </c>
      <c r="S505" s="5">
        <v>3.521131866E9</v>
      </c>
      <c r="T505" s="5" t="s">
        <v>5439</v>
      </c>
      <c r="U505" s="5" t="s">
        <v>5440</v>
      </c>
      <c r="V505" s="5">
        <v>3.595215393E9</v>
      </c>
      <c r="W505" s="5" t="s">
        <v>1808</v>
      </c>
      <c r="X505" s="91">
        <v>45768.0</v>
      </c>
      <c r="Y505" s="5">
        <v>3.0</v>
      </c>
      <c r="Z505" s="5">
        <v>1.0</v>
      </c>
      <c r="AA505" s="5">
        <v>79.0</v>
      </c>
      <c r="AB505" s="5" t="s">
        <v>5441</v>
      </c>
      <c r="AC505" s="5" t="s">
        <v>1800</v>
      </c>
      <c r="AD505" s="91">
        <v>45120.0</v>
      </c>
      <c r="AE505" s="91">
        <v>46581.0</v>
      </c>
      <c r="AF505" s="5"/>
      <c r="AG505" s="5"/>
      <c r="AH505" s="5">
        <v>5.3008420365E10</v>
      </c>
      <c r="AI505" s="5">
        <v>77.0</v>
      </c>
      <c r="AJ505" s="5"/>
      <c r="AK505" s="5" t="s">
        <v>1773</v>
      </c>
      <c r="AL505" s="92">
        <v>0.0</v>
      </c>
      <c r="AM505" s="5" t="s">
        <v>1770</v>
      </c>
      <c r="AN505" s="5" t="s">
        <v>2052</v>
      </c>
      <c r="AO505" s="5" t="s">
        <v>2940</v>
      </c>
      <c r="AP505" s="5"/>
      <c r="AQ505" s="5"/>
      <c r="AR505" s="5"/>
      <c r="AS505" s="5"/>
      <c r="AT505" s="5"/>
      <c r="AU505" s="5"/>
      <c r="AV505" s="5"/>
      <c r="AW505" s="5" t="s">
        <v>1770</v>
      </c>
      <c r="AX505" s="5"/>
      <c r="AY505" s="5"/>
      <c r="AZ505" s="5" t="s">
        <v>1770</v>
      </c>
      <c r="BA505" s="93">
        <v>0.0</v>
      </c>
      <c r="BB505" s="93">
        <v>0.0</v>
      </c>
      <c r="BC505" s="93">
        <v>0.0</v>
      </c>
      <c r="BD505" s="93">
        <v>0.0</v>
      </c>
      <c r="BE505" s="93">
        <v>0.0</v>
      </c>
      <c r="BF505" s="93">
        <v>0.0</v>
      </c>
      <c r="BG505" s="5"/>
      <c r="BH505" s="93">
        <v>0.0</v>
      </c>
      <c r="BI505" s="93">
        <v>0.0</v>
      </c>
      <c r="BJ505" s="93">
        <v>0.0</v>
      </c>
      <c r="BK505" s="93">
        <v>0.0</v>
      </c>
      <c r="BL505" s="93">
        <v>0.0</v>
      </c>
      <c r="BM505" s="93">
        <v>0.0</v>
      </c>
      <c r="BN505" s="93">
        <v>0.0</v>
      </c>
      <c r="BO505" s="5"/>
      <c r="BP505" s="5"/>
      <c r="BQ505" s="5" t="s">
        <v>1775</v>
      </c>
      <c r="BR505" s="94">
        <v>45770.72777777778</v>
      </c>
      <c r="BS505" s="5">
        <v>40.0</v>
      </c>
      <c r="BT505" s="94">
        <v>46135.389548611114</v>
      </c>
      <c r="BU505" s="5">
        <v>339.0</v>
      </c>
      <c r="BV505" s="5" t="s">
        <v>1770</v>
      </c>
      <c r="BW505" s="5" t="s">
        <v>1770</v>
      </c>
    </row>
    <row r="506" ht="14.25" customHeight="1">
      <c r="A506" s="5">
        <v>505.0</v>
      </c>
      <c r="B506" s="5">
        <v>771.0</v>
      </c>
      <c r="C506" s="5" t="s">
        <v>5442</v>
      </c>
      <c r="D506" s="5" t="s">
        <v>5443</v>
      </c>
      <c r="E506" s="5" t="s">
        <v>2005</v>
      </c>
      <c r="F506" s="5" t="s">
        <v>5444</v>
      </c>
      <c r="G506" s="5" t="s">
        <v>5445</v>
      </c>
      <c r="H506" s="5" t="s">
        <v>1910</v>
      </c>
      <c r="I506" s="5" t="s">
        <v>1782</v>
      </c>
      <c r="J506" s="91">
        <v>33774.0</v>
      </c>
      <c r="K506" s="5">
        <v>549.0</v>
      </c>
      <c r="L506" s="5" t="s">
        <v>5446</v>
      </c>
      <c r="M506" s="5">
        <v>152.0</v>
      </c>
      <c r="N506" s="5"/>
      <c r="O506" s="5">
        <v>43882.0</v>
      </c>
      <c r="P506" s="5" t="s">
        <v>4757</v>
      </c>
      <c r="Q506" s="5" t="s">
        <v>1766</v>
      </c>
      <c r="R506" s="5">
        <v>549.0</v>
      </c>
      <c r="S506" s="5">
        <v>3.931067381E9</v>
      </c>
      <c r="T506" s="5" t="s">
        <v>5447</v>
      </c>
      <c r="U506" s="5" t="s">
        <v>5448</v>
      </c>
      <c r="V506" s="5">
        <v>3.931071084E9</v>
      </c>
      <c r="W506" s="5" t="s">
        <v>2610</v>
      </c>
      <c r="X506" s="91">
        <v>45772.0</v>
      </c>
      <c r="Y506" s="5" t="s">
        <v>1770</v>
      </c>
      <c r="Z506" s="5">
        <v>19.0</v>
      </c>
      <c r="AA506" s="5">
        <v>75.0</v>
      </c>
      <c r="AB506" s="5" t="s">
        <v>5449</v>
      </c>
      <c r="AC506" s="5" t="s">
        <v>1800</v>
      </c>
      <c r="AD506" s="91">
        <v>44893.0</v>
      </c>
      <c r="AE506" s="91">
        <v>46354.0</v>
      </c>
      <c r="AF506" s="5"/>
      <c r="AG506" s="5"/>
      <c r="AH506" s="5">
        <v>8.159274425E9</v>
      </c>
      <c r="AI506" s="5">
        <v>23.0</v>
      </c>
      <c r="AJ506" s="5"/>
      <c r="AK506" s="5" t="s">
        <v>1773</v>
      </c>
      <c r="AL506" s="92">
        <v>0.0</v>
      </c>
      <c r="AM506" s="5" t="s">
        <v>1770</v>
      </c>
      <c r="AN506" s="5" t="s">
        <v>1774</v>
      </c>
      <c r="AO506" s="5"/>
      <c r="AP506" s="5"/>
      <c r="AQ506" s="5"/>
      <c r="AR506" s="5"/>
      <c r="AS506" s="5"/>
      <c r="AT506" s="5"/>
      <c r="AU506" s="5"/>
      <c r="AV506" s="5"/>
      <c r="AW506" s="5" t="s">
        <v>1770</v>
      </c>
      <c r="AX506" s="5"/>
      <c r="AY506" s="5"/>
      <c r="AZ506" s="5" t="s">
        <v>1770</v>
      </c>
      <c r="BA506" s="93">
        <v>0.0</v>
      </c>
      <c r="BB506" s="93">
        <v>0.0</v>
      </c>
      <c r="BC506" s="93">
        <v>0.0</v>
      </c>
      <c r="BD506" s="93">
        <v>0.0</v>
      </c>
      <c r="BE506" s="93">
        <v>0.0</v>
      </c>
      <c r="BF506" s="93">
        <v>0.0</v>
      </c>
      <c r="BG506" s="5"/>
      <c r="BH506" s="93">
        <v>0.0</v>
      </c>
      <c r="BI506" s="93">
        <v>0.0</v>
      </c>
      <c r="BJ506" s="93">
        <v>0.0</v>
      </c>
      <c r="BK506" s="93">
        <v>0.0</v>
      </c>
      <c r="BL506" s="93">
        <v>0.0</v>
      </c>
      <c r="BM506" s="93">
        <v>0.0</v>
      </c>
      <c r="BN506" s="93">
        <v>0.0</v>
      </c>
      <c r="BO506" s="5"/>
      <c r="BP506" s="5" t="s">
        <v>1770</v>
      </c>
      <c r="BQ506" s="5" t="s">
        <v>1789</v>
      </c>
      <c r="BR506" s="94">
        <v>45776.460439814815</v>
      </c>
      <c r="BS506" s="5">
        <v>40.0</v>
      </c>
      <c r="BT506" s="94">
        <v>45894.41806712963</v>
      </c>
      <c r="BU506" s="5">
        <v>40.0</v>
      </c>
      <c r="BV506" s="94">
        <v>46064.580405092594</v>
      </c>
      <c r="BW506" s="5">
        <v>40.0</v>
      </c>
    </row>
    <row r="507" ht="14.25" customHeight="1">
      <c r="A507" s="5">
        <v>506.0</v>
      </c>
      <c r="B507" s="5">
        <v>772.0</v>
      </c>
      <c r="C507" s="5" t="s">
        <v>5450</v>
      </c>
      <c r="D507" s="5" t="s">
        <v>4502</v>
      </c>
      <c r="E507" s="5" t="s">
        <v>1778</v>
      </c>
      <c r="F507" s="5" t="s">
        <v>5451</v>
      </c>
      <c r="G507" s="5" t="s">
        <v>5452</v>
      </c>
      <c r="H507" s="5" t="s">
        <v>1972</v>
      </c>
      <c r="I507" s="5" t="s">
        <v>1782</v>
      </c>
      <c r="J507" s="91">
        <v>35157.0</v>
      </c>
      <c r="K507" s="5">
        <v>549.0</v>
      </c>
      <c r="L507" s="5" t="s">
        <v>2792</v>
      </c>
      <c r="M507" s="5">
        <v>91.0</v>
      </c>
      <c r="N507" s="5"/>
      <c r="O507" s="5">
        <v>43882.0</v>
      </c>
      <c r="P507" s="5" t="s">
        <v>1797</v>
      </c>
      <c r="Q507" s="5" t="s">
        <v>1766</v>
      </c>
      <c r="R507" s="5">
        <v>549.0</v>
      </c>
      <c r="S507" s="5">
        <v>3.931972763E9</v>
      </c>
      <c r="T507" s="5" t="s">
        <v>5453</v>
      </c>
      <c r="U507" s="5" t="s">
        <v>5454</v>
      </c>
      <c r="V507" s="5">
        <v>3.939337466E9</v>
      </c>
      <c r="W507" s="5" t="s">
        <v>1808</v>
      </c>
      <c r="X507" s="91">
        <v>45773.0</v>
      </c>
      <c r="Y507" s="5">
        <v>1.0</v>
      </c>
      <c r="Z507" s="5">
        <v>4.0</v>
      </c>
      <c r="AA507" s="5">
        <v>54.0</v>
      </c>
      <c r="AB507" s="5" t="s">
        <v>5455</v>
      </c>
      <c r="AC507" s="5" t="s">
        <v>1800</v>
      </c>
      <c r="AD507" s="91">
        <v>45771.0</v>
      </c>
      <c r="AE507" s="91">
        <v>47232.0</v>
      </c>
      <c r="AF507" s="5"/>
      <c r="AG507" s="5"/>
      <c r="AH507" s="5">
        <v>1.9179602362E10</v>
      </c>
      <c r="AI507" s="5">
        <v>23.0</v>
      </c>
      <c r="AJ507" s="5"/>
      <c r="AK507" s="5" t="s">
        <v>1773</v>
      </c>
      <c r="AL507" s="92">
        <v>0.0</v>
      </c>
      <c r="AM507" s="5" t="s">
        <v>1770</v>
      </c>
      <c r="AN507" s="5" t="s">
        <v>1830</v>
      </c>
      <c r="AO507" s="5"/>
      <c r="AP507" s="5"/>
      <c r="AQ507" s="5"/>
      <c r="AR507" s="5"/>
      <c r="AS507" s="5"/>
      <c r="AT507" s="5"/>
      <c r="AU507" s="5"/>
      <c r="AV507" s="5"/>
      <c r="AW507" s="5" t="s">
        <v>1770</v>
      </c>
      <c r="AX507" s="5"/>
      <c r="AY507" s="5"/>
      <c r="AZ507" s="5" t="s">
        <v>1770</v>
      </c>
      <c r="BA507" s="93">
        <v>0.0</v>
      </c>
      <c r="BB507" s="93">
        <v>0.0</v>
      </c>
      <c r="BC507" s="93">
        <v>0.0</v>
      </c>
      <c r="BD507" s="93">
        <v>0.0</v>
      </c>
      <c r="BE507" s="93">
        <v>0.0</v>
      </c>
      <c r="BF507" s="93">
        <v>0.0</v>
      </c>
      <c r="BG507" s="5"/>
      <c r="BH507" s="93">
        <v>0.0</v>
      </c>
      <c r="BI507" s="93">
        <v>0.0</v>
      </c>
      <c r="BJ507" s="93">
        <v>0.0</v>
      </c>
      <c r="BK507" s="93">
        <v>0.0</v>
      </c>
      <c r="BL507" s="93">
        <v>0.0</v>
      </c>
      <c r="BM507" s="93">
        <v>0.0</v>
      </c>
      <c r="BN507" s="93">
        <v>0.0</v>
      </c>
      <c r="BO507" s="5"/>
      <c r="BP507" s="5" t="s">
        <v>1770</v>
      </c>
      <c r="BQ507" s="5" t="s">
        <v>1789</v>
      </c>
      <c r="BR507" s="94">
        <v>45776.57545138889</v>
      </c>
      <c r="BS507" s="5">
        <v>40.0</v>
      </c>
      <c r="BT507" s="5" t="s">
        <v>1770</v>
      </c>
      <c r="BU507" s="5" t="s">
        <v>1770</v>
      </c>
      <c r="BV507" s="94">
        <v>45855.432962962965</v>
      </c>
      <c r="BW507" s="5" t="s">
        <v>1770</v>
      </c>
    </row>
    <row r="508" ht="14.25" customHeight="1">
      <c r="A508" s="5">
        <v>507.0</v>
      </c>
      <c r="B508" s="5">
        <v>773.0</v>
      </c>
      <c r="C508" s="5" t="s">
        <v>5456</v>
      </c>
      <c r="D508" s="5" t="s">
        <v>2850</v>
      </c>
      <c r="E508" s="5" t="s">
        <v>3647</v>
      </c>
      <c r="F508" s="5" t="s">
        <v>5457</v>
      </c>
      <c r="G508" s="5" t="s">
        <v>5458</v>
      </c>
      <c r="H508" s="5" t="s">
        <v>2671</v>
      </c>
      <c r="I508" s="5" t="s">
        <v>1782</v>
      </c>
      <c r="J508" s="91">
        <v>36461.0</v>
      </c>
      <c r="K508" s="5">
        <v>549.0</v>
      </c>
      <c r="L508" s="5" t="s">
        <v>2168</v>
      </c>
      <c r="M508" s="5">
        <v>151.0</v>
      </c>
      <c r="N508" s="5"/>
      <c r="O508" s="5">
        <v>54922.0</v>
      </c>
      <c r="P508" s="5" t="s">
        <v>2946</v>
      </c>
      <c r="Q508" s="5"/>
      <c r="R508" s="5">
        <v>792.0</v>
      </c>
      <c r="S508" s="5">
        <v>3.931020084E9</v>
      </c>
      <c r="T508" s="5" t="s">
        <v>5459</v>
      </c>
      <c r="U508" s="5" t="s">
        <v>5460</v>
      </c>
      <c r="V508" s="5">
        <v>3.931328627E9</v>
      </c>
      <c r="W508" s="5" t="s">
        <v>1787</v>
      </c>
      <c r="X508" s="91">
        <v>45782.0</v>
      </c>
      <c r="Y508" s="5">
        <v>1.0</v>
      </c>
      <c r="Z508" s="5">
        <v>22.0</v>
      </c>
      <c r="AA508" s="5">
        <v>28.0</v>
      </c>
      <c r="AB508" s="5" t="s">
        <v>5461</v>
      </c>
      <c r="AC508" s="5" t="s">
        <v>1800</v>
      </c>
      <c r="AD508" s="91">
        <v>44594.0</v>
      </c>
      <c r="AE508" s="91">
        <v>46055.0</v>
      </c>
      <c r="AF508" s="5"/>
      <c r="AG508" s="5"/>
      <c r="AH508" s="5">
        <v>4.1169998203E10</v>
      </c>
      <c r="AI508" s="5">
        <v>23.0</v>
      </c>
      <c r="AJ508" s="5"/>
      <c r="AK508" s="5" t="s">
        <v>1773</v>
      </c>
      <c r="AL508" s="92">
        <v>0.0</v>
      </c>
      <c r="AM508" s="5" t="s">
        <v>1770</v>
      </c>
      <c r="AN508" s="5" t="s">
        <v>2052</v>
      </c>
      <c r="AO508" s="5"/>
      <c r="AP508" s="5"/>
      <c r="AQ508" s="5"/>
      <c r="AR508" s="5"/>
      <c r="AS508" s="5"/>
      <c r="AT508" s="5"/>
      <c r="AU508" s="5"/>
      <c r="AV508" s="5"/>
      <c r="AW508" s="5" t="s">
        <v>1770</v>
      </c>
      <c r="AX508" s="5"/>
      <c r="AY508" s="5"/>
      <c r="AZ508" s="5" t="s">
        <v>1770</v>
      </c>
      <c r="BA508" s="93">
        <v>0.0</v>
      </c>
      <c r="BB508" s="93">
        <v>0.0</v>
      </c>
      <c r="BC508" s="93">
        <v>0.0</v>
      </c>
      <c r="BD508" s="93">
        <v>0.0</v>
      </c>
      <c r="BE508" s="93">
        <v>0.0</v>
      </c>
      <c r="BF508" s="93">
        <v>0.0</v>
      </c>
      <c r="BG508" s="5"/>
      <c r="BH508" s="93">
        <v>0.0</v>
      </c>
      <c r="BI508" s="93">
        <v>0.0</v>
      </c>
      <c r="BJ508" s="93">
        <v>0.0</v>
      </c>
      <c r="BK508" s="93">
        <v>0.0</v>
      </c>
      <c r="BL508" s="93">
        <v>0.0</v>
      </c>
      <c r="BM508" s="93">
        <v>0.0</v>
      </c>
      <c r="BN508" s="93">
        <v>0.0</v>
      </c>
      <c r="BO508" s="5"/>
      <c r="BP508" s="5" t="s">
        <v>1770</v>
      </c>
      <c r="BQ508" s="5" t="s">
        <v>1775</v>
      </c>
      <c r="BR508" s="94">
        <v>45800.539502314816</v>
      </c>
      <c r="BS508" s="5">
        <v>275.0</v>
      </c>
      <c r="BT508" s="94">
        <v>45859.72572916667</v>
      </c>
      <c r="BU508" s="5">
        <v>272.0</v>
      </c>
      <c r="BV508" s="5" t="s">
        <v>1770</v>
      </c>
      <c r="BW508" s="5" t="s">
        <v>1770</v>
      </c>
    </row>
    <row r="509" ht="14.25" customHeight="1">
      <c r="A509" s="5">
        <v>508.0</v>
      </c>
      <c r="B509" s="5">
        <v>774.0</v>
      </c>
      <c r="C509" s="5" t="s">
        <v>5462</v>
      </c>
      <c r="D509" s="5" t="s">
        <v>2133</v>
      </c>
      <c r="E509" s="5" t="s">
        <v>1778</v>
      </c>
      <c r="F509" s="5" t="s">
        <v>5463</v>
      </c>
      <c r="G509" s="5" t="s">
        <v>5464</v>
      </c>
      <c r="H509" s="5" t="s">
        <v>1815</v>
      </c>
      <c r="I509" s="5" t="s">
        <v>1763</v>
      </c>
      <c r="J509" s="91">
        <v>37791.0</v>
      </c>
      <c r="K509" s="5">
        <v>594.0</v>
      </c>
      <c r="L509" s="5" t="s">
        <v>5465</v>
      </c>
      <c r="M509" s="5">
        <v>16.0</v>
      </c>
      <c r="N509" s="5"/>
      <c r="O509" s="5">
        <v>43885.0</v>
      </c>
      <c r="P509" s="5" t="s">
        <v>2903</v>
      </c>
      <c r="Q509" s="5"/>
      <c r="R509" s="5">
        <v>549.0</v>
      </c>
      <c r="S509" s="5">
        <v>3.931018697E9</v>
      </c>
      <c r="T509" s="5" t="s">
        <v>5466</v>
      </c>
      <c r="U509" s="5" t="s">
        <v>5467</v>
      </c>
      <c r="V509" s="5">
        <v>3.931082558E9</v>
      </c>
      <c r="W509" s="5" t="s">
        <v>1965</v>
      </c>
      <c r="X509" s="91">
        <v>45782.0</v>
      </c>
      <c r="Y509" s="5">
        <v>1.0</v>
      </c>
      <c r="Z509" s="5">
        <v>17.0</v>
      </c>
      <c r="AA509" s="5">
        <v>5.0</v>
      </c>
      <c r="AB509" s="5"/>
      <c r="AC509" s="5"/>
      <c r="AD509" s="5" t="s">
        <v>1770</v>
      </c>
      <c r="AE509" s="5" t="s">
        <v>1770</v>
      </c>
      <c r="AF509" s="5"/>
      <c r="AG509" s="5"/>
      <c r="AH509" s="5">
        <v>3.1803372E9</v>
      </c>
      <c r="AI509" s="5">
        <v>23.0</v>
      </c>
      <c r="AJ509" s="5"/>
      <c r="AK509" s="5" t="s">
        <v>1773</v>
      </c>
      <c r="AL509" s="92">
        <v>0.0</v>
      </c>
      <c r="AM509" s="5" t="s">
        <v>1770</v>
      </c>
      <c r="AN509" s="5" t="s">
        <v>2052</v>
      </c>
      <c r="AO509" s="5"/>
      <c r="AP509" s="5"/>
      <c r="AQ509" s="5"/>
      <c r="AR509" s="5"/>
      <c r="AS509" s="5"/>
      <c r="AT509" s="5"/>
      <c r="AU509" s="5"/>
      <c r="AV509" s="5"/>
      <c r="AW509" s="5" t="s">
        <v>1770</v>
      </c>
      <c r="AX509" s="5"/>
      <c r="AY509" s="5"/>
      <c r="AZ509" s="5" t="s">
        <v>1770</v>
      </c>
      <c r="BA509" s="93">
        <v>0.0</v>
      </c>
      <c r="BB509" s="93">
        <v>0.0</v>
      </c>
      <c r="BC509" s="93">
        <v>0.0</v>
      </c>
      <c r="BD509" s="93">
        <v>0.0</v>
      </c>
      <c r="BE509" s="93">
        <v>0.0</v>
      </c>
      <c r="BF509" s="93">
        <v>0.0</v>
      </c>
      <c r="BG509" s="5"/>
      <c r="BH509" s="93">
        <v>0.0</v>
      </c>
      <c r="BI509" s="93">
        <v>0.0</v>
      </c>
      <c r="BJ509" s="93">
        <v>0.0</v>
      </c>
      <c r="BK509" s="93">
        <v>0.0</v>
      </c>
      <c r="BL509" s="93">
        <v>0.0</v>
      </c>
      <c r="BM509" s="93">
        <v>0.0</v>
      </c>
      <c r="BN509" s="93">
        <v>0.0</v>
      </c>
      <c r="BO509" s="5"/>
      <c r="BP509" s="5" t="s">
        <v>1770</v>
      </c>
      <c r="BQ509" s="5" t="s">
        <v>1789</v>
      </c>
      <c r="BR509" s="94">
        <v>45800.54523148148</v>
      </c>
      <c r="BS509" s="5">
        <v>275.0</v>
      </c>
      <c r="BT509" s="94">
        <v>45800.56542824074</v>
      </c>
      <c r="BU509" s="5">
        <v>275.0</v>
      </c>
      <c r="BV509" s="94">
        <v>46084.48349537037</v>
      </c>
      <c r="BW509" s="5">
        <v>40.0</v>
      </c>
    </row>
    <row r="510" ht="14.25" customHeight="1">
      <c r="A510" s="5">
        <v>509.0</v>
      </c>
      <c r="B510" s="5">
        <v>775.0</v>
      </c>
      <c r="C510" s="5" t="s">
        <v>5468</v>
      </c>
      <c r="D510" s="5" t="s">
        <v>2343</v>
      </c>
      <c r="E510" s="5" t="s">
        <v>5469</v>
      </c>
      <c r="F510" s="5" t="s">
        <v>5470</v>
      </c>
      <c r="G510" s="5" t="s">
        <v>5471</v>
      </c>
      <c r="H510" s="5" t="s">
        <v>1972</v>
      </c>
      <c r="I510" s="5" t="s">
        <v>1782</v>
      </c>
      <c r="J510" s="91">
        <v>32918.0</v>
      </c>
      <c r="K510" s="5">
        <v>321.0</v>
      </c>
      <c r="L510" s="5" t="s">
        <v>3068</v>
      </c>
      <c r="M510" s="5">
        <v>546.0</v>
      </c>
      <c r="N510" s="5"/>
      <c r="O510" s="5">
        <v>43802.0</v>
      </c>
      <c r="P510" s="5" t="s">
        <v>3439</v>
      </c>
      <c r="Q510" s="5"/>
      <c r="R510" s="5">
        <v>594.0</v>
      </c>
      <c r="S510" s="5">
        <v>3.92930227E9</v>
      </c>
      <c r="T510" s="5" t="s">
        <v>5472</v>
      </c>
      <c r="U510" s="5" t="s">
        <v>5473</v>
      </c>
      <c r="V510" s="5">
        <v>3.921234748E9</v>
      </c>
      <c r="W510" s="5" t="s">
        <v>1819</v>
      </c>
      <c r="X510" s="91">
        <v>45789.0</v>
      </c>
      <c r="Y510" s="5">
        <v>5.0</v>
      </c>
      <c r="Z510" s="5">
        <v>4.0</v>
      </c>
      <c r="AA510" s="5">
        <v>112.0</v>
      </c>
      <c r="AB510" s="5" t="s">
        <v>5474</v>
      </c>
      <c r="AC510" s="5" t="s">
        <v>1800</v>
      </c>
      <c r="AD510" s="91">
        <v>45372.0</v>
      </c>
      <c r="AE510" s="91">
        <v>46833.0</v>
      </c>
      <c r="AF510" s="5"/>
      <c r="AG510" s="5"/>
      <c r="AH510" s="5">
        <v>2.189043819E9</v>
      </c>
      <c r="AI510" s="5"/>
      <c r="AJ510" s="5"/>
      <c r="AK510" s="5" t="s">
        <v>1773</v>
      </c>
      <c r="AL510" s="92">
        <v>0.0</v>
      </c>
      <c r="AM510" s="5" t="s">
        <v>1770</v>
      </c>
      <c r="AN510" s="5" t="s">
        <v>2052</v>
      </c>
      <c r="AO510" s="5"/>
      <c r="AP510" s="5"/>
      <c r="AQ510" s="5"/>
      <c r="AR510" s="5"/>
      <c r="AS510" s="5"/>
      <c r="AT510" s="5"/>
      <c r="AU510" s="5"/>
      <c r="AV510" s="5"/>
      <c r="AW510" s="5" t="s">
        <v>1770</v>
      </c>
      <c r="AX510" s="5"/>
      <c r="AY510" s="5"/>
      <c r="AZ510" s="5" t="s">
        <v>1770</v>
      </c>
      <c r="BA510" s="93">
        <v>0.0</v>
      </c>
      <c r="BB510" s="93">
        <v>0.0</v>
      </c>
      <c r="BC510" s="93">
        <v>0.0</v>
      </c>
      <c r="BD510" s="93">
        <v>0.0</v>
      </c>
      <c r="BE510" s="93">
        <v>0.0</v>
      </c>
      <c r="BF510" s="93">
        <v>0.0</v>
      </c>
      <c r="BG510" s="5"/>
      <c r="BH510" s="93">
        <v>0.0</v>
      </c>
      <c r="BI510" s="93">
        <v>0.0</v>
      </c>
      <c r="BJ510" s="93">
        <v>0.0</v>
      </c>
      <c r="BK510" s="93">
        <v>0.0</v>
      </c>
      <c r="BL510" s="93">
        <v>0.0</v>
      </c>
      <c r="BM510" s="93">
        <v>0.0</v>
      </c>
      <c r="BN510" s="93">
        <v>0.0</v>
      </c>
      <c r="BO510" s="5"/>
      <c r="BP510" s="5" t="s">
        <v>1770</v>
      </c>
      <c r="BQ510" s="5" t="s">
        <v>1775</v>
      </c>
      <c r="BR510" s="94">
        <v>45800.56930555555</v>
      </c>
      <c r="BS510" s="5">
        <v>275.0</v>
      </c>
      <c r="BT510" s="94">
        <v>45892.55554398148</v>
      </c>
      <c r="BU510" s="5">
        <v>40.0</v>
      </c>
      <c r="BV510" s="5" t="s">
        <v>1770</v>
      </c>
      <c r="BW510" s="5" t="s">
        <v>1770</v>
      </c>
    </row>
    <row r="511" ht="14.25" customHeight="1">
      <c r="A511" s="5">
        <v>510.0</v>
      </c>
      <c r="B511" s="5">
        <v>776.0</v>
      </c>
      <c r="C511" s="5" t="s">
        <v>3628</v>
      </c>
      <c r="D511" s="5" t="s">
        <v>3786</v>
      </c>
      <c r="E511" s="5" t="s">
        <v>1981</v>
      </c>
      <c r="F511" s="5" t="s">
        <v>5475</v>
      </c>
      <c r="G511" s="5" t="s">
        <v>5476</v>
      </c>
      <c r="H511" s="5" t="s">
        <v>1972</v>
      </c>
      <c r="I511" s="5" t="s">
        <v>1782</v>
      </c>
      <c r="J511" s="91">
        <v>36791.0</v>
      </c>
      <c r="K511" s="5">
        <v>549.0</v>
      </c>
      <c r="L511" s="5" t="s">
        <v>5477</v>
      </c>
      <c r="M511" s="5">
        <v>79.0</v>
      </c>
      <c r="N511" s="5"/>
      <c r="O511" s="5">
        <v>43888.0</v>
      </c>
      <c r="P511" s="5" t="s">
        <v>3139</v>
      </c>
      <c r="Q511" s="5" t="s">
        <v>5478</v>
      </c>
      <c r="R511" s="5">
        <v>549.0</v>
      </c>
      <c r="S511" s="5">
        <v>6.631629201E9</v>
      </c>
      <c r="T511" s="5" t="s">
        <v>5479</v>
      </c>
      <c r="U511" s="5" t="s">
        <v>5480</v>
      </c>
      <c r="V511" s="5">
        <v>3.93107025E9</v>
      </c>
      <c r="W511" s="5" t="s">
        <v>1965</v>
      </c>
      <c r="X511" s="91">
        <v>45804.0</v>
      </c>
      <c r="Y511" s="5">
        <v>1.0</v>
      </c>
      <c r="Z511" s="5">
        <v>18.0</v>
      </c>
      <c r="AA511" s="5">
        <v>103.0</v>
      </c>
      <c r="AB511" s="5" t="s">
        <v>5481</v>
      </c>
      <c r="AC511" s="5" t="s">
        <v>1800</v>
      </c>
      <c r="AD511" s="91">
        <v>45461.0</v>
      </c>
      <c r="AE511" s="91">
        <v>46922.0</v>
      </c>
      <c r="AF511" s="5"/>
      <c r="AG511" s="5"/>
      <c r="AH511" s="5">
        <v>4.8160053137E10</v>
      </c>
      <c r="AI511" s="5">
        <v>23.0</v>
      </c>
      <c r="AJ511" s="5"/>
      <c r="AK511" s="5" t="s">
        <v>1773</v>
      </c>
      <c r="AL511" s="92">
        <v>0.0</v>
      </c>
      <c r="AM511" s="5" t="s">
        <v>1770</v>
      </c>
      <c r="AN511" s="5" t="s">
        <v>1774</v>
      </c>
      <c r="AO511" s="5"/>
      <c r="AP511" s="5"/>
      <c r="AQ511" s="5"/>
      <c r="AR511" s="5"/>
      <c r="AS511" s="5"/>
      <c r="AT511" s="5"/>
      <c r="AU511" s="5"/>
      <c r="AV511" s="5"/>
      <c r="AW511" s="5" t="s">
        <v>1770</v>
      </c>
      <c r="AX511" s="5"/>
      <c r="AY511" s="5"/>
      <c r="AZ511" s="5" t="s">
        <v>1770</v>
      </c>
      <c r="BA511" s="93">
        <v>0.0</v>
      </c>
      <c r="BB511" s="93">
        <v>0.0</v>
      </c>
      <c r="BC511" s="93">
        <v>0.0</v>
      </c>
      <c r="BD511" s="93">
        <v>0.0</v>
      </c>
      <c r="BE511" s="93">
        <v>0.0</v>
      </c>
      <c r="BF511" s="93">
        <v>0.0</v>
      </c>
      <c r="BG511" s="5"/>
      <c r="BH511" s="93">
        <v>0.0</v>
      </c>
      <c r="BI511" s="93">
        <v>0.0</v>
      </c>
      <c r="BJ511" s="93">
        <v>0.0</v>
      </c>
      <c r="BK511" s="93">
        <v>0.0</v>
      </c>
      <c r="BL511" s="93">
        <v>0.0</v>
      </c>
      <c r="BM511" s="93">
        <v>0.0</v>
      </c>
      <c r="BN511" s="93">
        <v>0.0</v>
      </c>
      <c r="BO511" s="5"/>
      <c r="BP511" s="5" t="s">
        <v>1770</v>
      </c>
      <c r="BQ511" s="5" t="s">
        <v>1775</v>
      </c>
      <c r="BR511" s="94">
        <v>45808.396365740744</v>
      </c>
      <c r="BS511" s="5">
        <v>40.0</v>
      </c>
      <c r="BT511" s="94">
        <v>45894.41831018519</v>
      </c>
      <c r="BU511" s="5">
        <v>40.0</v>
      </c>
      <c r="BV511" s="5" t="s">
        <v>1770</v>
      </c>
      <c r="BW511" s="5" t="s">
        <v>1770</v>
      </c>
    </row>
    <row r="512" ht="14.25" customHeight="1">
      <c r="A512" s="5">
        <v>511.0</v>
      </c>
      <c r="B512" s="5">
        <v>777.0</v>
      </c>
      <c r="C512" s="5" t="s">
        <v>5482</v>
      </c>
      <c r="D512" s="5" t="s">
        <v>2765</v>
      </c>
      <c r="E512" s="5" t="s">
        <v>2165</v>
      </c>
      <c r="F512" s="5" t="s">
        <v>5483</v>
      </c>
      <c r="G512" s="5" t="s">
        <v>5484</v>
      </c>
      <c r="H512" s="5" t="s">
        <v>2671</v>
      </c>
      <c r="I512" s="5" t="s">
        <v>1782</v>
      </c>
      <c r="J512" s="91">
        <v>28759.0</v>
      </c>
      <c r="K512" s="5">
        <v>424.0</v>
      </c>
      <c r="L512" s="5" t="s">
        <v>5485</v>
      </c>
      <c r="M512" s="5">
        <v>44.0</v>
      </c>
      <c r="N512" s="5"/>
      <c r="O512" s="5">
        <v>35920.0</v>
      </c>
      <c r="P512" s="5" t="s">
        <v>5486</v>
      </c>
      <c r="Q512" s="5"/>
      <c r="R512" s="5">
        <v>424.0</v>
      </c>
      <c r="S512" s="5">
        <v>4.291076821E9</v>
      </c>
      <c r="T512" s="5" t="s">
        <v>5487</v>
      </c>
      <c r="U512" s="5" t="s">
        <v>5488</v>
      </c>
      <c r="V512" s="5">
        <v>4.291076821E9</v>
      </c>
      <c r="W512" s="5" t="s">
        <v>5489</v>
      </c>
      <c r="X512" s="91">
        <v>45811.0</v>
      </c>
      <c r="Y512" s="5">
        <v>2.0</v>
      </c>
      <c r="Z512" s="5">
        <v>19.0</v>
      </c>
      <c r="AA512" s="5">
        <v>81.0</v>
      </c>
      <c r="AB512" s="5"/>
      <c r="AC512" s="5"/>
      <c r="AD512" s="5" t="s">
        <v>1770</v>
      </c>
      <c r="AE512" s="5" t="s">
        <v>1770</v>
      </c>
      <c r="AF512" s="5"/>
      <c r="AG512" s="5"/>
      <c r="AH512" s="5">
        <v>1.2947858606E10</v>
      </c>
      <c r="AI512" s="5"/>
      <c r="AJ512" s="5"/>
      <c r="AK512" s="5" t="s">
        <v>1773</v>
      </c>
      <c r="AL512" s="92">
        <v>0.0</v>
      </c>
      <c r="AM512" s="5" t="s">
        <v>1770</v>
      </c>
      <c r="AN512" s="5" t="s">
        <v>2052</v>
      </c>
      <c r="AO512" s="5"/>
      <c r="AP512" s="5"/>
      <c r="AQ512" s="5"/>
      <c r="AR512" s="5"/>
      <c r="AS512" s="5"/>
      <c r="AT512" s="5"/>
      <c r="AU512" s="5"/>
      <c r="AV512" s="5"/>
      <c r="AW512" s="5" t="s">
        <v>1770</v>
      </c>
      <c r="AX512" s="5"/>
      <c r="AY512" s="5"/>
      <c r="AZ512" s="5" t="s">
        <v>1770</v>
      </c>
      <c r="BA512" s="93">
        <v>0.0</v>
      </c>
      <c r="BB512" s="93">
        <v>0.0</v>
      </c>
      <c r="BC512" s="93">
        <v>0.0</v>
      </c>
      <c r="BD512" s="93">
        <v>0.0</v>
      </c>
      <c r="BE512" s="93">
        <v>0.0</v>
      </c>
      <c r="BF512" s="93">
        <v>0.0</v>
      </c>
      <c r="BG512" s="5"/>
      <c r="BH512" s="93">
        <v>0.0</v>
      </c>
      <c r="BI512" s="93">
        <v>0.0</v>
      </c>
      <c r="BJ512" s="93">
        <v>0.0</v>
      </c>
      <c r="BK512" s="93">
        <v>0.0</v>
      </c>
      <c r="BL512" s="93">
        <v>0.0</v>
      </c>
      <c r="BM512" s="93">
        <v>0.0</v>
      </c>
      <c r="BN512" s="93">
        <v>0.0</v>
      </c>
      <c r="BO512" s="5"/>
      <c r="BP512" s="5" t="s">
        <v>1770</v>
      </c>
      <c r="BQ512" s="5" t="s">
        <v>1789</v>
      </c>
      <c r="BR512" s="94">
        <v>45817.54300925926</v>
      </c>
      <c r="BS512" s="5">
        <v>275.0</v>
      </c>
      <c r="BT512" s="94">
        <v>45892.583506944444</v>
      </c>
      <c r="BU512" s="5">
        <v>40.0</v>
      </c>
      <c r="BV512" s="94">
        <v>46042.70324074074</v>
      </c>
      <c r="BW512" s="5">
        <v>40.0</v>
      </c>
    </row>
    <row r="513" ht="14.25" customHeight="1">
      <c r="A513" s="5">
        <v>512.0</v>
      </c>
      <c r="B513" s="5">
        <v>778.0</v>
      </c>
      <c r="C513" s="5" t="s">
        <v>5490</v>
      </c>
      <c r="D513" s="5" t="s">
        <v>5491</v>
      </c>
      <c r="E513" s="5" t="s">
        <v>2157</v>
      </c>
      <c r="F513" s="5" t="s">
        <v>5492</v>
      </c>
      <c r="G513" s="5" t="s">
        <v>5493</v>
      </c>
      <c r="H513" s="5" t="s">
        <v>2301</v>
      </c>
      <c r="I513" s="5" t="s">
        <v>1763</v>
      </c>
      <c r="J513" s="91">
        <v>32964.0</v>
      </c>
      <c r="K513" s="5">
        <v>792.0</v>
      </c>
      <c r="L513" s="5" t="s">
        <v>3115</v>
      </c>
      <c r="M513" s="5">
        <v>127.0</v>
      </c>
      <c r="N513" s="5"/>
      <c r="O513" s="5">
        <v>54922.0</v>
      </c>
      <c r="P513" s="5" t="s">
        <v>1797</v>
      </c>
      <c r="Q513" s="100" t="s">
        <v>2592</v>
      </c>
      <c r="R513" s="5">
        <v>792.0</v>
      </c>
      <c r="S513" s="5">
        <v>3.337215395E9</v>
      </c>
      <c r="T513" s="5" t="s">
        <v>5494</v>
      </c>
      <c r="U513" s="5" t="s">
        <v>5495</v>
      </c>
      <c r="V513" s="5">
        <v>3.9393369E9</v>
      </c>
      <c r="W513" s="5" t="s">
        <v>2610</v>
      </c>
      <c r="X513" s="91">
        <v>45824.0</v>
      </c>
      <c r="Y513" s="5">
        <v>1.0</v>
      </c>
      <c r="Z513" s="5">
        <v>19.0</v>
      </c>
      <c r="AA513" s="5">
        <v>44.0</v>
      </c>
      <c r="AB513" s="5"/>
      <c r="AC513" s="5"/>
      <c r="AD513" s="5" t="s">
        <v>1770</v>
      </c>
      <c r="AE513" s="5" t="s">
        <v>1770</v>
      </c>
      <c r="AF513" s="5"/>
      <c r="AG513" s="5"/>
      <c r="AH513" s="5">
        <v>1.8149014021E10</v>
      </c>
      <c r="AI513" s="5">
        <v>23.0</v>
      </c>
      <c r="AJ513" s="5"/>
      <c r="AK513" s="5" t="s">
        <v>1773</v>
      </c>
      <c r="AL513" s="92">
        <v>0.0</v>
      </c>
      <c r="AM513" s="5" t="s">
        <v>1770</v>
      </c>
      <c r="AN513" s="5" t="s">
        <v>1830</v>
      </c>
      <c r="AO513" s="5"/>
      <c r="AP513" s="5"/>
      <c r="AQ513" s="5"/>
      <c r="AR513" s="5"/>
      <c r="AS513" s="5"/>
      <c r="AT513" s="5"/>
      <c r="AU513" s="5"/>
      <c r="AV513" s="5"/>
      <c r="AW513" s="5" t="s">
        <v>1770</v>
      </c>
      <c r="AX513" s="5"/>
      <c r="AY513" s="5"/>
      <c r="AZ513" s="5" t="s">
        <v>1770</v>
      </c>
      <c r="BA513" s="93">
        <v>0.0</v>
      </c>
      <c r="BB513" s="93">
        <v>0.0</v>
      </c>
      <c r="BC513" s="93">
        <v>0.0</v>
      </c>
      <c r="BD513" s="93">
        <v>0.0</v>
      </c>
      <c r="BE513" s="93">
        <v>0.0</v>
      </c>
      <c r="BF513" s="93">
        <v>0.0</v>
      </c>
      <c r="BG513" s="5"/>
      <c r="BH513" s="93">
        <v>0.0</v>
      </c>
      <c r="BI513" s="93">
        <v>0.0</v>
      </c>
      <c r="BJ513" s="93">
        <v>0.0</v>
      </c>
      <c r="BK513" s="93">
        <v>0.0</v>
      </c>
      <c r="BL513" s="93">
        <v>0.0</v>
      </c>
      <c r="BM513" s="93">
        <v>0.0</v>
      </c>
      <c r="BN513" s="93">
        <v>0.0</v>
      </c>
      <c r="BO513" s="5"/>
      <c r="BP513" s="5" t="s">
        <v>1770</v>
      </c>
      <c r="BQ513" s="5" t="s">
        <v>1789</v>
      </c>
      <c r="BR513" s="94">
        <v>45825.425162037034</v>
      </c>
      <c r="BS513" s="5">
        <v>40.0</v>
      </c>
      <c r="BT513" s="5" t="s">
        <v>1770</v>
      </c>
      <c r="BU513" s="5" t="s">
        <v>1770</v>
      </c>
      <c r="BV513" s="94">
        <v>45829.48815972222</v>
      </c>
      <c r="BW513" s="5">
        <v>40.0</v>
      </c>
    </row>
    <row r="514" ht="14.25" customHeight="1">
      <c r="A514" s="5">
        <v>513.0</v>
      </c>
      <c r="B514" s="5">
        <v>779.0</v>
      </c>
      <c r="C514" s="5" t="s">
        <v>2738</v>
      </c>
      <c r="D514" s="5" t="s">
        <v>5496</v>
      </c>
      <c r="E514" s="5" t="s">
        <v>5497</v>
      </c>
      <c r="F514" s="5" t="s">
        <v>5498</v>
      </c>
      <c r="G514" s="5" t="s">
        <v>5499</v>
      </c>
      <c r="H514" s="5" t="s">
        <v>1815</v>
      </c>
      <c r="I514" s="5" t="s">
        <v>1763</v>
      </c>
      <c r="J514" s="91">
        <v>37880.0</v>
      </c>
      <c r="K514" s="5">
        <v>549.0</v>
      </c>
      <c r="L514" s="5" t="s">
        <v>3534</v>
      </c>
      <c r="M514" s="5">
        <v>130.0</v>
      </c>
      <c r="N514" s="5"/>
      <c r="O514" s="5">
        <v>55002.0</v>
      </c>
      <c r="P514" s="5" t="s">
        <v>1797</v>
      </c>
      <c r="Q514" s="5" t="s">
        <v>1974</v>
      </c>
      <c r="R514" s="5">
        <v>886.0</v>
      </c>
      <c r="S514" s="5">
        <v>3.931971575E9</v>
      </c>
      <c r="T514" s="5" t="s">
        <v>5500</v>
      </c>
      <c r="U514" s="100" t="s">
        <v>5501</v>
      </c>
      <c r="V514" s="5">
        <v>3.93150695E9</v>
      </c>
      <c r="W514" s="5" t="s">
        <v>1808</v>
      </c>
      <c r="X514" s="91">
        <v>45839.0</v>
      </c>
      <c r="Y514" s="5">
        <v>1.0</v>
      </c>
      <c r="Z514" s="5">
        <v>3.0</v>
      </c>
      <c r="AA514" s="5">
        <v>91.0</v>
      </c>
      <c r="AB514" s="5"/>
      <c r="AC514" s="5"/>
      <c r="AD514" s="5" t="s">
        <v>1770</v>
      </c>
      <c r="AE514" s="5" t="s">
        <v>1770</v>
      </c>
      <c r="AF514" s="5"/>
      <c r="AG514" s="5"/>
      <c r="AH514" s="5">
        <v>2.7220345113E10</v>
      </c>
      <c r="AI514" s="5">
        <v>23.0</v>
      </c>
      <c r="AJ514" s="5"/>
      <c r="AK514" s="5" t="s">
        <v>1773</v>
      </c>
      <c r="AL514" s="92">
        <v>0.0</v>
      </c>
      <c r="AM514" s="5" t="s">
        <v>1770</v>
      </c>
      <c r="AN514" s="5" t="s">
        <v>1830</v>
      </c>
      <c r="AO514" s="5"/>
      <c r="AP514" s="5"/>
      <c r="AQ514" s="5"/>
      <c r="AR514" s="5"/>
      <c r="AS514" s="5"/>
      <c r="AT514" s="5"/>
      <c r="AU514" s="5"/>
      <c r="AV514" s="5"/>
      <c r="AW514" s="5" t="s">
        <v>1770</v>
      </c>
      <c r="AX514" s="5"/>
      <c r="AY514" s="5"/>
      <c r="AZ514" s="5" t="s">
        <v>1770</v>
      </c>
      <c r="BA514" s="93">
        <v>0.0</v>
      </c>
      <c r="BB514" s="93">
        <v>0.0</v>
      </c>
      <c r="BC514" s="93">
        <v>0.0</v>
      </c>
      <c r="BD514" s="93">
        <v>0.0</v>
      </c>
      <c r="BE514" s="93">
        <v>0.0</v>
      </c>
      <c r="BF514" s="93">
        <v>0.0</v>
      </c>
      <c r="BG514" s="5"/>
      <c r="BH514" s="93">
        <v>0.0</v>
      </c>
      <c r="BI514" s="93">
        <v>0.0</v>
      </c>
      <c r="BJ514" s="93">
        <v>0.0</v>
      </c>
      <c r="BK514" s="93">
        <v>0.0</v>
      </c>
      <c r="BL514" s="93">
        <v>0.0</v>
      </c>
      <c r="BM514" s="93">
        <v>0.0</v>
      </c>
      <c r="BN514" s="93">
        <v>0.0</v>
      </c>
      <c r="BO514" s="5"/>
      <c r="BP514" s="5" t="s">
        <v>1770</v>
      </c>
      <c r="BQ514" s="5" t="s">
        <v>1775</v>
      </c>
      <c r="BR514" s="94">
        <v>45840.44534722222</v>
      </c>
      <c r="BS514" s="5">
        <v>40.0</v>
      </c>
      <c r="BT514" s="94">
        <v>45892.58184027778</v>
      </c>
      <c r="BU514" s="5">
        <v>40.0</v>
      </c>
      <c r="BV514" s="5" t="s">
        <v>1770</v>
      </c>
      <c r="BW514" s="5" t="s">
        <v>1770</v>
      </c>
    </row>
    <row r="515" ht="14.25" customHeight="1">
      <c r="A515" s="5">
        <v>514.0</v>
      </c>
      <c r="B515" s="5">
        <v>780.0</v>
      </c>
      <c r="C515" s="5" t="s">
        <v>3697</v>
      </c>
      <c r="D515" s="5" t="s">
        <v>1938</v>
      </c>
      <c r="E515" s="5" t="s">
        <v>1927</v>
      </c>
      <c r="F515" s="5" t="s">
        <v>5502</v>
      </c>
      <c r="G515" s="5" t="s">
        <v>5503</v>
      </c>
      <c r="H515" s="5" t="s">
        <v>1781</v>
      </c>
      <c r="I515" s="5" t="s">
        <v>1782</v>
      </c>
      <c r="J515" s="91">
        <v>29655.0</v>
      </c>
      <c r="K515" s="5">
        <v>549.0</v>
      </c>
      <c r="L515" s="5" t="s">
        <v>5504</v>
      </c>
      <c r="M515" s="5">
        <v>33.0</v>
      </c>
      <c r="N515" s="5"/>
      <c r="O515" s="5">
        <v>43882.0</v>
      </c>
      <c r="P515" s="5" t="s">
        <v>1797</v>
      </c>
      <c r="Q515" s="5" t="s">
        <v>1766</v>
      </c>
      <c r="R515" s="5">
        <v>549.0</v>
      </c>
      <c r="S515" s="5">
        <v>3.931079298E9</v>
      </c>
      <c r="T515" s="5" t="s">
        <v>5505</v>
      </c>
      <c r="U515" s="5" t="s">
        <v>5506</v>
      </c>
      <c r="V515" s="5">
        <v>3.931066978E9</v>
      </c>
      <c r="W515" s="5" t="s">
        <v>1787</v>
      </c>
      <c r="X515" s="91">
        <v>45842.0</v>
      </c>
      <c r="Y515" s="5">
        <v>1.0</v>
      </c>
      <c r="Z515" s="5">
        <v>17.0</v>
      </c>
      <c r="AA515" s="5">
        <v>31.0</v>
      </c>
      <c r="AB515" s="5" t="s">
        <v>5507</v>
      </c>
      <c r="AC515" s="5" t="s">
        <v>1800</v>
      </c>
      <c r="AD515" s="91">
        <v>44624.0</v>
      </c>
      <c r="AE515" s="91">
        <v>46085.0</v>
      </c>
      <c r="AF515" s="5"/>
      <c r="AG515" s="5"/>
      <c r="AH515" s="5">
        <v>4.048140083E9</v>
      </c>
      <c r="AI515" s="5">
        <v>23.0</v>
      </c>
      <c r="AJ515" s="5"/>
      <c r="AK515" s="5" t="s">
        <v>1773</v>
      </c>
      <c r="AL515" s="92">
        <v>0.0</v>
      </c>
      <c r="AM515" s="5" t="s">
        <v>1770</v>
      </c>
      <c r="AN515" s="5" t="s">
        <v>1830</v>
      </c>
      <c r="AO515" s="5"/>
      <c r="AP515" s="5"/>
      <c r="AQ515" s="5"/>
      <c r="AR515" s="5"/>
      <c r="AS515" s="5"/>
      <c r="AT515" s="5"/>
      <c r="AU515" s="5"/>
      <c r="AV515" s="5"/>
      <c r="AW515" s="5" t="s">
        <v>1770</v>
      </c>
      <c r="AX515" s="5"/>
      <c r="AY515" s="5"/>
      <c r="AZ515" s="5" t="s">
        <v>1770</v>
      </c>
      <c r="BA515" s="93">
        <v>0.0</v>
      </c>
      <c r="BB515" s="93">
        <v>0.0</v>
      </c>
      <c r="BC515" s="93">
        <v>0.0</v>
      </c>
      <c r="BD515" s="93">
        <v>0.0</v>
      </c>
      <c r="BE515" s="93">
        <v>0.0</v>
      </c>
      <c r="BF515" s="93">
        <v>0.0</v>
      </c>
      <c r="BG515" s="5"/>
      <c r="BH515" s="93">
        <v>0.0</v>
      </c>
      <c r="BI515" s="93">
        <v>0.0</v>
      </c>
      <c r="BJ515" s="93">
        <v>0.0</v>
      </c>
      <c r="BK515" s="93">
        <v>0.0</v>
      </c>
      <c r="BL515" s="93">
        <v>0.0</v>
      </c>
      <c r="BM515" s="93">
        <v>0.0</v>
      </c>
      <c r="BN515" s="93">
        <v>0.0</v>
      </c>
      <c r="BO515" s="5"/>
      <c r="BP515" s="5"/>
      <c r="BQ515" s="5" t="s">
        <v>1775</v>
      </c>
      <c r="BR515" s="94">
        <v>45842.39747685185</v>
      </c>
      <c r="BS515" s="5">
        <v>40.0</v>
      </c>
      <c r="BT515" s="94">
        <v>46133.47539351852</v>
      </c>
      <c r="BU515" s="5">
        <v>272.0</v>
      </c>
      <c r="BV515" s="5" t="s">
        <v>1770</v>
      </c>
      <c r="BW515" s="5" t="s">
        <v>1770</v>
      </c>
    </row>
    <row r="516" ht="14.25" customHeight="1">
      <c r="A516" s="5">
        <v>515.0</v>
      </c>
      <c r="B516" s="5">
        <v>781.0</v>
      </c>
      <c r="C516" s="5" t="s">
        <v>5508</v>
      </c>
      <c r="D516" s="5" t="s">
        <v>2132</v>
      </c>
      <c r="E516" s="5" t="s">
        <v>5509</v>
      </c>
      <c r="F516" s="5" t="s">
        <v>5510</v>
      </c>
      <c r="G516" s="5" t="s">
        <v>5511</v>
      </c>
      <c r="H516" s="5" t="s">
        <v>1762</v>
      </c>
      <c r="I516" s="5" t="s">
        <v>1763</v>
      </c>
      <c r="J516" s="91">
        <v>34744.0</v>
      </c>
      <c r="K516" s="5">
        <v>886.0</v>
      </c>
      <c r="L516" s="5" t="s">
        <v>5512</v>
      </c>
      <c r="M516" s="5">
        <v>188.0</v>
      </c>
      <c r="N516" s="5"/>
      <c r="O516" s="5">
        <v>55002.0</v>
      </c>
      <c r="P516" s="5" t="s">
        <v>5513</v>
      </c>
      <c r="Q516" s="5" t="s">
        <v>1974</v>
      </c>
      <c r="R516" s="5">
        <v>886.0</v>
      </c>
      <c r="S516" s="5">
        <v>3.93105144E9</v>
      </c>
      <c r="T516" s="5" t="s">
        <v>5514</v>
      </c>
      <c r="U516" s="5" t="s">
        <v>5515</v>
      </c>
      <c r="V516" s="5">
        <v>3.320277988E9</v>
      </c>
      <c r="W516" s="5" t="s">
        <v>1819</v>
      </c>
      <c r="X516" s="91">
        <v>45842.0</v>
      </c>
      <c r="Y516" s="5">
        <v>1.0</v>
      </c>
      <c r="Z516" s="5">
        <v>19.0</v>
      </c>
      <c r="AA516" s="5">
        <v>74.0</v>
      </c>
      <c r="AB516" s="5"/>
      <c r="AC516" s="5"/>
      <c r="AD516" s="5" t="s">
        <v>1770</v>
      </c>
      <c r="AE516" s="5" t="s">
        <v>1770</v>
      </c>
      <c r="AF516" s="5"/>
      <c r="AG516" s="5"/>
      <c r="AH516" s="5">
        <v>6.169507776E9</v>
      </c>
      <c r="AI516" s="5">
        <v>23.0</v>
      </c>
      <c r="AJ516" s="5"/>
      <c r="AK516" s="5" t="s">
        <v>1773</v>
      </c>
      <c r="AL516" s="92">
        <v>0.0</v>
      </c>
      <c r="AM516" s="5" t="s">
        <v>1770</v>
      </c>
      <c r="AN516" s="5" t="s">
        <v>1774</v>
      </c>
      <c r="AO516" s="5"/>
      <c r="AP516" s="5"/>
      <c r="AQ516" s="5"/>
      <c r="AR516" s="5"/>
      <c r="AS516" s="5"/>
      <c r="AT516" s="5"/>
      <c r="AU516" s="5"/>
      <c r="AV516" s="5"/>
      <c r="AW516" s="5" t="s">
        <v>1770</v>
      </c>
      <c r="AX516" s="5"/>
      <c r="AY516" s="5"/>
      <c r="AZ516" s="5" t="s">
        <v>1770</v>
      </c>
      <c r="BA516" s="93">
        <v>0.0</v>
      </c>
      <c r="BB516" s="93">
        <v>0.0</v>
      </c>
      <c r="BC516" s="93">
        <v>0.0</v>
      </c>
      <c r="BD516" s="93">
        <v>0.0</v>
      </c>
      <c r="BE516" s="93">
        <v>0.0</v>
      </c>
      <c r="BF516" s="93">
        <v>0.0</v>
      </c>
      <c r="BG516" s="5"/>
      <c r="BH516" s="93">
        <v>0.0</v>
      </c>
      <c r="BI516" s="93">
        <v>0.0</v>
      </c>
      <c r="BJ516" s="93">
        <v>0.0</v>
      </c>
      <c r="BK516" s="93">
        <v>0.0</v>
      </c>
      <c r="BL516" s="93">
        <v>0.0</v>
      </c>
      <c r="BM516" s="93">
        <v>0.0</v>
      </c>
      <c r="BN516" s="93">
        <v>0.0</v>
      </c>
      <c r="BO516" s="5"/>
      <c r="BP516" s="5" t="s">
        <v>1770</v>
      </c>
      <c r="BQ516" s="5" t="s">
        <v>1775</v>
      </c>
      <c r="BR516" s="94">
        <v>45842.40508101852</v>
      </c>
      <c r="BS516" s="5">
        <v>40.0</v>
      </c>
      <c r="BT516" s="94">
        <v>45892.5787037037</v>
      </c>
      <c r="BU516" s="5">
        <v>40.0</v>
      </c>
      <c r="BV516" s="5" t="s">
        <v>1770</v>
      </c>
      <c r="BW516" s="5" t="s">
        <v>1770</v>
      </c>
    </row>
    <row r="517" ht="14.25" customHeight="1">
      <c r="A517" s="5">
        <v>516.0</v>
      </c>
      <c r="B517" s="5">
        <v>10004.0</v>
      </c>
      <c r="C517" s="100" t="s">
        <v>4860</v>
      </c>
      <c r="D517" s="5" t="s">
        <v>1836</v>
      </c>
      <c r="E517" s="100" t="s">
        <v>1811</v>
      </c>
      <c r="F517" s="5" t="s">
        <v>5516</v>
      </c>
      <c r="G517" s="5" t="s">
        <v>5517</v>
      </c>
      <c r="H517" s="5" t="s">
        <v>1781</v>
      </c>
      <c r="I517" s="5" t="s">
        <v>1782</v>
      </c>
      <c r="J517" s="91">
        <v>25054.0</v>
      </c>
      <c r="K517" s="5">
        <v>549.0</v>
      </c>
      <c r="L517" s="5" t="s">
        <v>2742</v>
      </c>
      <c r="M517" s="5">
        <v>235.0</v>
      </c>
      <c r="N517" s="5"/>
      <c r="O517" s="5">
        <v>43882.0</v>
      </c>
      <c r="P517" s="5" t="s">
        <v>2743</v>
      </c>
      <c r="Q517" s="5" t="s">
        <v>1766</v>
      </c>
      <c r="R517" s="5">
        <v>549.0</v>
      </c>
      <c r="S517" s="5">
        <v>3.931003344E9</v>
      </c>
      <c r="T517" s="5" t="s">
        <v>5518</v>
      </c>
      <c r="U517" s="5">
        <v>1.0</v>
      </c>
      <c r="V517" s="5">
        <v>1.234567891E9</v>
      </c>
      <c r="W517" s="5">
        <v>3.0</v>
      </c>
      <c r="X517" s="91">
        <v>45628.0</v>
      </c>
      <c r="Y517" s="5">
        <v>1.0</v>
      </c>
      <c r="Z517" s="5">
        <v>4.0</v>
      </c>
      <c r="AA517" s="5">
        <v>96.0</v>
      </c>
      <c r="AB517" s="5" t="s">
        <v>5519</v>
      </c>
      <c r="AC517" s="5" t="s">
        <v>1800</v>
      </c>
      <c r="AD517" s="91">
        <v>44988.0</v>
      </c>
      <c r="AE517" s="91">
        <v>46449.0</v>
      </c>
      <c r="AF517" s="5"/>
      <c r="AG517" s="5"/>
      <c r="AH517" s="5">
        <v>4.906814076E9</v>
      </c>
      <c r="AI517" s="5">
        <v>23.0</v>
      </c>
      <c r="AJ517" s="5"/>
      <c r="AK517" s="5" t="s">
        <v>1773</v>
      </c>
      <c r="AL517" s="92">
        <v>0.0</v>
      </c>
      <c r="AM517" s="5" t="s">
        <v>1770</v>
      </c>
      <c r="AN517" s="5" t="s">
        <v>1830</v>
      </c>
      <c r="AO517" s="5"/>
      <c r="AP517" s="5"/>
      <c r="AQ517" s="5"/>
      <c r="AR517" s="5"/>
      <c r="AS517" s="5"/>
      <c r="AT517" s="5"/>
      <c r="AU517" s="5"/>
      <c r="AV517" s="5"/>
      <c r="AW517" s="5" t="s">
        <v>1770</v>
      </c>
      <c r="AX517" s="5"/>
      <c r="AY517" s="5"/>
      <c r="AZ517" s="5" t="s">
        <v>1770</v>
      </c>
      <c r="BA517" s="93">
        <v>0.0</v>
      </c>
      <c r="BB517" s="93">
        <v>0.0</v>
      </c>
      <c r="BC517" s="93">
        <v>0.0</v>
      </c>
      <c r="BD517" s="93">
        <v>0.0</v>
      </c>
      <c r="BE517" s="93">
        <v>0.0</v>
      </c>
      <c r="BF517" s="93">
        <v>0.0</v>
      </c>
      <c r="BG517" s="5"/>
      <c r="BH517" s="93">
        <v>0.0</v>
      </c>
      <c r="BI517" s="93">
        <v>0.0</v>
      </c>
      <c r="BJ517" s="93">
        <v>0.0</v>
      </c>
      <c r="BK517" s="93">
        <v>0.0</v>
      </c>
      <c r="BL517" s="93">
        <v>0.0</v>
      </c>
      <c r="BM517" s="93">
        <v>0.0</v>
      </c>
      <c r="BN517" s="93">
        <v>0.0</v>
      </c>
      <c r="BO517" s="5"/>
      <c r="BP517" s="5" t="s">
        <v>1770</v>
      </c>
      <c r="BQ517" s="5" t="s">
        <v>1775</v>
      </c>
      <c r="BR517" s="94">
        <v>45849.501759259256</v>
      </c>
      <c r="BS517" s="5">
        <v>40.0</v>
      </c>
      <c r="BT517" s="94">
        <v>45894.41699074074</v>
      </c>
      <c r="BU517" s="5">
        <v>40.0</v>
      </c>
      <c r="BV517" s="5" t="s">
        <v>1770</v>
      </c>
      <c r="BW517" s="5" t="s">
        <v>1770</v>
      </c>
    </row>
    <row r="518" ht="14.25" customHeight="1">
      <c r="A518" s="5">
        <v>517.0</v>
      </c>
      <c r="B518" s="5">
        <v>782.0</v>
      </c>
      <c r="C518" s="5" t="s">
        <v>5520</v>
      </c>
      <c r="D518" s="100" t="s">
        <v>1811</v>
      </c>
      <c r="E518" s="5" t="s">
        <v>5421</v>
      </c>
      <c r="F518" s="5" t="s">
        <v>5521</v>
      </c>
      <c r="G518" s="5" t="s">
        <v>5522</v>
      </c>
      <c r="H518" s="5" t="s">
        <v>1815</v>
      </c>
      <c r="I518" s="5" t="s">
        <v>1763</v>
      </c>
      <c r="J518" s="91">
        <v>35526.0</v>
      </c>
      <c r="K518" s="5">
        <v>549.0</v>
      </c>
      <c r="L518" s="5" t="s">
        <v>5042</v>
      </c>
      <c r="M518" s="5">
        <v>287.0</v>
      </c>
      <c r="N518" s="5"/>
      <c r="O518" s="5">
        <v>43882.0</v>
      </c>
      <c r="P518" s="5" t="s">
        <v>1797</v>
      </c>
      <c r="Q518" s="5" t="s">
        <v>1766</v>
      </c>
      <c r="R518" s="5">
        <v>549.0</v>
      </c>
      <c r="S518" s="5">
        <v>3.931977086E9</v>
      </c>
      <c r="T518" s="5" t="s">
        <v>5523</v>
      </c>
      <c r="U518" s="5" t="s">
        <v>5524</v>
      </c>
      <c r="V518" s="5">
        <v>3.931068639E9</v>
      </c>
      <c r="W518" s="5" t="s">
        <v>1808</v>
      </c>
      <c r="X518" s="91">
        <v>45845.0</v>
      </c>
      <c r="Y518" s="5">
        <v>1.0</v>
      </c>
      <c r="Z518" s="5">
        <v>19.0</v>
      </c>
      <c r="AA518" s="5">
        <v>80.0</v>
      </c>
      <c r="AB518" s="5" t="s">
        <v>5525</v>
      </c>
      <c r="AC518" s="5" t="s">
        <v>1800</v>
      </c>
      <c r="AD518" s="91">
        <v>45013.0</v>
      </c>
      <c r="AE518" s="91">
        <v>46474.0</v>
      </c>
      <c r="AF518" s="5"/>
      <c r="AG518" s="5"/>
      <c r="AH518" s="5">
        <v>7.0169759902E10</v>
      </c>
      <c r="AI518" s="5">
        <v>23.0</v>
      </c>
      <c r="AJ518" s="5"/>
      <c r="AK518" s="5" t="s">
        <v>1773</v>
      </c>
      <c r="AL518" s="92">
        <v>0.0</v>
      </c>
      <c r="AM518" s="5" t="s">
        <v>1770</v>
      </c>
      <c r="AN518" s="5" t="s">
        <v>1830</v>
      </c>
      <c r="AO518" s="5"/>
      <c r="AP518" s="5"/>
      <c r="AQ518" s="5"/>
      <c r="AR518" s="5"/>
      <c r="AS518" s="5"/>
      <c r="AT518" s="5"/>
      <c r="AU518" s="5"/>
      <c r="AV518" s="5"/>
      <c r="AW518" s="5" t="s">
        <v>1770</v>
      </c>
      <c r="AX518" s="5"/>
      <c r="AY518" s="5"/>
      <c r="AZ518" s="5" t="s">
        <v>1770</v>
      </c>
      <c r="BA518" s="93">
        <v>0.0</v>
      </c>
      <c r="BB518" s="93">
        <v>0.0</v>
      </c>
      <c r="BC518" s="93">
        <v>0.0</v>
      </c>
      <c r="BD518" s="93">
        <v>0.0</v>
      </c>
      <c r="BE518" s="93">
        <v>0.0</v>
      </c>
      <c r="BF518" s="93">
        <v>0.0</v>
      </c>
      <c r="BG518" s="5"/>
      <c r="BH518" s="93">
        <v>0.0</v>
      </c>
      <c r="BI518" s="93">
        <v>0.0</v>
      </c>
      <c r="BJ518" s="93">
        <v>0.0</v>
      </c>
      <c r="BK518" s="93">
        <v>0.0</v>
      </c>
      <c r="BL518" s="93">
        <v>0.0</v>
      </c>
      <c r="BM518" s="93">
        <v>0.0</v>
      </c>
      <c r="BN518" s="93">
        <v>0.0</v>
      </c>
      <c r="BO518" s="5"/>
      <c r="BP518" s="5" t="s">
        <v>1770</v>
      </c>
      <c r="BQ518" s="5" t="s">
        <v>1789</v>
      </c>
      <c r="BR518" s="94">
        <v>45855.49760416667</v>
      </c>
      <c r="BS518" s="5">
        <v>40.0</v>
      </c>
      <c r="BT518" s="94">
        <v>45892.539131944446</v>
      </c>
      <c r="BU518" s="5" t="s">
        <v>1770</v>
      </c>
      <c r="BV518" s="94">
        <v>46202.63487268519</v>
      </c>
      <c r="BW518" s="5">
        <v>40.0</v>
      </c>
    </row>
    <row r="519" ht="14.25" customHeight="1">
      <c r="A519" s="5">
        <v>518.0</v>
      </c>
      <c r="B519" s="5">
        <v>783.0</v>
      </c>
      <c r="C519" s="5" t="s">
        <v>5526</v>
      </c>
      <c r="D519" s="5" t="s">
        <v>2132</v>
      </c>
      <c r="E519" s="5" t="s">
        <v>5527</v>
      </c>
      <c r="F519" s="5" t="s">
        <v>5528</v>
      </c>
      <c r="G519" s="5" t="s">
        <v>5529</v>
      </c>
      <c r="H519" s="5" t="s">
        <v>1972</v>
      </c>
      <c r="I519" s="5" t="s">
        <v>1782</v>
      </c>
      <c r="J519" s="91">
        <v>34195.0</v>
      </c>
      <c r="K519" s="5">
        <v>18.0</v>
      </c>
      <c r="L519" s="5" t="s">
        <v>5530</v>
      </c>
      <c r="M519" s="5">
        <v>203.0</v>
      </c>
      <c r="N519" s="5"/>
      <c r="O519" s="5">
        <v>54060.0</v>
      </c>
      <c r="P519" s="5" t="s">
        <v>5531</v>
      </c>
      <c r="Q519" s="5" t="s">
        <v>2041</v>
      </c>
      <c r="R519" s="5">
        <v>834.0</v>
      </c>
      <c r="S519" s="5">
        <v>4.432837083E9</v>
      </c>
      <c r="T519" s="5" t="s">
        <v>5532</v>
      </c>
      <c r="U519" s="5" t="s">
        <v>5533</v>
      </c>
      <c r="V519" s="5">
        <v>4.432417852E9</v>
      </c>
      <c r="W519" s="5" t="s">
        <v>1808</v>
      </c>
      <c r="X519" s="91">
        <v>45854.0</v>
      </c>
      <c r="Y519" s="5">
        <v>4.0</v>
      </c>
      <c r="Z519" s="5">
        <v>3.0</v>
      </c>
      <c r="AA519" s="5">
        <v>58.0</v>
      </c>
      <c r="AB519" s="5" t="s">
        <v>5534</v>
      </c>
      <c r="AC519" s="5" t="s">
        <v>2274</v>
      </c>
      <c r="AD519" s="91">
        <v>44174.0</v>
      </c>
      <c r="AE519" s="91">
        <v>46000.0</v>
      </c>
      <c r="AF519" s="5"/>
      <c r="AG519" s="5"/>
      <c r="AH519" s="5">
        <v>5.3129356043E10</v>
      </c>
      <c r="AI519" s="5">
        <v>80.0</v>
      </c>
      <c r="AJ519" s="5"/>
      <c r="AK519" s="5" t="s">
        <v>1773</v>
      </c>
      <c r="AL519" s="92">
        <v>0.0</v>
      </c>
      <c r="AM519" s="5" t="s">
        <v>1770</v>
      </c>
      <c r="AN519" s="5" t="s">
        <v>5380</v>
      </c>
      <c r="AO519" s="5"/>
      <c r="AP519" s="5"/>
      <c r="AQ519" s="5"/>
      <c r="AR519" s="5"/>
      <c r="AS519" s="5"/>
      <c r="AT519" s="5"/>
      <c r="AU519" s="5"/>
      <c r="AV519" s="5"/>
      <c r="AW519" s="5" t="s">
        <v>1770</v>
      </c>
      <c r="AX519" s="5"/>
      <c r="AY519" s="5"/>
      <c r="AZ519" s="5" t="s">
        <v>1770</v>
      </c>
      <c r="BA519" s="93">
        <v>0.0</v>
      </c>
      <c r="BB519" s="93">
        <v>0.0</v>
      </c>
      <c r="BC519" s="93">
        <v>0.0</v>
      </c>
      <c r="BD519" s="93">
        <v>0.0</v>
      </c>
      <c r="BE519" s="93">
        <v>0.0</v>
      </c>
      <c r="BF519" s="93">
        <v>0.0</v>
      </c>
      <c r="BG519" s="5"/>
      <c r="BH519" s="93">
        <v>0.0</v>
      </c>
      <c r="BI519" s="93">
        <v>0.0</v>
      </c>
      <c r="BJ519" s="93">
        <v>0.0</v>
      </c>
      <c r="BK519" s="93">
        <v>0.0</v>
      </c>
      <c r="BL519" s="93">
        <v>0.0</v>
      </c>
      <c r="BM519" s="93">
        <v>0.0</v>
      </c>
      <c r="BN519" s="93">
        <v>0.0</v>
      </c>
      <c r="BO519" s="5"/>
      <c r="BP519" s="5" t="s">
        <v>1770</v>
      </c>
      <c r="BQ519" s="5" t="s">
        <v>1789</v>
      </c>
      <c r="BR519" s="94">
        <v>45855.745208333334</v>
      </c>
      <c r="BS519" s="5">
        <v>40.0</v>
      </c>
      <c r="BT519" s="5" t="s">
        <v>1770</v>
      </c>
      <c r="BU519" s="5" t="s">
        <v>1770</v>
      </c>
      <c r="BV519" s="94">
        <v>45882.74130787037</v>
      </c>
      <c r="BW519" s="5">
        <v>40.0</v>
      </c>
    </row>
    <row r="520" ht="14.25" customHeight="1">
      <c r="A520" s="5">
        <v>519.0</v>
      </c>
      <c r="B520" s="5">
        <v>784.0</v>
      </c>
      <c r="C520" s="5" t="s">
        <v>5535</v>
      </c>
      <c r="D520" s="5" t="s">
        <v>3753</v>
      </c>
      <c r="E520" s="5" t="s">
        <v>5123</v>
      </c>
      <c r="F520" s="5" t="s">
        <v>5536</v>
      </c>
      <c r="G520" s="5" t="s">
        <v>5537</v>
      </c>
      <c r="H520" s="5" t="s">
        <v>1781</v>
      </c>
      <c r="I520" s="5" t="s">
        <v>1782</v>
      </c>
      <c r="J520" s="91">
        <v>27750.0</v>
      </c>
      <c r="K520" s="5">
        <v>418.0</v>
      </c>
      <c r="L520" s="5" t="s">
        <v>5538</v>
      </c>
      <c r="M520" s="5">
        <v>1207.0</v>
      </c>
      <c r="N520" s="5"/>
      <c r="O520" s="5">
        <v>35942.0</v>
      </c>
      <c r="P520" s="5" t="s">
        <v>5539</v>
      </c>
      <c r="Q520" s="5" t="s">
        <v>2061</v>
      </c>
      <c r="R520" s="5">
        <v>402.0</v>
      </c>
      <c r="S520" s="5">
        <v>4.623686832E9</v>
      </c>
      <c r="T520" s="5" t="s">
        <v>5540</v>
      </c>
      <c r="U520" s="5" t="s">
        <v>5541</v>
      </c>
      <c r="V520" s="5">
        <v>1.234567891E9</v>
      </c>
      <c r="W520" s="5" t="s">
        <v>1787</v>
      </c>
      <c r="X520" s="91">
        <v>45866.0</v>
      </c>
      <c r="Y520" s="5">
        <v>2.0</v>
      </c>
      <c r="Z520" s="5">
        <v>4.0</v>
      </c>
      <c r="AA520" s="5">
        <v>12.0</v>
      </c>
      <c r="AB520" s="5" t="s">
        <v>5542</v>
      </c>
      <c r="AC520" s="5" t="s">
        <v>1772</v>
      </c>
      <c r="AD520" s="91">
        <v>45460.0</v>
      </c>
      <c r="AE520" s="91">
        <v>47286.0</v>
      </c>
      <c r="AF520" s="5"/>
      <c r="AG520" s="5"/>
      <c r="AH520" s="5">
        <v>1.2957538411E10</v>
      </c>
      <c r="AI520" s="5">
        <v>9.0</v>
      </c>
      <c r="AJ520" s="5"/>
      <c r="AK520" s="5" t="s">
        <v>1773</v>
      </c>
      <c r="AL520" s="92">
        <v>0.0</v>
      </c>
      <c r="AM520" s="5" t="s">
        <v>1770</v>
      </c>
      <c r="AN520" s="5" t="s">
        <v>1830</v>
      </c>
      <c r="AO520" s="5"/>
      <c r="AP520" s="5"/>
      <c r="AQ520" s="5"/>
      <c r="AR520" s="5"/>
      <c r="AS520" s="5"/>
      <c r="AT520" s="5"/>
      <c r="AU520" s="5"/>
      <c r="AV520" s="5"/>
      <c r="AW520" s="5" t="s">
        <v>1770</v>
      </c>
      <c r="AX520" s="5"/>
      <c r="AY520" s="5"/>
      <c r="AZ520" s="5" t="s">
        <v>1770</v>
      </c>
      <c r="BA520" s="93">
        <v>0.0</v>
      </c>
      <c r="BB520" s="93">
        <v>0.0</v>
      </c>
      <c r="BC520" s="93">
        <v>0.0</v>
      </c>
      <c r="BD520" s="93">
        <v>0.0</v>
      </c>
      <c r="BE520" s="93">
        <v>0.0</v>
      </c>
      <c r="BF520" s="93">
        <v>0.0</v>
      </c>
      <c r="BG520" s="5"/>
      <c r="BH520" s="93">
        <v>0.0</v>
      </c>
      <c r="BI520" s="93">
        <v>0.0</v>
      </c>
      <c r="BJ520" s="93">
        <v>0.0</v>
      </c>
      <c r="BK520" s="93">
        <v>0.0</v>
      </c>
      <c r="BL520" s="93">
        <v>0.0</v>
      </c>
      <c r="BM520" s="93">
        <v>0.0</v>
      </c>
      <c r="BN520" s="93">
        <v>0.0</v>
      </c>
      <c r="BO520" s="5"/>
      <c r="BP520" s="5" t="s">
        <v>1770</v>
      </c>
      <c r="BQ520" s="5" t="s">
        <v>1789</v>
      </c>
      <c r="BR520" s="94">
        <v>45869.59625</v>
      </c>
      <c r="BS520" s="5">
        <v>40.0</v>
      </c>
      <c r="BT520" s="5" t="s">
        <v>1770</v>
      </c>
      <c r="BU520" s="5" t="s">
        <v>1770</v>
      </c>
      <c r="BV520" s="94">
        <v>45986.74015046296</v>
      </c>
      <c r="BW520" s="5">
        <v>40.0</v>
      </c>
    </row>
    <row r="521" ht="14.25" customHeight="1">
      <c r="A521" s="5">
        <v>520.0</v>
      </c>
      <c r="B521" s="5">
        <v>785.0</v>
      </c>
      <c r="C521" s="5" t="s">
        <v>5543</v>
      </c>
      <c r="D521" s="5" t="s">
        <v>2001</v>
      </c>
      <c r="E521" s="5" t="s">
        <v>3761</v>
      </c>
      <c r="F521" s="5" t="s">
        <v>5544</v>
      </c>
      <c r="G521" s="5" t="s">
        <v>5545</v>
      </c>
      <c r="H521" s="5" t="s">
        <v>1972</v>
      </c>
      <c r="I521" s="5" t="s">
        <v>1782</v>
      </c>
      <c r="J521" s="91">
        <v>36000.0</v>
      </c>
      <c r="K521" s="5">
        <v>402.0</v>
      </c>
      <c r="L521" s="5" t="s">
        <v>5546</v>
      </c>
      <c r="M521" s="5">
        <v>13.0</v>
      </c>
      <c r="N521" s="5"/>
      <c r="O521" s="5">
        <v>35896.0</v>
      </c>
      <c r="P521" s="5" t="s">
        <v>3139</v>
      </c>
      <c r="Q521" s="5" t="s">
        <v>1902</v>
      </c>
      <c r="R521" s="5">
        <v>424.0</v>
      </c>
      <c r="S521" s="5">
        <v>4.691045895E9</v>
      </c>
      <c r="T521" s="5" t="s">
        <v>5547</v>
      </c>
      <c r="U521" s="5" t="s">
        <v>5548</v>
      </c>
      <c r="V521" s="5">
        <v>4.691068095E9</v>
      </c>
      <c r="W521" s="5" t="s">
        <v>1808</v>
      </c>
      <c r="X521" s="91">
        <v>45867.0</v>
      </c>
      <c r="Y521" s="5">
        <v>2.0</v>
      </c>
      <c r="Z521" s="5">
        <v>4.0</v>
      </c>
      <c r="AA521" s="5">
        <v>12.0</v>
      </c>
      <c r="AB521" s="5" t="s">
        <v>5549</v>
      </c>
      <c r="AC521" s="5" t="s">
        <v>1772</v>
      </c>
      <c r="AD521" s="91">
        <v>45862.0</v>
      </c>
      <c r="AE521" s="91">
        <v>46958.0</v>
      </c>
      <c r="AF521" s="5"/>
      <c r="AG521" s="5"/>
      <c r="AH521" s="5">
        <v>6.139819251E9</v>
      </c>
      <c r="AI521" s="5">
        <v>9.0</v>
      </c>
      <c r="AJ521" s="5"/>
      <c r="AK521" s="5" t="s">
        <v>1773</v>
      </c>
      <c r="AL521" s="92">
        <v>0.0</v>
      </c>
      <c r="AM521" s="5" t="s">
        <v>1770</v>
      </c>
      <c r="AN521" s="5" t="s">
        <v>1830</v>
      </c>
      <c r="AO521" s="5"/>
      <c r="AP521" s="5"/>
      <c r="AQ521" s="5"/>
      <c r="AR521" s="5"/>
      <c r="AS521" s="5"/>
      <c r="AT521" s="5"/>
      <c r="AU521" s="5"/>
      <c r="AV521" s="5"/>
      <c r="AW521" s="5" t="s">
        <v>1770</v>
      </c>
      <c r="AX521" s="5"/>
      <c r="AY521" s="5"/>
      <c r="AZ521" s="5" t="s">
        <v>1770</v>
      </c>
      <c r="BA521" s="93">
        <v>0.0</v>
      </c>
      <c r="BB521" s="93">
        <v>0.0</v>
      </c>
      <c r="BC521" s="93">
        <v>0.0</v>
      </c>
      <c r="BD521" s="93">
        <v>0.0</v>
      </c>
      <c r="BE521" s="93">
        <v>0.0</v>
      </c>
      <c r="BF521" s="93">
        <v>0.0</v>
      </c>
      <c r="BG521" s="5"/>
      <c r="BH521" s="93">
        <v>0.0</v>
      </c>
      <c r="BI521" s="93">
        <v>0.0</v>
      </c>
      <c r="BJ521" s="93">
        <v>0.0</v>
      </c>
      <c r="BK521" s="93">
        <v>0.0</v>
      </c>
      <c r="BL521" s="93">
        <v>0.0</v>
      </c>
      <c r="BM521" s="93">
        <v>0.0</v>
      </c>
      <c r="BN521" s="93">
        <v>0.0</v>
      </c>
      <c r="BO521" s="5"/>
      <c r="BP521" s="5" t="s">
        <v>1770</v>
      </c>
      <c r="BQ521" s="5" t="s">
        <v>1775</v>
      </c>
      <c r="BR521" s="94">
        <v>45869.61482638889</v>
      </c>
      <c r="BS521" s="5">
        <v>40.0</v>
      </c>
      <c r="BT521" s="5" t="s">
        <v>1770</v>
      </c>
      <c r="BU521" s="5" t="s">
        <v>1770</v>
      </c>
      <c r="BV521" s="5" t="s">
        <v>1770</v>
      </c>
      <c r="BW521" s="5" t="s">
        <v>1770</v>
      </c>
    </row>
    <row r="522" ht="14.25" customHeight="1">
      <c r="A522" s="5">
        <v>521.0</v>
      </c>
      <c r="B522" s="5">
        <v>786.0</v>
      </c>
      <c r="C522" s="5" t="s">
        <v>5550</v>
      </c>
      <c r="D522" s="5" t="s">
        <v>2757</v>
      </c>
      <c r="E522" s="5" t="s">
        <v>5551</v>
      </c>
      <c r="F522" s="5" t="s">
        <v>5552</v>
      </c>
      <c r="G522" s="5" t="s">
        <v>5553</v>
      </c>
      <c r="H522" s="5" t="s">
        <v>1781</v>
      </c>
      <c r="I522" s="5" t="s">
        <v>1782</v>
      </c>
      <c r="J522" s="91">
        <v>32064.0</v>
      </c>
      <c r="K522" s="5">
        <v>889.0</v>
      </c>
      <c r="L522" s="5" t="s">
        <v>5554</v>
      </c>
      <c r="M522" s="5">
        <v>2.0</v>
      </c>
      <c r="N522" s="5"/>
      <c r="O522" s="5">
        <v>55534.0</v>
      </c>
      <c r="P522" s="5" t="s">
        <v>5555</v>
      </c>
      <c r="Q522" s="5" t="s">
        <v>5556</v>
      </c>
      <c r="R522" s="5">
        <v>811.0</v>
      </c>
      <c r="S522" s="5">
        <v>3.511040373E9</v>
      </c>
      <c r="T522" s="5" t="s">
        <v>5557</v>
      </c>
      <c r="U522" s="5" t="s">
        <v>5558</v>
      </c>
      <c r="V522" s="5">
        <v>3.511275494E9</v>
      </c>
      <c r="W522" s="5" t="s">
        <v>1787</v>
      </c>
      <c r="X522" s="91">
        <v>45873.0</v>
      </c>
      <c r="Y522" s="5">
        <v>3.0</v>
      </c>
      <c r="Z522" s="5">
        <v>19.0</v>
      </c>
      <c r="AA522" s="5">
        <v>81.0</v>
      </c>
      <c r="AB522" s="5">
        <v>8161364.0</v>
      </c>
      <c r="AC522" s="5" t="s">
        <v>1800</v>
      </c>
      <c r="AD522" s="5" t="s">
        <v>1770</v>
      </c>
      <c r="AE522" s="5" t="s">
        <v>1770</v>
      </c>
      <c r="AF522" s="5"/>
      <c r="AG522" s="5"/>
      <c r="AH522" s="5">
        <v>5.3128704714E10</v>
      </c>
      <c r="AI522" s="5"/>
      <c r="AJ522" s="5"/>
      <c r="AK522" s="5" t="s">
        <v>1773</v>
      </c>
      <c r="AL522" s="92">
        <v>0.0</v>
      </c>
      <c r="AM522" s="5" t="s">
        <v>1770</v>
      </c>
      <c r="AN522" s="5" t="s">
        <v>2052</v>
      </c>
      <c r="AO522" s="5"/>
      <c r="AP522" s="5"/>
      <c r="AQ522" s="5"/>
      <c r="AR522" s="5"/>
      <c r="AS522" s="5"/>
      <c r="AT522" s="5"/>
      <c r="AU522" s="5"/>
      <c r="AV522" s="5"/>
      <c r="AW522" s="5" t="s">
        <v>1770</v>
      </c>
      <c r="AX522" s="5"/>
      <c r="AY522" s="5"/>
      <c r="AZ522" s="5" t="s">
        <v>1770</v>
      </c>
      <c r="BA522" s="93">
        <v>0.0</v>
      </c>
      <c r="BB522" s="93">
        <v>0.0</v>
      </c>
      <c r="BC522" s="93">
        <v>0.0</v>
      </c>
      <c r="BD522" s="93">
        <v>0.0</v>
      </c>
      <c r="BE522" s="93">
        <v>0.0</v>
      </c>
      <c r="BF522" s="93">
        <v>0.0</v>
      </c>
      <c r="BG522" s="5"/>
      <c r="BH522" s="93">
        <v>0.0</v>
      </c>
      <c r="BI522" s="93">
        <v>0.0</v>
      </c>
      <c r="BJ522" s="93">
        <v>0.0</v>
      </c>
      <c r="BK522" s="93">
        <v>0.0</v>
      </c>
      <c r="BL522" s="93">
        <v>0.0</v>
      </c>
      <c r="BM522" s="93">
        <v>0.0</v>
      </c>
      <c r="BN522" s="93">
        <v>0.0</v>
      </c>
      <c r="BO522" s="5"/>
      <c r="BP522" s="5" t="s">
        <v>1770</v>
      </c>
      <c r="BQ522" s="5" t="s">
        <v>1789</v>
      </c>
      <c r="BR522" s="94">
        <v>45874.51712962963</v>
      </c>
      <c r="BS522" s="5">
        <v>275.0</v>
      </c>
      <c r="BT522" s="94">
        <v>45894.414131944446</v>
      </c>
      <c r="BU522" s="5">
        <v>40.0</v>
      </c>
      <c r="BV522" s="94">
        <v>45992.56239583333</v>
      </c>
      <c r="BW522" s="5">
        <v>40.0</v>
      </c>
    </row>
    <row r="523" ht="14.25" customHeight="1">
      <c r="A523" s="5">
        <v>522.0</v>
      </c>
      <c r="B523" s="5">
        <v>787.0</v>
      </c>
      <c r="C523" s="5" t="s">
        <v>5559</v>
      </c>
      <c r="D523" s="100" t="s">
        <v>1898</v>
      </c>
      <c r="E523" s="5" t="s">
        <v>4776</v>
      </c>
      <c r="F523" s="5" t="s">
        <v>5560</v>
      </c>
      <c r="G523" s="5" t="s">
        <v>5561</v>
      </c>
      <c r="H523" s="5" t="s">
        <v>1781</v>
      </c>
      <c r="I523" s="5" t="s">
        <v>1782</v>
      </c>
      <c r="J523" s="91">
        <v>33751.0</v>
      </c>
      <c r="K523" s="5">
        <v>850.0</v>
      </c>
      <c r="L523" s="5" t="s">
        <v>5562</v>
      </c>
      <c r="M523" s="5">
        <v>325.0</v>
      </c>
      <c r="N523" s="5"/>
      <c r="O523" s="5">
        <v>55412.0</v>
      </c>
      <c r="P523" s="5" t="s">
        <v>2162</v>
      </c>
      <c r="Q523" s="5"/>
      <c r="R523" s="5">
        <v>424.0</v>
      </c>
      <c r="S523" s="5">
        <v>3.315389093E9</v>
      </c>
      <c r="T523" s="5" t="s">
        <v>5563</v>
      </c>
      <c r="U523" s="100" t="s">
        <v>5564</v>
      </c>
      <c r="V523" s="5">
        <v>3.521176151E9</v>
      </c>
      <c r="W523" s="5" t="s">
        <v>2610</v>
      </c>
      <c r="X523" s="91">
        <v>45873.0</v>
      </c>
      <c r="Y523" s="5">
        <v>3.0</v>
      </c>
      <c r="Z523" s="5">
        <v>18.0</v>
      </c>
      <c r="AA523" s="5">
        <v>71.0</v>
      </c>
      <c r="AB523" s="5"/>
      <c r="AC523" s="5"/>
      <c r="AD523" s="5" t="s">
        <v>1770</v>
      </c>
      <c r="AE523" s="5" t="s">
        <v>1770</v>
      </c>
      <c r="AF523" s="5"/>
      <c r="AG523" s="5"/>
      <c r="AH523" s="5">
        <v>1.7169222993E10</v>
      </c>
      <c r="AI523" s="5"/>
      <c r="AJ523" s="5"/>
      <c r="AK523" s="5" t="s">
        <v>1773</v>
      </c>
      <c r="AL523" s="92">
        <v>0.0</v>
      </c>
      <c r="AM523" s="5" t="s">
        <v>1770</v>
      </c>
      <c r="AN523" s="5" t="s">
        <v>2052</v>
      </c>
      <c r="AO523" s="5"/>
      <c r="AP523" s="5"/>
      <c r="AQ523" s="5"/>
      <c r="AR523" s="5"/>
      <c r="AS523" s="5"/>
      <c r="AT523" s="5"/>
      <c r="AU523" s="5"/>
      <c r="AV523" s="5"/>
      <c r="AW523" s="5" t="s">
        <v>1770</v>
      </c>
      <c r="AX523" s="5"/>
      <c r="AY523" s="5"/>
      <c r="AZ523" s="5" t="s">
        <v>1770</v>
      </c>
      <c r="BA523" s="93">
        <v>0.0</v>
      </c>
      <c r="BB523" s="93">
        <v>0.0</v>
      </c>
      <c r="BC523" s="93">
        <v>0.0</v>
      </c>
      <c r="BD523" s="93">
        <v>0.0</v>
      </c>
      <c r="BE523" s="93">
        <v>0.0</v>
      </c>
      <c r="BF523" s="93">
        <v>0.0</v>
      </c>
      <c r="BG523" s="5"/>
      <c r="BH523" s="93">
        <v>0.0</v>
      </c>
      <c r="BI523" s="93">
        <v>0.0</v>
      </c>
      <c r="BJ523" s="93">
        <v>0.0</v>
      </c>
      <c r="BK523" s="93">
        <v>0.0</v>
      </c>
      <c r="BL523" s="93">
        <v>0.0</v>
      </c>
      <c r="BM523" s="93">
        <v>0.0</v>
      </c>
      <c r="BN523" s="93">
        <v>0.0</v>
      </c>
      <c r="BO523" s="5"/>
      <c r="BP523" s="5" t="s">
        <v>1770</v>
      </c>
      <c r="BQ523" s="5" t="s">
        <v>1775</v>
      </c>
      <c r="BR523" s="94">
        <v>45874.52363425926</v>
      </c>
      <c r="BS523" s="5">
        <v>275.0</v>
      </c>
      <c r="BT523" s="94">
        <v>45874.52486111111</v>
      </c>
      <c r="BU523" s="5">
        <v>275.0</v>
      </c>
      <c r="BV523" s="5" t="s">
        <v>1770</v>
      </c>
      <c r="BW523" s="5" t="s">
        <v>1770</v>
      </c>
    </row>
    <row r="524" ht="14.25" customHeight="1">
      <c r="A524" s="5">
        <v>523.0</v>
      </c>
      <c r="B524" s="5">
        <v>793.0</v>
      </c>
      <c r="C524" s="5" t="s">
        <v>5490</v>
      </c>
      <c r="D524" s="5" t="s">
        <v>2834</v>
      </c>
      <c r="E524" s="5" t="s">
        <v>2463</v>
      </c>
      <c r="F524" s="5" t="s">
        <v>5565</v>
      </c>
      <c r="G524" s="5" t="s">
        <v>5566</v>
      </c>
      <c r="H524" s="5" t="s">
        <v>1762</v>
      </c>
      <c r="I524" s="5" t="s">
        <v>1763</v>
      </c>
      <c r="J524" s="91">
        <v>37641.0</v>
      </c>
      <c r="K524" s="5">
        <v>887.0</v>
      </c>
      <c r="L524" s="5" t="s">
        <v>5567</v>
      </c>
      <c r="M524" s="5">
        <v>10.0</v>
      </c>
      <c r="N524" s="5"/>
      <c r="O524" s="5">
        <v>43882.0</v>
      </c>
      <c r="P524" s="5" t="s">
        <v>5568</v>
      </c>
      <c r="Q524" s="5" t="s">
        <v>1766</v>
      </c>
      <c r="R524" s="5">
        <v>549.0</v>
      </c>
      <c r="S524" s="5">
        <v>3.931095911E9</v>
      </c>
      <c r="T524" s="5" t="s">
        <v>5569</v>
      </c>
      <c r="U524" s="5" t="s">
        <v>5570</v>
      </c>
      <c r="V524" s="5">
        <v>3.931111489E9</v>
      </c>
      <c r="W524" s="5" t="s">
        <v>1965</v>
      </c>
      <c r="X524" s="91">
        <v>45946.0</v>
      </c>
      <c r="Y524" s="5">
        <v>1.0</v>
      </c>
      <c r="Z524" s="5">
        <v>4.0</v>
      </c>
      <c r="AA524" s="5">
        <v>117.0</v>
      </c>
      <c r="AB524" s="5"/>
      <c r="AC524" s="5"/>
      <c r="AD524" s="5" t="s">
        <v>1770</v>
      </c>
      <c r="AE524" s="5" t="s">
        <v>1770</v>
      </c>
      <c r="AF524" s="5"/>
      <c r="AG524" s="5"/>
      <c r="AH524" s="5">
        <v>2.180326536E9</v>
      </c>
      <c r="AI524" s="5">
        <v>23.0</v>
      </c>
      <c r="AJ524" s="5"/>
      <c r="AK524" s="5" t="s">
        <v>1773</v>
      </c>
      <c r="AL524" s="92">
        <v>0.0</v>
      </c>
      <c r="AM524" s="5" t="s">
        <v>1770</v>
      </c>
      <c r="AN524" s="5" t="s">
        <v>1774</v>
      </c>
      <c r="AO524" s="5"/>
      <c r="AP524" s="5"/>
      <c r="AQ524" s="5"/>
      <c r="AR524" s="5"/>
      <c r="AS524" s="5"/>
      <c r="AT524" s="5"/>
      <c r="AU524" s="5"/>
      <c r="AV524" s="5"/>
      <c r="AW524" s="5" t="s">
        <v>1770</v>
      </c>
      <c r="AX524" s="5"/>
      <c r="AY524" s="5"/>
      <c r="AZ524" s="5" t="s">
        <v>1770</v>
      </c>
      <c r="BA524" s="93">
        <v>0.0</v>
      </c>
      <c r="BB524" s="93">
        <v>0.0</v>
      </c>
      <c r="BC524" s="93">
        <v>0.0</v>
      </c>
      <c r="BD524" s="93">
        <v>0.0</v>
      </c>
      <c r="BE524" s="93">
        <v>0.0</v>
      </c>
      <c r="BF524" s="93">
        <v>0.0</v>
      </c>
      <c r="BG524" s="5"/>
      <c r="BH524" s="93">
        <v>0.0</v>
      </c>
      <c r="BI524" s="93">
        <v>0.0</v>
      </c>
      <c r="BJ524" s="93">
        <v>0.0</v>
      </c>
      <c r="BK524" s="93">
        <v>0.0</v>
      </c>
      <c r="BL524" s="93">
        <v>0.0</v>
      </c>
      <c r="BM524" s="93">
        <v>0.0</v>
      </c>
      <c r="BN524" s="93">
        <v>0.0</v>
      </c>
      <c r="BO524" s="5"/>
      <c r="BP524" s="5"/>
      <c r="BQ524" s="5" t="s">
        <v>1775</v>
      </c>
      <c r="BR524" s="94">
        <v>45882.680810185186</v>
      </c>
      <c r="BS524" s="5">
        <v>40.0</v>
      </c>
      <c r="BT524" s="94">
        <v>45968.43719907408</v>
      </c>
      <c r="BU524" s="5" t="s">
        <v>1770</v>
      </c>
      <c r="BV524" s="5" t="s">
        <v>1770</v>
      </c>
      <c r="BW524" s="5" t="s">
        <v>1770</v>
      </c>
    </row>
    <row r="525" ht="14.25" customHeight="1">
      <c r="A525" s="5">
        <v>524.0</v>
      </c>
      <c r="B525" s="5">
        <v>788.0</v>
      </c>
      <c r="C525" s="5" t="s">
        <v>3017</v>
      </c>
      <c r="D525" s="5" t="s">
        <v>2005</v>
      </c>
      <c r="E525" s="5" t="s">
        <v>2788</v>
      </c>
      <c r="F525" s="5" t="s">
        <v>5571</v>
      </c>
      <c r="G525" s="5" t="s">
        <v>5572</v>
      </c>
      <c r="H525" s="5" t="s">
        <v>1972</v>
      </c>
      <c r="I525" s="5" t="s">
        <v>1782</v>
      </c>
      <c r="J525" s="91">
        <v>36598.0</v>
      </c>
      <c r="K525" s="5">
        <v>594.0</v>
      </c>
      <c r="L525" s="5" t="s">
        <v>2691</v>
      </c>
      <c r="M525" s="5">
        <v>3.0</v>
      </c>
      <c r="N525" s="5"/>
      <c r="O525" s="5">
        <v>43882.0</v>
      </c>
      <c r="P525" s="5" t="s">
        <v>3139</v>
      </c>
      <c r="Q525" s="5" t="s">
        <v>5573</v>
      </c>
      <c r="R525" s="5">
        <v>549.0</v>
      </c>
      <c r="S525" s="5">
        <v>3.931082245E9</v>
      </c>
      <c r="T525" s="5" t="s">
        <v>5574</v>
      </c>
      <c r="U525" s="5" t="s">
        <v>5575</v>
      </c>
      <c r="V525" s="5">
        <v>3.931249265E9</v>
      </c>
      <c r="W525" s="5" t="s">
        <v>1965</v>
      </c>
      <c r="X525" s="91">
        <v>45887.0</v>
      </c>
      <c r="Y525" s="5">
        <v>1.0</v>
      </c>
      <c r="Z525" s="5">
        <v>4.0</v>
      </c>
      <c r="AA525" s="5">
        <v>115.0</v>
      </c>
      <c r="AB525" s="5" t="s">
        <v>5576</v>
      </c>
      <c r="AC525" s="5" t="s">
        <v>1800</v>
      </c>
      <c r="AD525" s="91">
        <v>44929.0</v>
      </c>
      <c r="AE525" s="91">
        <v>46390.0</v>
      </c>
      <c r="AF525" s="5"/>
      <c r="AG525" s="5"/>
      <c r="AH525" s="5">
        <v>1.4130047682E10</v>
      </c>
      <c r="AI525" s="5">
        <v>23.0</v>
      </c>
      <c r="AJ525" s="5"/>
      <c r="AK525" s="5" t="s">
        <v>1773</v>
      </c>
      <c r="AL525" s="92">
        <v>0.0</v>
      </c>
      <c r="AM525" s="5" t="s">
        <v>1770</v>
      </c>
      <c r="AN525" s="5" t="s">
        <v>1830</v>
      </c>
      <c r="AO525" s="5"/>
      <c r="AP525" s="5"/>
      <c r="AQ525" s="5"/>
      <c r="AR525" s="5"/>
      <c r="AS525" s="5"/>
      <c r="AT525" s="5"/>
      <c r="AU525" s="5"/>
      <c r="AV525" s="5"/>
      <c r="AW525" s="5" t="s">
        <v>1770</v>
      </c>
      <c r="AX525" s="5"/>
      <c r="AY525" s="5"/>
      <c r="AZ525" s="5" t="s">
        <v>1770</v>
      </c>
      <c r="BA525" s="93">
        <v>0.0</v>
      </c>
      <c r="BB525" s="93">
        <v>0.0</v>
      </c>
      <c r="BC525" s="93">
        <v>0.0</v>
      </c>
      <c r="BD525" s="93">
        <v>0.0</v>
      </c>
      <c r="BE525" s="93">
        <v>0.0</v>
      </c>
      <c r="BF525" s="93">
        <v>0.0</v>
      </c>
      <c r="BG525" s="5"/>
      <c r="BH525" s="93">
        <v>0.0</v>
      </c>
      <c r="BI525" s="93">
        <v>0.0</v>
      </c>
      <c r="BJ525" s="93">
        <v>0.0</v>
      </c>
      <c r="BK525" s="93">
        <v>0.0</v>
      </c>
      <c r="BL525" s="93">
        <v>0.0</v>
      </c>
      <c r="BM525" s="93">
        <v>0.0</v>
      </c>
      <c r="BN525" s="93">
        <v>0.0</v>
      </c>
      <c r="BO525" s="5"/>
      <c r="BP525" s="5" t="s">
        <v>1770</v>
      </c>
      <c r="BQ525" s="5" t="s">
        <v>1789</v>
      </c>
      <c r="BR525" s="94">
        <v>45892.41983796296</v>
      </c>
      <c r="BS525" s="5">
        <v>40.0</v>
      </c>
      <c r="BT525" s="5" t="s">
        <v>1770</v>
      </c>
      <c r="BU525" s="5" t="s">
        <v>1770</v>
      </c>
      <c r="BV525" s="94">
        <v>46132.52982638889</v>
      </c>
      <c r="BW525" s="5">
        <v>40.0</v>
      </c>
    </row>
    <row r="526" ht="14.25" customHeight="1">
      <c r="A526" s="5">
        <v>525.0</v>
      </c>
      <c r="B526" s="5">
        <v>1010.0</v>
      </c>
      <c r="C526" s="5" t="s">
        <v>4491</v>
      </c>
      <c r="D526" s="5" t="s">
        <v>1778</v>
      </c>
      <c r="E526" s="5" t="s">
        <v>3266</v>
      </c>
      <c r="F526" s="5" t="s">
        <v>5577</v>
      </c>
      <c r="G526" s="5" t="s">
        <v>5578</v>
      </c>
      <c r="H526" s="5" t="s">
        <v>1972</v>
      </c>
      <c r="I526" s="5" t="s">
        <v>1763</v>
      </c>
      <c r="J526" s="91">
        <v>30129.0</v>
      </c>
      <c r="K526" s="5">
        <v>850.0</v>
      </c>
      <c r="L526" s="5">
        <v>1.0</v>
      </c>
      <c r="M526" s="5">
        <v>1.0</v>
      </c>
      <c r="N526" s="5"/>
      <c r="O526" s="5">
        <v>55102.0</v>
      </c>
      <c r="P526" s="5" t="s">
        <v>1797</v>
      </c>
      <c r="Q526" s="5" t="s">
        <v>234</v>
      </c>
      <c r="R526" s="5">
        <v>850.0</v>
      </c>
      <c r="S526" s="5">
        <v>3.921006351E9</v>
      </c>
      <c r="T526" s="5"/>
      <c r="U526" s="5">
        <v>1.0</v>
      </c>
      <c r="V526" s="5">
        <v>1.234567891E9</v>
      </c>
      <c r="W526" s="5" t="s">
        <v>3111</v>
      </c>
      <c r="X526" s="91">
        <v>45839.0</v>
      </c>
      <c r="Y526" s="5">
        <v>1.0</v>
      </c>
      <c r="Z526" s="5">
        <v>2.0</v>
      </c>
      <c r="AA526" s="5">
        <v>82.0</v>
      </c>
      <c r="AB526" s="5"/>
      <c r="AC526" s="5"/>
      <c r="AD526" s="5" t="s">
        <v>1770</v>
      </c>
      <c r="AE526" s="5" t="s">
        <v>1770</v>
      </c>
      <c r="AF526" s="5"/>
      <c r="AG526" s="5"/>
      <c r="AH526" s="5">
        <v>1.2365478945E10</v>
      </c>
      <c r="AI526" s="5"/>
      <c r="AJ526" s="5"/>
      <c r="AK526" s="5" t="s">
        <v>1773</v>
      </c>
      <c r="AL526" s="92">
        <v>0.0</v>
      </c>
      <c r="AM526" s="5" t="s">
        <v>1770</v>
      </c>
      <c r="AN526" s="5" t="s">
        <v>1774</v>
      </c>
      <c r="AO526" s="5"/>
      <c r="AP526" s="5"/>
      <c r="AQ526" s="5"/>
      <c r="AR526" s="5"/>
      <c r="AS526" s="5"/>
      <c r="AT526" s="5"/>
      <c r="AU526" s="5"/>
      <c r="AV526" s="5"/>
      <c r="AW526" s="5" t="s">
        <v>1770</v>
      </c>
      <c r="AX526" s="5"/>
      <c r="AY526" s="5"/>
      <c r="AZ526" s="5" t="s">
        <v>1770</v>
      </c>
      <c r="BA526" s="93">
        <v>0.0</v>
      </c>
      <c r="BB526" s="93">
        <v>0.0</v>
      </c>
      <c r="BC526" s="93">
        <v>0.0</v>
      </c>
      <c r="BD526" s="93">
        <v>0.0</v>
      </c>
      <c r="BE526" s="93">
        <v>0.0</v>
      </c>
      <c r="BF526" s="93">
        <v>0.0</v>
      </c>
      <c r="BG526" s="5"/>
      <c r="BH526" s="93">
        <v>0.0</v>
      </c>
      <c r="BI526" s="93">
        <v>0.0</v>
      </c>
      <c r="BJ526" s="93">
        <v>0.0</v>
      </c>
      <c r="BK526" s="93">
        <v>0.0</v>
      </c>
      <c r="BL526" s="93">
        <v>0.0</v>
      </c>
      <c r="BM526" s="93">
        <v>0.0</v>
      </c>
      <c r="BN526" s="93">
        <v>0.0</v>
      </c>
      <c r="BO526" s="5"/>
      <c r="BP526" s="5" t="s">
        <v>1770</v>
      </c>
      <c r="BQ526" s="5" t="s">
        <v>1789</v>
      </c>
      <c r="BR526" s="94">
        <v>45909.553761574076</v>
      </c>
      <c r="BS526" s="5">
        <v>40.0</v>
      </c>
      <c r="BT526" s="94">
        <v>45909.55701388889</v>
      </c>
      <c r="BU526" s="5">
        <v>40.0</v>
      </c>
      <c r="BV526" s="94">
        <v>46188.73274305555</v>
      </c>
      <c r="BW526" s="5">
        <v>40.0</v>
      </c>
    </row>
    <row r="527" ht="14.25" customHeight="1">
      <c r="A527" s="5">
        <v>526.0</v>
      </c>
      <c r="B527" s="5">
        <v>789.0</v>
      </c>
      <c r="C527" s="5" t="s">
        <v>5579</v>
      </c>
      <c r="D527" s="5" t="s">
        <v>5580</v>
      </c>
      <c r="E527" s="5" t="s">
        <v>5581</v>
      </c>
      <c r="F527" s="5" t="s">
        <v>5582</v>
      </c>
      <c r="G527" s="5" t="s">
        <v>5583</v>
      </c>
      <c r="H527" s="5" t="s">
        <v>1972</v>
      </c>
      <c r="I527" s="5" t="s">
        <v>1782</v>
      </c>
      <c r="J527" s="91">
        <v>34298.0</v>
      </c>
      <c r="K527" s="5">
        <v>570.0</v>
      </c>
      <c r="L527" s="5" t="s">
        <v>2248</v>
      </c>
      <c r="M527" s="5">
        <v>820.0</v>
      </c>
      <c r="N527" s="5" t="s">
        <v>2340</v>
      </c>
      <c r="O527" s="5">
        <v>41102.0</v>
      </c>
      <c r="P527" s="5" t="s">
        <v>5584</v>
      </c>
      <c r="Q527" s="5" t="s">
        <v>3868</v>
      </c>
      <c r="R527" s="5">
        <v>624.0</v>
      </c>
      <c r="S527" s="5">
        <v>3.310510684E9</v>
      </c>
      <c r="T527" s="5" t="s">
        <v>5585</v>
      </c>
      <c r="U527" s="5" t="s">
        <v>5586</v>
      </c>
      <c r="V527" s="5">
        <v>3.321085621E9</v>
      </c>
      <c r="W527" s="5" t="s">
        <v>1808</v>
      </c>
      <c r="X527" s="91">
        <v>45901.0</v>
      </c>
      <c r="Y527" s="5">
        <v>6.0</v>
      </c>
      <c r="Z527" s="5">
        <v>19.0</v>
      </c>
      <c r="AA527" s="5">
        <v>81.0</v>
      </c>
      <c r="AB527" s="5" t="s">
        <v>5587</v>
      </c>
      <c r="AC527" s="5" t="s">
        <v>1800</v>
      </c>
      <c r="AD527" s="91">
        <v>44769.0</v>
      </c>
      <c r="AE527" s="91">
        <v>46230.0</v>
      </c>
      <c r="AF527" s="5"/>
      <c r="AG527" s="5"/>
      <c r="AH527" s="5">
        <v>5.139378524E9</v>
      </c>
      <c r="AI527" s="5">
        <v>23.0</v>
      </c>
      <c r="AJ527" s="5"/>
      <c r="AK527" s="5" t="s">
        <v>1773</v>
      </c>
      <c r="AL527" s="92">
        <v>0.0</v>
      </c>
      <c r="AM527" s="5" t="s">
        <v>1770</v>
      </c>
      <c r="AN527" s="5" t="s">
        <v>1830</v>
      </c>
      <c r="AO527" s="5"/>
      <c r="AP527" s="5"/>
      <c r="AQ527" s="5"/>
      <c r="AR527" s="5"/>
      <c r="AS527" s="5"/>
      <c r="AT527" s="5"/>
      <c r="AU527" s="5"/>
      <c r="AV527" s="5"/>
      <c r="AW527" s="5" t="s">
        <v>1770</v>
      </c>
      <c r="AX527" s="5"/>
      <c r="AY527" s="5"/>
      <c r="AZ527" s="5" t="s">
        <v>1770</v>
      </c>
      <c r="BA527" s="93">
        <v>0.0</v>
      </c>
      <c r="BB527" s="93">
        <v>0.0</v>
      </c>
      <c r="BC527" s="93">
        <v>0.0</v>
      </c>
      <c r="BD527" s="93">
        <v>0.0</v>
      </c>
      <c r="BE527" s="93">
        <v>0.0</v>
      </c>
      <c r="BF527" s="93">
        <v>0.0</v>
      </c>
      <c r="BG527" s="5"/>
      <c r="BH527" s="93">
        <v>0.0</v>
      </c>
      <c r="BI527" s="93">
        <v>0.0</v>
      </c>
      <c r="BJ527" s="93">
        <v>0.0</v>
      </c>
      <c r="BK527" s="93">
        <v>0.0</v>
      </c>
      <c r="BL527" s="93">
        <v>0.0</v>
      </c>
      <c r="BM527" s="93">
        <v>0.0</v>
      </c>
      <c r="BN527" s="93">
        <v>0.0</v>
      </c>
      <c r="BO527" s="5"/>
      <c r="BP527" s="5" t="s">
        <v>1770</v>
      </c>
      <c r="BQ527" s="5" t="s">
        <v>1789</v>
      </c>
      <c r="BR527" s="94">
        <v>45910.51131944444</v>
      </c>
      <c r="BS527" s="5">
        <v>40.0</v>
      </c>
      <c r="BT527" s="5" t="s">
        <v>1770</v>
      </c>
      <c r="BU527" s="5" t="s">
        <v>1770</v>
      </c>
      <c r="BV527" s="94">
        <v>46204.72340277778</v>
      </c>
      <c r="BW527" s="5">
        <v>40.0</v>
      </c>
    </row>
    <row r="528" ht="14.25" customHeight="1">
      <c r="A528" s="5">
        <v>527.0</v>
      </c>
      <c r="B528" s="5">
        <v>790.0</v>
      </c>
      <c r="C528" s="5" t="s">
        <v>2715</v>
      </c>
      <c r="D528" s="5" t="s">
        <v>2001</v>
      </c>
      <c r="E528" s="5" t="s">
        <v>2534</v>
      </c>
      <c r="F528" s="5" t="s">
        <v>5588</v>
      </c>
      <c r="G528" s="5" t="s">
        <v>5589</v>
      </c>
      <c r="H528" s="5" t="s">
        <v>1781</v>
      </c>
      <c r="I528" s="5" t="s">
        <v>1782</v>
      </c>
      <c r="J528" s="91">
        <v>29633.0</v>
      </c>
      <c r="K528" s="5">
        <v>594.0</v>
      </c>
      <c r="L528" s="5" t="s">
        <v>5590</v>
      </c>
      <c r="M528" s="5">
        <v>5.0</v>
      </c>
      <c r="N528" s="5"/>
      <c r="O528" s="5">
        <v>41960.0</v>
      </c>
      <c r="P528" s="5" t="s">
        <v>3139</v>
      </c>
      <c r="Q528" s="5" t="s">
        <v>5591</v>
      </c>
      <c r="R528" s="5">
        <v>654.0</v>
      </c>
      <c r="S528" s="5">
        <v>3.318192711E9</v>
      </c>
      <c r="T528" s="5" t="s">
        <v>5592</v>
      </c>
      <c r="U528" s="5" t="s">
        <v>5593</v>
      </c>
      <c r="V528" s="5">
        <v>3.92122669E9</v>
      </c>
      <c r="W528" s="5" t="s">
        <v>1787</v>
      </c>
      <c r="X528" s="91">
        <v>45908.0</v>
      </c>
      <c r="Y528" s="5">
        <v>5.0</v>
      </c>
      <c r="Z528" s="5">
        <v>3.0</v>
      </c>
      <c r="AA528" s="5">
        <v>58.0</v>
      </c>
      <c r="AB528" s="5" t="s">
        <v>5594</v>
      </c>
      <c r="AC528" s="5" t="s">
        <v>1800</v>
      </c>
      <c r="AD528" s="91">
        <v>44440.0</v>
      </c>
      <c r="AE528" s="91">
        <v>45901.0</v>
      </c>
      <c r="AF528" s="5"/>
      <c r="AG528" s="5"/>
      <c r="AH528" s="5">
        <v>7.4978118508E10</v>
      </c>
      <c r="AI528" s="5">
        <v>95.0</v>
      </c>
      <c r="AJ528" s="5"/>
      <c r="AK528" s="5" t="s">
        <v>1773</v>
      </c>
      <c r="AL528" s="92">
        <v>0.0</v>
      </c>
      <c r="AM528" s="5" t="s">
        <v>1770</v>
      </c>
      <c r="AN528" s="5" t="s">
        <v>1830</v>
      </c>
      <c r="AO528" s="5"/>
      <c r="AP528" s="5"/>
      <c r="AQ528" s="5"/>
      <c r="AR528" s="5"/>
      <c r="AS528" s="5"/>
      <c r="AT528" s="5"/>
      <c r="AU528" s="5"/>
      <c r="AV528" s="5"/>
      <c r="AW528" s="5" t="s">
        <v>1770</v>
      </c>
      <c r="AX528" s="5"/>
      <c r="AY528" s="5"/>
      <c r="AZ528" s="5" t="s">
        <v>1770</v>
      </c>
      <c r="BA528" s="93">
        <v>0.0</v>
      </c>
      <c r="BB528" s="93">
        <v>0.0</v>
      </c>
      <c r="BC528" s="93">
        <v>0.0</v>
      </c>
      <c r="BD528" s="93">
        <v>0.0</v>
      </c>
      <c r="BE528" s="93">
        <v>0.0</v>
      </c>
      <c r="BF528" s="93">
        <v>0.0</v>
      </c>
      <c r="BG528" s="5"/>
      <c r="BH528" s="93">
        <v>0.0</v>
      </c>
      <c r="BI528" s="93">
        <v>0.0</v>
      </c>
      <c r="BJ528" s="93">
        <v>0.0</v>
      </c>
      <c r="BK528" s="93">
        <v>0.0</v>
      </c>
      <c r="BL528" s="93">
        <v>0.0</v>
      </c>
      <c r="BM528" s="93">
        <v>0.0</v>
      </c>
      <c r="BN528" s="93">
        <v>0.0</v>
      </c>
      <c r="BO528" s="5"/>
      <c r="BP528" s="5" t="s">
        <v>1770</v>
      </c>
      <c r="BQ528" s="5" t="s">
        <v>1789</v>
      </c>
      <c r="BR528" s="94">
        <v>45910.52967592593</v>
      </c>
      <c r="BS528" s="5">
        <v>40.0</v>
      </c>
      <c r="BT528" s="5" t="s">
        <v>1770</v>
      </c>
      <c r="BU528" s="5" t="s">
        <v>1770</v>
      </c>
      <c r="BV528" s="94">
        <v>46122.423159722224</v>
      </c>
      <c r="BW528" s="5">
        <v>40.0</v>
      </c>
    </row>
    <row r="529" ht="14.25" customHeight="1">
      <c r="A529" s="5">
        <v>528.0</v>
      </c>
      <c r="B529" s="5">
        <v>791.0</v>
      </c>
      <c r="C529" s="5" t="s">
        <v>5595</v>
      </c>
      <c r="D529" s="5" t="s">
        <v>2789</v>
      </c>
      <c r="E529" s="5" t="s">
        <v>2097</v>
      </c>
      <c r="F529" s="5" t="s">
        <v>5596</v>
      </c>
      <c r="G529" s="5" t="s">
        <v>5597</v>
      </c>
      <c r="H529" s="5" t="s">
        <v>1781</v>
      </c>
      <c r="I529" s="5" t="s">
        <v>1782</v>
      </c>
      <c r="J529" s="91">
        <v>35438.0</v>
      </c>
      <c r="K529" s="5">
        <v>850.0</v>
      </c>
      <c r="L529" s="5" t="s">
        <v>5598</v>
      </c>
      <c r="M529" s="5">
        <v>238.0</v>
      </c>
      <c r="N529" s="5"/>
      <c r="O529" s="5">
        <v>55191.0</v>
      </c>
      <c r="P529" s="100" t="s">
        <v>5599</v>
      </c>
      <c r="Q529" s="5" t="s">
        <v>234</v>
      </c>
      <c r="R529" s="5">
        <v>850.0</v>
      </c>
      <c r="S529" s="5">
        <v>3.521253641E9</v>
      </c>
      <c r="T529" s="5" t="s">
        <v>5600</v>
      </c>
      <c r="U529" s="5" t="s">
        <v>5601</v>
      </c>
      <c r="V529" s="5">
        <v>3.521008208E9</v>
      </c>
      <c r="W529" s="5" t="s">
        <v>1787</v>
      </c>
      <c r="X529" s="91">
        <v>45931.0</v>
      </c>
      <c r="Y529" s="5">
        <v>3.0</v>
      </c>
      <c r="Z529" s="5">
        <v>3.0</v>
      </c>
      <c r="AA529" s="5">
        <v>4.0</v>
      </c>
      <c r="AB529" s="5">
        <v>1.7607823E7</v>
      </c>
      <c r="AC529" s="5" t="s">
        <v>1772</v>
      </c>
      <c r="AD529" s="91">
        <v>44543.0</v>
      </c>
      <c r="AE529" s="91">
        <v>48195.0</v>
      </c>
      <c r="AF529" s="5"/>
      <c r="AG529" s="5"/>
      <c r="AH529" s="5">
        <v>5.199792457E9</v>
      </c>
      <c r="AI529" s="5">
        <v>77.0</v>
      </c>
      <c r="AJ529" s="5"/>
      <c r="AK529" s="5" t="s">
        <v>1773</v>
      </c>
      <c r="AL529" s="92">
        <v>0.0</v>
      </c>
      <c r="AM529" s="5" t="s">
        <v>1770</v>
      </c>
      <c r="AN529" s="5" t="s">
        <v>1830</v>
      </c>
      <c r="AO529" s="5"/>
      <c r="AP529" s="5"/>
      <c r="AQ529" s="5"/>
      <c r="AR529" s="5"/>
      <c r="AS529" s="5"/>
      <c r="AT529" s="5"/>
      <c r="AU529" s="5"/>
      <c r="AV529" s="5"/>
      <c r="AW529" s="5" t="s">
        <v>1770</v>
      </c>
      <c r="AX529" s="5"/>
      <c r="AY529" s="5"/>
      <c r="AZ529" s="5" t="s">
        <v>1770</v>
      </c>
      <c r="BA529" s="93">
        <v>0.0</v>
      </c>
      <c r="BB529" s="93">
        <v>0.0</v>
      </c>
      <c r="BC529" s="93">
        <v>0.0</v>
      </c>
      <c r="BD529" s="93">
        <v>0.0</v>
      </c>
      <c r="BE529" s="93">
        <v>0.0</v>
      </c>
      <c r="BF529" s="93">
        <v>0.0</v>
      </c>
      <c r="BG529" s="5"/>
      <c r="BH529" s="93">
        <v>0.0</v>
      </c>
      <c r="BI529" s="93">
        <v>0.0</v>
      </c>
      <c r="BJ529" s="93">
        <v>0.0</v>
      </c>
      <c r="BK529" s="93">
        <v>0.0</v>
      </c>
      <c r="BL529" s="93">
        <v>0.0</v>
      </c>
      <c r="BM529" s="93">
        <v>0.0</v>
      </c>
      <c r="BN529" s="93">
        <v>0.0</v>
      </c>
      <c r="BO529" s="5"/>
      <c r="BP529" s="5" t="s">
        <v>1770</v>
      </c>
      <c r="BQ529" s="5" t="s">
        <v>1789</v>
      </c>
      <c r="BR529" s="94">
        <v>45950.72188657407</v>
      </c>
      <c r="BS529" s="5">
        <v>40.0</v>
      </c>
      <c r="BT529" s="5" t="s">
        <v>1770</v>
      </c>
      <c r="BU529" s="5" t="s">
        <v>1770</v>
      </c>
      <c r="BV529" s="94">
        <v>45950.722025462965</v>
      </c>
      <c r="BW529" s="5">
        <v>40.0</v>
      </c>
    </row>
    <row r="530" ht="14.25" customHeight="1">
      <c r="A530" s="5">
        <v>529.0</v>
      </c>
      <c r="B530" s="5">
        <v>792.0</v>
      </c>
      <c r="C530" s="5" t="s">
        <v>5602</v>
      </c>
      <c r="D530" s="5" t="s">
        <v>2573</v>
      </c>
      <c r="E530" s="5" t="s">
        <v>5603</v>
      </c>
      <c r="F530" s="5" t="s">
        <v>5604</v>
      </c>
      <c r="G530" s="5" t="s">
        <v>5605</v>
      </c>
      <c r="H530" s="5" t="s">
        <v>1972</v>
      </c>
      <c r="I530" s="5" t="s">
        <v>1782</v>
      </c>
      <c r="J530" s="91">
        <v>34353.0</v>
      </c>
      <c r="K530" s="5">
        <v>834.0</v>
      </c>
      <c r="L530" s="5" t="s">
        <v>5606</v>
      </c>
      <c r="M530" s="5">
        <v>242.0</v>
      </c>
      <c r="N530" s="5"/>
      <c r="O530" s="5">
        <v>53918.0</v>
      </c>
      <c r="P530" s="5" t="s">
        <v>5607</v>
      </c>
      <c r="Q530" s="5" t="s">
        <v>2041</v>
      </c>
      <c r="R530" s="5">
        <v>834.0</v>
      </c>
      <c r="S530" s="5">
        <v>4.437311557E9</v>
      </c>
      <c r="T530" s="5" t="s">
        <v>5608</v>
      </c>
      <c r="U530" s="5" t="s">
        <v>5609</v>
      </c>
      <c r="V530" s="5">
        <v>4.434778019E9</v>
      </c>
      <c r="W530" s="5" t="s">
        <v>1808</v>
      </c>
      <c r="X530" s="91">
        <v>45943.0</v>
      </c>
      <c r="Y530" s="5">
        <v>4.0</v>
      </c>
      <c r="Z530" s="5">
        <v>3.0</v>
      </c>
      <c r="AA530" s="5">
        <v>4.0</v>
      </c>
      <c r="AB530" s="5"/>
      <c r="AC530" s="5"/>
      <c r="AD530" s="5" t="s">
        <v>1770</v>
      </c>
      <c r="AE530" s="5" t="s">
        <v>1770</v>
      </c>
      <c r="AF530" s="5"/>
      <c r="AG530" s="5"/>
      <c r="AH530" s="5">
        <v>5.3139414493E10</v>
      </c>
      <c r="AI530" s="5">
        <v>80.0</v>
      </c>
      <c r="AJ530" s="5"/>
      <c r="AK530" s="5" t="s">
        <v>1773</v>
      </c>
      <c r="AL530" s="92">
        <v>0.0</v>
      </c>
      <c r="AM530" s="5" t="s">
        <v>1770</v>
      </c>
      <c r="AN530" s="5" t="s">
        <v>4382</v>
      </c>
      <c r="AO530" s="5"/>
      <c r="AP530" s="5"/>
      <c r="AQ530" s="5"/>
      <c r="AR530" s="5"/>
      <c r="AS530" s="5"/>
      <c r="AT530" s="5"/>
      <c r="AU530" s="5"/>
      <c r="AV530" s="5"/>
      <c r="AW530" s="5" t="s">
        <v>1770</v>
      </c>
      <c r="AX530" s="5"/>
      <c r="AY530" s="5"/>
      <c r="AZ530" s="5" t="s">
        <v>1770</v>
      </c>
      <c r="BA530" s="93">
        <v>0.0</v>
      </c>
      <c r="BB530" s="93">
        <v>0.0</v>
      </c>
      <c r="BC530" s="93">
        <v>0.0</v>
      </c>
      <c r="BD530" s="93">
        <v>0.0</v>
      </c>
      <c r="BE530" s="93">
        <v>0.0</v>
      </c>
      <c r="BF530" s="93">
        <v>0.0</v>
      </c>
      <c r="BG530" s="5"/>
      <c r="BH530" s="93">
        <v>0.0</v>
      </c>
      <c r="BI530" s="93">
        <v>0.0</v>
      </c>
      <c r="BJ530" s="93">
        <v>0.0</v>
      </c>
      <c r="BK530" s="93">
        <v>0.0</v>
      </c>
      <c r="BL530" s="93">
        <v>0.0</v>
      </c>
      <c r="BM530" s="93">
        <v>0.0</v>
      </c>
      <c r="BN530" s="93">
        <v>0.0</v>
      </c>
      <c r="BO530" s="5"/>
      <c r="BP530" s="5" t="s">
        <v>1770</v>
      </c>
      <c r="BQ530" s="5" t="s">
        <v>1775</v>
      </c>
      <c r="BR530" s="94">
        <v>45950.72993055556</v>
      </c>
      <c r="BS530" s="5">
        <v>40.0</v>
      </c>
      <c r="BT530" s="5" t="s">
        <v>1770</v>
      </c>
      <c r="BU530" s="5" t="s">
        <v>1770</v>
      </c>
      <c r="BV530" s="5" t="s">
        <v>1770</v>
      </c>
      <c r="BW530" s="5" t="s">
        <v>1770</v>
      </c>
    </row>
    <row r="531" ht="14.25" customHeight="1">
      <c r="A531" s="5">
        <v>530.0</v>
      </c>
      <c r="B531" s="5">
        <v>795.0</v>
      </c>
      <c r="C531" s="5" t="s">
        <v>5610</v>
      </c>
      <c r="D531" s="5" t="s">
        <v>2765</v>
      </c>
      <c r="E531" s="5" t="s">
        <v>1919</v>
      </c>
      <c r="F531" s="5" t="s">
        <v>5611</v>
      </c>
      <c r="G531" s="5" t="s">
        <v>5612</v>
      </c>
      <c r="H531" s="5" t="s">
        <v>1815</v>
      </c>
      <c r="I531" s="5" t="s">
        <v>1763</v>
      </c>
      <c r="J531" s="91">
        <v>34604.0</v>
      </c>
      <c r="K531" s="5">
        <v>1726.0</v>
      </c>
      <c r="L531" s="5" t="s">
        <v>5613</v>
      </c>
      <c r="M531" s="5">
        <v>23.0</v>
      </c>
      <c r="N531" s="5"/>
      <c r="O531" s="5">
        <v>72513.0</v>
      </c>
      <c r="P531" s="5" t="s">
        <v>3139</v>
      </c>
      <c r="Q531" s="5" t="s">
        <v>5614</v>
      </c>
      <c r="R531" s="5">
        <v>1797.0</v>
      </c>
      <c r="S531" s="5">
        <v>4.48182652E9</v>
      </c>
      <c r="T531" s="5" t="s">
        <v>5615</v>
      </c>
      <c r="U531" s="5" t="s">
        <v>5616</v>
      </c>
      <c r="V531" s="5">
        <v>6.241801764E9</v>
      </c>
      <c r="W531" s="5" t="s">
        <v>1819</v>
      </c>
      <c r="X531" s="91">
        <v>45946.0</v>
      </c>
      <c r="Y531" s="5">
        <v>4.0</v>
      </c>
      <c r="Z531" s="5">
        <v>1.0</v>
      </c>
      <c r="AA531" s="5">
        <v>79.0</v>
      </c>
      <c r="AB531" s="5" t="s">
        <v>5617</v>
      </c>
      <c r="AC531" s="5" t="s">
        <v>1800</v>
      </c>
      <c r="AD531" s="91">
        <v>45709.0</v>
      </c>
      <c r="AE531" s="91">
        <v>46804.0</v>
      </c>
      <c r="AF531" s="5"/>
      <c r="AG531" s="5"/>
      <c r="AH531" s="5">
        <v>5.159442663E9</v>
      </c>
      <c r="AI531" s="5">
        <v>80.0</v>
      </c>
      <c r="AJ531" s="5"/>
      <c r="AK531" s="5" t="s">
        <v>1773</v>
      </c>
      <c r="AL531" s="92">
        <v>0.0</v>
      </c>
      <c r="AM531" s="5" t="s">
        <v>1770</v>
      </c>
      <c r="AN531" s="5" t="s">
        <v>1830</v>
      </c>
      <c r="AO531" s="5"/>
      <c r="AP531" s="5"/>
      <c r="AQ531" s="5"/>
      <c r="AR531" s="5"/>
      <c r="AS531" s="5"/>
      <c r="AT531" s="5"/>
      <c r="AU531" s="5"/>
      <c r="AV531" s="5"/>
      <c r="AW531" s="5" t="s">
        <v>1770</v>
      </c>
      <c r="AX531" s="5"/>
      <c r="AY531" s="5"/>
      <c r="AZ531" s="5" t="s">
        <v>1770</v>
      </c>
      <c r="BA531" s="93">
        <v>0.0</v>
      </c>
      <c r="BB531" s="93">
        <v>0.0</v>
      </c>
      <c r="BC531" s="93">
        <v>0.0</v>
      </c>
      <c r="BD531" s="93">
        <v>0.0</v>
      </c>
      <c r="BE531" s="93">
        <v>0.0</v>
      </c>
      <c r="BF531" s="93">
        <v>0.0</v>
      </c>
      <c r="BG531" s="5"/>
      <c r="BH531" s="93">
        <v>0.0</v>
      </c>
      <c r="BI531" s="93">
        <v>0.0</v>
      </c>
      <c r="BJ531" s="93">
        <v>0.0</v>
      </c>
      <c r="BK531" s="93">
        <v>0.0</v>
      </c>
      <c r="BL531" s="93">
        <v>0.0</v>
      </c>
      <c r="BM531" s="93">
        <v>0.0</v>
      </c>
      <c r="BN531" s="93">
        <v>0.0</v>
      </c>
      <c r="BO531" s="5"/>
      <c r="BP531" s="5" t="s">
        <v>1770</v>
      </c>
      <c r="BQ531" s="5" t="s">
        <v>1789</v>
      </c>
      <c r="BR531" s="94">
        <v>45950.75130787037</v>
      </c>
      <c r="BS531" s="5">
        <v>40.0</v>
      </c>
      <c r="BT531" s="5" t="s">
        <v>1770</v>
      </c>
      <c r="BU531" s="5" t="s">
        <v>1770</v>
      </c>
      <c r="BV531" s="94">
        <v>46122.42329861111</v>
      </c>
      <c r="BW531" s="5">
        <v>40.0</v>
      </c>
    </row>
    <row r="532" ht="14.25" customHeight="1">
      <c r="A532" s="5">
        <v>531.0</v>
      </c>
      <c r="B532" s="5">
        <v>794.0</v>
      </c>
      <c r="C532" s="5" t="s">
        <v>4491</v>
      </c>
      <c r="D532" s="5" t="s">
        <v>1778</v>
      </c>
      <c r="E532" s="5" t="s">
        <v>3266</v>
      </c>
      <c r="F532" s="5" t="s">
        <v>5618</v>
      </c>
      <c r="G532" s="5" t="s">
        <v>5619</v>
      </c>
      <c r="H532" s="5" t="s">
        <v>1815</v>
      </c>
      <c r="I532" s="5" t="s">
        <v>1763</v>
      </c>
      <c r="J532" s="91">
        <v>30129.0</v>
      </c>
      <c r="K532" s="5">
        <v>850.0</v>
      </c>
      <c r="L532" s="5" t="s">
        <v>5620</v>
      </c>
      <c r="M532" s="5">
        <v>18.0</v>
      </c>
      <c r="N532" s="5"/>
      <c r="O532" s="5">
        <v>55177.0</v>
      </c>
      <c r="P532" s="5" t="s">
        <v>5621</v>
      </c>
      <c r="Q532" s="5" t="s">
        <v>234</v>
      </c>
      <c r="R532" s="5">
        <v>850.0</v>
      </c>
      <c r="S532" s="5">
        <v>3.525238093E9</v>
      </c>
      <c r="T532" s="5" t="s">
        <v>5622</v>
      </c>
      <c r="U532" s="5" t="s">
        <v>5623</v>
      </c>
      <c r="V532" s="5">
        <v>3.525922214E9</v>
      </c>
      <c r="W532" s="100" t="s">
        <v>5624</v>
      </c>
      <c r="X532" s="91">
        <v>45931.0</v>
      </c>
      <c r="Y532" s="5" t="s">
        <v>1770</v>
      </c>
      <c r="Z532" s="5">
        <v>2.0</v>
      </c>
      <c r="AA532" s="5">
        <v>78.0</v>
      </c>
      <c r="AB532" s="5"/>
      <c r="AC532" s="5"/>
      <c r="AD532" s="5" t="s">
        <v>1770</v>
      </c>
      <c r="AE532" s="5" t="s">
        <v>1770</v>
      </c>
      <c r="AF532" s="5"/>
      <c r="AG532" s="5"/>
      <c r="AH532" s="5">
        <v>5.3028216595E10</v>
      </c>
      <c r="AI532" s="5">
        <v>23.0</v>
      </c>
      <c r="AJ532" s="5"/>
      <c r="AK532" s="5" t="s">
        <v>1773</v>
      </c>
      <c r="AL532" s="92">
        <v>0.0</v>
      </c>
      <c r="AM532" s="5" t="s">
        <v>1770</v>
      </c>
      <c r="AN532" s="5" t="s">
        <v>1830</v>
      </c>
      <c r="AO532" s="5"/>
      <c r="AP532" s="5"/>
      <c r="AQ532" s="5"/>
      <c r="AR532" s="5"/>
      <c r="AS532" s="5"/>
      <c r="AT532" s="5"/>
      <c r="AU532" s="5"/>
      <c r="AV532" s="5"/>
      <c r="AW532" s="5" t="s">
        <v>1770</v>
      </c>
      <c r="AX532" s="5"/>
      <c r="AY532" s="5"/>
      <c r="AZ532" s="5" t="s">
        <v>1770</v>
      </c>
      <c r="BA532" s="93">
        <v>0.0</v>
      </c>
      <c r="BB532" s="93">
        <v>0.0</v>
      </c>
      <c r="BC532" s="93">
        <v>0.0</v>
      </c>
      <c r="BD532" s="93">
        <v>0.0</v>
      </c>
      <c r="BE532" s="93">
        <v>0.0</v>
      </c>
      <c r="BF532" s="93">
        <v>0.0</v>
      </c>
      <c r="BG532" s="5"/>
      <c r="BH532" s="93">
        <v>0.0</v>
      </c>
      <c r="BI532" s="93">
        <v>0.0</v>
      </c>
      <c r="BJ532" s="93">
        <v>0.0</v>
      </c>
      <c r="BK532" s="93">
        <v>0.0</v>
      </c>
      <c r="BL532" s="93">
        <v>0.0</v>
      </c>
      <c r="BM532" s="93">
        <v>0.0</v>
      </c>
      <c r="BN532" s="93">
        <v>0.0</v>
      </c>
      <c r="BO532" s="5"/>
      <c r="BP532" s="5" t="s">
        <v>1770</v>
      </c>
      <c r="BQ532" s="5" t="s">
        <v>1789</v>
      </c>
      <c r="BR532" s="94">
        <v>45953.69063657407</v>
      </c>
      <c r="BS532" s="5">
        <v>40.0</v>
      </c>
      <c r="BT532" s="5" t="s">
        <v>1770</v>
      </c>
      <c r="BU532" s="5" t="s">
        <v>1770</v>
      </c>
      <c r="BV532" s="94">
        <v>46188.73266203704</v>
      </c>
      <c r="BW532" s="5">
        <v>40.0</v>
      </c>
    </row>
    <row r="533" ht="14.25" customHeight="1">
      <c r="A533" s="5">
        <v>532.0</v>
      </c>
      <c r="B533" s="5">
        <v>796.0</v>
      </c>
      <c r="C533" s="5" t="s">
        <v>5625</v>
      </c>
      <c r="D533" s="5" t="s">
        <v>2132</v>
      </c>
      <c r="E533" s="5" t="s">
        <v>2414</v>
      </c>
      <c r="F533" s="5" t="s">
        <v>5626</v>
      </c>
      <c r="G533" s="5" t="s">
        <v>5627</v>
      </c>
      <c r="H533" s="5" t="s">
        <v>1762</v>
      </c>
      <c r="I533" s="5" t="s">
        <v>1763</v>
      </c>
      <c r="J533" s="91">
        <v>31955.0</v>
      </c>
      <c r="K533" s="5">
        <v>594.0</v>
      </c>
      <c r="L533" s="5" t="s">
        <v>3008</v>
      </c>
      <c r="M533" s="5">
        <v>282.0</v>
      </c>
      <c r="N533" s="5"/>
      <c r="O533" s="5">
        <v>43882.0</v>
      </c>
      <c r="P533" s="5" t="s">
        <v>1797</v>
      </c>
      <c r="Q533" s="5" t="s">
        <v>1766</v>
      </c>
      <c r="R533" s="5">
        <v>549.0</v>
      </c>
      <c r="S533" s="5">
        <v>3.921321935E9</v>
      </c>
      <c r="T533" s="5" t="s">
        <v>5628</v>
      </c>
      <c r="U533" s="5" t="s">
        <v>5629</v>
      </c>
      <c r="V533" s="5">
        <v>3.931093114E9</v>
      </c>
      <c r="W533" s="5" t="s">
        <v>1819</v>
      </c>
      <c r="X533" s="91">
        <v>45955.0</v>
      </c>
      <c r="Y533" s="5">
        <v>1.0</v>
      </c>
      <c r="Z533" s="5">
        <v>19.0</v>
      </c>
      <c r="AA533" s="5">
        <v>20.0</v>
      </c>
      <c r="AB533" s="5"/>
      <c r="AC533" s="5"/>
      <c r="AD533" s="5" t="s">
        <v>1770</v>
      </c>
      <c r="AE533" s="5" t="s">
        <v>1770</v>
      </c>
      <c r="AF533" s="5"/>
      <c r="AG533" s="5"/>
      <c r="AH533" s="5">
        <v>7.5068762501E10</v>
      </c>
      <c r="AI533" s="5">
        <v>23.0</v>
      </c>
      <c r="AJ533" s="5"/>
      <c r="AK533" s="5" t="s">
        <v>1773</v>
      </c>
      <c r="AL533" s="92">
        <v>0.0</v>
      </c>
      <c r="AM533" s="5" t="s">
        <v>1770</v>
      </c>
      <c r="AN533" s="5" t="s">
        <v>1830</v>
      </c>
      <c r="AO533" s="5"/>
      <c r="AP533" s="5"/>
      <c r="AQ533" s="5"/>
      <c r="AR533" s="5"/>
      <c r="AS533" s="5"/>
      <c r="AT533" s="5"/>
      <c r="AU533" s="5"/>
      <c r="AV533" s="5"/>
      <c r="AW533" s="5" t="s">
        <v>1770</v>
      </c>
      <c r="AX533" s="5"/>
      <c r="AY533" s="5"/>
      <c r="AZ533" s="5" t="s">
        <v>1770</v>
      </c>
      <c r="BA533" s="93">
        <v>0.0</v>
      </c>
      <c r="BB533" s="93">
        <v>0.0</v>
      </c>
      <c r="BC533" s="93">
        <v>0.0</v>
      </c>
      <c r="BD533" s="93">
        <v>0.0</v>
      </c>
      <c r="BE533" s="93">
        <v>0.0</v>
      </c>
      <c r="BF533" s="93">
        <v>0.0</v>
      </c>
      <c r="BG533" s="5"/>
      <c r="BH533" s="93">
        <v>0.0</v>
      </c>
      <c r="BI533" s="93">
        <v>0.0</v>
      </c>
      <c r="BJ533" s="93">
        <v>0.0</v>
      </c>
      <c r="BK533" s="93">
        <v>0.0</v>
      </c>
      <c r="BL533" s="93">
        <v>0.0</v>
      </c>
      <c r="BM533" s="93">
        <v>0.0</v>
      </c>
      <c r="BN533" s="93">
        <v>0.0</v>
      </c>
      <c r="BO533" s="5"/>
      <c r="BP533" s="5" t="s">
        <v>1770</v>
      </c>
      <c r="BQ533" s="5" t="s">
        <v>1775</v>
      </c>
      <c r="BR533" s="94">
        <v>45957.51119212963</v>
      </c>
      <c r="BS533" s="5">
        <v>40.0</v>
      </c>
      <c r="BT533" s="5" t="s">
        <v>1770</v>
      </c>
      <c r="BU533" s="5" t="s">
        <v>1770</v>
      </c>
      <c r="BV533" s="5" t="s">
        <v>1770</v>
      </c>
      <c r="BW533" s="5" t="s">
        <v>1770</v>
      </c>
    </row>
    <row r="534" ht="14.25" customHeight="1">
      <c r="A534" s="5">
        <v>533.0</v>
      </c>
      <c r="B534" s="5">
        <v>797.0</v>
      </c>
      <c r="C534" s="5" t="s">
        <v>3856</v>
      </c>
      <c r="D534" s="5" t="s">
        <v>1792</v>
      </c>
      <c r="E534" s="5" t="s">
        <v>5630</v>
      </c>
      <c r="F534" s="5" t="s">
        <v>5631</v>
      </c>
      <c r="G534" s="5" t="s">
        <v>5632</v>
      </c>
      <c r="H534" s="5" t="s">
        <v>1781</v>
      </c>
      <c r="I534" s="5" t="s">
        <v>1782</v>
      </c>
      <c r="J534" s="91">
        <v>29924.0</v>
      </c>
      <c r="K534" s="5">
        <v>279.0</v>
      </c>
      <c r="L534" s="5" t="s">
        <v>1783</v>
      </c>
      <c r="M534" s="5">
        <v>42.0</v>
      </c>
      <c r="N534" s="5"/>
      <c r="O534" s="5">
        <v>54012.0</v>
      </c>
      <c r="P534" s="5" t="s">
        <v>1783</v>
      </c>
      <c r="Q534" s="5" t="s">
        <v>2041</v>
      </c>
      <c r="R534" s="5">
        <v>834.0</v>
      </c>
      <c r="S534" s="5">
        <v>4.432062694E9</v>
      </c>
      <c r="T534" s="5" t="s">
        <v>5633</v>
      </c>
      <c r="U534" s="5" t="s">
        <v>1787</v>
      </c>
      <c r="V534" s="5">
        <v>1.23456789E9</v>
      </c>
      <c r="W534" s="5" t="s">
        <v>5634</v>
      </c>
      <c r="X534" s="91">
        <v>45957.0</v>
      </c>
      <c r="Y534" s="5">
        <v>4.0</v>
      </c>
      <c r="Z534" s="5">
        <v>1.0</v>
      </c>
      <c r="AA534" s="5">
        <v>45.0</v>
      </c>
      <c r="AB534" s="5" t="s">
        <v>5635</v>
      </c>
      <c r="AC534" s="5" t="s">
        <v>4109</v>
      </c>
      <c r="AD534" s="91">
        <v>45392.0</v>
      </c>
      <c r="AE534" s="91">
        <v>46122.0</v>
      </c>
      <c r="AF534" s="5"/>
      <c r="AG534" s="5"/>
      <c r="AH534" s="5">
        <v>5.3998124035E10</v>
      </c>
      <c r="AI534" s="5"/>
      <c r="AJ534" s="5"/>
      <c r="AK534" s="5" t="s">
        <v>1773</v>
      </c>
      <c r="AL534" s="92">
        <v>0.0</v>
      </c>
      <c r="AM534" s="5" t="s">
        <v>1770</v>
      </c>
      <c r="AN534" s="5" t="s">
        <v>1788</v>
      </c>
      <c r="AO534" s="5" t="s">
        <v>2940</v>
      </c>
      <c r="AP534" s="5"/>
      <c r="AQ534" s="146">
        <v>7.5</v>
      </c>
      <c r="AR534" s="5"/>
      <c r="AS534" s="5"/>
      <c r="AT534" s="5"/>
      <c r="AU534" s="5"/>
      <c r="AV534" s="5"/>
      <c r="AW534" s="5" t="s">
        <v>1770</v>
      </c>
      <c r="AX534" s="5"/>
      <c r="AY534" s="5"/>
      <c r="AZ534" s="5" t="s">
        <v>1770</v>
      </c>
      <c r="BA534" s="93">
        <v>0.0</v>
      </c>
      <c r="BB534" s="93">
        <v>0.0</v>
      </c>
      <c r="BC534" s="93">
        <v>0.0</v>
      </c>
      <c r="BD534" s="93">
        <v>0.0</v>
      </c>
      <c r="BE534" s="93">
        <v>0.0</v>
      </c>
      <c r="BF534" s="93">
        <v>0.0</v>
      </c>
      <c r="BG534" s="5"/>
      <c r="BH534" s="93">
        <v>0.0</v>
      </c>
      <c r="BI534" s="93">
        <v>0.0</v>
      </c>
      <c r="BJ534" s="93">
        <v>0.0</v>
      </c>
      <c r="BK534" s="93">
        <v>0.0</v>
      </c>
      <c r="BL534" s="93">
        <v>0.0</v>
      </c>
      <c r="BM534" s="93">
        <v>0.0</v>
      </c>
      <c r="BN534" s="93">
        <v>0.0</v>
      </c>
      <c r="BO534" s="5"/>
      <c r="BP534" s="5" t="s">
        <v>1770</v>
      </c>
      <c r="BQ534" s="5" t="s">
        <v>1789</v>
      </c>
      <c r="BR534" s="94">
        <v>45957.71230324074</v>
      </c>
      <c r="BS534" s="5">
        <v>40.0</v>
      </c>
      <c r="BT534" s="5" t="s">
        <v>1770</v>
      </c>
      <c r="BU534" s="5" t="s">
        <v>1770</v>
      </c>
      <c r="BV534" s="94">
        <v>45986.74028935185</v>
      </c>
      <c r="BW534" s="5">
        <v>40.0</v>
      </c>
    </row>
    <row r="535" ht="14.25" customHeight="1">
      <c r="A535" s="5">
        <v>534.0</v>
      </c>
      <c r="B535" s="5">
        <v>798.0</v>
      </c>
      <c r="C535" s="5" t="s">
        <v>2018</v>
      </c>
      <c r="D535" s="5" t="s">
        <v>5636</v>
      </c>
      <c r="E535" s="5" t="s">
        <v>5637</v>
      </c>
      <c r="F535" s="5" t="s">
        <v>5638</v>
      </c>
      <c r="G535" s="5" t="s">
        <v>5639</v>
      </c>
      <c r="H535" s="5" t="s">
        <v>2671</v>
      </c>
      <c r="I535" s="5" t="s">
        <v>1782</v>
      </c>
      <c r="J535" s="91">
        <v>30361.0</v>
      </c>
      <c r="K535" s="5">
        <v>547.0</v>
      </c>
      <c r="L535" s="5" t="s">
        <v>2636</v>
      </c>
      <c r="M535" s="5">
        <v>176.0</v>
      </c>
      <c r="N535" s="5"/>
      <c r="O535" s="5">
        <v>43897.0</v>
      </c>
      <c r="P535" s="5" t="s">
        <v>3139</v>
      </c>
      <c r="Q535" s="5" t="s">
        <v>2169</v>
      </c>
      <c r="R535" s="5">
        <v>549.0</v>
      </c>
      <c r="S535" s="5">
        <v>3.781215117E9</v>
      </c>
      <c r="T535" s="5" t="s">
        <v>5640</v>
      </c>
      <c r="U535" s="5" t="s">
        <v>5641</v>
      </c>
      <c r="V535" s="5">
        <v>3.93938123E9</v>
      </c>
      <c r="W535" s="5" t="s">
        <v>5489</v>
      </c>
      <c r="X535" s="91">
        <v>45964.0</v>
      </c>
      <c r="Y535" s="5">
        <v>1.0</v>
      </c>
      <c r="Z535" s="5">
        <v>1.0</v>
      </c>
      <c r="AA535" s="5">
        <v>79.0</v>
      </c>
      <c r="AB535" s="5" t="s">
        <v>5642</v>
      </c>
      <c r="AC535" s="5" t="s">
        <v>1800</v>
      </c>
      <c r="AD535" s="91">
        <v>45958.0</v>
      </c>
      <c r="AE535" s="91">
        <v>47419.0</v>
      </c>
      <c r="AF535" s="5"/>
      <c r="AG535" s="5"/>
      <c r="AH535" s="5">
        <v>4.06832191E9</v>
      </c>
      <c r="AI535" s="5">
        <v>23.0</v>
      </c>
      <c r="AJ535" s="5"/>
      <c r="AK535" s="5" t="s">
        <v>1773</v>
      </c>
      <c r="AL535" s="92">
        <v>0.0</v>
      </c>
      <c r="AM535" s="5" t="s">
        <v>1770</v>
      </c>
      <c r="AN535" s="5" t="s">
        <v>1830</v>
      </c>
      <c r="AO535" s="5"/>
      <c r="AP535" s="5"/>
      <c r="AQ535" s="5"/>
      <c r="AR535" s="5"/>
      <c r="AS535" s="5"/>
      <c r="AT535" s="5"/>
      <c r="AU535" s="5"/>
      <c r="AV535" s="5"/>
      <c r="AW535" s="5" t="s">
        <v>1770</v>
      </c>
      <c r="AX535" s="5"/>
      <c r="AY535" s="5"/>
      <c r="AZ535" s="5" t="s">
        <v>1770</v>
      </c>
      <c r="BA535" s="93">
        <v>0.0</v>
      </c>
      <c r="BB535" s="93">
        <v>0.0</v>
      </c>
      <c r="BC535" s="93">
        <v>0.0</v>
      </c>
      <c r="BD535" s="93">
        <v>0.0</v>
      </c>
      <c r="BE535" s="93">
        <v>0.0</v>
      </c>
      <c r="BF535" s="93">
        <v>0.0</v>
      </c>
      <c r="BG535" s="5"/>
      <c r="BH535" s="93">
        <v>0.0</v>
      </c>
      <c r="BI535" s="93">
        <v>0.0</v>
      </c>
      <c r="BJ535" s="93">
        <v>0.0</v>
      </c>
      <c r="BK535" s="93">
        <v>0.0</v>
      </c>
      <c r="BL535" s="93">
        <v>0.0</v>
      </c>
      <c r="BM535" s="93">
        <v>0.0</v>
      </c>
      <c r="BN535" s="93">
        <v>0.0</v>
      </c>
      <c r="BO535" s="5"/>
      <c r="BP535" s="5"/>
      <c r="BQ535" s="5" t="s">
        <v>1775</v>
      </c>
      <c r="BR535" s="94">
        <v>45966.510775462964</v>
      </c>
      <c r="BS535" s="5">
        <v>40.0</v>
      </c>
      <c r="BT535" s="5" t="s">
        <v>1770</v>
      </c>
      <c r="BU535" s="5" t="s">
        <v>1770</v>
      </c>
      <c r="BV535" s="5" t="s">
        <v>1770</v>
      </c>
      <c r="BW535" s="5" t="s">
        <v>1770</v>
      </c>
    </row>
    <row r="536" ht="14.25" customHeight="1">
      <c r="A536" s="5">
        <v>535.0</v>
      </c>
      <c r="B536" s="5">
        <v>799.0</v>
      </c>
      <c r="C536" s="5" t="s">
        <v>3583</v>
      </c>
      <c r="D536" s="100" t="s">
        <v>4474</v>
      </c>
      <c r="E536" s="100" t="s">
        <v>1898</v>
      </c>
      <c r="F536" s="5" t="s">
        <v>5643</v>
      </c>
      <c r="G536" s="5" t="s">
        <v>5644</v>
      </c>
      <c r="H536" s="5" t="s">
        <v>1972</v>
      </c>
      <c r="I536" s="5" t="s">
        <v>1782</v>
      </c>
      <c r="J536" s="91">
        <v>35002.0</v>
      </c>
      <c r="K536" s="5">
        <v>594.0</v>
      </c>
      <c r="L536" s="5" t="s">
        <v>2061</v>
      </c>
      <c r="M536" s="5">
        <v>15.0</v>
      </c>
      <c r="N536" s="5"/>
      <c r="O536" s="5">
        <v>43882.0</v>
      </c>
      <c r="P536" s="5" t="s">
        <v>1797</v>
      </c>
      <c r="Q536" s="5" t="s">
        <v>1766</v>
      </c>
      <c r="R536" s="5">
        <v>549.0</v>
      </c>
      <c r="S536" s="5">
        <v>3.931017323E9</v>
      </c>
      <c r="T536" s="5" t="s">
        <v>5645</v>
      </c>
      <c r="U536" s="100" t="s">
        <v>5646</v>
      </c>
      <c r="V536" s="5">
        <v>3.931093443E9</v>
      </c>
      <c r="W536" s="5" t="s">
        <v>1808</v>
      </c>
      <c r="X536" s="91">
        <v>45964.0</v>
      </c>
      <c r="Y536" s="5">
        <v>1.0</v>
      </c>
      <c r="Z536" s="5">
        <v>19.0</v>
      </c>
      <c r="AA536" s="5">
        <v>81.0</v>
      </c>
      <c r="AB536" s="5" t="s">
        <v>5647</v>
      </c>
      <c r="AC536" s="5" t="s">
        <v>1800</v>
      </c>
      <c r="AD536" s="91">
        <v>45769.0</v>
      </c>
      <c r="AE536" s="91">
        <v>47230.0</v>
      </c>
      <c r="AF536" s="5"/>
      <c r="AG536" s="5"/>
      <c r="AH536" s="5">
        <v>2.199517984E9</v>
      </c>
      <c r="AI536" s="5">
        <v>23.0</v>
      </c>
      <c r="AJ536" s="5"/>
      <c r="AK536" s="5" t="s">
        <v>1773</v>
      </c>
      <c r="AL536" s="92">
        <v>0.0</v>
      </c>
      <c r="AM536" s="5" t="s">
        <v>1770</v>
      </c>
      <c r="AN536" s="5" t="s">
        <v>1774</v>
      </c>
      <c r="AO536" s="5"/>
      <c r="AP536" s="5"/>
      <c r="AQ536" s="5"/>
      <c r="AR536" s="5"/>
      <c r="AS536" s="5"/>
      <c r="AT536" s="5"/>
      <c r="AU536" s="5"/>
      <c r="AV536" s="5"/>
      <c r="AW536" s="5" t="s">
        <v>1770</v>
      </c>
      <c r="AX536" s="5"/>
      <c r="AY536" s="5"/>
      <c r="AZ536" s="5" t="s">
        <v>1770</v>
      </c>
      <c r="BA536" s="93">
        <v>0.0</v>
      </c>
      <c r="BB536" s="93">
        <v>0.0</v>
      </c>
      <c r="BC536" s="93">
        <v>0.0</v>
      </c>
      <c r="BD536" s="93">
        <v>0.0</v>
      </c>
      <c r="BE536" s="93">
        <v>0.0</v>
      </c>
      <c r="BF536" s="93">
        <v>0.0</v>
      </c>
      <c r="BG536" s="5"/>
      <c r="BH536" s="93">
        <v>0.0</v>
      </c>
      <c r="BI536" s="93">
        <v>0.0</v>
      </c>
      <c r="BJ536" s="93">
        <v>0.0</v>
      </c>
      <c r="BK536" s="93">
        <v>0.0</v>
      </c>
      <c r="BL536" s="93">
        <v>0.0</v>
      </c>
      <c r="BM536" s="93">
        <v>0.0</v>
      </c>
      <c r="BN536" s="93">
        <v>0.0</v>
      </c>
      <c r="BO536" s="5"/>
      <c r="BP536" s="5"/>
      <c r="BQ536" s="5" t="s">
        <v>1775</v>
      </c>
      <c r="BR536" s="94">
        <v>45966.52899305556</v>
      </c>
      <c r="BS536" s="5">
        <v>40.0</v>
      </c>
      <c r="BT536" s="5" t="s">
        <v>1770</v>
      </c>
      <c r="BU536" s="5" t="s">
        <v>1770</v>
      </c>
      <c r="BV536" s="5" t="s">
        <v>1770</v>
      </c>
      <c r="BW536" s="5" t="s">
        <v>1770</v>
      </c>
    </row>
    <row r="537" ht="14.25" customHeight="1">
      <c r="A537" s="5">
        <v>536.0</v>
      </c>
      <c r="B537" s="5">
        <v>800.0</v>
      </c>
      <c r="C537" s="5" t="s">
        <v>2685</v>
      </c>
      <c r="D537" s="5" t="s">
        <v>2343</v>
      </c>
      <c r="E537" s="5" t="s">
        <v>5648</v>
      </c>
      <c r="F537" s="5" t="s">
        <v>5649</v>
      </c>
      <c r="G537" s="5" t="s">
        <v>5650</v>
      </c>
      <c r="H537" s="5" t="s">
        <v>1781</v>
      </c>
      <c r="I537" s="5" t="s">
        <v>1782</v>
      </c>
      <c r="J537" s="91">
        <v>31570.0</v>
      </c>
      <c r="K537" s="5">
        <v>549.0</v>
      </c>
      <c r="L537" s="5" t="s">
        <v>1984</v>
      </c>
      <c r="M537" s="5">
        <v>259.0</v>
      </c>
      <c r="N537" s="5"/>
      <c r="O537" s="5">
        <v>43874.0</v>
      </c>
      <c r="P537" s="5" t="s">
        <v>3342</v>
      </c>
      <c r="Q537" s="5" t="s">
        <v>4429</v>
      </c>
      <c r="R537" s="5">
        <v>578.0</v>
      </c>
      <c r="S537" s="5">
        <v>3.931018323E9</v>
      </c>
      <c r="T537" s="5" t="s">
        <v>5651</v>
      </c>
      <c r="U537" s="5" t="s">
        <v>5652</v>
      </c>
      <c r="V537" s="5">
        <v>3.921179185E9</v>
      </c>
      <c r="W537" s="5" t="s">
        <v>1787</v>
      </c>
      <c r="X537" s="91">
        <v>45964.0</v>
      </c>
      <c r="Y537" s="5">
        <v>1.0</v>
      </c>
      <c r="Z537" s="5">
        <v>19.0</v>
      </c>
      <c r="AA537" s="5">
        <v>1.0</v>
      </c>
      <c r="AB537" s="5" t="s">
        <v>5653</v>
      </c>
      <c r="AC537" s="5" t="s">
        <v>1800</v>
      </c>
      <c r="AD537" s="91">
        <v>45741.0</v>
      </c>
      <c r="AE537" s="91">
        <v>47202.0</v>
      </c>
      <c r="AF537" s="5"/>
      <c r="AG537" s="5"/>
      <c r="AH537" s="5">
        <v>7.5058664907E10</v>
      </c>
      <c r="AI537" s="5">
        <v>23.0</v>
      </c>
      <c r="AJ537" s="5"/>
      <c r="AK537" s="5" t="s">
        <v>1773</v>
      </c>
      <c r="AL537" s="92">
        <v>0.0</v>
      </c>
      <c r="AM537" s="5" t="s">
        <v>1770</v>
      </c>
      <c r="AN537" s="5" t="s">
        <v>1830</v>
      </c>
      <c r="AO537" s="5"/>
      <c r="AP537" s="5"/>
      <c r="AQ537" s="5"/>
      <c r="AR537" s="5"/>
      <c r="AS537" s="5"/>
      <c r="AT537" s="5"/>
      <c r="AU537" s="5"/>
      <c r="AV537" s="5"/>
      <c r="AW537" s="5" t="s">
        <v>1770</v>
      </c>
      <c r="AX537" s="5"/>
      <c r="AY537" s="5"/>
      <c r="AZ537" s="5" t="s">
        <v>1770</v>
      </c>
      <c r="BA537" s="93">
        <v>0.0</v>
      </c>
      <c r="BB537" s="93">
        <v>0.0</v>
      </c>
      <c r="BC537" s="93">
        <v>0.0</v>
      </c>
      <c r="BD537" s="93">
        <v>0.0</v>
      </c>
      <c r="BE537" s="93">
        <v>0.0</v>
      </c>
      <c r="BF537" s="93">
        <v>0.0</v>
      </c>
      <c r="BG537" s="5"/>
      <c r="BH537" s="93">
        <v>0.0</v>
      </c>
      <c r="BI537" s="93">
        <v>0.0</v>
      </c>
      <c r="BJ537" s="93">
        <v>0.0</v>
      </c>
      <c r="BK537" s="93">
        <v>0.0</v>
      </c>
      <c r="BL537" s="93">
        <v>0.0</v>
      </c>
      <c r="BM537" s="93">
        <v>0.0</v>
      </c>
      <c r="BN537" s="93">
        <v>0.0</v>
      </c>
      <c r="BO537" s="5"/>
      <c r="BP537" s="5"/>
      <c r="BQ537" s="5" t="s">
        <v>1775</v>
      </c>
      <c r="BR537" s="94">
        <v>45966.539189814815</v>
      </c>
      <c r="BS537" s="5">
        <v>40.0</v>
      </c>
      <c r="BT537" s="94">
        <v>45997.489375</v>
      </c>
      <c r="BU537" s="5">
        <v>272.0</v>
      </c>
      <c r="BV537" s="5" t="s">
        <v>1770</v>
      </c>
      <c r="BW537" s="5" t="s">
        <v>1770</v>
      </c>
    </row>
    <row r="538" ht="14.25" customHeight="1">
      <c r="A538" s="5">
        <v>537.0</v>
      </c>
      <c r="B538" s="5">
        <v>801.0</v>
      </c>
      <c r="C538" s="5" t="s">
        <v>2493</v>
      </c>
      <c r="D538" s="5" t="s">
        <v>2157</v>
      </c>
      <c r="E538" s="5" t="s">
        <v>5654</v>
      </c>
      <c r="F538" s="5" t="s">
        <v>5655</v>
      </c>
      <c r="G538" s="5" t="s">
        <v>5656</v>
      </c>
      <c r="H538" s="5" t="s">
        <v>1781</v>
      </c>
      <c r="I538" s="5" t="s">
        <v>1782</v>
      </c>
      <c r="J538" s="91">
        <v>30310.0</v>
      </c>
      <c r="K538" s="5">
        <v>850.0</v>
      </c>
      <c r="L538" s="5" t="s">
        <v>5657</v>
      </c>
      <c r="M538" s="5">
        <v>394.0</v>
      </c>
      <c r="N538" s="5"/>
      <c r="O538" s="5">
        <v>54932.0</v>
      </c>
      <c r="P538" s="5" t="s">
        <v>5658</v>
      </c>
      <c r="Q538" s="5" t="s">
        <v>234</v>
      </c>
      <c r="R538" s="5">
        <v>850.0</v>
      </c>
      <c r="S538" s="5">
        <v>3.521116706E9</v>
      </c>
      <c r="T538" s="5" t="s">
        <v>5659</v>
      </c>
      <c r="U538" s="5" t="s">
        <v>5660</v>
      </c>
      <c r="V538" s="5">
        <v>3.525292276E9</v>
      </c>
      <c r="W538" s="5" t="s">
        <v>1787</v>
      </c>
      <c r="X538" s="91">
        <v>45964.0</v>
      </c>
      <c r="Y538" s="5">
        <v>3.0</v>
      </c>
      <c r="Z538" s="5">
        <v>3.0</v>
      </c>
      <c r="AA538" s="5">
        <v>4.0</v>
      </c>
      <c r="AB538" s="5" t="s">
        <v>5661</v>
      </c>
      <c r="AC538" s="5" t="s">
        <v>1800</v>
      </c>
      <c r="AD538" s="91">
        <v>44796.0</v>
      </c>
      <c r="AE538" s="91">
        <v>46257.0</v>
      </c>
      <c r="AF538" s="5"/>
      <c r="AG538" s="5"/>
      <c r="AH538" s="5">
        <v>5.3998236961E10</v>
      </c>
      <c r="AI538" s="5">
        <v>77.0</v>
      </c>
      <c r="AJ538" s="5"/>
      <c r="AK538" s="5" t="s">
        <v>1773</v>
      </c>
      <c r="AL538" s="92">
        <v>0.0</v>
      </c>
      <c r="AM538" s="5" t="s">
        <v>1770</v>
      </c>
      <c r="AN538" s="5" t="s">
        <v>1774</v>
      </c>
      <c r="AO538" s="5"/>
      <c r="AP538" s="5"/>
      <c r="AQ538" s="5"/>
      <c r="AR538" s="5"/>
      <c r="AS538" s="5"/>
      <c r="AT538" s="5"/>
      <c r="AU538" s="5"/>
      <c r="AV538" s="5"/>
      <c r="AW538" s="5" t="s">
        <v>1770</v>
      </c>
      <c r="AX538" s="5"/>
      <c r="AY538" s="5"/>
      <c r="AZ538" s="5" t="s">
        <v>1770</v>
      </c>
      <c r="BA538" s="93">
        <v>0.0</v>
      </c>
      <c r="BB538" s="93">
        <v>0.0</v>
      </c>
      <c r="BC538" s="93">
        <v>0.0</v>
      </c>
      <c r="BD538" s="93">
        <v>0.0</v>
      </c>
      <c r="BE538" s="93">
        <v>0.0</v>
      </c>
      <c r="BF538" s="93">
        <v>0.0</v>
      </c>
      <c r="BG538" s="5"/>
      <c r="BH538" s="93">
        <v>0.0</v>
      </c>
      <c r="BI538" s="93">
        <v>0.0</v>
      </c>
      <c r="BJ538" s="93">
        <v>0.0</v>
      </c>
      <c r="BK538" s="93">
        <v>0.0</v>
      </c>
      <c r="BL538" s="93">
        <v>0.0</v>
      </c>
      <c r="BM538" s="93">
        <v>0.0</v>
      </c>
      <c r="BN538" s="93">
        <v>0.0</v>
      </c>
      <c r="BO538" s="5"/>
      <c r="BP538" s="5"/>
      <c r="BQ538" s="5" t="s">
        <v>1789</v>
      </c>
      <c r="BR538" s="94">
        <v>45966.549479166664</v>
      </c>
      <c r="BS538" s="5">
        <v>40.0</v>
      </c>
      <c r="BT538" s="5" t="s">
        <v>1770</v>
      </c>
      <c r="BU538" s="5" t="s">
        <v>1770</v>
      </c>
      <c r="BV538" s="94">
        <v>45992.56260416667</v>
      </c>
      <c r="BW538" s="5">
        <v>40.0</v>
      </c>
    </row>
    <row r="539" ht="14.25" customHeight="1">
      <c r="A539" s="5">
        <v>538.0</v>
      </c>
      <c r="B539" s="5">
        <v>802.0</v>
      </c>
      <c r="C539" s="5" t="s">
        <v>5662</v>
      </c>
      <c r="D539" s="5" t="s">
        <v>4943</v>
      </c>
      <c r="E539" s="5" t="s">
        <v>5663</v>
      </c>
      <c r="F539" s="5" t="s">
        <v>5664</v>
      </c>
      <c r="G539" s="5" t="s">
        <v>5665</v>
      </c>
      <c r="H539" s="5" t="s">
        <v>1781</v>
      </c>
      <c r="I539" s="5" t="s">
        <v>1782</v>
      </c>
      <c r="J539" s="91">
        <v>27923.0</v>
      </c>
      <c r="K539" s="5">
        <v>570.0</v>
      </c>
      <c r="L539" s="5" t="s">
        <v>5666</v>
      </c>
      <c r="M539" s="5">
        <v>7.0</v>
      </c>
      <c r="N539" s="5"/>
      <c r="O539" s="5">
        <v>43881.0</v>
      </c>
      <c r="P539" s="5" t="s">
        <v>1797</v>
      </c>
      <c r="Q539" s="5" t="s">
        <v>5667</v>
      </c>
      <c r="R539" s="5">
        <v>578.0</v>
      </c>
      <c r="S539" s="5">
        <v>3.316900011E9</v>
      </c>
      <c r="T539" s="5" t="s">
        <v>5668</v>
      </c>
      <c r="U539" s="5" t="s">
        <v>5669</v>
      </c>
      <c r="V539" s="5">
        <v>3.316004055E9</v>
      </c>
      <c r="W539" s="5" t="s">
        <v>1787</v>
      </c>
      <c r="X539" s="91">
        <v>45966.0</v>
      </c>
      <c r="Y539" s="5">
        <v>1.0</v>
      </c>
      <c r="Z539" s="5">
        <v>17.0</v>
      </c>
      <c r="AA539" s="5">
        <v>9.0</v>
      </c>
      <c r="AB539" s="5"/>
      <c r="AC539" s="5"/>
      <c r="AD539" s="5" t="s">
        <v>1770</v>
      </c>
      <c r="AE539" s="5" t="s">
        <v>1770</v>
      </c>
      <c r="AF539" s="5"/>
      <c r="AG539" s="5"/>
      <c r="AH539" s="5">
        <v>7.5937501841E10</v>
      </c>
      <c r="AI539" s="5">
        <v>23.0</v>
      </c>
      <c r="AJ539" s="5"/>
      <c r="AK539" s="5" t="s">
        <v>1773</v>
      </c>
      <c r="AL539" s="92">
        <v>0.0</v>
      </c>
      <c r="AM539" s="5" t="s">
        <v>1770</v>
      </c>
      <c r="AN539" s="5" t="s">
        <v>2052</v>
      </c>
      <c r="AO539" s="5"/>
      <c r="AP539" s="5"/>
      <c r="AQ539" s="5"/>
      <c r="AR539" s="5"/>
      <c r="AS539" s="5"/>
      <c r="AT539" s="5"/>
      <c r="AU539" s="5"/>
      <c r="AV539" s="5"/>
      <c r="AW539" s="5" t="s">
        <v>1770</v>
      </c>
      <c r="AX539" s="5"/>
      <c r="AY539" s="5"/>
      <c r="AZ539" s="5" t="s">
        <v>1770</v>
      </c>
      <c r="BA539" s="93">
        <v>0.0</v>
      </c>
      <c r="BB539" s="93">
        <v>0.0</v>
      </c>
      <c r="BC539" s="93">
        <v>0.0</v>
      </c>
      <c r="BD539" s="93">
        <v>0.0</v>
      </c>
      <c r="BE539" s="93">
        <v>0.0</v>
      </c>
      <c r="BF539" s="93">
        <v>0.0</v>
      </c>
      <c r="BG539" s="5"/>
      <c r="BH539" s="93">
        <v>0.0</v>
      </c>
      <c r="BI539" s="93">
        <v>0.0</v>
      </c>
      <c r="BJ539" s="93">
        <v>0.0</v>
      </c>
      <c r="BK539" s="93">
        <v>0.0</v>
      </c>
      <c r="BL539" s="93">
        <v>0.0</v>
      </c>
      <c r="BM539" s="93">
        <v>0.0</v>
      </c>
      <c r="BN539" s="93">
        <v>0.0</v>
      </c>
      <c r="BO539" s="5"/>
      <c r="BP539" s="5"/>
      <c r="BQ539" s="5" t="s">
        <v>1789</v>
      </c>
      <c r="BR539" s="94">
        <v>45980.69972222222</v>
      </c>
      <c r="BS539" s="5">
        <v>40.0</v>
      </c>
      <c r="BT539" s="5" t="s">
        <v>1770</v>
      </c>
      <c r="BU539" s="5" t="s">
        <v>1770</v>
      </c>
      <c r="BV539" s="94">
        <v>45986.74072916667</v>
      </c>
      <c r="BW539" s="5">
        <v>40.0</v>
      </c>
    </row>
    <row r="540" ht="14.25" customHeight="1">
      <c r="A540" s="5">
        <v>539.0</v>
      </c>
      <c r="B540" s="5">
        <v>803.0</v>
      </c>
      <c r="C540" s="5" t="s">
        <v>5670</v>
      </c>
      <c r="D540" s="5" t="s">
        <v>2132</v>
      </c>
      <c r="E540" s="5" t="s">
        <v>2132</v>
      </c>
      <c r="F540" s="5" t="s">
        <v>5671</v>
      </c>
      <c r="G540" s="5" t="s">
        <v>5672</v>
      </c>
      <c r="H540" s="5" t="s">
        <v>1972</v>
      </c>
      <c r="I540" s="5" t="s">
        <v>1782</v>
      </c>
      <c r="J540" s="91">
        <v>38150.0</v>
      </c>
      <c r="K540" s="5">
        <v>424.0</v>
      </c>
      <c r="L540" s="5" t="s">
        <v>3534</v>
      </c>
      <c r="M540" s="5">
        <v>5.0</v>
      </c>
      <c r="N540" s="5"/>
      <c r="O540" s="5">
        <v>35872.0</v>
      </c>
      <c r="P540" s="5" t="s">
        <v>1797</v>
      </c>
      <c r="Q540" s="5" t="s">
        <v>2406</v>
      </c>
      <c r="R540" s="5">
        <v>424.0</v>
      </c>
      <c r="S540" s="5">
        <v>4.691340386E9</v>
      </c>
      <c r="T540" s="5" t="s">
        <v>5673</v>
      </c>
      <c r="U540" s="5" t="s">
        <v>5674</v>
      </c>
      <c r="V540" s="5">
        <v>4.696280017E9</v>
      </c>
      <c r="W540" s="5" t="s">
        <v>1808</v>
      </c>
      <c r="X540" s="91">
        <v>45971.0</v>
      </c>
      <c r="Y540" s="5">
        <v>2.0</v>
      </c>
      <c r="Z540" s="5">
        <v>3.0</v>
      </c>
      <c r="AA540" s="5">
        <v>58.0</v>
      </c>
      <c r="AB540" s="5">
        <v>3869727.0</v>
      </c>
      <c r="AC540" s="5" t="s">
        <v>1800</v>
      </c>
      <c r="AD540" s="91">
        <v>44801.0</v>
      </c>
      <c r="AE540" s="91">
        <v>46262.0</v>
      </c>
      <c r="AF540" s="5"/>
      <c r="AG540" s="5"/>
      <c r="AH540" s="5">
        <v>1.8220410858E10</v>
      </c>
      <c r="AI540" s="5">
        <v>9.0</v>
      </c>
      <c r="AJ540" s="5"/>
      <c r="AK540" s="5" t="s">
        <v>1773</v>
      </c>
      <c r="AL540" s="92">
        <v>0.0</v>
      </c>
      <c r="AM540" s="5" t="s">
        <v>1770</v>
      </c>
      <c r="AN540" s="5" t="s">
        <v>1809</v>
      </c>
      <c r="AO540" s="5"/>
      <c r="AP540" s="5"/>
      <c r="AQ540" s="5"/>
      <c r="AR540" s="5"/>
      <c r="AS540" s="5"/>
      <c r="AT540" s="5"/>
      <c r="AU540" s="5"/>
      <c r="AV540" s="5"/>
      <c r="AW540" s="5" t="s">
        <v>1770</v>
      </c>
      <c r="AX540" s="5"/>
      <c r="AY540" s="5"/>
      <c r="AZ540" s="5" t="s">
        <v>1770</v>
      </c>
      <c r="BA540" s="93">
        <v>0.0</v>
      </c>
      <c r="BB540" s="93">
        <v>0.0</v>
      </c>
      <c r="BC540" s="93">
        <v>0.0</v>
      </c>
      <c r="BD540" s="93">
        <v>0.0</v>
      </c>
      <c r="BE540" s="93">
        <v>0.0</v>
      </c>
      <c r="BF540" s="93">
        <v>0.0</v>
      </c>
      <c r="BG540" s="5"/>
      <c r="BH540" s="93">
        <v>0.0</v>
      </c>
      <c r="BI540" s="93">
        <v>0.0</v>
      </c>
      <c r="BJ540" s="93">
        <v>0.0</v>
      </c>
      <c r="BK540" s="93">
        <v>0.0</v>
      </c>
      <c r="BL540" s="93">
        <v>0.0</v>
      </c>
      <c r="BM540" s="93">
        <v>0.0</v>
      </c>
      <c r="BN540" s="93">
        <v>0.0</v>
      </c>
      <c r="BO540" s="5"/>
      <c r="BP540" s="5"/>
      <c r="BQ540" s="5" t="s">
        <v>1789</v>
      </c>
      <c r="BR540" s="94">
        <v>45980.708391203705</v>
      </c>
      <c r="BS540" s="5">
        <v>40.0</v>
      </c>
      <c r="BT540" s="5" t="s">
        <v>1770</v>
      </c>
      <c r="BU540" s="5" t="s">
        <v>1770</v>
      </c>
      <c r="BV540" s="94">
        <v>46204.72369212963</v>
      </c>
      <c r="BW540" s="5">
        <v>40.0</v>
      </c>
    </row>
    <row r="541" ht="14.25" customHeight="1">
      <c r="A541" s="5">
        <v>540.0</v>
      </c>
      <c r="B541" s="5">
        <v>804.0</v>
      </c>
      <c r="C541" s="5" t="s">
        <v>5675</v>
      </c>
      <c r="D541" s="5" t="s">
        <v>5676</v>
      </c>
      <c r="E541" s="5" t="s">
        <v>4550</v>
      </c>
      <c r="F541" s="5" t="s">
        <v>5677</v>
      </c>
      <c r="G541" s="5" t="s">
        <v>5678</v>
      </c>
      <c r="H541" s="5" t="s">
        <v>1781</v>
      </c>
      <c r="I541" s="5" t="s">
        <v>1763</v>
      </c>
      <c r="J541" s="91">
        <v>34690.0</v>
      </c>
      <c r="K541" s="5">
        <v>651.0</v>
      </c>
      <c r="L541" s="5" t="s">
        <v>5679</v>
      </c>
      <c r="M541" s="5">
        <v>65.0</v>
      </c>
      <c r="N541" s="5"/>
      <c r="O541" s="5">
        <v>43884.0</v>
      </c>
      <c r="P541" s="5" t="s">
        <v>5568</v>
      </c>
      <c r="Q541" s="5" t="s">
        <v>1766</v>
      </c>
      <c r="R541" s="5">
        <v>549.0</v>
      </c>
      <c r="S541" s="5">
        <v>3.333860795E9</v>
      </c>
      <c r="T541" s="5" t="s">
        <v>5680</v>
      </c>
      <c r="U541" s="5" t="s">
        <v>5681</v>
      </c>
      <c r="V541" s="5">
        <v>3.324969688E9</v>
      </c>
      <c r="W541" s="5" t="s">
        <v>1769</v>
      </c>
      <c r="X541" s="91">
        <v>45992.0</v>
      </c>
      <c r="Y541" s="5">
        <v>1.0</v>
      </c>
      <c r="Z541" s="5">
        <v>6.0</v>
      </c>
      <c r="AA541" s="5">
        <v>66.0</v>
      </c>
      <c r="AB541" s="5" t="s">
        <v>5682</v>
      </c>
      <c r="AC541" s="5" t="s">
        <v>1772</v>
      </c>
      <c r="AD541" s="91">
        <v>45275.0</v>
      </c>
      <c r="AE541" s="91">
        <v>46736.0</v>
      </c>
      <c r="AF541" s="5"/>
      <c r="AG541" s="5"/>
      <c r="AH541" s="5">
        <v>4.129457927E9</v>
      </c>
      <c r="AI541" s="5">
        <v>23.0</v>
      </c>
      <c r="AJ541" s="5"/>
      <c r="AK541" s="5" t="s">
        <v>1773</v>
      </c>
      <c r="AL541" s="92">
        <v>0.0</v>
      </c>
      <c r="AM541" s="5" t="s">
        <v>1770</v>
      </c>
      <c r="AN541" s="5" t="s">
        <v>1774</v>
      </c>
      <c r="AO541" s="5"/>
      <c r="AP541" s="5"/>
      <c r="AQ541" s="5"/>
      <c r="AR541" s="5"/>
      <c r="AS541" s="5"/>
      <c r="AT541" s="5"/>
      <c r="AU541" s="5"/>
      <c r="AV541" s="5"/>
      <c r="AW541" s="5" t="s">
        <v>1770</v>
      </c>
      <c r="AX541" s="5"/>
      <c r="AY541" s="5"/>
      <c r="AZ541" s="5" t="s">
        <v>1770</v>
      </c>
      <c r="BA541" s="93">
        <v>0.0</v>
      </c>
      <c r="BB541" s="93">
        <v>0.0</v>
      </c>
      <c r="BC541" s="93">
        <v>0.0</v>
      </c>
      <c r="BD541" s="93">
        <v>0.0</v>
      </c>
      <c r="BE541" s="93">
        <v>0.0</v>
      </c>
      <c r="BF541" s="93">
        <v>0.0</v>
      </c>
      <c r="BG541" s="5"/>
      <c r="BH541" s="93">
        <v>0.0</v>
      </c>
      <c r="BI541" s="93">
        <v>0.0</v>
      </c>
      <c r="BJ541" s="93">
        <v>0.0</v>
      </c>
      <c r="BK541" s="93">
        <v>0.0</v>
      </c>
      <c r="BL541" s="93">
        <v>0.0</v>
      </c>
      <c r="BM541" s="93">
        <v>0.0</v>
      </c>
      <c r="BN541" s="93">
        <v>0.0</v>
      </c>
      <c r="BO541" s="5"/>
      <c r="BP541" s="5"/>
      <c r="BQ541" s="5" t="s">
        <v>1775</v>
      </c>
      <c r="BR541" s="94">
        <v>45992.547488425924</v>
      </c>
      <c r="BS541" s="5">
        <v>40.0</v>
      </c>
      <c r="BT541" s="5" t="s">
        <v>1770</v>
      </c>
      <c r="BU541" s="5" t="s">
        <v>1770</v>
      </c>
      <c r="BV541" s="5" t="s">
        <v>1770</v>
      </c>
      <c r="BW541" s="5" t="s">
        <v>1770</v>
      </c>
    </row>
    <row r="542" ht="14.25" customHeight="1">
      <c r="A542" s="5">
        <v>541.0</v>
      </c>
      <c r="B542" s="5">
        <v>805.0</v>
      </c>
      <c r="C542" s="5" t="s">
        <v>5683</v>
      </c>
      <c r="D542" s="5" t="s">
        <v>2001</v>
      </c>
      <c r="E542" s="5" t="s">
        <v>2132</v>
      </c>
      <c r="F542" s="5" t="s">
        <v>5684</v>
      </c>
      <c r="G542" s="5" t="s">
        <v>5685</v>
      </c>
      <c r="H542" s="5" t="s">
        <v>1815</v>
      </c>
      <c r="I542" s="5" t="s">
        <v>1763</v>
      </c>
      <c r="J542" s="91">
        <v>36634.0</v>
      </c>
      <c r="K542" s="5">
        <v>549.0</v>
      </c>
      <c r="L542" s="5" t="s">
        <v>5686</v>
      </c>
      <c r="M542" s="5">
        <v>35.0</v>
      </c>
      <c r="N542" s="5"/>
      <c r="O542" s="5">
        <v>43882.0</v>
      </c>
      <c r="P542" s="5" t="s">
        <v>3234</v>
      </c>
      <c r="Q542" s="5" t="s">
        <v>1766</v>
      </c>
      <c r="R542" s="5">
        <v>549.0</v>
      </c>
      <c r="S542" s="5">
        <v>3.939330125E9</v>
      </c>
      <c r="T542" s="5" t="s">
        <v>5687</v>
      </c>
      <c r="U542" s="5" t="s">
        <v>5688</v>
      </c>
      <c r="V542" s="5">
        <v>6.462087855E9</v>
      </c>
      <c r="W542" s="5" t="s">
        <v>1808</v>
      </c>
      <c r="X542" s="91">
        <v>45992.0</v>
      </c>
      <c r="Y542" s="5">
        <v>1.0</v>
      </c>
      <c r="Z542" s="5">
        <v>4.0</v>
      </c>
      <c r="AA542" s="5">
        <v>9.0</v>
      </c>
      <c r="AB542" s="5"/>
      <c r="AC542" s="5"/>
      <c r="AD542" s="5" t="s">
        <v>1770</v>
      </c>
      <c r="AE542" s="5" t="s">
        <v>1770</v>
      </c>
      <c r="AF542" s="5"/>
      <c r="AG542" s="5"/>
      <c r="AH542" s="5">
        <v>5.1160092527E10</v>
      </c>
      <c r="AI542" s="5">
        <v>23.0</v>
      </c>
      <c r="AJ542" s="5"/>
      <c r="AK542" s="5" t="s">
        <v>1773</v>
      </c>
      <c r="AL542" s="92">
        <v>0.0</v>
      </c>
      <c r="AM542" s="5" t="s">
        <v>1770</v>
      </c>
      <c r="AN542" s="5" t="s">
        <v>1830</v>
      </c>
      <c r="AO542" s="5"/>
      <c r="AP542" s="5"/>
      <c r="AQ542" s="5"/>
      <c r="AR542" s="5"/>
      <c r="AS542" s="5"/>
      <c r="AT542" s="5"/>
      <c r="AU542" s="5"/>
      <c r="AV542" s="5"/>
      <c r="AW542" s="5" t="s">
        <v>1770</v>
      </c>
      <c r="AX542" s="5"/>
      <c r="AY542" s="5"/>
      <c r="AZ542" s="5" t="s">
        <v>1770</v>
      </c>
      <c r="BA542" s="93">
        <v>0.0</v>
      </c>
      <c r="BB542" s="93">
        <v>0.0</v>
      </c>
      <c r="BC542" s="93">
        <v>0.0</v>
      </c>
      <c r="BD542" s="93">
        <v>0.0</v>
      </c>
      <c r="BE542" s="93">
        <v>0.0</v>
      </c>
      <c r="BF542" s="93">
        <v>0.0</v>
      </c>
      <c r="BG542" s="5"/>
      <c r="BH542" s="93">
        <v>0.0</v>
      </c>
      <c r="BI542" s="93">
        <v>0.0</v>
      </c>
      <c r="BJ542" s="93">
        <v>0.0</v>
      </c>
      <c r="BK542" s="93">
        <v>0.0</v>
      </c>
      <c r="BL542" s="93">
        <v>0.0</v>
      </c>
      <c r="BM542" s="93">
        <v>0.0</v>
      </c>
      <c r="BN542" s="93">
        <v>0.0</v>
      </c>
      <c r="BO542" s="5"/>
      <c r="BP542" s="5"/>
      <c r="BQ542" s="5" t="s">
        <v>1775</v>
      </c>
      <c r="BR542" s="94">
        <v>45992.561736111114</v>
      </c>
      <c r="BS542" s="5">
        <v>40.0</v>
      </c>
      <c r="BT542" s="5" t="s">
        <v>1770</v>
      </c>
      <c r="BU542" s="5" t="s">
        <v>1770</v>
      </c>
      <c r="BV542" s="5" t="s">
        <v>1770</v>
      </c>
      <c r="BW542" s="5" t="s">
        <v>1770</v>
      </c>
    </row>
    <row r="543" ht="14.25" customHeight="1">
      <c r="A543" s="5">
        <v>542.0</v>
      </c>
      <c r="B543" s="5">
        <v>806.0</v>
      </c>
      <c r="C543" s="5" t="s">
        <v>5260</v>
      </c>
      <c r="D543" s="5" t="s">
        <v>2382</v>
      </c>
      <c r="E543" s="5" t="s">
        <v>1777</v>
      </c>
      <c r="F543" s="5" t="s">
        <v>5689</v>
      </c>
      <c r="G543" s="5" t="s">
        <v>5690</v>
      </c>
      <c r="H543" s="5" t="s">
        <v>2671</v>
      </c>
      <c r="I543" s="5" t="s">
        <v>1782</v>
      </c>
      <c r="J543" s="91">
        <v>30974.0</v>
      </c>
      <c r="K543" s="5">
        <v>549.0</v>
      </c>
      <c r="L543" s="5" t="s">
        <v>5691</v>
      </c>
      <c r="M543" s="5">
        <v>6309.0</v>
      </c>
      <c r="N543" s="5"/>
      <c r="O543" s="5">
        <v>43882.0</v>
      </c>
      <c r="P543" s="5" t="s">
        <v>1797</v>
      </c>
      <c r="Q543" s="5" t="s">
        <v>1766</v>
      </c>
      <c r="R543" s="5">
        <v>549.0</v>
      </c>
      <c r="S543" s="5">
        <v>3.931587052E9</v>
      </c>
      <c r="T543" s="5"/>
      <c r="U543" s="100" t="s">
        <v>5692</v>
      </c>
      <c r="V543" s="5">
        <v>3.93107571E9</v>
      </c>
      <c r="W543" s="5" t="s">
        <v>1787</v>
      </c>
      <c r="X543" s="91">
        <v>45992.0</v>
      </c>
      <c r="Y543" s="5">
        <v>1.0</v>
      </c>
      <c r="Z543" s="5">
        <v>17.0</v>
      </c>
      <c r="AA543" s="5">
        <v>90.0</v>
      </c>
      <c r="AB543" s="5"/>
      <c r="AC543" s="5" t="s">
        <v>1772</v>
      </c>
      <c r="AD543" s="5" t="s">
        <v>1770</v>
      </c>
      <c r="AE543" s="5" t="s">
        <v>1770</v>
      </c>
      <c r="AF543" s="5"/>
      <c r="AG543" s="5"/>
      <c r="AH543" s="5">
        <v>7.5038427698E10</v>
      </c>
      <c r="AI543" s="5">
        <v>23.0</v>
      </c>
      <c r="AJ543" s="5"/>
      <c r="AK543" s="5" t="s">
        <v>1773</v>
      </c>
      <c r="AL543" s="92">
        <v>0.0</v>
      </c>
      <c r="AM543" s="5" t="s">
        <v>1770</v>
      </c>
      <c r="AN543" s="5" t="s">
        <v>4382</v>
      </c>
      <c r="AO543" s="5"/>
      <c r="AP543" s="5"/>
      <c r="AQ543" s="5"/>
      <c r="AR543" s="5"/>
      <c r="AS543" s="5"/>
      <c r="AT543" s="5"/>
      <c r="AU543" s="5"/>
      <c r="AV543" s="5"/>
      <c r="AW543" s="5" t="s">
        <v>1770</v>
      </c>
      <c r="AX543" s="5"/>
      <c r="AY543" s="5"/>
      <c r="AZ543" s="5" t="s">
        <v>1770</v>
      </c>
      <c r="BA543" s="93">
        <v>0.0</v>
      </c>
      <c r="BB543" s="93">
        <v>0.0</v>
      </c>
      <c r="BC543" s="93">
        <v>0.0</v>
      </c>
      <c r="BD543" s="93">
        <v>0.0</v>
      </c>
      <c r="BE543" s="93">
        <v>0.0</v>
      </c>
      <c r="BF543" s="93">
        <v>0.0</v>
      </c>
      <c r="BG543" s="5"/>
      <c r="BH543" s="93">
        <v>0.0</v>
      </c>
      <c r="BI543" s="93">
        <v>0.0</v>
      </c>
      <c r="BJ543" s="93">
        <v>0.0</v>
      </c>
      <c r="BK543" s="93">
        <v>0.0</v>
      </c>
      <c r="BL543" s="93">
        <v>0.0</v>
      </c>
      <c r="BM543" s="93">
        <v>0.0</v>
      </c>
      <c r="BN543" s="93">
        <v>0.0</v>
      </c>
      <c r="BO543" s="5"/>
      <c r="BP543" s="5"/>
      <c r="BQ543" s="5" t="s">
        <v>1789</v>
      </c>
      <c r="BR543" s="94">
        <v>45992.58928240741</v>
      </c>
      <c r="BS543" s="5">
        <v>40.0</v>
      </c>
      <c r="BT543" s="5" t="s">
        <v>1770</v>
      </c>
      <c r="BU543" s="5" t="s">
        <v>1770</v>
      </c>
      <c r="BV543" s="94">
        <v>46039.46947916667</v>
      </c>
      <c r="BW543" s="5">
        <v>40.0</v>
      </c>
    </row>
    <row r="544" ht="14.25" customHeight="1">
      <c r="A544" s="5">
        <v>543.0</v>
      </c>
      <c r="B544" s="5">
        <v>808.0</v>
      </c>
      <c r="C544" s="5" t="s">
        <v>2596</v>
      </c>
      <c r="D544" s="100" t="s">
        <v>5693</v>
      </c>
      <c r="E544" s="5" t="s">
        <v>2144</v>
      </c>
      <c r="F544" s="5" t="s">
        <v>5694</v>
      </c>
      <c r="G544" s="5" t="s">
        <v>5695</v>
      </c>
      <c r="H544" s="5" t="s">
        <v>1781</v>
      </c>
      <c r="I544" s="5" t="s">
        <v>1782</v>
      </c>
      <c r="J544" s="91">
        <v>30437.0</v>
      </c>
      <c r="K544" s="5">
        <v>850.0</v>
      </c>
      <c r="L544" s="5" t="s">
        <v>5696</v>
      </c>
      <c r="M544" s="5">
        <v>59.0</v>
      </c>
      <c r="N544" s="5"/>
      <c r="O544" s="5">
        <v>55179.0</v>
      </c>
      <c r="P544" s="5" t="s">
        <v>5697</v>
      </c>
      <c r="Q544" s="5" t="s">
        <v>234</v>
      </c>
      <c r="R544" s="5">
        <v>850.0</v>
      </c>
      <c r="S544" s="5">
        <v>3.521328662E9</v>
      </c>
      <c r="T544" s="5" t="s">
        <v>5698</v>
      </c>
      <c r="U544" s="5" t="s">
        <v>5699</v>
      </c>
      <c r="V544" s="5">
        <v>3.52116236E9</v>
      </c>
      <c r="W544" s="5" t="s">
        <v>1787</v>
      </c>
      <c r="X544" s="91">
        <v>46007.0</v>
      </c>
      <c r="Y544" s="5">
        <v>3.0</v>
      </c>
      <c r="Z544" s="5">
        <v>3.0</v>
      </c>
      <c r="AA544" s="5">
        <v>4.0</v>
      </c>
      <c r="AB544" s="5"/>
      <c r="AC544" s="5"/>
      <c r="AD544" s="5" t="s">
        <v>1770</v>
      </c>
      <c r="AE544" s="5" t="s">
        <v>1770</v>
      </c>
      <c r="AF544" s="5"/>
      <c r="AG544" s="5"/>
      <c r="AH544" s="5">
        <v>5.3998317894E10</v>
      </c>
      <c r="AI544" s="5">
        <v>77.0</v>
      </c>
      <c r="AJ544" s="5"/>
      <c r="AK544" s="5" t="s">
        <v>1773</v>
      </c>
      <c r="AL544" s="92">
        <v>0.0</v>
      </c>
      <c r="AM544" s="5" t="s">
        <v>1770</v>
      </c>
      <c r="AN544" s="5" t="s">
        <v>1830</v>
      </c>
      <c r="AO544" s="5"/>
      <c r="AP544" s="5"/>
      <c r="AQ544" s="5"/>
      <c r="AR544" s="5"/>
      <c r="AS544" s="5"/>
      <c r="AT544" s="5"/>
      <c r="AU544" s="5"/>
      <c r="AV544" s="5"/>
      <c r="AW544" s="5" t="s">
        <v>1770</v>
      </c>
      <c r="AX544" s="5"/>
      <c r="AY544" s="5"/>
      <c r="AZ544" s="5" t="s">
        <v>1770</v>
      </c>
      <c r="BA544" s="93">
        <v>0.0</v>
      </c>
      <c r="BB544" s="93">
        <v>0.0</v>
      </c>
      <c r="BC544" s="93">
        <v>0.0</v>
      </c>
      <c r="BD544" s="93">
        <v>0.0</v>
      </c>
      <c r="BE544" s="93">
        <v>0.0</v>
      </c>
      <c r="BF544" s="93">
        <v>0.0</v>
      </c>
      <c r="BG544" s="5"/>
      <c r="BH544" s="93">
        <v>0.0</v>
      </c>
      <c r="BI544" s="93">
        <v>0.0</v>
      </c>
      <c r="BJ544" s="93">
        <v>0.0</v>
      </c>
      <c r="BK544" s="93">
        <v>0.0</v>
      </c>
      <c r="BL544" s="93">
        <v>0.0</v>
      </c>
      <c r="BM544" s="93">
        <v>0.0</v>
      </c>
      <c r="BN544" s="93">
        <v>0.0</v>
      </c>
      <c r="BO544" s="5"/>
      <c r="BP544" s="5"/>
      <c r="BQ544" s="5" t="s">
        <v>1775</v>
      </c>
      <c r="BR544" s="94">
        <v>46010.45303240741</v>
      </c>
      <c r="BS544" s="5">
        <v>40.0</v>
      </c>
      <c r="BT544" s="5" t="s">
        <v>1770</v>
      </c>
      <c r="BU544" s="5" t="s">
        <v>1770</v>
      </c>
      <c r="BV544" s="5" t="s">
        <v>1770</v>
      </c>
      <c r="BW544" s="5" t="s">
        <v>1770</v>
      </c>
    </row>
    <row r="545" ht="14.25" customHeight="1">
      <c r="A545" s="5">
        <v>544.0</v>
      </c>
      <c r="B545" s="5">
        <v>807.0</v>
      </c>
      <c r="C545" s="5" t="s">
        <v>2557</v>
      </c>
      <c r="D545" s="5" t="s">
        <v>2133</v>
      </c>
      <c r="E545" s="5" t="s">
        <v>1759</v>
      </c>
      <c r="F545" s="5" t="s">
        <v>5700</v>
      </c>
      <c r="G545" s="5" t="s">
        <v>5701</v>
      </c>
      <c r="H545" s="5" t="s">
        <v>1815</v>
      </c>
      <c r="I545" s="5" t="s">
        <v>1763</v>
      </c>
      <c r="J545" s="91">
        <v>37708.0</v>
      </c>
      <c r="K545" s="5">
        <v>549.0</v>
      </c>
      <c r="L545" s="5" t="s">
        <v>5702</v>
      </c>
      <c r="M545" s="5">
        <v>42.0</v>
      </c>
      <c r="N545" s="5"/>
      <c r="O545" s="5">
        <v>43886.0</v>
      </c>
      <c r="P545" s="5" t="s">
        <v>3139</v>
      </c>
      <c r="Q545" s="5" t="s">
        <v>2530</v>
      </c>
      <c r="R545" s="5">
        <v>549.0</v>
      </c>
      <c r="S545" s="5">
        <v>3.931327569E9</v>
      </c>
      <c r="T545" s="5" t="s">
        <v>5703</v>
      </c>
      <c r="U545" s="5" t="s">
        <v>5704</v>
      </c>
      <c r="V545" s="5">
        <v>3.931190624E9</v>
      </c>
      <c r="W545" s="5" t="s">
        <v>1965</v>
      </c>
      <c r="X545" s="91">
        <v>46007.0</v>
      </c>
      <c r="Y545" s="5">
        <v>1.0</v>
      </c>
      <c r="Z545" s="5">
        <v>18.0</v>
      </c>
      <c r="AA545" s="5">
        <v>72.0</v>
      </c>
      <c r="AB545" s="5"/>
      <c r="AC545" s="5"/>
      <c r="AD545" s="5" t="s">
        <v>1770</v>
      </c>
      <c r="AE545" s="5" t="s">
        <v>1770</v>
      </c>
      <c r="AF545" s="5"/>
      <c r="AG545" s="5"/>
      <c r="AH545" s="5">
        <v>5.180316084E9</v>
      </c>
      <c r="AI545" s="5">
        <v>23.0</v>
      </c>
      <c r="AJ545" s="5"/>
      <c r="AK545" s="5" t="s">
        <v>1773</v>
      </c>
      <c r="AL545" s="92">
        <v>0.0</v>
      </c>
      <c r="AM545" s="5" t="s">
        <v>1770</v>
      </c>
      <c r="AN545" s="5" t="s">
        <v>1830</v>
      </c>
      <c r="AO545" s="5"/>
      <c r="AP545" s="5"/>
      <c r="AQ545" s="5"/>
      <c r="AR545" s="5"/>
      <c r="AS545" s="5"/>
      <c r="AT545" s="5"/>
      <c r="AU545" s="5"/>
      <c r="AV545" s="5"/>
      <c r="AW545" s="5" t="s">
        <v>1770</v>
      </c>
      <c r="AX545" s="5"/>
      <c r="AY545" s="5"/>
      <c r="AZ545" s="5" t="s">
        <v>1770</v>
      </c>
      <c r="BA545" s="93">
        <v>0.0</v>
      </c>
      <c r="BB545" s="93">
        <v>0.0</v>
      </c>
      <c r="BC545" s="93">
        <v>0.0</v>
      </c>
      <c r="BD545" s="93">
        <v>0.0</v>
      </c>
      <c r="BE545" s="93">
        <v>0.0</v>
      </c>
      <c r="BF545" s="93">
        <v>0.0</v>
      </c>
      <c r="BG545" s="5"/>
      <c r="BH545" s="93">
        <v>0.0</v>
      </c>
      <c r="BI545" s="93">
        <v>0.0</v>
      </c>
      <c r="BJ545" s="93">
        <v>0.0</v>
      </c>
      <c r="BK545" s="93">
        <v>0.0</v>
      </c>
      <c r="BL545" s="93">
        <v>0.0</v>
      </c>
      <c r="BM545" s="93">
        <v>0.0</v>
      </c>
      <c r="BN545" s="93">
        <v>0.0</v>
      </c>
      <c r="BO545" s="5"/>
      <c r="BP545" s="5"/>
      <c r="BQ545" s="5" t="s">
        <v>1775</v>
      </c>
      <c r="BR545" s="94">
        <v>46030.42979166667</v>
      </c>
      <c r="BS545" s="5">
        <v>40.0</v>
      </c>
      <c r="BT545" s="5" t="s">
        <v>1770</v>
      </c>
      <c r="BU545" s="5" t="s">
        <v>1770</v>
      </c>
      <c r="BV545" s="5" t="s">
        <v>1770</v>
      </c>
      <c r="BW545" s="5" t="s">
        <v>1770</v>
      </c>
    </row>
    <row r="546" ht="14.25" customHeight="1">
      <c r="A546" s="5">
        <v>545.0</v>
      </c>
      <c r="B546" s="5">
        <v>809.0</v>
      </c>
      <c r="C546" s="5" t="s">
        <v>5705</v>
      </c>
      <c r="D546" s="5" t="s">
        <v>5706</v>
      </c>
      <c r="E546" s="5" t="s">
        <v>1792</v>
      </c>
      <c r="F546" s="5" t="s">
        <v>5707</v>
      </c>
      <c r="G546" s="5" t="s">
        <v>5708</v>
      </c>
      <c r="H546" s="5" t="s">
        <v>1972</v>
      </c>
      <c r="I546" s="5" t="s">
        <v>1782</v>
      </c>
      <c r="J546" s="91">
        <v>37026.0</v>
      </c>
      <c r="K546" s="5">
        <v>549.0</v>
      </c>
      <c r="L546" s="5" t="s">
        <v>5709</v>
      </c>
      <c r="M546" s="5">
        <v>5.0</v>
      </c>
      <c r="N546" s="5"/>
      <c r="O546" s="5">
        <v>43890.0</v>
      </c>
      <c r="P546" s="5" t="s">
        <v>3139</v>
      </c>
      <c r="Q546" s="5" t="s">
        <v>2211</v>
      </c>
      <c r="R546" s="5">
        <v>549.0</v>
      </c>
      <c r="S546" s="5">
        <v>3.931002121E9</v>
      </c>
      <c r="T546" s="5" t="s">
        <v>5710</v>
      </c>
      <c r="U546" s="5" t="s">
        <v>5711</v>
      </c>
      <c r="V546" s="5">
        <v>3.921210228E9</v>
      </c>
      <c r="W546" s="5" t="s">
        <v>1808</v>
      </c>
      <c r="X546" s="91">
        <v>46007.0</v>
      </c>
      <c r="Y546" s="5">
        <v>1.0</v>
      </c>
      <c r="Z546" s="5">
        <v>3.0</v>
      </c>
      <c r="AA546" s="5">
        <v>4.0</v>
      </c>
      <c r="AB546" s="5" t="s">
        <v>5712</v>
      </c>
      <c r="AC546" s="5" t="s">
        <v>1800</v>
      </c>
      <c r="AD546" s="91">
        <v>43844.0</v>
      </c>
      <c r="AE546" s="91">
        <v>45305.0</v>
      </c>
      <c r="AF546" s="5"/>
      <c r="AG546" s="5"/>
      <c r="AH546" s="5">
        <v>7.130110831E9</v>
      </c>
      <c r="AI546" s="5">
        <v>23.0</v>
      </c>
      <c r="AJ546" s="5"/>
      <c r="AK546" s="5" t="s">
        <v>1773</v>
      </c>
      <c r="AL546" s="92">
        <v>0.0</v>
      </c>
      <c r="AM546" s="5" t="s">
        <v>1770</v>
      </c>
      <c r="AN546" s="5" t="s">
        <v>1830</v>
      </c>
      <c r="AO546" s="5"/>
      <c r="AP546" s="5"/>
      <c r="AQ546" s="5"/>
      <c r="AR546" s="5"/>
      <c r="AS546" s="5"/>
      <c r="AT546" s="5"/>
      <c r="AU546" s="5"/>
      <c r="AV546" s="5"/>
      <c r="AW546" s="5" t="s">
        <v>1770</v>
      </c>
      <c r="AX546" s="5"/>
      <c r="AY546" s="5"/>
      <c r="AZ546" s="5" t="s">
        <v>1770</v>
      </c>
      <c r="BA546" s="93">
        <v>0.0</v>
      </c>
      <c r="BB546" s="93">
        <v>0.0</v>
      </c>
      <c r="BC546" s="93">
        <v>0.0</v>
      </c>
      <c r="BD546" s="93">
        <v>0.0</v>
      </c>
      <c r="BE546" s="93">
        <v>0.0</v>
      </c>
      <c r="BF546" s="93">
        <v>0.0</v>
      </c>
      <c r="BG546" s="5"/>
      <c r="BH546" s="93">
        <v>0.0</v>
      </c>
      <c r="BI546" s="93">
        <v>0.0</v>
      </c>
      <c r="BJ546" s="93">
        <v>0.0</v>
      </c>
      <c r="BK546" s="93">
        <v>0.0</v>
      </c>
      <c r="BL546" s="93">
        <v>0.0</v>
      </c>
      <c r="BM546" s="93">
        <v>0.0</v>
      </c>
      <c r="BN546" s="93">
        <v>0.0</v>
      </c>
      <c r="BO546" s="5"/>
      <c r="BP546" s="5"/>
      <c r="BQ546" s="5" t="s">
        <v>1775</v>
      </c>
      <c r="BR546" s="94">
        <v>46031.5340625</v>
      </c>
      <c r="BS546" s="5">
        <v>40.0</v>
      </c>
      <c r="BT546" s="5" t="s">
        <v>1770</v>
      </c>
      <c r="BU546" s="5" t="s">
        <v>1770</v>
      </c>
      <c r="BV546" s="5" t="s">
        <v>1770</v>
      </c>
      <c r="BW546" s="5" t="s">
        <v>1770</v>
      </c>
    </row>
    <row r="547" ht="14.25" customHeight="1">
      <c r="A547" s="5">
        <v>546.0</v>
      </c>
      <c r="B547" s="5">
        <v>810.0</v>
      </c>
      <c r="C547" s="5" t="s">
        <v>5713</v>
      </c>
      <c r="D547" s="5" t="s">
        <v>2067</v>
      </c>
      <c r="E547" s="5" t="s">
        <v>5714</v>
      </c>
      <c r="F547" s="5" t="s">
        <v>5715</v>
      </c>
      <c r="G547" s="5" t="s">
        <v>5716</v>
      </c>
      <c r="H547" s="5" t="s">
        <v>1972</v>
      </c>
      <c r="I547" s="5" t="s">
        <v>1782</v>
      </c>
      <c r="J547" s="91">
        <v>36875.0</v>
      </c>
      <c r="K547" s="5">
        <v>848.0</v>
      </c>
      <c r="L547" s="5" t="s">
        <v>5717</v>
      </c>
      <c r="M547" s="5">
        <v>9.0</v>
      </c>
      <c r="N547" s="5"/>
      <c r="O547" s="5">
        <v>35872.0</v>
      </c>
      <c r="P547" s="5" t="s">
        <v>1797</v>
      </c>
      <c r="Q547" s="5" t="s">
        <v>2406</v>
      </c>
      <c r="R547" s="5">
        <v>424.0</v>
      </c>
      <c r="S547" s="5">
        <v>3.521327485E9</v>
      </c>
      <c r="T547" s="5" t="s">
        <v>5718</v>
      </c>
      <c r="U547" s="5" t="s">
        <v>5719</v>
      </c>
      <c r="V547" s="5">
        <v>4.691329092E9</v>
      </c>
      <c r="W547" s="5" t="s">
        <v>1965</v>
      </c>
      <c r="X547" s="91">
        <v>46034.0</v>
      </c>
      <c r="Y547" s="5">
        <v>2.0</v>
      </c>
      <c r="Z547" s="5">
        <v>4.0</v>
      </c>
      <c r="AA547" s="5">
        <v>115.0</v>
      </c>
      <c r="AB547" s="5"/>
      <c r="AC547" s="5"/>
      <c r="AD547" s="5" t="s">
        <v>1770</v>
      </c>
      <c r="AE547" s="5" t="s">
        <v>1770</v>
      </c>
      <c r="AF547" s="5"/>
      <c r="AG547" s="5"/>
      <c r="AH547" s="5">
        <v>2.4130011091E10</v>
      </c>
      <c r="AI547" s="5">
        <v>9.0</v>
      </c>
      <c r="AJ547" s="5"/>
      <c r="AK547" s="5" t="s">
        <v>1773</v>
      </c>
      <c r="AL547" s="92">
        <v>0.0</v>
      </c>
      <c r="AM547" s="5" t="s">
        <v>1770</v>
      </c>
      <c r="AN547" s="5" t="s">
        <v>1774</v>
      </c>
      <c r="AO547" s="5"/>
      <c r="AP547" s="5"/>
      <c r="AQ547" s="5"/>
      <c r="AR547" s="5"/>
      <c r="AS547" s="5"/>
      <c r="AT547" s="5"/>
      <c r="AU547" s="5"/>
      <c r="AV547" s="5"/>
      <c r="AW547" s="5" t="s">
        <v>1770</v>
      </c>
      <c r="AX547" s="5"/>
      <c r="AY547" s="5"/>
      <c r="AZ547" s="5" t="s">
        <v>1770</v>
      </c>
      <c r="BA547" s="93">
        <v>0.0</v>
      </c>
      <c r="BB547" s="93">
        <v>0.0</v>
      </c>
      <c r="BC547" s="93">
        <v>0.0</v>
      </c>
      <c r="BD547" s="93">
        <v>0.0</v>
      </c>
      <c r="BE547" s="93">
        <v>0.0</v>
      </c>
      <c r="BF547" s="93">
        <v>0.0</v>
      </c>
      <c r="BG547" s="5"/>
      <c r="BH547" s="93">
        <v>0.0</v>
      </c>
      <c r="BI547" s="93">
        <v>0.0</v>
      </c>
      <c r="BJ547" s="93">
        <v>0.0</v>
      </c>
      <c r="BK547" s="93">
        <v>0.0</v>
      </c>
      <c r="BL547" s="93">
        <v>0.0</v>
      </c>
      <c r="BM547" s="93">
        <v>0.0</v>
      </c>
      <c r="BN547" s="93">
        <v>0.0</v>
      </c>
      <c r="BO547" s="5"/>
      <c r="BP547" s="5"/>
      <c r="BQ547" s="5" t="s">
        <v>1775</v>
      </c>
      <c r="BR547" s="94">
        <v>46039.46916666667</v>
      </c>
      <c r="BS547" s="5">
        <v>40.0</v>
      </c>
      <c r="BT547" s="5" t="s">
        <v>1770</v>
      </c>
      <c r="BU547" s="5" t="s">
        <v>1770</v>
      </c>
      <c r="BV547" s="5" t="s">
        <v>1770</v>
      </c>
      <c r="BW547" s="5" t="s">
        <v>1770</v>
      </c>
    </row>
    <row r="548" ht="14.25" customHeight="1">
      <c r="A548" s="5">
        <v>547.0</v>
      </c>
      <c r="B548" s="5">
        <v>811.0</v>
      </c>
      <c r="C548" s="5" t="s">
        <v>2173</v>
      </c>
      <c r="D548" s="5" t="s">
        <v>2534</v>
      </c>
      <c r="E548" s="5" t="s">
        <v>2157</v>
      </c>
      <c r="F548" s="5" t="s">
        <v>5720</v>
      </c>
      <c r="G548" s="5" t="s">
        <v>5721</v>
      </c>
      <c r="H548" s="5" t="s">
        <v>1781</v>
      </c>
      <c r="I548" s="5" t="s">
        <v>1782</v>
      </c>
      <c r="J548" s="91">
        <v>32284.0</v>
      </c>
      <c r="K548" s="5">
        <v>594.0</v>
      </c>
      <c r="L548" s="5" t="s">
        <v>3115</v>
      </c>
      <c r="M548" s="5">
        <v>11.0</v>
      </c>
      <c r="N548" s="5"/>
      <c r="O548" s="5">
        <v>55052.0</v>
      </c>
      <c r="P548" s="5" t="s">
        <v>1797</v>
      </c>
      <c r="Q548" s="5" t="s">
        <v>5722</v>
      </c>
      <c r="R548" s="5">
        <v>887.0</v>
      </c>
      <c r="S548" s="5">
        <v>3.525933985E9</v>
      </c>
      <c r="T548" s="5" t="s">
        <v>5723</v>
      </c>
      <c r="U548" s="5" t="s">
        <v>5724</v>
      </c>
      <c r="V548" s="5">
        <v>3.521638784E9</v>
      </c>
      <c r="W548" s="5" t="s">
        <v>1787</v>
      </c>
      <c r="X548" s="91">
        <v>46034.0</v>
      </c>
      <c r="Y548" s="5">
        <v>3.0</v>
      </c>
      <c r="Z548" s="5">
        <v>19.0</v>
      </c>
      <c r="AA548" s="5">
        <v>81.0</v>
      </c>
      <c r="AB548" s="5" t="s">
        <v>5725</v>
      </c>
      <c r="AC548" s="5" t="s">
        <v>1800</v>
      </c>
      <c r="AD548" s="91">
        <v>46051.0</v>
      </c>
      <c r="AE548" s="91">
        <v>46781.0</v>
      </c>
      <c r="AF548" s="5"/>
      <c r="AG548" s="5"/>
      <c r="AH548" s="5">
        <v>1.2068809933E10</v>
      </c>
      <c r="AI548" s="5">
        <v>77.0</v>
      </c>
      <c r="AJ548" s="5"/>
      <c r="AK548" s="5" t="s">
        <v>1773</v>
      </c>
      <c r="AL548" s="92">
        <v>0.0</v>
      </c>
      <c r="AM548" s="5" t="s">
        <v>1770</v>
      </c>
      <c r="AN548" s="5" t="s">
        <v>3236</v>
      </c>
      <c r="AO548" s="5"/>
      <c r="AP548" s="5"/>
      <c r="AQ548" s="5"/>
      <c r="AR548" s="5"/>
      <c r="AS548" s="5"/>
      <c r="AT548" s="5"/>
      <c r="AU548" s="5"/>
      <c r="AV548" s="5"/>
      <c r="AW548" s="5" t="s">
        <v>1770</v>
      </c>
      <c r="AX548" s="5"/>
      <c r="AY548" s="5"/>
      <c r="AZ548" s="5" t="s">
        <v>1770</v>
      </c>
      <c r="BA548" s="93">
        <v>0.0</v>
      </c>
      <c r="BB548" s="93">
        <v>0.0</v>
      </c>
      <c r="BC548" s="93">
        <v>0.0</v>
      </c>
      <c r="BD548" s="93">
        <v>0.0</v>
      </c>
      <c r="BE548" s="93">
        <v>0.0</v>
      </c>
      <c r="BF548" s="93">
        <v>0.0</v>
      </c>
      <c r="BG548" s="5"/>
      <c r="BH548" s="93">
        <v>0.0</v>
      </c>
      <c r="BI548" s="93">
        <v>0.0</v>
      </c>
      <c r="BJ548" s="93">
        <v>0.0</v>
      </c>
      <c r="BK548" s="93">
        <v>0.0</v>
      </c>
      <c r="BL548" s="93">
        <v>0.0</v>
      </c>
      <c r="BM548" s="93">
        <v>0.0</v>
      </c>
      <c r="BN548" s="93">
        <v>0.0</v>
      </c>
      <c r="BO548" s="5"/>
      <c r="BP548" s="5"/>
      <c r="BQ548" s="5" t="s">
        <v>1775</v>
      </c>
      <c r="BR548" s="94">
        <v>46039.48241898148</v>
      </c>
      <c r="BS548" s="5">
        <v>40.0</v>
      </c>
      <c r="BT548" s="94">
        <v>46064.580300925925</v>
      </c>
      <c r="BU548" s="5">
        <v>40.0</v>
      </c>
      <c r="BV548" s="5" t="s">
        <v>1770</v>
      </c>
      <c r="BW548" s="5" t="s">
        <v>1770</v>
      </c>
    </row>
    <row r="549" ht="14.25" customHeight="1">
      <c r="A549" s="5">
        <v>548.0</v>
      </c>
      <c r="B549" s="5">
        <v>812.0</v>
      </c>
      <c r="C549" s="5" t="s">
        <v>3193</v>
      </c>
      <c r="D549" s="5" t="s">
        <v>5726</v>
      </c>
      <c r="E549" s="5" t="s">
        <v>2551</v>
      </c>
      <c r="F549" s="5" t="s">
        <v>5727</v>
      </c>
      <c r="G549" s="5" t="s">
        <v>5728</v>
      </c>
      <c r="H549" s="5" t="s">
        <v>3372</v>
      </c>
      <c r="I549" s="5" t="s">
        <v>1782</v>
      </c>
      <c r="J549" s="91">
        <v>29596.0</v>
      </c>
      <c r="K549" s="5">
        <v>889.0</v>
      </c>
      <c r="L549" s="5" t="s">
        <v>5729</v>
      </c>
      <c r="M549" s="5">
        <v>227.0</v>
      </c>
      <c r="N549" s="5"/>
      <c r="O549" s="5">
        <v>55191.0</v>
      </c>
      <c r="P549" s="5" t="s">
        <v>4045</v>
      </c>
      <c r="Q549" s="5" t="s">
        <v>234</v>
      </c>
      <c r="R549" s="5">
        <v>850.0</v>
      </c>
      <c r="S549" s="5">
        <v>3.522098885E9</v>
      </c>
      <c r="T549" s="5" t="s">
        <v>5730</v>
      </c>
      <c r="U549" s="5" t="s">
        <v>5731</v>
      </c>
      <c r="V549" s="5">
        <v>3.525615987E9</v>
      </c>
      <c r="W549" s="5" t="s">
        <v>2610</v>
      </c>
      <c r="X549" s="91">
        <v>46034.0</v>
      </c>
      <c r="Y549" s="5">
        <v>2.0</v>
      </c>
      <c r="Z549" s="5">
        <v>4.0</v>
      </c>
      <c r="AA549" s="5">
        <v>12.0</v>
      </c>
      <c r="AB549" s="5"/>
      <c r="AC549" s="5"/>
      <c r="AD549" s="5" t="s">
        <v>1770</v>
      </c>
      <c r="AE549" s="5" t="s">
        <v>1770</v>
      </c>
      <c r="AF549" s="5"/>
      <c r="AG549" s="5"/>
      <c r="AH549" s="5">
        <v>5.3008121948E10</v>
      </c>
      <c r="AI549" s="5">
        <v>9.0</v>
      </c>
      <c r="AJ549" s="5"/>
      <c r="AK549" s="5" t="s">
        <v>1773</v>
      </c>
      <c r="AL549" s="92">
        <v>0.0</v>
      </c>
      <c r="AM549" s="5" t="s">
        <v>1770</v>
      </c>
      <c r="AN549" s="5" t="s">
        <v>1774</v>
      </c>
      <c r="AO549" s="5"/>
      <c r="AP549" s="5"/>
      <c r="AQ549" s="5"/>
      <c r="AR549" s="5"/>
      <c r="AS549" s="5"/>
      <c r="AT549" s="5"/>
      <c r="AU549" s="5"/>
      <c r="AV549" s="5"/>
      <c r="AW549" s="5" t="s">
        <v>1770</v>
      </c>
      <c r="AX549" s="5"/>
      <c r="AY549" s="5"/>
      <c r="AZ549" s="5" t="s">
        <v>1770</v>
      </c>
      <c r="BA549" s="93">
        <v>0.0</v>
      </c>
      <c r="BB549" s="93">
        <v>0.0</v>
      </c>
      <c r="BC549" s="93">
        <v>0.0</v>
      </c>
      <c r="BD549" s="93">
        <v>0.0</v>
      </c>
      <c r="BE549" s="93">
        <v>0.0</v>
      </c>
      <c r="BF549" s="93">
        <v>0.0</v>
      </c>
      <c r="BG549" s="5"/>
      <c r="BH549" s="93">
        <v>0.0</v>
      </c>
      <c r="BI549" s="93">
        <v>0.0</v>
      </c>
      <c r="BJ549" s="93">
        <v>0.0</v>
      </c>
      <c r="BK549" s="93">
        <v>0.0</v>
      </c>
      <c r="BL549" s="93">
        <v>0.0</v>
      </c>
      <c r="BM549" s="93">
        <v>0.0</v>
      </c>
      <c r="BN549" s="93">
        <v>0.0</v>
      </c>
      <c r="BO549" s="5"/>
      <c r="BP549" s="5"/>
      <c r="BQ549" s="5" t="s">
        <v>1789</v>
      </c>
      <c r="BR549" s="94">
        <v>46039.51</v>
      </c>
      <c r="BS549" s="5">
        <v>40.0</v>
      </c>
      <c r="BT549" s="5" t="s">
        <v>1770</v>
      </c>
      <c r="BU549" s="5" t="s">
        <v>1770</v>
      </c>
      <c r="BV549" s="94">
        <v>46084.483923611115</v>
      </c>
      <c r="BW549" s="5">
        <v>40.0</v>
      </c>
    </row>
    <row r="550" ht="14.25" customHeight="1">
      <c r="A550" s="5">
        <v>549.0</v>
      </c>
      <c r="B550" s="5">
        <v>813.0</v>
      </c>
      <c r="C550" s="5" t="s">
        <v>2018</v>
      </c>
      <c r="D550" s="5" t="s">
        <v>3121</v>
      </c>
      <c r="E550" s="5" t="s">
        <v>2005</v>
      </c>
      <c r="F550" s="5" t="s">
        <v>5732</v>
      </c>
      <c r="G550" s="5" t="s">
        <v>5733</v>
      </c>
      <c r="H550" s="5" t="s">
        <v>1781</v>
      </c>
      <c r="I550" s="5" t="s">
        <v>1782</v>
      </c>
      <c r="J550" s="91">
        <v>34130.0</v>
      </c>
      <c r="K550" s="5">
        <v>850.0</v>
      </c>
      <c r="L550" s="5" t="s">
        <v>5328</v>
      </c>
      <c r="M550" s="5">
        <v>90.0</v>
      </c>
      <c r="N550" s="5"/>
      <c r="O550" s="5">
        <v>55181.0</v>
      </c>
      <c r="P550" s="5" t="s">
        <v>5734</v>
      </c>
      <c r="Q550" s="5" t="s">
        <v>234</v>
      </c>
      <c r="R550" s="5">
        <v>850.0</v>
      </c>
      <c r="S550" s="5">
        <v>3.521530017E9</v>
      </c>
      <c r="T550" s="5" t="s">
        <v>5735</v>
      </c>
      <c r="U550" s="5" t="s">
        <v>5736</v>
      </c>
      <c r="V550" s="5">
        <v>3.521133727E9</v>
      </c>
      <c r="W550" s="5" t="s">
        <v>1787</v>
      </c>
      <c r="X550" s="91">
        <v>46034.0</v>
      </c>
      <c r="Y550" s="5">
        <v>3.0</v>
      </c>
      <c r="Z550" s="5">
        <v>18.0</v>
      </c>
      <c r="AA550" s="5">
        <v>101.0</v>
      </c>
      <c r="AB550" s="5" t="s">
        <v>5737</v>
      </c>
      <c r="AC550" s="5" t="s">
        <v>1772</v>
      </c>
      <c r="AD550" s="91">
        <v>44518.0</v>
      </c>
      <c r="AE550" s="91">
        <v>48170.0</v>
      </c>
      <c r="AF550" s="5"/>
      <c r="AG550" s="5"/>
      <c r="AH550" s="5">
        <v>3.239314077E9</v>
      </c>
      <c r="AI550" s="5">
        <v>77.0</v>
      </c>
      <c r="AJ550" s="5"/>
      <c r="AK550" s="5" t="s">
        <v>1773</v>
      </c>
      <c r="AL550" s="92">
        <v>0.0</v>
      </c>
      <c r="AM550" s="5" t="s">
        <v>1770</v>
      </c>
      <c r="AN550" s="5" t="s">
        <v>1830</v>
      </c>
      <c r="AO550" s="5"/>
      <c r="AP550" s="5"/>
      <c r="AQ550" s="5"/>
      <c r="AR550" s="5"/>
      <c r="AS550" s="5"/>
      <c r="AT550" s="5"/>
      <c r="AU550" s="5"/>
      <c r="AV550" s="5"/>
      <c r="AW550" s="5" t="s">
        <v>1770</v>
      </c>
      <c r="AX550" s="5"/>
      <c r="AY550" s="5"/>
      <c r="AZ550" s="5" t="s">
        <v>1770</v>
      </c>
      <c r="BA550" s="93">
        <v>0.0</v>
      </c>
      <c r="BB550" s="93">
        <v>0.0</v>
      </c>
      <c r="BC550" s="93">
        <v>0.0</v>
      </c>
      <c r="BD550" s="93">
        <v>0.0</v>
      </c>
      <c r="BE550" s="93">
        <v>0.0</v>
      </c>
      <c r="BF550" s="93">
        <v>0.0</v>
      </c>
      <c r="BG550" s="5"/>
      <c r="BH550" s="93">
        <v>0.0</v>
      </c>
      <c r="BI550" s="93">
        <v>0.0</v>
      </c>
      <c r="BJ550" s="93">
        <v>0.0</v>
      </c>
      <c r="BK550" s="93">
        <v>0.0</v>
      </c>
      <c r="BL550" s="93">
        <v>0.0</v>
      </c>
      <c r="BM550" s="93">
        <v>0.0</v>
      </c>
      <c r="BN550" s="93">
        <v>0.0</v>
      </c>
      <c r="BO550" s="5"/>
      <c r="BP550" s="5"/>
      <c r="BQ550" s="5" t="s">
        <v>1775</v>
      </c>
      <c r="BR550" s="94">
        <v>46039.51876157407</v>
      </c>
      <c r="BS550" s="5">
        <v>40.0</v>
      </c>
      <c r="BT550" s="5" t="s">
        <v>1770</v>
      </c>
      <c r="BU550" s="5" t="s">
        <v>1770</v>
      </c>
      <c r="BV550" s="5" t="s">
        <v>1770</v>
      </c>
      <c r="BW550" s="5" t="s">
        <v>1770</v>
      </c>
    </row>
    <row r="551" ht="14.25" customHeight="1">
      <c r="A551" s="5">
        <v>550.0</v>
      </c>
      <c r="B551" s="5">
        <v>816.0</v>
      </c>
      <c r="C551" s="5" t="s">
        <v>5738</v>
      </c>
      <c r="D551" s="5" t="s">
        <v>2036</v>
      </c>
      <c r="E551" s="5" t="s">
        <v>1792</v>
      </c>
      <c r="F551" s="5" t="s">
        <v>5739</v>
      </c>
      <c r="G551" s="5" t="s">
        <v>5740</v>
      </c>
      <c r="H551" s="5" t="s">
        <v>1781</v>
      </c>
      <c r="I551" s="5" t="s">
        <v>1782</v>
      </c>
      <c r="J551" s="91">
        <v>33349.0</v>
      </c>
      <c r="K551" s="5">
        <v>94.0</v>
      </c>
      <c r="L551" s="5" t="s">
        <v>4367</v>
      </c>
      <c r="M551" s="5">
        <v>133.0</v>
      </c>
      <c r="N551" s="5"/>
      <c r="O551" s="5">
        <v>49692.0</v>
      </c>
      <c r="P551" s="5" t="s">
        <v>5741</v>
      </c>
      <c r="Q551" s="5" t="s">
        <v>5742</v>
      </c>
      <c r="R551" s="5">
        <v>886.0</v>
      </c>
      <c r="S551" s="5">
        <v>3.517471247E9</v>
      </c>
      <c r="T551" s="5" t="s">
        <v>5743</v>
      </c>
      <c r="U551" s="5" t="s">
        <v>5744</v>
      </c>
      <c r="V551" s="5">
        <v>3.939334308E9</v>
      </c>
      <c r="W551" s="5" t="s">
        <v>1787</v>
      </c>
      <c r="X551" s="91">
        <v>46038.0</v>
      </c>
      <c r="Y551" s="5" t="s">
        <v>1770</v>
      </c>
      <c r="Z551" s="5">
        <v>17.0</v>
      </c>
      <c r="AA551" s="5">
        <v>7.0</v>
      </c>
      <c r="AB551" s="5" t="s">
        <v>5745</v>
      </c>
      <c r="AC551" s="5" t="s">
        <v>1800</v>
      </c>
      <c r="AD551" s="91">
        <v>45460.0</v>
      </c>
      <c r="AE551" s="91">
        <v>46921.0</v>
      </c>
      <c r="AF551" s="5"/>
      <c r="AG551" s="5"/>
      <c r="AH551" s="5">
        <v>1.714918946E10</v>
      </c>
      <c r="AI551" s="5">
        <v>23.0</v>
      </c>
      <c r="AJ551" s="5"/>
      <c r="AK551" s="5" t="s">
        <v>1773</v>
      </c>
      <c r="AL551" s="92">
        <v>0.0</v>
      </c>
      <c r="AM551" s="5" t="s">
        <v>1770</v>
      </c>
      <c r="AN551" s="5" t="s">
        <v>1830</v>
      </c>
      <c r="AO551" s="5"/>
      <c r="AP551" s="5"/>
      <c r="AQ551" s="5"/>
      <c r="AR551" s="5"/>
      <c r="AS551" s="5"/>
      <c r="AT551" s="5"/>
      <c r="AU551" s="5"/>
      <c r="AV551" s="5"/>
      <c r="AW551" s="5" t="s">
        <v>1770</v>
      </c>
      <c r="AX551" s="5"/>
      <c r="AY551" s="5"/>
      <c r="AZ551" s="5" t="s">
        <v>1770</v>
      </c>
      <c r="BA551" s="93">
        <v>0.0</v>
      </c>
      <c r="BB551" s="93">
        <v>0.0</v>
      </c>
      <c r="BC551" s="93">
        <v>0.0</v>
      </c>
      <c r="BD551" s="93">
        <v>0.0</v>
      </c>
      <c r="BE551" s="93">
        <v>0.0</v>
      </c>
      <c r="BF551" s="93">
        <v>0.0</v>
      </c>
      <c r="BG551" s="5"/>
      <c r="BH551" s="93">
        <v>0.0</v>
      </c>
      <c r="BI551" s="93">
        <v>0.0</v>
      </c>
      <c r="BJ551" s="93">
        <v>0.0</v>
      </c>
      <c r="BK551" s="93">
        <v>0.0</v>
      </c>
      <c r="BL551" s="93">
        <v>0.0</v>
      </c>
      <c r="BM551" s="93">
        <v>0.0</v>
      </c>
      <c r="BN551" s="93">
        <v>0.0</v>
      </c>
      <c r="BO551" s="5"/>
      <c r="BP551" s="5"/>
      <c r="BQ551" s="5" t="s">
        <v>1775</v>
      </c>
      <c r="BR551" s="94">
        <v>46039.537824074076</v>
      </c>
      <c r="BS551" s="5">
        <v>40.0</v>
      </c>
      <c r="BT551" s="94">
        <v>46043.43471064815</v>
      </c>
      <c r="BU551" s="5">
        <v>40.0</v>
      </c>
      <c r="BV551" s="5" t="s">
        <v>1770</v>
      </c>
      <c r="BW551" s="5" t="s">
        <v>1770</v>
      </c>
    </row>
    <row r="552" ht="14.25" customHeight="1">
      <c r="A552" s="5">
        <v>551.0</v>
      </c>
      <c r="B552" s="5">
        <v>814.0</v>
      </c>
      <c r="C552" s="5" t="s">
        <v>5746</v>
      </c>
      <c r="D552" s="5" t="s">
        <v>2788</v>
      </c>
      <c r="E552" s="5" t="s">
        <v>2813</v>
      </c>
      <c r="F552" s="5" t="s">
        <v>5747</v>
      </c>
      <c r="G552" s="5" t="s">
        <v>5748</v>
      </c>
      <c r="H552" s="5" t="s">
        <v>1781</v>
      </c>
      <c r="I552" s="5" t="s">
        <v>1782</v>
      </c>
      <c r="J552" s="91">
        <v>32661.0</v>
      </c>
      <c r="K552" s="5">
        <v>886.0</v>
      </c>
      <c r="L552" s="5" t="s">
        <v>5749</v>
      </c>
      <c r="M552" s="5">
        <v>36.0</v>
      </c>
      <c r="N552" s="5"/>
      <c r="O552" s="5">
        <v>55002.0</v>
      </c>
      <c r="P552" s="5" t="s">
        <v>3139</v>
      </c>
      <c r="Q552" s="100" t="s">
        <v>3651</v>
      </c>
      <c r="R552" s="5">
        <v>886.0</v>
      </c>
      <c r="S552" s="5">
        <v>3.931677917E9</v>
      </c>
      <c r="T552" s="5" t="s">
        <v>5750</v>
      </c>
      <c r="U552" s="5" t="s">
        <v>5751</v>
      </c>
      <c r="V552" s="5">
        <v>3.315852908E9</v>
      </c>
      <c r="W552" s="5" t="s">
        <v>1965</v>
      </c>
      <c r="X552" s="91">
        <v>46038.0</v>
      </c>
      <c r="Y552" s="5">
        <v>1.0</v>
      </c>
      <c r="Z552" s="5">
        <v>3.0</v>
      </c>
      <c r="AA552" s="5">
        <v>58.0</v>
      </c>
      <c r="AB552" s="5" t="s">
        <v>5752</v>
      </c>
      <c r="AC552" s="5" t="s">
        <v>1772</v>
      </c>
      <c r="AD552" s="91">
        <v>44553.0</v>
      </c>
      <c r="AE552" s="91">
        <v>48205.0</v>
      </c>
      <c r="AF552" s="5"/>
      <c r="AG552" s="5"/>
      <c r="AH552" s="5">
        <v>2.178961591E9</v>
      </c>
      <c r="AI552" s="5">
        <v>23.0</v>
      </c>
      <c r="AJ552" s="5"/>
      <c r="AK552" s="5" t="s">
        <v>1773</v>
      </c>
      <c r="AL552" s="92">
        <v>0.0</v>
      </c>
      <c r="AM552" s="5" t="s">
        <v>1770</v>
      </c>
      <c r="AN552" s="5" t="s">
        <v>5753</v>
      </c>
      <c r="AO552" s="5"/>
      <c r="AP552" s="5"/>
      <c r="AQ552" s="5"/>
      <c r="AR552" s="5"/>
      <c r="AS552" s="5"/>
      <c r="AT552" s="5"/>
      <c r="AU552" s="5"/>
      <c r="AV552" s="5"/>
      <c r="AW552" s="5" t="s">
        <v>1770</v>
      </c>
      <c r="AX552" s="5"/>
      <c r="AY552" s="5"/>
      <c r="AZ552" s="5" t="s">
        <v>1770</v>
      </c>
      <c r="BA552" s="93">
        <v>0.0</v>
      </c>
      <c r="BB552" s="93">
        <v>0.0</v>
      </c>
      <c r="BC552" s="93">
        <v>0.0</v>
      </c>
      <c r="BD552" s="93">
        <v>0.0</v>
      </c>
      <c r="BE552" s="93">
        <v>0.0</v>
      </c>
      <c r="BF552" s="93">
        <v>0.0</v>
      </c>
      <c r="BG552" s="5"/>
      <c r="BH552" s="93">
        <v>0.0</v>
      </c>
      <c r="BI552" s="93">
        <v>0.0</v>
      </c>
      <c r="BJ552" s="93">
        <v>0.0</v>
      </c>
      <c r="BK552" s="93">
        <v>0.0</v>
      </c>
      <c r="BL552" s="93">
        <v>0.0</v>
      </c>
      <c r="BM552" s="93">
        <v>0.0</v>
      </c>
      <c r="BN552" s="93">
        <v>0.0</v>
      </c>
      <c r="BO552" s="5"/>
      <c r="BP552" s="5"/>
      <c r="BQ552" s="5" t="s">
        <v>1775</v>
      </c>
      <c r="BR552" s="94">
        <v>46039.545</v>
      </c>
      <c r="BS552" s="5">
        <v>40.0</v>
      </c>
      <c r="BT552" s="5" t="s">
        <v>1770</v>
      </c>
      <c r="BU552" s="5" t="s">
        <v>1770</v>
      </c>
      <c r="BV552" s="5" t="s">
        <v>1770</v>
      </c>
      <c r="BW552" s="5" t="s">
        <v>1770</v>
      </c>
    </row>
    <row r="553" ht="14.25" customHeight="1">
      <c r="A553" s="5">
        <v>552.0</v>
      </c>
      <c r="B553" s="5">
        <v>815.0</v>
      </c>
      <c r="C553" s="5" t="s">
        <v>5754</v>
      </c>
      <c r="D553" s="5" t="s">
        <v>5755</v>
      </c>
      <c r="E553" s="5" t="s">
        <v>3561</v>
      </c>
      <c r="F553" s="5" t="s">
        <v>5756</v>
      </c>
      <c r="G553" s="5" t="s">
        <v>5757</v>
      </c>
      <c r="H553" s="5" t="s">
        <v>1815</v>
      </c>
      <c r="I553" s="5" t="s">
        <v>1763</v>
      </c>
      <c r="J553" s="91">
        <v>35871.0</v>
      </c>
      <c r="K553" s="5">
        <v>850.0</v>
      </c>
      <c r="L553" s="5" t="s">
        <v>5758</v>
      </c>
      <c r="M553" s="5">
        <v>96.0</v>
      </c>
      <c r="N553" s="5"/>
      <c r="O553" s="5">
        <v>43862.0</v>
      </c>
      <c r="P553" s="5" t="s">
        <v>4092</v>
      </c>
      <c r="Q553" s="5" t="s">
        <v>2179</v>
      </c>
      <c r="R553" s="5">
        <v>594.0</v>
      </c>
      <c r="S553" s="5">
        <v>3.921263731E9</v>
      </c>
      <c r="T553" s="5" t="s">
        <v>5759</v>
      </c>
      <c r="U553" s="5" t="s">
        <v>5760</v>
      </c>
      <c r="V553" s="5">
        <v>3.921263726E9</v>
      </c>
      <c r="W553" s="5" t="s">
        <v>1819</v>
      </c>
      <c r="X553" s="91">
        <v>46038.0</v>
      </c>
      <c r="Y553" s="5">
        <v>1.0</v>
      </c>
      <c r="Z553" s="5">
        <v>17.0</v>
      </c>
      <c r="AA553" s="5">
        <v>92.0</v>
      </c>
      <c r="AB553" s="5"/>
      <c r="AC553" s="5"/>
      <c r="AD553" s="5" t="s">
        <v>1770</v>
      </c>
      <c r="AE553" s="5" t="s">
        <v>1770</v>
      </c>
      <c r="AF553" s="5"/>
      <c r="AG553" s="5"/>
      <c r="AH553" s="5">
        <v>4.8169879946E10</v>
      </c>
      <c r="AI553" s="5">
        <v>23.0</v>
      </c>
      <c r="AJ553" s="5"/>
      <c r="AK553" s="5" t="s">
        <v>1773</v>
      </c>
      <c r="AL553" s="92">
        <v>0.0</v>
      </c>
      <c r="AM553" s="5" t="s">
        <v>1770</v>
      </c>
      <c r="AN553" s="5" t="s">
        <v>1830</v>
      </c>
      <c r="AO553" s="5"/>
      <c r="AP553" s="5"/>
      <c r="AQ553" s="5"/>
      <c r="AR553" s="5"/>
      <c r="AS553" s="5"/>
      <c r="AT553" s="5"/>
      <c r="AU553" s="5"/>
      <c r="AV553" s="5"/>
      <c r="AW553" s="5" t="s">
        <v>1770</v>
      </c>
      <c r="AX553" s="5"/>
      <c r="AY553" s="5"/>
      <c r="AZ553" s="5" t="s">
        <v>1770</v>
      </c>
      <c r="BA553" s="93">
        <v>0.0</v>
      </c>
      <c r="BB553" s="93">
        <v>0.0</v>
      </c>
      <c r="BC553" s="93">
        <v>0.0</v>
      </c>
      <c r="BD553" s="93">
        <v>0.0</v>
      </c>
      <c r="BE553" s="93">
        <v>0.0</v>
      </c>
      <c r="BF553" s="93">
        <v>0.0</v>
      </c>
      <c r="BG553" s="5"/>
      <c r="BH553" s="93">
        <v>0.0</v>
      </c>
      <c r="BI553" s="93">
        <v>0.0</v>
      </c>
      <c r="BJ553" s="93">
        <v>0.0</v>
      </c>
      <c r="BK553" s="93">
        <v>0.0</v>
      </c>
      <c r="BL553" s="93">
        <v>0.0</v>
      </c>
      <c r="BM553" s="93">
        <v>0.0</v>
      </c>
      <c r="BN553" s="93">
        <v>0.0</v>
      </c>
      <c r="BO553" s="5"/>
      <c r="BP553" s="5"/>
      <c r="BQ553" s="5" t="s">
        <v>1789</v>
      </c>
      <c r="BR553" s="94">
        <v>46039.55583333333</v>
      </c>
      <c r="BS553" s="5">
        <v>40.0</v>
      </c>
      <c r="BT553" s="5" t="s">
        <v>1770</v>
      </c>
      <c r="BU553" s="5" t="s">
        <v>1770</v>
      </c>
      <c r="BV553" s="94">
        <v>46122.424791666665</v>
      </c>
      <c r="BW553" s="5">
        <v>40.0</v>
      </c>
    </row>
    <row r="554" ht="14.25" customHeight="1">
      <c r="A554" s="5">
        <v>553.0</v>
      </c>
      <c r="B554" s="5">
        <v>817.0</v>
      </c>
      <c r="C554" s="5" t="s">
        <v>5761</v>
      </c>
      <c r="D554" s="5" t="s">
        <v>5762</v>
      </c>
      <c r="E554" s="5" t="s">
        <v>2157</v>
      </c>
      <c r="F554" s="5" t="s">
        <v>5763</v>
      </c>
      <c r="G554" s="5" t="s">
        <v>5764</v>
      </c>
      <c r="H554" s="5" t="s">
        <v>1781</v>
      </c>
      <c r="I554" s="5" t="s">
        <v>1782</v>
      </c>
      <c r="J554" s="91">
        <v>36362.0</v>
      </c>
      <c r="K554" s="5">
        <v>269.0</v>
      </c>
      <c r="L554" s="5" t="s">
        <v>3878</v>
      </c>
      <c r="M554" s="5">
        <v>354.0</v>
      </c>
      <c r="N554" s="5"/>
      <c r="O554" s="5">
        <v>55002.0</v>
      </c>
      <c r="P554" s="5" t="s">
        <v>1797</v>
      </c>
      <c r="Q554" s="5" t="s">
        <v>1974</v>
      </c>
      <c r="R554" s="5">
        <v>886.0</v>
      </c>
      <c r="S554" s="5">
        <v>3.931055082E9</v>
      </c>
      <c r="T554" s="5" t="s">
        <v>5765</v>
      </c>
      <c r="U554" s="5" t="s">
        <v>5766</v>
      </c>
      <c r="V554" s="5">
        <v>3.281090715E9</v>
      </c>
      <c r="W554" s="5" t="s">
        <v>1787</v>
      </c>
      <c r="X554" s="91">
        <v>46038.0</v>
      </c>
      <c r="Y554" s="5">
        <v>1.0</v>
      </c>
      <c r="Z554" s="5">
        <v>17.0</v>
      </c>
      <c r="AA554" s="5">
        <v>90.0</v>
      </c>
      <c r="AB554" s="5" t="s">
        <v>5767</v>
      </c>
      <c r="AC554" s="5" t="s">
        <v>1772</v>
      </c>
      <c r="AD554" s="91">
        <v>45587.0</v>
      </c>
      <c r="AE554" s="91">
        <v>49239.0</v>
      </c>
      <c r="AF554" s="5"/>
      <c r="AG554" s="5"/>
      <c r="AH554" s="5">
        <v>6.8169905921E10</v>
      </c>
      <c r="AI554" s="5">
        <v>23.0</v>
      </c>
      <c r="AJ554" s="5"/>
      <c r="AK554" s="5" t="s">
        <v>1773</v>
      </c>
      <c r="AL554" s="92">
        <v>0.0</v>
      </c>
      <c r="AM554" s="5" t="s">
        <v>1770</v>
      </c>
      <c r="AN554" s="5" t="s">
        <v>1774</v>
      </c>
      <c r="AO554" s="5"/>
      <c r="AP554" s="5"/>
      <c r="AQ554" s="5"/>
      <c r="AR554" s="5"/>
      <c r="AS554" s="5"/>
      <c r="AT554" s="5"/>
      <c r="AU554" s="5"/>
      <c r="AV554" s="5"/>
      <c r="AW554" s="5" t="s">
        <v>1770</v>
      </c>
      <c r="AX554" s="5"/>
      <c r="AY554" s="5"/>
      <c r="AZ554" s="5" t="s">
        <v>1770</v>
      </c>
      <c r="BA554" s="93">
        <v>0.0</v>
      </c>
      <c r="BB554" s="93">
        <v>0.0</v>
      </c>
      <c r="BC554" s="93">
        <v>0.0</v>
      </c>
      <c r="BD554" s="93">
        <v>0.0</v>
      </c>
      <c r="BE554" s="93">
        <v>0.0</v>
      </c>
      <c r="BF554" s="93">
        <v>0.0</v>
      </c>
      <c r="BG554" s="5"/>
      <c r="BH554" s="93">
        <v>0.0</v>
      </c>
      <c r="BI554" s="93">
        <v>0.0</v>
      </c>
      <c r="BJ554" s="93">
        <v>0.0</v>
      </c>
      <c r="BK554" s="93">
        <v>0.0</v>
      </c>
      <c r="BL554" s="93">
        <v>0.0</v>
      </c>
      <c r="BM554" s="93">
        <v>0.0</v>
      </c>
      <c r="BN554" s="93">
        <v>0.0</v>
      </c>
      <c r="BO554" s="5"/>
      <c r="BP554" s="5"/>
      <c r="BQ554" s="5" t="s">
        <v>1789</v>
      </c>
      <c r="BR554" s="94">
        <v>46039.56334490741</v>
      </c>
      <c r="BS554" s="5">
        <v>40.0</v>
      </c>
      <c r="BT554" s="5" t="s">
        <v>1770</v>
      </c>
      <c r="BU554" s="5" t="s">
        <v>1770</v>
      </c>
      <c r="BV554" s="94">
        <v>46063.614907407406</v>
      </c>
      <c r="BW554" s="5">
        <v>40.0</v>
      </c>
    </row>
    <row r="555" ht="14.25" customHeight="1">
      <c r="A555" s="5">
        <v>554.0</v>
      </c>
      <c r="B555" s="5">
        <v>818.0</v>
      </c>
      <c r="C555" s="5" t="s">
        <v>5768</v>
      </c>
      <c r="D555" s="5" t="s">
        <v>2382</v>
      </c>
      <c r="E555" s="5" t="s">
        <v>2512</v>
      </c>
      <c r="F555" s="5" t="s">
        <v>5769</v>
      </c>
      <c r="G555" s="5" t="s">
        <v>5770</v>
      </c>
      <c r="H555" s="5" t="s">
        <v>1972</v>
      </c>
      <c r="I555" s="5" t="s">
        <v>1782</v>
      </c>
      <c r="J555" s="91">
        <v>37012.0</v>
      </c>
      <c r="K555" s="5">
        <v>891.0</v>
      </c>
      <c r="L555" s="5" t="s">
        <v>5771</v>
      </c>
      <c r="M555" s="5">
        <v>633.0</v>
      </c>
      <c r="N555" s="5"/>
      <c r="O555" s="5">
        <v>54747.0</v>
      </c>
      <c r="P555" s="5" t="s">
        <v>5772</v>
      </c>
      <c r="Q555" s="5" t="s">
        <v>5773</v>
      </c>
      <c r="R555" s="5">
        <v>891.0</v>
      </c>
      <c r="S555" s="5">
        <v>4.777985078E9</v>
      </c>
      <c r="T555" s="5" t="s">
        <v>5774</v>
      </c>
      <c r="U555" s="5" t="s">
        <v>5775</v>
      </c>
      <c r="V555" s="5">
        <v>4.431647251E9</v>
      </c>
      <c r="W555" s="5" t="s">
        <v>1808</v>
      </c>
      <c r="X555" s="91">
        <v>46038.0</v>
      </c>
      <c r="Y555" s="5">
        <v>4.0</v>
      </c>
      <c r="Z555" s="5">
        <v>4.0</v>
      </c>
      <c r="AA555" s="5">
        <v>39.0</v>
      </c>
      <c r="AB555" s="5" t="s">
        <v>5776</v>
      </c>
      <c r="AC555" s="5" t="s">
        <v>1800</v>
      </c>
      <c r="AD555" s="91">
        <v>46035.0</v>
      </c>
      <c r="AE555" s="91">
        <v>46765.0</v>
      </c>
      <c r="AF555" s="5"/>
      <c r="AG555" s="5"/>
      <c r="AH555" s="5">
        <v>7.160192014E9</v>
      </c>
      <c r="AI555" s="5">
        <v>80.0</v>
      </c>
      <c r="AJ555" s="5"/>
      <c r="AK555" s="5" t="s">
        <v>1773</v>
      </c>
      <c r="AL555" s="92">
        <v>0.0</v>
      </c>
      <c r="AM555" s="5" t="s">
        <v>1770</v>
      </c>
      <c r="AN555" s="5" t="s">
        <v>1830</v>
      </c>
      <c r="AO555" s="5"/>
      <c r="AP555" s="5"/>
      <c r="AQ555" s="5"/>
      <c r="AR555" s="5"/>
      <c r="AS555" s="5"/>
      <c r="AT555" s="5"/>
      <c r="AU555" s="5"/>
      <c r="AV555" s="5"/>
      <c r="AW555" s="5" t="s">
        <v>1770</v>
      </c>
      <c r="AX555" s="5"/>
      <c r="AY555" s="5"/>
      <c r="AZ555" s="5" t="s">
        <v>1770</v>
      </c>
      <c r="BA555" s="93">
        <v>0.0</v>
      </c>
      <c r="BB555" s="93">
        <v>0.0</v>
      </c>
      <c r="BC555" s="93">
        <v>0.0</v>
      </c>
      <c r="BD555" s="93">
        <v>0.0</v>
      </c>
      <c r="BE555" s="93">
        <v>0.0</v>
      </c>
      <c r="BF555" s="93">
        <v>0.0</v>
      </c>
      <c r="BG555" s="5"/>
      <c r="BH555" s="93">
        <v>0.0</v>
      </c>
      <c r="BI555" s="93">
        <v>0.0</v>
      </c>
      <c r="BJ555" s="93">
        <v>0.0</v>
      </c>
      <c r="BK555" s="93">
        <v>0.0</v>
      </c>
      <c r="BL555" s="93">
        <v>0.0</v>
      </c>
      <c r="BM555" s="93">
        <v>0.0</v>
      </c>
      <c r="BN555" s="93">
        <v>0.0</v>
      </c>
      <c r="BO555" s="5"/>
      <c r="BP555" s="5"/>
      <c r="BQ555" s="5" t="s">
        <v>1775</v>
      </c>
      <c r="BR555" s="94">
        <v>46039.57083333333</v>
      </c>
      <c r="BS555" s="5">
        <v>40.0</v>
      </c>
      <c r="BT555" s="5" t="s">
        <v>1770</v>
      </c>
      <c r="BU555" s="5" t="s">
        <v>1770</v>
      </c>
      <c r="BV555" s="5" t="s">
        <v>1770</v>
      </c>
      <c r="BW555" s="5" t="s">
        <v>1770</v>
      </c>
    </row>
    <row r="556" ht="14.25" customHeight="1">
      <c r="A556" s="5">
        <v>555.0</v>
      </c>
      <c r="B556" s="5">
        <v>819.0</v>
      </c>
      <c r="C556" s="5" t="s">
        <v>1790</v>
      </c>
      <c r="D556" s="5" t="s">
        <v>4914</v>
      </c>
      <c r="E556" s="5" t="s">
        <v>3267</v>
      </c>
      <c r="F556" s="5" t="s">
        <v>5777</v>
      </c>
      <c r="G556" s="5" t="s">
        <v>5778</v>
      </c>
      <c r="H556" s="5" t="s">
        <v>1972</v>
      </c>
      <c r="I556" s="5" t="s">
        <v>1782</v>
      </c>
      <c r="J556" s="91">
        <v>35972.0</v>
      </c>
      <c r="K556" s="5">
        <v>834.0</v>
      </c>
      <c r="L556" s="5" t="s">
        <v>5779</v>
      </c>
      <c r="M556" s="5" t="s">
        <v>2913</v>
      </c>
      <c r="N556" s="5"/>
      <c r="O556" s="5">
        <v>54693.0</v>
      </c>
      <c r="P556" s="5" t="s">
        <v>1797</v>
      </c>
      <c r="Q556" s="5" t="s">
        <v>5780</v>
      </c>
      <c r="R556" s="5">
        <v>869.0</v>
      </c>
      <c r="S556" s="5">
        <v>4.431269769E9</v>
      </c>
      <c r="T556" s="5" t="s">
        <v>5781</v>
      </c>
      <c r="U556" s="5" t="s">
        <v>5782</v>
      </c>
      <c r="V556" s="5">
        <v>4.434007082E9</v>
      </c>
      <c r="W556" s="5" t="s">
        <v>1819</v>
      </c>
      <c r="X556" s="91">
        <v>46038.0</v>
      </c>
      <c r="Y556" s="5">
        <v>4.0</v>
      </c>
      <c r="Z556" s="5">
        <v>3.0</v>
      </c>
      <c r="AA556" s="5">
        <v>58.0</v>
      </c>
      <c r="AB556" s="5" t="s">
        <v>5783</v>
      </c>
      <c r="AC556" s="5" t="s">
        <v>1800</v>
      </c>
      <c r="AD556" s="91">
        <v>45034.0</v>
      </c>
      <c r="AE556" s="91">
        <v>46495.0</v>
      </c>
      <c r="AF556" s="5"/>
      <c r="AG556" s="5"/>
      <c r="AH556" s="5">
        <v>6.816983865E10</v>
      </c>
      <c r="AI556" s="5">
        <v>80.0</v>
      </c>
      <c r="AJ556" s="5"/>
      <c r="AK556" s="5" t="s">
        <v>1773</v>
      </c>
      <c r="AL556" s="92">
        <v>0.0</v>
      </c>
      <c r="AM556" s="5" t="s">
        <v>1770</v>
      </c>
      <c r="AN556" s="5" t="s">
        <v>1774</v>
      </c>
      <c r="AO556" s="5"/>
      <c r="AP556" s="5"/>
      <c r="AQ556" s="5"/>
      <c r="AR556" s="5"/>
      <c r="AS556" s="5"/>
      <c r="AT556" s="5"/>
      <c r="AU556" s="5"/>
      <c r="AV556" s="5"/>
      <c r="AW556" s="5" t="s">
        <v>1770</v>
      </c>
      <c r="AX556" s="5"/>
      <c r="AY556" s="5"/>
      <c r="AZ556" s="5" t="s">
        <v>1770</v>
      </c>
      <c r="BA556" s="93">
        <v>0.0</v>
      </c>
      <c r="BB556" s="93">
        <v>0.0</v>
      </c>
      <c r="BC556" s="93">
        <v>0.0</v>
      </c>
      <c r="BD556" s="93">
        <v>0.0</v>
      </c>
      <c r="BE556" s="93">
        <v>0.0</v>
      </c>
      <c r="BF556" s="93">
        <v>0.0</v>
      </c>
      <c r="BG556" s="5"/>
      <c r="BH556" s="93">
        <v>0.0</v>
      </c>
      <c r="BI556" s="93">
        <v>0.0</v>
      </c>
      <c r="BJ556" s="93">
        <v>0.0</v>
      </c>
      <c r="BK556" s="93">
        <v>0.0</v>
      </c>
      <c r="BL556" s="93">
        <v>0.0</v>
      </c>
      <c r="BM556" s="93">
        <v>0.0</v>
      </c>
      <c r="BN556" s="93">
        <v>0.0</v>
      </c>
      <c r="BO556" s="5"/>
      <c r="BP556" s="5"/>
      <c r="BQ556" s="5" t="s">
        <v>1775</v>
      </c>
      <c r="BR556" s="94">
        <v>46039.578726851854</v>
      </c>
      <c r="BS556" s="5">
        <v>40.0</v>
      </c>
      <c r="BT556" s="5" t="s">
        <v>1770</v>
      </c>
      <c r="BU556" s="5" t="s">
        <v>1770</v>
      </c>
      <c r="BV556" s="5" t="s">
        <v>1770</v>
      </c>
      <c r="BW556" s="5" t="s">
        <v>1770</v>
      </c>
    </row>
    <row r="557" ht="14.25" customHeight="1">
      <c r="A557" s="5">
        <v>556.0</v>
      </c>
      <c r="B557" s="5">
        <v>820.0</v>
      </c>
      <c r="C557" s="5" t="s">
        <v>5784</v>
      </c>
      <c r="D557" s="5" t="s">
        <v>5785</v>
      </c>
      <c r="E557" s="5" t="s">
        <v>2215</v>
      </c>
      <c r="F557" s="5" t="s">
        <v>5786</v>
      </c>
      <c r="G557" s="5" t="s">
        <v>5787</v>
      </c>
      <c r="H557" s="5" t="s">
        <v>1815</v>
      </c>
      <c r="I557" s="5" t="s">
        <v>1763</v>
      </c>
      <c r="J557" s="91">
        <v>37657.0</v>
      </c>
      <c r="K557" s="5">
        <v>594.0</v>
      </c>
      <c r="L557" s="5" t="s">
        <v>5788</v>
      </c>
      <c r="M557" s="5">
        <v>3.0</v>
      </c>
      <c r="N557" s="5"/>
      <c r="O557" s="5">
        <v>41935.0</v>
      </c>
      <c r="P557" s="5" t="s">
        <v>3139</v>
      </c>
      <c r="Q557" s="5" t="s">
        <v>5789</v>
      </c>
      <c r="R557" s="5">
        <v>597.0</v>
      </c>
      <c r="S557" s="5">
        <v>3.921582658E9</v>
      </c>
      <c r="T557" s="5" t="s">
        <v>5790</v>
      </c>
      <c r="U557" s="5" t="s">
        <v>5791</v>
      </c>
      <c r="V557" s="5">
        <v>3.314167499E9</v>
      </c>
      <c r="W557" s="5" t="s">
        <v>1808</v>
      </c>
      <c r="X557" s="91">
        <v>46056.0</v>
      </c>
      <c r="Y557" s="5">
        <v>5.0</v>
      </c>
      <c r="Z557" s="5">
        <v>19.0</v>
      </c>
      <c r="AA557" s="5">
        <v>74.0</v>
      </c>
      <c r="AB557" s="5"/>
      <c r="AC557" s="5"/>
      <c r="AD557" s="5" t="s">
        <v>1770</v>
      </c>
      <c r="AE557" s="5" t="s">
        <v>1770</v>
      </c>
      <c r="AF557" s="5"/>
      <c r="AG557" s="5"/>
      <c r="AH557" s="5">
        <v>1.8180372825E10</v>
      </c>
      <c r="AI557" s="5">
        <v>95.0</v>
      </c>
      <c r="AJ557" s="5"/>
      <c r="AK557" s="5" t="s">
        <v>1773</v>
      </c>
      <c r="AL557" s="92">
        <v>0.0</v>
      </c>
      <c r="AM557" s="5" t="s">
        <v>1770</v>
      </c>
      <c r="AN557" s="5" t="s">
        <v>1830</v>
      </c>
      <c r="AO557" s="5"/>
      <c r="AP557" s="5"/>
      <c r="AQ557" s="5"/>
      <c r="AR557" s="5"/>
      <c r="AS557" s="5"/>
      <c r="AT557" s="5"/>
      <c r="AU557" s="5"/>
      <c r="AV557" s="5"/>
      <c r="AW557" s="5" t="s">
        <v>1770</v>
      </c>
      <c r="AX557" s="5"/>
      <c r="AY557" s="5"/>
      <c r="AZ557" s="5" t="s">
        <v>1770</v>
      </c>
      <c r="BA557" s="93">
        <v>0.0</v>
      </c>
      <c r="BB557" s="93">
        <v>0.0</v>
      </c>
      <c r="BC557" s="93">
        <v>0.0</v>
      </c>
      <c r="BD557" s="93">
        <v>0.0</v>
      </c>
      <c r="BE557" s="93">
        <v>0.0</v>
      </c>
      <c r="BF557" s="93">
        <v>0.0</v>
      </c>
      <c r="BG557" s="5"/>
      <c r="BH557" s="93">
        <v>0.0</v>
      </c>
      <c r="BI557" s="93">
        <v>0.0</v>
      </c>
      <c r="BJ557" s="93">
        <v>0.0</v>
      </c>
      <c r="BK557" s="93">
        <v>0.0</v>
      </c>
      <c r="BL557" s="93">
        <v>0.0</v>
      </c>
      <c r="BM557" s="93">
        <v>0.0</v>
      </c>
      <c r="BN557" s="93">
        <v>0.0</v>
      </c>
      <c r="BO557" s="5"/>
      <c r="BP557" s="5"/>
      <c r="BQ557" s="5" t="s">
        <v>1789</v>
      </c>
      <c r="BR557" s="94">
        <v>46063.73302083334</v>
      </c>
      <c r="BS557" s="5">
        <v>40.0</v>
      </c>
      <c r="BT557" s="5" t="s">
        <v>1770</v>
      </c>
      <c r="BU557" s="5" t="s">
        <v>1770</v>
      </c>
      <c r="BV557" s="94">
        <v>46084.4837962963</v>
      </c>
      <c r="BW557" s="5">
        <v>40.0</v>
      </c>
    </row>
    <row r="558" ht="14.25" customHeight="1">
      <c r="A558" s="5">
        <v>557.0</v>
      </c>
      <c r="B558" s="5">
        <v>821.0</v>
      </c>
      <c r="C558" s="5" t="s">
        <v>5792</v>
      </c>
      <c r="D558" s="5" t="s">
        <v>1778</v>
      </c>
      <c r="E558" s="5" t="s">
        <v>5793</v>
      </c>
      <c r="F558" s="5" t="s">
        <v>5794</v>
      </c>
      <c r="G558" s="5" t="s">
        <v>5795</v>
      </c>
      <c r="H558" s="5" t="s">
        <v>1815</v>
      </c>
      <c r="I558" s="5" t="s">
        <v>1763</v>
      </c>
      <c r="J558" s="91">
        <v>36609.0</v>
      </c>
      <c r="K558" s="5">
        <v>549.0</v>
      </c>
      <c r="L558" s="5" t="s">
        <v>5796</v>
      </c>
      <c r="M558" s="5">
        <v>366.0</v>
      </c>
      <c r="N558" s="5"/>
      <c r="O558" s="5">
        <v>43882.0</v>
      </c>
      <c r="P558" s="5" t="s">
        <v>5568</v>
      </c>
      <c r="Q558" s="5" t="s">
        <v>1766</v>
      </c>
      <c r="R558" s="5">
        <v>549.0</v>
      </c>
      <c r="S558" s="5">
        <v>3.931670685E9</v>
      </c>
      <c r="T558" s="5" t="s">
        <v>5797</v>
      </c>
      <c r="U558" s="5" t="s">
        <v>5798</v>
      </c>
      <c r="V558" s="5">
        <v>3.939337974E9</v>
      </c>
      <c r="W558" s="5" t="s">
        <v>1808</v>
      </c>
      <c r="X558" s="91">
        <v>46056.0</v>
      </c>
      <c r="Y558" s="5">
        <v>1.0</v>
      </c>
      <c r="Z558" s="5">
        <v>17.0</v>
      </c>
      <c r="AA558" s="5">
        <v>5.0</v>
      </c>
      <c r="AB558" s="5"/>
      <c r="AC558" s="5"/>
      <c r="AD558" s="5" t="s">
        <v>1770</v>
      </c>
      <c r="AE558" s="5" t="s">
        <v>1770</v>
      </c>
      <c r="AF558" s="5"/>
      <c r="AG558" s="5"/>
      <c r="AH558" s="5">
        <v>5.116007275E10</v>
      </c>
      <c r="AI558" s="5">
        <v>23.0</v>
      </c>
      <c r="AJ558" s="5"/>
      <c r="AK558" s="5" t="s">
        <v>1773</v>
      </c>
      <c r="AL558" s="92">
        <v>0.0</v>
      </c>
      <c r="AM558" s="5" t="s">
        <v>1770</v>
      </c>
      <c r="AN558" s="5" t="s">
        <v>1830</v>
      </c>
      <c r="AO558" s="5"/>
      <c r="AP558" s="5"/>
      <c r="AQ558" s="5"/>
      <c r="AR558" s="5"/>
      <c r="AS558" s="5"/>
      <c r="AT558" s="5"/>
      <c r="AU558" s="5"/>
      <c r="AV558" s="5"/>
      <c r="AW558" s="5" t="s">
        <v>1770</v>
      </c>
      <c r="AX558" s="5"/>
      <c r="AY558" s="5"/>
      <c r="AZ558" s="5" t="s">
        <v>1770</v>
      </c>
      <c r="BA558" s="93">
        <v>0.0</v>
      </c>
      <c r="BB558" s="93">
        <v>0.0</v>
      </c>
      <c r="BC558" s="93">
        <v>0.0</v>
      </c>
      <c r="BD558" s="93">
        <v>0.0</v>
      </c>
      <c r="BE558" s="93">
        <v>0.0</v>
      </c>
      <c r="BF558" s="93">
        <v>0.0</v>
      </c>
      <c r="BG558" s="5"/>
      <c r="BH558" s="93">
        <v>0.0</v>
      </c>
      <c r="BI558" s="93">
        <v>0.0</v>
      </c>
      <c r="BJ558" s="93">
        <v>0.0</v>
      </c>
      <c r="BK558" s="93">
        <v>0.0</v>
      </c>
      <c r="BL558" s="93">
        <v>0.0</v>
      </c>
      <c r="BM558" s="93">
        <v>0.0</v>
      </c>
      <c r="BN558" s="93">
        <v>0.0</v>
      </c>
      <c r="BO558" s="5"/>
      <c r="BP558" s="5"/>
      <c r="BQ558" s="5" t="s">
        <v>1789</v>
      </c>
      <c r="BR558" s="94">
        <v>46063.74328703704</v>
      </c>
      <c r="BS558" s="5">
        <v>40.0</v>
      </c>
      <c r="BT558" s="5" t="s">
        <v>1770</v>
      </c>
      <c r="BU558" s="5" t="s">
        <v>1770</v>
      </c>
      <c r="BV558" s="94">
        <v>46129.70229166667</v>
      </c>
      <c r="BW558" s="5">
        <v>40.0</v>
      </c>
    </row>
    <row r="559" ht="14.25" customHeight="1">
      <c r="A559" s="5">
        <v>558.0</v>
      </c>
      <c r="B559" s="5">
        <v>822.0</v>
      </c>
      <c r="C559" s="5" t="s">
        <v>3386</v>
      </c>
      <c r="D559" s="5" t="s">
        <v>5793</v>
      </c>
      <c r="E559" s="100" t="s">
        <v>5799</v>
      </c>
      <c r="F559" s="5" t="s">
        <v>5800</v>
      </c>
      <c r="G559" s="5" t="s">
        <v>5801</v>
      </c>
      <c r="H559" s="5" t="s">
        <v>1781</v>
      </c>
      <c r="I559" s="5" t="s">
        <v>1782</v>
      </c>
      <c r="J559" s="91">
        <v>36069.0</v>
      </c>
      <c r="K559" s="5">
        <v>594.0</v>
      </c>
      <c r="L559" s="5" t="s">
        <v>5802</v>
      </c>
      <c r="M559" s="5">
        <v>28.0</v>
      </c>
      <c r="N559" s="5"/>
      <c r="O559" s="5">
        <v>43882.0</v>
      </c>
      <c r="P559" s="5" t="s">
        <v>3694</v>
      </c>
      <c r="Q559" s="5" t="s">
        <v>1766</v>
      </c>
      <c r="R559" s="5">
        <v>549.0</v>
      </c>
      <c r="S559" s="5">
        <v>3.931800008E9</v>
      </c>
      <c r="T559" s="5" t="s">
        <v>5803</v>
      </c>
      <c r="U559" s="100" t="s">
        <v>5804</v>
      </c>
      <c r="V559" s="5">
        <v>3.931067332E9</v>
      </c>
      <c r="W559" s="5" t="s">
        <v>1808</v>
      </c>
      <c r="X559" s="91">
        <v>46063.0</v>
      </c>
      <c r="Y559" s="5">
        <v>1.0</v>
      </c>
      <c r="Z559" s="5">
        <v>17.0</v>
      </c>
      <c r="AA559" s="5">
        <v>90.0</v>
      </c>
      <c r="AB559" s="5" t="s">
        <v>5805</v>
      </c>
      <c r="AC559" s="5" t="s">
        <v>1772</v>
      </c>
      <c r="AD559" s="91">
        <v>46051.0</v>
      </c>
      <c r="AE559" s="91">
        <v>47512.0</v>
      </c>
      <c r="AF559" s="5"/>
      <c r="AG559" s="5"/>
      <c r="AH559" s="5">
        <v>1.8139836011E10</v>
      </c>
      <c r="AI559" s="5">
        <v>23.0</v>
      </c>
      <c r="AJ559" s="5"/>
      <c r="AK559" s="5" t="s">
        <v>1773</v>
      </c>
      <c r="AL559" s="92">
        <v>0.0</v>
      </c>
      <c r="AM559" s="5" t="s">
        <v>1770</v>
      </c>
      <c r="AN559" s="5" t="s">
        <v>1774</v>
      </c>
      <c r="AO559" s="5"/>
      <c r="AP559" s="5"/>
      <c r="AQ559" s="5"/>
      <c r="AR559" s="5"/>
      <c r="AS559" s="5"/>
      <c r="AT559" s="5"/>
      <c r="AU559" s="5"/>
      <c r="AV559" s="5"/>
      <c r="AW559" s="5" t="s">
        <v>1770</v>
      </c>
      <c r="AX559" s="5"/>
      <c r="AY559" s="5"/>
      <c r="AZ559" s="5" t="s">
        <v>1770</v>
      </c>
      <c r="BA559" s="93">
        <v>0.0</v>
      </c>
      <c r="BB559" s="93">
        <v>0.0</v>
      </c>
      <c r="BC559" s="93">
        <v>0.0</v>
      </c>
      <c r="BD559" s="93">
        <v>0.0</v>
      </c>
      <c r="BE559" s="93">
        <v>0.0</v>
      </c>
      <c r="BF559" s="93">
        <v>0.0</v>
      </c>
      <c r="BG559" s="5"/>
      <c r="BH559" s="93">
        <v>0.0</v>
      </c>
      <c r="BI559" s="93">
        <v>0.0</v>
      </c>
      <c r="BJ559" s="93">
        <v>0.0</v>
      </c>
      <c r="BK559" s="93">
        <v>0.0</v>
      </c>
      <c r="BL559" s="93">
        <v>0.0</v>
      </c>
      <c r="BM559" s="93">
        <v>0.0</v>
      </c>
      <c r="BN559" s="93">
        <v>0.0</v>
      </c>
      <c r="BO559" s="5"/>
      <c r="BP559" s="5"/>
      <c r="BQ559" s="5" t="s">
        <v>1775</v>
      </c>
      <c r="BR559" s="94">
        <v>46063.753900462965</v>
      </c>
      <c r="BS559" s="5">
        <v>40.0</v>
      </c>
      <c r="BT559" s="5" t="s">
        <v>1770</v>
      </c>
      <c r="BU559" s="5" t="s">
        <v>1770</v>
      </c>
      <c r="BV559" s="5" t="s">
        <v>1770</v>
      </c>
      <c r="BW559" s="5" t="s">
        <v>1770</v>
      </c>
    </row>
    <row r="560" ht="14.25" customHeight="1">
      <c r="A560" s="5">
        <v>559.0</v>
      </c>
      <c r="B560" s="5">
        <v>823.0</v>
      </c>
      <c r="C560" s="5" t="s">
        <v>5806</v>
      </c>
      <c r="D560" s="5" t="s">
        <v>5807</v>
      </c>
      <c r="E560" s="5" t="s">
        <v>5808</v>
      </c>
      <c r="F560" s="5" t="s">
        <v>5809</v>
      </c>
      <c r="G560" s="5" t="s">
        <v>5810</v>
      </c>
      <c r="H560" s="5" t="s">
        <v>1972</v>
      </c>
      <c r="I560" s="5" t="s">
        <v>1782</v>
      </c>
      <c r="J560" s="91">
        <v>36821.0</v>
      </c>
      <c r="K560" s="5">
        <v>859.0</v>
      </c>
      <c r="L560" s="5" t="s">
        <v>5811</v>
      </c>
      <c r="M560" s="5">
        <v>29.0</v>
      </c>
      <c r="N560" s="5"/>
      <c r="O560" s="5">
        <v>54344.0</v>
      </c>
      <c r="P560" s="5" t="s">
        <v>3139</v>
      </c>
      <c r="Q560" s="5" t="s">
        <v>5812</v>
      </c>
      <c r="R560" s="5">
        <v>894.0</v>
      </c>
      <c r="S560" s="5">
        <v>4.381002263E9</v>
      </c>
      <c r="T560" s="5" t="s">
        <v>5813</v>
      </c>
      <c r="U560" s="5" t="s">
        <v>5814</v>
      </c>
      <c r="V560" s="5">
        <v>4.432138101E9</v>
      </c>
      <c r="W560" s="5" t="s">
        <v>2610</v>
      </c>
      <c r="X560" s="91">
        <v>46063.0</v>
      </c>
      <c r="Y560" s="5">
        <v>2.0</v>
      </c>
      <c r="Z560" s="5">
        <v>19.0</v>
      </c>
      <c r="AA560" s="5">
        <v>81.0</v>
      </c>
      <c r="AB560" s="5" t="s">
        <v>5815</v>
      </c>
      <c r="AC560" s="5" t="s">
        <v>1772</v>
      </c>
      <c r="AD560" s="91">
        <v>44825.0</v>
      </c>
      <c r="AE560" s="91">
        <v>55783.0</v>
      </c>
      <c r="AF560" s="5"/>
      <c r="AG560" s="5"/>
      <c r="AH560" s="5">
        <v>9.8160024703E10</v>
      </c>
      <c r="AI560" s="5"/>
      <c r="AJ560" s="5"/>
      <c r="AK560" s="5" t="s">
        <v>1773</v>
      </c>
      <c r="AL560" s="92">
        <v>0.0</v>
      </c>
      <c r="AM560" s="5" t="s">
        <v>1770</v>
      </c>
      <c r="AN560" s="5" t="s">
        <v>1830</v>
      </c>
      <c r="AO560" s="5"/>
      <c r="AP560" s="5"/>
      <c r="AQ560" s="5"/>
      <c r="AR560" s="5"/>
      <c r="AS560" s="5"/>
      <c r="AT560" s="5"/>
      <c r="AU560" s="5"/>
      <c r="AV560" s="5"/>
      <c r="AW560" s="5" t="s">
        <v>1770</v>
      </c>
      <c r="AX560" s="5"/>
      <c r="AY560" s="5"/>
      <c r="AZ560" s="5" t="s">
        <v>1770</v>
      </c>
      <c r="BA560" s="93">
        <v>0.0</v>
      </c>
      <c r="BB560" s="93">
        <v>0.0</v>
      </c>
      <c r="BC560" s="93">
        <v>0.0</v>
      </c>
      <c r="BD560" s="93">
        <v>0.0</v>
      </c>
      <c r="BE560" s="93">
        <v>0.0</v>
      </c>
      <c r="BF560" s="93">
        <v>0.0</v>
      </c>
      <c r="BG560" s="5"/>
      <c r="BH560" s="93">
        <v>0.0</v>
      </c>
      <c r="BI560" s="93">
        <v>0.0</v>
      </c>
      <c r="BJ560" s="93">
        <v>0.0</v>
      </c>
      <c r="BK560" s="93">
        <v>0.0</v>
      </c>
      <c r="BL560" s="93">
        <v>0.0</v>
      </c>
      <c r="BM560" s="93">
        <v>0.0</v>
      </c>
      <c r="BN560" s="93">
        <v>0.0</v>
      </c>
      <c r="BO560" s="5"/>
      <c r="BP560" s="5"/>
      <c r="BQ560" s="5" t="s">
        <v>1775</v>
      </c>
      <c r="BR560" s="94">
        <v>46064.48459490741</v>
      </c>
      <c r="BS560" s="5">
        <v>40.0</v>
      </c>
      <c r="BT560" s="5" t="s">
        <v>1770</v>
      </c>
      <c r="BU560" s="5" t="s">
        <v>1770</v>
      </c>
      <c r="BV560" s="5" t="s">
        <v>1770</v>
      </c>
      <c r="BW560" s="5" t="s">
        <v>1770</v>
      </c>
    </row>
    <row r="561" ht="14.25" customHeight="1">
      <c r="A561" s="5">
        <v>560.0</v>
      </c>
      <c r="B561" s="5">
        <v>824.0</v>
      </c>
      <c r="C561" s="5" t="s">
        <v>5137</v>
      </c>
      <c r="D561" s="5" t="s">
        <v>5816</v>
      </c>
      <c r="E561" s="5" t="s">
        <v>1950</v>
      </c>
      <c r="F561" s="5" t="s">
        <v>5817</v>
      </c>
      <c r="G561" s="5" t="s">
        <v>5818</v>
      </c>
      <c r="H561" s="5" t="s">
        <v>2671</v>
      </c>
      <c r="I561" s="5" t="s">
        <v>1782</v>
      </c>
      <c r="J561" s="91">
        <v>35012.0</v>
      </c>
      <c r="K561" s="5">
        <v>402.0</v>
      </c>
      <c r="L561" s="5" t="s">
        <v>2662</v>
      </c>
      <c r="M561" s="5">
        <v>17.0</v>
      </c>
      <c r="N561" s="5"/>
      <c r="O561" s="5">
        <v>35942.0</v>
      </c>
      <c r="P561" s="5" t="s">
        <v>3139</v>
      </c>
      <c r="Q561" s="5" t="s">
        <v>5819</v>
      </c>
      <c r="R561" s="5">
        <v>402.0</v>
      </c>
      <c r="S561" s="5">
        <v>4.29173173E9</v>
      </c>
      <c r="T561" s="5" t="s">
        <v>5820</v>
      </c>
      <c r="U561" s="100" t="s">
        <v>5821</v>
      </c>
      <c r="V561" s="5">
        <v>3.348522733E9</v>
      </c>
      <c r="W561" s="5" t="s">
        <v>3956</v>
      </c>
      <c r="X561" s="91">
        <v>46071.0</v>
      </c>
      <c r="Y561" s="5">
        <v>2.0</v>
      </c>
      <c r="Z561" s="5">
        <v>19.0</v>
      </c>
      <c r="AA561" s="5">
        <v>45.0</v>
      </c>
      <c r="AB561" s="5" t="s">
        <v>5822</v>
      </c>
      <c r="AC561" s="5" t="s">
        <v>2274</v>
      </c>
      <c r="AD561" s="91">
        <v>45928.0</v>
      </c>
      <c r="AE561" s="91">
        <v>47754.0</v>
      </c>
      <c r="AF561" s="5"/>
      <c r="AG561" s="5"/>
      <c r="AH561" s="5">
        <v>1.0159550341E10</v>
      </c>
      <c r="AI561" s="5"/>
      <c r="AJ561" s="5"/>
      <c r="AK561" s="5" t="s">
        <v>1773</v>
      </c>
      <c r="AL561" s="92">
        <v>0.0</v>
      </c>
      <c r="AM561" s="5" t="s">
        <v>1770</v>
      </c>
      <c r="AN561" s="5" t="s">
        <v>1830</v>
      </c>
      <c r="AO561" s="5"/>
      <c r="AP561" s="5"/>
      <c r="AQ561" s="5"/>
      <c r="AR561" s="5"/>
      <c r="AS561" s="5"/>
      <c r="AT561" s="5"/>
      <c r="AU561" s="5"/>
      <c r="AV561" s="5"/>
      <c r="AW561" s="5" t="s">
        <v>1770</v>
      </c>
      <c r="AX561" s="5"/>
      <c r="AY561" s="5"/>
      <c r="AZ561" s="5" t="s">
        <v>1770</v>
      </c>
      <c r="BA561" s="93">
        <v>0.0</v>
      </c>
      <c r="BB561" s="93">
        <v>0.0</v>
      </c>
      <c r="BC561" s="93">
        <v>0.0</v>
      </c>
      <c r="BD561" s="93">
        <v>0.0</v>
      </c>
      <c r="BE561" s="93">
        <v>0.0</v>
      </c>
      <c r="BF561" s="93">
        <v>0.0</v>
      </c>
      <c r="BG561" s="5"/>
      <c r="BH561" s="93">
        <v>0.0</v>
      </c>
      <c r="BI561" s="93">
        <v>0.0</v>
      </c>
      <c r="BJ561" s="93">
        <v>0.0</v>
      </c>
      <c r="BK561" s="93">
        <v>0.0</v>
      </c>
      <c r="BL561" s="93">
        <v>0.0</v>
      </c>
      <c r="BM561" s="93">
        <v>0.0</v>
      </c>
      <c r="BN561" s="93">
        <v>0.0</v>
      </c>
      <c r="BO561" s="5"/>
      <c r="BP561" s="5"/>
      <c r="BQ561" s="5" t="s">
        <v>1789</v>
      </c>
      <c r="BR561" s="94">
        <v>46079.43346064815</v>
      </c>
      <c r="BS561" s="5">
        <v>40.0</v>
      </c>
      <c r="BT561" s="5" t="s">
        <v>1770</v>
      </c>
      <c r="BU561" s="5" t="s">
        <v>1770</v>
      </c>
      <c r="BV561" s="94">
        <v>46137.536527777775</v>
      </c>
      <c r="BW561" s="5">
        <v>40.0</v>
      </c>
    </row>
    <row r="562" ht="14.25" customHeight="1">
      <c r="A562" s="5">
        <v>561.0</v>
      </c>
      <c r="B562" s="5">
        <v>825.0</v>
      </c>
      <c r="C562" s="5" t="s">
        <v>5350</v>
      </c>
      <c r="D562" s="5" t="s">
        <v>1969</v>
      </c>
      <c r="E562" s="5" t="s">
        <v>2643</v>
      </c>
      <c r="F562" s="5" t="s">
        <v>5823</v>
      </c>
      <c r="G562" s="5" t="s">
        <v>5824</v>
      </c>
      <c r="H562" s="5" t="s">
        <v>2671</v>
      </c>
      <c r="I562" s="5" t="s">
        <v>1782</v>
      </c>
      <c r="J562" s="91">
        <v>37434.0</v>
      </c>
      <c r="K562" s="5">
        <v>549.0</v>
      </c>
      <c r="L562" s="5" t="s">
        <v>5825</v>
      </c>
      <c r="M562" s="5">
        <v>14.0</v>
      </c>
      <c r="N562" s="5">
        <v>4.0</v>
      </c>
      <c r="O562" s="5">
        <v>43884.0</v>
      </c>
      <c r="P562" s="5" t="s">
        <v>1902</v>
      </c>
      <c r="Q562" s="5" t="s">
        <v>1766</v>
      </c>
      <c r="R562" s="5">
        <v>549.0</v>
      </c>
      <c r="S562" s="5">
        <v>3.931521997E9</v>
      </c>
      <c r="T562" s="5" t="s">
        <v>5826</v>
      </c>
      <c r="U562" s="5" t="s">
        <v>5827</v>
      </c>
      <c r="V562" s="5">
        <v>3.932421283E9</v>
      </c>
      <c r="W562" s="5" t="s">
        <v>1787</v>
      </c>
      <c r="X562" s="91">
        <v>46077.0</v>
      </c>
      <c r="Y562" s="5">
        <v>1.0</v>
      </c>
      <c r="Z562" s="5">
        <v>19.0</v>
      </c>
      <c r="AA562" s="5">
        <v>34.0</v>
      </c>
      <c r="AB562" s="5"/>
      <c r="AC562" s="5"/>
      <c r="AD562" s="5" t="s">
        <v>1770</v>
      </c>
      <c r="AE562" s="5" t="s">
        <v>1770</v>
      </c>
      <c r="AF562" s="5"/>
      <c r="AG562" s="5"/>
      <c r="AH562" s="5">
        <v>1.0220201627E10</v>
      </c>
      <c r="AI562" s="5">
        <v>23.0</v>
      </c>
      <c r="AJ562" s="5"/>
      <c r="AK562" s="5" t="s">
        <v>1773</v>
      </c>
      <c r="AL562" s="92">
        <v>0.0</v>
      </c>
      <c r="AM562" s="5" t="s">
        <v>1770</v>
      </c>
      <c r="AN562" s="5" t="s">
        <v>3236</v>
      </c>
      <c r="AO562" s="5"/>
      <c r="AP562" s="5"/>
      <c r="AQ562" s="5"/>
      <c r="AR562" s="5"/>
      <c r="AS562" s="5"/>
      <c r="AT562" s="5"/>
      <c r="AU562" s="5"/>
      <c r="AV562" s="5"/>
      <c r="AW562" s="5" t="s">
        <v>1770</v>
      </c>
      <c r="AX562" s="5"/>
      <c r="AY562" s="5"/>
      <c r="AZ562" s="5" t="s">
        <v>1770</v>
      </c>
      <c r="BA562" s="93">
        <v>0.0</v>
      </c>
      <c r="BB562" s="93">
        <v>0.0</v>
      </c>
      <c r="BC562" s="93">
        <v>0.0</v>
      </c>
      <c r="BD562" s="93">
        <v>0.0</v>
      </c>
      <c r="BE562" s="93">
        <v>0.0</v>
      </c>
      <c r="BF562" s="93">
        <v>0.0</v>
      </c>
      <c r="BG562" s="5"/>
      <c r="BH562" s="93">
        <v>0.0</v>
      </c>
      <c r="BI562" s="93">
        <v>0.0</v>
      </c>
      <c r="BJ562" s="93">
        <v>0.0</v>
      </c>
      <c r="BK562" s="93">
        <v>0.0</v>
      </c>
      <c r="BL562" s="93">
        <v>0.0</v>
      </c>
      <c r="BM562" s="93">
        <v>0.0</v>
      </c>
      <c r="BN562" s="93">
        <v>0.0</v>
      </c>
      <c r="BO562" s="5"/>
      <c r="BP562" s="5"/>
      <c r="BQ562" s="5" t="s">
        <v>1775</v>
      </c>
      <c r="BR562" s="94">
        <v>46084.49136574074</v>
      </c>
      <c r="BS562" s="5">
        <v>40.0</v>
      </c>
      <c r="BT562" s="94">
        <v>46133.50599537037</v>
      </c>
      <c r="BU562" s="5">
        <v>40.0</v>
      </c>
      <c r="BV562" s="5" t="s">
        <v>1770</v>
      </c>
      <c r="BW562" s="5" t="s">
        <v>1770</v>
      </c>
    </row>
    <row r="563" ht="14.25" customHeight="1">
      <c r="A563" s="5">
        <v>562.0</v>
      </c>
      <c r="B563" s="5">
        <v>826.0</v>
      </c>
      <c r="C563" s="5" t="s">
        <v>5828</v>
      </c>
      <c r="D563" s="5" t="s">
        <v>1878</v>
      </c>
      <c r="E563" s="5" t="s">
        <v>1879</v>
      </c>
      <c r="F563" s="5" t="s">
        <v>5829</v>
      </c>
      <c r="G563" s="5" t="s">
        <v>5830</v>
      </c>
      <c r="H563" s="5" t="s">
        <v>1781</v>
      </c>
      <c r="I563" s="5" t="s">
        <v>1782</v>
      </c>
      <c r="J563" s="91">
        <v>31377.0</v>
      </c>
      <c r="K563" s="5">
        <v>549.0</v>
      </c>
      <c r="L563" s="5" t="s">
        <v>5831</v>
      </c>
      <c r="M563" s="5">
        <v>48.0</v>
      </c>
      <c r="N563" s="5"/>
      <c r="O563" s="5">
        <v>43886.0</v>
      </c>
      <c r="P563" s="5" t="s">
        <v>3139</v>
      </c>
      <c r="Q563" s="5" t="s">
        <v>1883</v>
      </c>
      <c r="R563" s="5">
        <v>549.0</v>
      </c>
      <c r="S563" s="5">
        <v>3.931974423E9</v>
      </c>
      <c r="T563" s="5" t="s">
        <v>5832</v>
      </c>
      <c r="U563" s="5" t="s">
        <v>5833</v>
      </c>
      <c r="V563" s="5">
        <v>3.93107535E9</v>
      </c>
      <c r="W563" s="5" t="s">
        <v>1965</v>
      </c>
      <c r="X563" s="91">
        <v>46083.0</v>
      </c>
      <c r="Y563" s="5">
        <v>5.0</v>
      </c>
      <c r="Z563" s="5">
        <v>19.0</v>
      </c>
      <c r="AA563" s="5">
        <v>81.0</v>
      </c>
      <c r="AB563" s="5" t="s">
        <v>5834</v>
      </c>
      <c r="AC563" s="5" t="s">
        <v>1800</v>
      </c>
      <c r="AD563" s="91">
        <v>45411.0</v>
      </c>
      <c r="AE563" s="91">
        <v>46872.0</v>
      </c>
      <c r="AF563" s="5"/>
      <c r="AG563" s="5"/>
      <c r="AH563" s="5">
        <v>4.068562927E9</v>
      </c>
      <c r="AI563" s="5">
        <v>95.0</v>
      </c>
      <c r="AJ563" s="5"/>
      <c r="AK563" s="5" t="s">
        <v>1773</v>
      </c>
      <c r="AL563" s="92">
        <v>0.0</v>
      </c>
      <c r="AM563" s="5" t="s">
        <v>1770</v>
      </c>
      <c r="AN563" s="5" t="s">
        <v>1774</v>
      </c>
      <c r="AO563" s="5"/>
      <c r="AP563" s="5"/>
      <c r="AQ563" s="5"/>
      <c r="AR563" s="5"/>
      <c r="AS563" s="5"/>
      <c r="AT563" s="5"/>
      <c r="AU563" s="5"/>
      <c r="AV563" s="5"/>
      <c r="AW563" s="5" t="s">
        <v>1770</v>
      </c>
      <c r="AX563" s="5"/>
      <c r="AY563" s="5"/>
      <c r="AZ563" s="5" t="s">
        <v>1770</v>
      </c>
      <c r="BA563" s="93">
        <v>0.0</v>
      </c>
      <c r="BB563" s="93">
        <v>0.0</v>
      </c>
      <c r="BC563" s="93">
        <v>0.0</v>
      </c>
      <c r="BD563" s="93">
        <v>0.0</v>
      </c>
      <c r="BE563" s="93">
        <v>0.0</v>
      </c>
      <c r="BF563" s="93">
        <v>0.0</v>
      </c>
      <c r="BG563" s="5"/>
      <c r="BH563" s="93">
        <v>0.0</v>
      </c>
      <c r="BI563" s="93">
        <v>0.0</v>
      </c>
      <c r="BJ563" s="93">
        <v>0.0</v>
      </c>
      <c r="BK563" s="93">
        <v>0.0</v>
      </c>
      <c r="BL563" s="93">
        <v>0.0</v>
      </c>
      <c r="BM563" s="93">
        <v>0.0</v>
      </c>
      <c r="BN563" s="93">
        <v>0.0</v>
      </c>
      <c r="BO563" s="5"/>
      <c r="BP563" s="5"/>
      <c r="BQ563" s="5" t="s">
        <v>1775</v>
      </c>
      <c r="BR563" s="94">
        <v>46084.49648148148</v>
      </c>
      <c r="BS563" s="5">
        <v>40.0</v>
      </c>
      <c r="BT563" s="94">
        <v>46107.7340625</v>
      </c>
      <c r="BU563" s="5">
        <v>217.0</v>
      </c>
      <c r="BV563" s="5" t="s">
        <v>1770</v>
      </c>
      <c r="BW563" s="5" t="s">
        <v>1770</v>
      </c>
    </row>
    <row r="564" ht="14.25" customHeight="1">
      <c r="A564" s="5">
        <v>563.0</v>
      </c>
      <c r="B564" s="5">
        <v>827.0</v>
      </c>
      <c r="C564" s="5" t="s">
        <v>5835</v>
      </c>
      <c r="D564" s="5" t="s">
        <v>2534</v>
      </c>
      <c r="E564" s="5" t="s">
        <v>2157</v>
      </c>
      <c r="F564" s="5" t="s">
        <v>5836</v>
      </c>
      <c r="G564" s="5" t="s">
        <v>5837</v>
      </c>
      <c r="H564" s="5" t="s">
        <v>1910</v>
      </c>
      <c r="I564" s="5" t="s">
        <v>1782</v>
      </c>
      <c r="J564" s="91">
        <v>31143.0</v>
      </c>
      <c r="K564" s="5">
        <v>2477.0</v>
      </c>
      <c r="L564" s="100" t="s">
        <v>5838</v>
      </c>
      <c r="M564" s="5">
        <v>9.0</v>
      </c>
      <c r="N564" s="5"/>
      <c r="O564" s="5">
        <v>43832.0</v>
      </c>
      <c r="P564" s="5" t="s">
        <v>5839</v>
      </c>
      <c r="Q564" s="5" t="s">
        <v>2179</v>
      </c>
      <c r="R564" s="5">
        <v>594.0</v>
      </c>
      <c r="S564" s="5">
        <v>6.673799616E9</v>
      </c>
      <c r="T564" s="5" t="s">
        <v>5840</v>
      </c>
      <c r="U564" s="5" t="s">
        <v>5841</v>
      </c>
      <c r="V564" s="5">
        <v>4.421234445E9</v>
      </c>
      <c r="W564" s="5" t="s">
        <v>2780</v>
      </c>
      <c r="X564" s="91">
        <v>46083.0</v>
      </c>
      <c r="Y564" s="5">
        <v>5.0</v>
      </c>
      <c r="Z564" s="5">
        <v>19.0</v>
      </c>
      <c r="AA564" s="5">
        <v>81.0</v>
      </c>
      <c r="AB564" s="5" t="s">
        <v>5842</v>
      </c>
      <c r="AC564" s="5" t="s">
        <v>2274</v>
      </c>
      <c r="AD564" s="91">
        <v>45792.0</v>
      </c>
      <c r="AE564" s="91">
        <v>46888.0</v>
      </c>
      <c r="AF564" s="5"/>
      <c r="AG564" s="5"/>
      <c r="AH564" s="5">
        <v>1.4038556529E10</v>
      </c>
      <c r="AI564" s="5">
        <v>95.0</v>
      </c>
      <c r="AJ564" s="5"/>
      <c r="AK564" s="5" t="s">
        <v>1773</v>
      </c>
      <c r="AL564" s="92">
        <v>0.0</v>
      </c>
      <c r="AM564" s="5" t="s">
        <v>1770</v>
      </c>
      <c r="AN564" s="5" t="s">
        <v>1830</v>
      </c>
      <c r="AO564" s="5"/>
      <c r="AP564" s="5"/>
      <c r="AQ564" s="5"/>
      <c r="AR564" s="5"/>
      <c r="AS564" s="5"/>
      <c r="AT564" s="5"/>
      <c r="AU564" s="5"/>
      <c r="AV564" s="5"/>
      <c r="AW564" s="5" t="s">
        <v>1770</v>
      </c>
      <c r="AX564" s="5"/>
      <c r="AY564" s="5"/>
      <c r="AZ564" s="5" t="s">
        <v>1770</v>
      </c>
      <c r="BA564" s="93">
        <v>0.0</v>
      </c>
      <c r="BB564" s="93">
        <v>0.0</v>
      </c>
      <c r="BC564" s="93">
        <v>0.0</v>
      </c>
      <c r="BD564" s="93">
        <v>0.0</v>
      </c>
      <c r="BE564" s="93">
        <v>0.0</v>
      </c>
      <c r="BF564" s="93">
        <v>0.0</v>
      </c>
      <c r="BG564" s="5"/>
      <c r="BH564" s="93">
        <v>0.0</v>
      </c>
      <c r="BI564" s="93">
        <v>0.0</v>
      </c>
      <c r="BJ564" s="93">
        <v>0.0</v>
      </c>
      <c r="BK564" s="93">
        <v>0.0</v>
      </c>
      <c r="BL564" s="93">
        <v>0.0</v>
      </c>
      <c r="BM564" s="93">
        <v>0.0</v>
      </c>
      <c r="BN564" s="93">
        <v>0.0</v>
      </c>
      <c r="BO564" s="5"/>
      <c r="BP564" s="5"/>
      <c r="BQ564" s="5" t="s">
        <v>1789</v>
      </c>
      <c r="BR564" s="94">
        <v>46084.50745370371</v>
      </c>
      <c r="BS564" s="5">
        <v>40.0</v>
      </c>
      <c r="BT564" s="5" t="s">
        <v>1770</v>
      </c>
      <c r="BU564" s="5" t="s">
        <v>1770</v>
      </c>
      <c r="BV564" s="94">
        <v>46175.605416666665</v>
      </c>
      <c r="BW564" s="5">
        <v>40.0</v>
      </c>
    </row>
    <row r="565" ht="14.25" customHeight="1">
      <c r="A565" s="5">
        <v>564.0</v>
      </c>
      <c r="B565" s="5">
        <v>828.0</v>
      </c>
      <c r="C565" s="5" t="s">
        <v>2877</v>
      </c>
      <c r="D565" s="5" t="s">
        <v>1857</v>
      </c>
      <c r="E565" s="5" t="s">
        <v>3267</v>
      </c>
      <c r="F565" s="5" t="s">
        <v>5843</v>
      </c>
      <c r="G565" s="5" t="s">
        <v>5844</v>
      </c>
      <c r="H565" s="5" t="s">
        <v>1972</v>
      </c>
      <c r="I565" s="5" t="s">
        <v>1782</v>
      </c>
      <c r="J565" s="91">
        <v>36773.0</v>
      </c>
      <c r="K565" s="5">
        <v>564.0</v>
      </c>
      <c r="L565" s="5" t="s">
        <v>5845</v>
      </c>
      <c r="M565" s="5" t="s">
        <v>2913</v>
      </c>
      <c r="N565" s="5"/>
      <c r="O565" s="5">
        <v>55202.0</v>
      </c>
      <c r="P565" s="5" t="s">
        <v>3139</v>
      </c>
      <c r="Q565" s="5" t="s">
        <v>5846</v>
      </c>
      <c r="R565" s="5">
        <v>850.0</v>
      </c>
      <c r="S565" s="5">
        <v>3.521442162E9</v>
      </c>
      <c r="T565" s="5" t="s">
        <v>5847</v>
      </c>
      <c r="U565" s="5" t="s">
        <v>5848</v>
      </c>
      <c r="V565" s="5">
        <v>3.521072021E9</v>
      </c>
      <c r="W565" s="5" t="s">
        <v>1965</v>
      </c>
      <c r="X565" s="91">
        <v>46084.0</v>
      </c>
      <c r="Y565" s="5">
        <v>3.0</v>
      </c>
      <c r="Z565" s="5">
        <v>4.0</v>
      </c>
      <c r="AA565" s="5">
        <v>115.0</v>
      </c>
      <c r="AB565" s="5" t="s">
        <v>5849</v>
      </c>
      <c r="AC565" s="5" t="s">
        <v>1800</v>
      </c>
      <c r="AD565" s="91">
        <v>45273.0</v>
      </c>
      <c r="AE565" s="91">
        <v>48561.0</v>
      </c>
      <c r="AF565" s="5"/>
      <c r="AG565" s="5"/>
      <c r="AH565" s="5">
        <v>8.6160026612E10</v>
      </c>
      <c r="AI565" s="5">
        <v>77.0</v>
      </c>
      <c r="AJ565" s="5"/>
      <c r="AK565" s="5" t="s">
        <v>1773</v>
      </c>
      <c r="AL565" s="92">
        <v>0.0</v>
      </c>
      <c r="AM565" s="5" t="s">
        <v>1770</v>
      </c>
      <c r="AN565" s="5" t="s">
        <v>1830</v>
      </c>
      <c r="AO565" s="5" t="s">
        <v>3111</v>
      </c>
      <c r="AP565" s="5"/>
      <c r="AQ565" s="5"/>
      <c r="AR565" s="5"/>
      <c r="AS565" s="5"/>
      <c r="AT565" s="5"/>
      <c r="AU565" s="5"/>
      <c r="AV565" s="5"/>
      <c r="AW565" s="5" t="s">
        <v>1770</v>
      </c>
      <c r="AX565" s="5"/>
      <c r="AY565" s="5"/>
      <c r="AZ565" s="5" t="s">
        <v>1770</v>
      </c>
      <c r="BA565" s="93">
        <v>0.0</v>
      </c>
      <c r="BB565" s="93">
        <v>0.0</v>
      </c>
      <c r="BC565" s="93">
        <v>0.0</v>
      </c>
      <c r="BD565" s="93">
        <v>0.0</v>
      </c>
      <c r="BE565" s="93">
        <v>0.0</v>
      </c>
      <c r="BF565" s="93">
        <v>0.0</v>
      </c>
      <c r="BG565" s="5"/>
      <c r="BH565" s="93">
        <v>0.0</v>
      </c>
      <c r="BI565" s="93">
        <v>0.0</v>
      </c>
      <c r="BJ565" s="93">
        <v>0.0</v>
      </c>
      <c r="BK565" s="93">
        <v>0.0</v>
      </c>
      <c r="BL565" s="93">
        <v>0.0</v>
      </c>
      <c r="BM565" s="93">
        <v>0.0</v>
      </c>
      <c r="BN565" s="93">
        <v>0.0</v>
      </c>
      <c r="BO565" s="5"/>
      <c r="BP565" s="5"/>
      <c r="BQ565" s="5" t="s">
        <v>1775</v>
      </c>
      <c r="BR565" s="94">
        <v>46084.514236111114</v>
      </c>
      <c r="BS565" s="5">
        <v>40.0</v>
      </c>
      <c r="BT565" s="94">
        <v>46135.39509259259</v>
      </c>
      <c r="BU565" s="5">
        <v>339.0</v>
      </c>
      <c r="BV565" s="5" t="s">
        <v>1770</v>
      </c>
      <c r="BW565" s="5" t="s">
        <v>1770</v>
      </c>
    </row>
    <row r="566" ht="14.25" customHeight="1">
      <c r="A566" s="5">
        <v>565.0</v>
      </c>
      <c r="B566" s="5">
        <v>829.0</v>
      </c>
      <c r="C566" s="5" t="s">
        <v>5850</v>
      </c>
      <c r="D566" s="5" t="s">
        <v>1758</v>
      </c>
      <c r="E566" s="5" t="s">
        <v>1927</v>
      </c>
      <c r="F566" s="5" t="s">
        <v>5851</v>
      </c>
      <c r="G566" s="5" t="s">
        <v>5852</v>
      </c>
      <c r="H566" s="5" t="s">
        <v>1972</v>
      </c>
      <c r="I566" s="5" t="s">
        <v>1782</v>
      </c>
      <c r="J566" s="91">
        <v>37484.0</v>
      </c>
      <c r="K566" s="5">
        <v>850.0</v>
      </c>
      <c r="L566" s="5" t="s">
        <v>5853</v>
      </c>
      <c r="M566" s="5">
        <v>928.0</v>
      </c>
      <c r="N566" s="5"/>
      <c r="O566" s="5">
        <v>55152.0</v>
      </c>
      <c r="P566" s="5" t="s">
        <v>4918</v>
      </c>
      <c r="Q566" s="5" t="s">
        <v>234</v>
      </c>
      <c r="R566" s="5">
        <v>850.0</v>
      </c>
      <c r="S566" s="5">
        <v>3.521257573E9</v>
      </c>
      <c r="T566" s="5" t="s">
        <v>5854</v>
      </c>
      <c r="U566" s="5" t="s">
        <v>5855</v>
      </c>
      <c r="V566" s="5">
        <v>3.521083939E9</v>
      </c>
      <c r="W566" s="5" t="s">
        <v>1808</v>
      </c>
      <c r="X566" s="91">
        <v>46084.0</v>
      </c>
      <c r="Y566" s="5">
        <v>3.0</v>
      </c>
      <c r="Z566" s="5">
        <v>4.0</v>
      </c>
      <c r="AA566" s="5">
        <v>112.0</v>
      </c>
      <c r="AB566" s="5" t="s">
        <v>5856</v>
      </c>
      <c r="AC566" s="5" t="s">
        <v>1800</v>
      </c>
      <c r="AD566" s="91">
        <v>44265.0</v>
      </c>
      <c r="AE566" s="91">
        <v>47917.0</v>
      </c>
      <c r="AF566" s="5"/>
      <c r="AG566" s="5"/>
      <c r="AH566" s="5">
        <v>5.6170129035E10</v>
      </c>
      <c r="AI566" s="5">
        <v>77.0</v>
      </c>
      <c r="AJ566" s="5"/>
      <c r="AK566" s="5" t="s">
        <v>1773</v>
      </c>
      <c r="AL566" s="92">
        <v>0.0</v>
      </c>
      <c r="AM566" s="5" t="s">
        <v>1770</v>
      </c>
      <c r="AN566" s="5" t="s">
        <v>1774</v>
      </c>
      <c r="AO566" s="5" t="s">
        <v>2940</v>
      </c>
      <c r="AP566" s="5"/>
      <c r="AQ566" s="5">
        <v>28.0</v>
      </c>
      <c r="AR566" s="5"/>
      <c r="AS566" s="5"/>
      <c r="AT566" s="5"/>
      <c r="AU566" s="5"/>
      <c r="AV566" s="5"/>
      <c r="AW566" s="5" t="s">
        <v>1770</v>
      </c>
      <c r="AX566" s="5"/>
      <c r="AY566" s="5"/>
      <c r="AZ566" s="5" t="s">
        <v>1770</v>
      </c>
      <c r="BA566" s="93">
        <v>0.0</v>
      </c>
      <c r="BB566" s="93">
        <v>0.0</v>
      </c>
      <c r="BC566" s="93">
        <v>0.0</v>
      </c>
      <c r="BD566" s="93">
        <v>0.0</v>
      </c>
      <c r="BE566" s="93">
        <v>0.0</v>
      </c>
      <c r="BF566" s="93">
        <v>0.0</v>
      </c>
      <c r="BG566" s="5"/>
      <c r="BH566" s="93">
        <v>0.0</v>
      </c>
      <c r="BI566" s="93">
        <v>0.0</v>
      </c>
      <c r="BJ566" s="93">
        <v>0.0</v>
      </c>
      <c r="BK566" s="93">
        <v>0.0</v>
      </c>
      <c r="BL566" s="93">
        <v>0.0</v>
      </c>
      <c r="BM566" s="93">
        <v>0.0</v>
      </c>
      <c r="BN566" s="93">
        <v>0.0</v>
      </c>
      <c r="BO566" s="5"/>
      <c r="BP566" s="5"/>
      <c r="BQ566" s="5" t="s">
        <v>1775</v>
      </c>
      <c r="BR566" s="94">
        <v>46084.52924768518</v>
      </c>
      <c r="BS566" s="5">
        <v>40.0</v>
      </c>
      <c r="BT566" s="94">
        <v>46135.39574074074</v>
      </c>
      <c r="BU566" s="5">
        <v>339.0</v>
      </c>
      <c r="BV566" s="5" t="s">
        <v>1770</v>
      </c>
      <c r="BW566" s="5" t="s">
        <v>1770</v>
      </c>
    </row>
    <row r="567" ht="14.25" customHeight="1">
      <c r="A567" s="5">
        <v>566.0</v>
      </c>
      <c r="B567" s="5">
        <v>830.0</v>
      </c>
      <c r="C567" s="5" t="s">
        <v>5857</v>
      </c>
      <c r="D567" s="5" t="s">
        <v>2011</v>
      </c>
      <c r="E567" s="5" t="s">
        <v>2001</v>
      </c>
      <c r="F567" s="5" t="s">
        <v>5858</v>
      </c>
      <c r="G567" s="5" t="s">
        <v>5859</v>
      </c>
      <c r="H567" s="5" t="s">
        <v>2671</v>
      </c>
      <c r="I567" s="5" t="s">
        <v>1782</v>
      </c>
      <c r="J567" s="91">
        <v>35211.0</v>
      </c>
      <c r="K567" s="5" t="s">
        <v>1770</v>
      </c>
      <c r="L567" s="5" t="s">
        <v>5860</v>
      </c>
      <c r="M567" s="5">
        <v>109.0</v>
      </c>
      <c r="N567" s="5"/>
      <c r="O567" s="5">
        <v>41937.0</v>
      </c>
      <c r="P567" s="5" t="s">
        <v>3139</v>
      </c>
      <c r="Q567" s="5" t="s">
        <v>5861</v>
      </c>
      <c r="R567" s="5">
        <v>597.0</v>
      </c>
      <c r="S567" s="5">
        <v>3.929305389E9</v>
      </c>
      <c r="T567" s="5" t="s">
        <v>5862</v>
      </c>
      <c r="U567" s="5" t="s">
        <v>5863</v>
      </c>
      <c r="V567" s="5">
        <v>3.921588837E9</v>
      </c>
      <c r="W567" s="5" t="s">
        <v>3956</v>
      </c>
      <c r="X567" s="91">
        <v>46090.0</v>
      </c>
      <c r="Y567" s="5">
        <v>5.0</v>
      </c>
      <c r="Z567" s="5">
        <v>4.0</v>
      </c>
      <c r="AA567" s="5">
        <v>39.0</v>
      </c>
      <c r="AB567" s="5"/>
      <c r="AC567" s="5"/>
      <c r="AD567" s="5" t="s">
        <v>1770</v>
      </c>
      <c r="AE567" s="5" t="s">
        <v>1770</v>
      </c>
      <c r="AF567" s="5"/>
      <c r="AG567" s="5"/>
      <c r="AH567" s="5">
        <v>3.814962135E9</v>
      </c>
      <c r="AI567" s="5"/>
      <c r="AJ567" s="5"/>
      <c r="AK567" s="5" t="s">
        <v>1773</v>
      </c>
      <c r="AL567" s="92">
        <v>0.0</v>
      </c>
      <c r="AM567" s="5" t="s">
        <v>1770</v>
      </c>
      <c r="AN567" s="5" t="s">
        <v>3236</v>
      </c>
      <c r="AO567" s="5"/>
      <c r="AP567" s="5"/>
      <c r="AQ567" s="5"/>
      <c r="AR567" s="5"/>
      <c r="AS567" s="5"/>
      <c r="AT567" s="5"/>
      <c r="AU567" s="5"/>
      <c r="AV567" s="5"/>
      <c r="AW567" s="5" t="s">
        <v>1770</v>
      </c>
      <c r="AX567" s="5"/>
      <c r="AY567" s="5"/>
      <c r="AZ567" s="5" t="s">
        <v>1770</v>
      </c>
      <c r="BA567" s="93">
        <v>0.0</v>
      </c>
      <c r="BB567" s="93">
        <v>0.0</v>
      </c>
      <c r="BC567" s="93">
        <v>0.0</v>
      </c>
      <c r="BD567" s="93">
        <v>0.0</v>
      </c>
      <c r="BE567" s="93">
        <v>0.0</v>
      </c>
      <c r="BF567" s="93">
        <v>0.0</v>
      </c>
      <c r="BG567" s="5"/>
      <c r="BH567" s="93">
        <v>0.0</v>
      </c>
      <c r="BI567" s="93">
        <v>0.0</v>
      </c>
      <c r="BJ567" s="93">
        <v>0.0</v>
      </c>
      <c r="BK567" s="93">
        <v>0.0</v>
      </c>
      <c r="BL567" s="93">
        <v>0.0</v>
      </c>
      <c r="BM567" s="93">
        <v>0.0</v>
      </c>
      <c r="BN567" s="93">
        <v>0.0</v>
      </c>
      <c r="BO567" s="5"/>
      <c r="BP567" s="5"/>
      <c r="BQ567" s="5" t="s">
        <v>1789</v>
      </c>
      <c r="BR567" s="94">
        <v>46091.52943287037</v>
      </c>
      <c r="BS567" s="5">
        <v>40.0</v>
      </c>
      <c r="BT567" s="5" t="s">
        <v>1770</v>
      </c>
      <c r="BU567" s="5" t="s">
        <v>1770</v>
      </c>
      <c r="BV567" s="94">
        <v>46197.69799768519</v>
      </c>
      <c r="BW567" s="5">
        <v>40.0</v>
      </c>
    </row>
    <row r="568" ht="14.25" customHeight="1">
      <c r="A568" s="5">
        <v>567.0</v>
      </c>
      <c r="B568" s="5">
        <v>831.0</v>
      </c>
      <c r="C568" s="5" t="s">
        <v>5864</v>
      </c>
      <c r="D568" s="5" t="s">
        <v>1812</v>
      </c>
      <c r="E568" s="5" t="s">
        <v>2827</v>
      </c>
      <c r="F568" s="5" t="s">
        <v>5865</v>
      </c>
      <c r="G568" s="5" t="s">
        <v>5866</v>
      </c>
      <c r="H568" s="5" t="s">
        <v>1972</v>
      </c>
      <c r="I568" s="5" t="s">
        <v>1782</v>
      </c>
      <c r="J568" s="91">
        <v>37212.0</v>
      </c>
      <c r="K568" s="5">
        <v>402.0</v>
      </c>
      <c r="L568" s="5" t="s">
        <v>5867</v>
      </c>
      <c r="M568" s="5">
        <v>106.0</v>
      </c>
      <c r="N568" s="5">
        <v>2.0</v>
      </c>
      <c r="O568" s="5">
        <v>35802.0</v>
      </c>
      <c r="P568" s="5" t="s">
        <v>5868</v>
      </c>
      <c r="Q568" s="5" t="s">
        <v>4749</v>
      </c>
      <c r="R568" s="5">
        <v>418.0</v>
      </c>
      <c r="S568" s="5">
        <v>4.623056574E9</v>
      </c>
      <c r="T568" s="5" t="s">
        <v>5869</v>
      </c>
      <c r="U568" s="5" t="s">
        <v>5870</v>
      </c>
      <c r="V568" s="5">
        <v>4.622348379E9</v>
      </c>
      <c r="W568" s="5" t="s">
        <v>1808</v>
      </c>
      <c r="X568" s="91">
        <v>46090.0</v>
      </c>
      <c r="Y568" s="5">
        <v>2.0</v>
      </c>
      <c r="Z568" s="5">
        <v>4.0</v>
      </c>
      <c r="AA568" s="5">
        <v>39.0</v>
      </c>
      <c r="AB568" s="5" t="s">
        <v>5871</v>
      </c>
      <c r="AC568" s="5" t="s">
        <v>1772</v>
      </c>
      <c r="AD568" s="91">
        <v>46088.0</v>
      </c>
      <c r="AE568" s="91">
        <v>47914.0</v>
      </c>
      <c r="AF568" s="5"/>
      <c r="AG568" s="5"/>
      <c r="AH568" s="5">
        <v>5.7170124473E10</v>
      </c>
      <c r="AI568" s="5">
        <v>9.0</v>
      </c>
      <c r="AJ568" s="5"/>
      <c r="AK568" s="5" t="s">
        <v>1773</v>
      </c>
      <c r="AL568" s="92">
        <v>0.0</v>
      </c>
      <c r="AM568" s="5" t="s">
        <v>1770</v>
      </c>
      <c r="AN568" s="5" t="s">
        <v>2052</v>
      </c>
      <c r="AO568" s="5"/>
      <c r="AP568" s="5"/>
      <c r="AQ568" s="5"/>
      <c r="AR568" s="5"/>
      <c r="AS568" s="5"/>
      <c r="AT568" s="5"/>
      <c r="AU568" s="5"/>
      <c r="AV568" s="5"/>
      <c r="AW568" s="5" t="s">
        <v>1770</v>
      </c>
      <c r="AX568" s="5"/>
      <c r="AY568" s="5"/>
      <c r="AZ568" s="5" t="s">
        <v>1770</v>
      </c>
      <c r="BA568" s="93">
        <v>0.0</v>
      </c>
      <c r="BB568" s="93">
        <v>0.0</v>
      </c>
      <c r="BC568" s="93">
        <v>0.0</v>
      </c>
      <c r="BD568" s="93">
        <v>0.0</v>
      </c>
      <c r="BE568" s="93">
        <v>0.0</v>
      </c>
      <c r="BF568" s="93">
        <v>0.0</v>
      </c>
      <c r="BG568" s="5"/>
      <c r="BH568" s="93">
        <v>0.0</v>
      </c>
      <c r="BI568" s="93">
        <v>0.0</v>
      </c>
      <c r="BJ568" s="93">
        <v>0.0</v>
      </c>
      <c r="BK568" s="93">
        <v>0.0</v>
      </c>
      <c r="BL568" s="93">
        <v>0.0</v>
      </c>
      <c r="BM568" s="93">
        <v>0.0</v>
      </c>
      <c r="BN568" s="93">
        <v>0.0</v>
      </c>
      <c r="BO568" s="5"/>
      <c r="BP568" s="5"/>
      <c r="BQ568" s="5" t="s">
        <v>1789</v>
      </c>
      <c r="BR568" s="94">
        <v>46091.54850694445</v>
      </c>
      <c r="BS568" s="5">
        <v>40.0</v>
      </c>
      <c r="BT568" s="5" t="s">
        <v>1770</v>
      </c>
      <c r="BU568" s="5" t="s">
        <v>1770</v>
      </c>
      <c r="BV568" s="94">
        <v>46169.40409722222</v>
      </c>
      <c r="BW568" s="5">
        <v>40.0</v>
      </c>
    </row>
    <row r="569" ht="14.25" customHeight="1">
      <c r="A569" s="5">
        <v>568.0</v>
      </c>
      <c r="B569" s="5">
        <v>832.0</v>
      </c>
      <c r="C569" s="5" t="s">
        <v>2080</v>
      </c>
      <c r="D569" s="5" t="s">
        <v>4943</v>
      </c>
      <c r="E569" s="5" t="s">
        <v>2165</v>
      </c>
      <c r="F569" s="5" t="s">
        <v>5872</v>
      </c>
      <c r="G569" s="5" t="s">
        <v>5873</v>
      </c>
      <c r="H569" s="5" t="s">
        <v>1972</v>
      </c>
      <c r="I569" s="5" t="s">
        <v>1782</v>
      </c>
      <c r="J569" s="91">
        <v>33795.0</v>
      </c>
      <c r="K569" s="5">
        <v>834.0</v>
      </c>
      <c r="L569" s="5" t="s">
        <v>5874</v>
      </c>
      <c r="M569" s="5">
        <v>62.0</v>
      </c>
      <c r="N569" s="5"/>
      <c r="O569" s="5">
        <v>53802.0</v>
      </c>
      <c r="P569" s="5" t="s">
        <v>4374</v>
      </c>
      <c r="Q569" s="5" t="s">
        <v>2041</v>
      </c>
      <c r="R569" s="5">
        <v>834.0</v>
      </c>
      <c r="S569" s="5">
        <v>4.431739419E9</v>
      </c>
      <c r="T569" s="5" t="s">
        <v>5875</v>
      </c>
      <c r="U569" s="5" t="s">
        <v>5876</v>
      </c>
      <c r="V569" s="5">
        <v>1.23456789E9</v>
      </c>
      <c r="W569" s="5" t="s">
        <v>1819</v>
      </c>
      <c r="X569" s="91">
        <v>46090.0</v>
      </c>
      <c r="Y569" s="5">
        <v>4.0</v>
      </c>
      <c r="Z569" s="5">
        <v>3.0</v>
      </c>
      <c r="AA569" s="5">
        <v>58.0</v>
      </c>
      <c r="AB569" s="5" t="s">
        <v>5877</v>
      </c>
      <c r="AC569" s="5" t="s">
        <v>1800</v>
      </c>
      <c r="AD569" s="91">
        <v>46087.0</v>
      </c>
      <c r="AE569" s="91">
        <v>47913.0</v>
      </c>
      <c r="AF569" s="5"/>
      <c r="AG569" s="5"/>
      <c r="AH569" s="5">
        <v>5.3119227964E10</v>
      </c>
      <c r="AI569" s="5"/>
      <c r="AJ569" s="5"/>
      <c r="AK569" s="5" t="s">
        <v>1773</v>
      </c>
      <c r="AL569" s="92">
        <v>0.0</v>
      </c>
      <c r="AM569" s="5" t="s">
        <v>1770</v>
      </c>
      <c r="AN569" s="5" t="s">
        <v>1830</v>
      </c>
      <c r="AO569" s="5"/>
      <c r="AP569" s="5"/>
      <c r="AQ569" s="5"/>
      <c r="AR569" s="5"/>
      <c r="AS569" s="5"/>
      <c r="AT569" s="5"/>
      <c r="AU569" s="5"/>
      <c r="AV569" s="5"/>
      <c r="AW569" s="5" t="s">
        <v>1770</v>
      </c>
      <c r="AX569" s="5"/>
      <c r="AY569" s="5"/>
      <c r="AZ569" s="5" t="s">
        <v>1770</v>
      </c>
      <c r="BA569" s="93">
        <v>0.0</v>
      </c>
      <c r="BB569" s="93">
        <v>0.0</v>
      </c>
      <c r="BC569" s="93">
        <v>0.0</v>
      </c>
      <c r="BD569" s="93">
        <v>0.0</v>
      </c>
      <c r="BE569" s="93">
        <v>0.0</v>
      </c>
      <c r="BF569" s="93">
        <v>0.0</v>
      </c>
      <c r="BG569" s="5"/>
      <c r="BH569" s="93">
        <v>0.0</v>
      </c>
      <c r="BI569" s="93">
        <v>0.0</v>
      </c>
      <c r="BJ569" s="93">
        <v>0.0</v>
      </c>
      <c r="BK569" s="93">
        <v>0.0</v>
      </c>
      <c r="BL569" s="93">
        <v>0.0</v>
      </c>
      <c r="BM569" s="93">
        <v>0.0</v>
      </c>
      <c r="BN569" s="93">
        <v>0.0</v>
      </c>
      <c r="BO569" s="5"/>
      <c r="BP569" s="5"/>
      <c r="BQ569" s="5" t="s">
        <v>1789</v>
      </c>
      <c r="BR569" s="94">
        <v>46091.56162037037</v>
      </c>
      <c r="BS569" s="5">
        <v>40.0</v>
      </c>
      <c r="BT569" s="5" t="s">
        <v>1770</v>
      </c>
      <c r="BU569" s="5" t="s">
        <v>1770</v>
      </c>
      <c r="BV569" s="94">
        <v>46188.73087962963</v>
      </c>
      <c r="BW569" s="5">
        <v>40.0</v>
      </c>
    </row>
    <row r="570" ht="14.25" customHeight="1">
      <c r="A570" s="5">
        <v>569.0</v>
      </c>
      <c r="B570" s="5">
        <v>833.0</v>
      </c>
      <c r="C570" s="5" t="s">
        <v>5878</v>
      </c>
      <c r="D570" s="5" t="s">
        <v>1792</v>
      </c>
      <c r="E570" s="5" t="s">
        <v>2157</v>
      </c>
      <c r="F570" s="5" t="s">
        <v>5879</v>
      </c>
      <c r="G570" s="5" t="s">
        <v>5880</v>
      </c>
      <c r="H570" s="5" t="s">
        <v>1972</v>
      </c>
      <c r="I570" s="5" t="s">
        <v>1782</v>
      </c>
      <c r="J570" s="91">
        <v>38649.0</v>
      </c>
      <c r="K570" s="5">
        <v>850.0</v>
      </c>
      <c r="L570" s="5" t="s">
        <v>2816</v>
      </c>
      <c r="M570" s="5">
        <v>2.0</v>
      </c>
      <c r="N570" s="5"/>
      <c r="O570" s="5">
        <v>35919.0</v>
      </c>
      <c r="P570" s="5" t="s">
        <v>5881</v>
      </c>
      <c r="Q570" s="5" t="s">
        <v>2406</v>
      </c>
      <c r="R570" s="5">
        <v>424.0</v>
      </c>
      <c r="S570" s="5">
        <v>4.691153123E9</v>
      </c>
      <c r="T570" s="5" t="s">
        <v>5882</v>
      </c>
      <c r="U570" s="5" t="s">
        <v>5883</v>
      </c>
      <c r="V570" s="5">
        <v>4.69126334E9</v>
      </c>
      <c r="W570" s="5" t="s">
        <v>1965</v>
      </c>
      <c r="X570" s="91">
        <v>46090.0</v>
      </c>
      <c r="Y570" s="5">
        <v>2.0</v>
      </c>
      <c r="Z570" s="5">
        <v>4.0</v>
      </c>
      <c r="AA570" s="5">
        <v>39.0</v>
      </c>
      <c r="AB570" s="5" t="s">
        <v>5884</v>
      </c>
      <c r="AC570" s="5" t="s">
        <v>1772</v>
      </c>
      <c r="AD570" s="91">
        <v>46085.0</v>
      </c>
      <c r="AE570" s="91">
        <v>46816.0</v>
      </c>
      <c r="AF570" s="5"/>
      <c r="AG570" s="5"/>
      <c r="AH570" s="5">
        <v>3.260525252E9</v>
      </c>
      <c r="AI570" s="5">
        <v>9.0</v>
      </c>
      <c r="AJ570" s="5"/>
      <c r="AK570" s="5" t="s">
        <v>1773</v>
      </c>
      <c r="AL570" s="92">
        <v>0.0</v>
      </c>
      <c r="AM570" s="5" t="s">
        <v>1770</v>
      </c>
      <c r="AN570" s="5" t="s">
        <v>1830</v>
      </c>
      <c r="AO570" s="5"/>
      <c r="AP570" s="5"/>
      <c r="AQ570" s="5"/>
      <c r="AR570" s="5"/>
      <c r="AS570" s="5"/>
      <c r="AT570" s="5"/>
      <c r="AU570" s="5"/>
      <c r="AV570" s="5"/>
      <c r="AW570" s="5" t="s">
        <v>1770</v>
      </c>
      <c r="AX570" s="5"/>
      <c r="AY570" s="5"/>
      <c r="AZ570" s="5" t="s">
        <v>1770</v>
      </c>
      <c r="BA570" s="93">
        <v>0.0</v>
      </c>
      <c r="BB570" s="93">
        <v>0.0</v>
      </c>
      <c r="BC570" s="93">
        <v>0.0</v>
      </c>
      <c r="BD570" s="93">
        <v>0.0</v>
      </c>
      <c r="BE570" s="93">
        <v>0.0</v>
      </c>
      <c r="BF570" s="93">
        <v>0.0</v>
      </c>
      <c r="BG570" s="5"/>
      <c r="BH570" s="93">
        <v>0.0</v>
      </c>
      <c r="BI570" s="93">
        <v>0.0</v>
      </c>
      <c r="BJ570" s="93">
        <v>0.0</v>
      </c>
      <c r="BK570" s="93">
        <v>0.0</v>
      </c>
      <c r="BL570" s="93">
        <v>0.0</v>
      </c>
      <c r="BM570" s="93">
        <v>0.0</v>
      </c>
      <c r="BN570" s="93">
        <v>0.0</v>
      </c>
      <c r="BO570" s="5"/>
      <c r="BP570" s="5"/>
      <c r="BQ570" s="5" t="s">
        <v>1775</v>
      </c>
      <c r="BR570" s="94">
        <v>46091.56738425926</v>
      </c>
      <c r="BS570" s="5">
        <v>40.0</v>
      </c>
      <c r="BT570" s="94">
        <v>46139.54002314815</v>
      </c>
      <c r="BU570" s="5">
        <v>40.0</v>
      </c>
      <c r="BV570" s="5" t="s">
        <v>1770</v>
      </c>
      <c r="BW570" s="5" t="s">
        <v>1770</v>
      </c>
    </row>
    <row r="571" ht="14.25" customHeight="1">
      <c r="A571" s="5">
        <v>570.0</v>
      </c>
      <c r="B571" s="5">
        <v>834.0</v>
      </c>
      <c r="C571" s="5" t="s">
        <v>5885</v>
      </c>
      <c r="D571" s="5" t="s">
        <v>2335</v>
      </c>
      <c r="E571" s="5" t="s">
        <v>5886</v>
      </c>
      <c r="F571" s="5" t="s">
        <v>5887</v>
      </c>
      <c r="G571" s="5" t="s">
        <v>5888</v>
      </c>
      <c r="H571" s="5" t="s">
        <v>1972</v>
      </c>
      <c r="I571" s="5" t="s">
        <v>1782</v>
      </c>
      <c r="J571" s="91">
        <v>38692.0</v>
      </c>
      <c r="K571" s="5">
        <v>594.0</v>
      </c>
      <c r="L571" s="5" t="s">
        <v>5889</v>
      </c>
      <c r="M571" s="5">
        <v>174.0</v>
      </c>
      <c r="N571" s="5"/>
      <c r="O571" s="5">
        <v>41926.0</v>
      </c>
      <c r="P571" s="5" t="s">
        <v>4368</v>
      </c>
      <c r="Q571" s="5" t="s">
        <v>2349</v>
      </c>
      <c r="R571" s="5">
        <v>597.0</v>
      </c>
      <c r="S571" s="5">
        <v>3.329994436E9</v>
      </c>
      <c r="T571" s="5" t="s">
        <v>5890</v>
      </c>
      <c r="U571" s="5" t="s">
        <v>5891</v>
      </c>
      <c r="V571" s="5">
        <v>3.318418413E9</v>
      </c>
      <c r="W571" s="5" t="s">
        <v>1808</v>
      </c>
      <c r="X571" s="91">
        <v>46118.0</v>
      </c>
      <c r="Y571" s="5">
        <v>5.0</v>
      </c>
      <c r="Z571" s="5">
        <v>4.0</v>
      </c>
      <c r="AA571" s="5">
        <v>115.0</v>
      </c>
      <c r="AB571" s="5" t="s">
        <v>5892</v>
      </c>
      <c r="AC571" s="5" t="s">
        <v>1800</v>
      </c>
      <c r="AD571" s="91">
        <v>46106.0</v>
      </c>
      <c r="AE571" s="91">
        <v>47567.0</v>
      </c>
      <c r="AF571" s="5"/>
      <c r="AG571" s="5"/>
      <c r="AH571" s="5">
        <v>2.5210506348E10</v>
      </c>
      <c r="AI571" s="5">
        <v>95.0</v>
      </c>
      <c r="AJ571" s="5"/>
      <c r="AK571" s="5" t="s">
        <v>1773</v>
      </c>
      <c r="AL571" s="92">
        <v>0.0</v>
      </c>
      <c r="AM571" s="5" t="s">
        <v>1770</v>
      </c>
      <c r="AN571" s="5" t="s">
        <v>1830</v>
      </c>
      <c r="AO571" s="5"/>
      <c r="AP571" s="5"/>
      <c r="AQ571" s="5"/>
      <c r="AR571" s="5"/>
      <c r="AS571" s="5"/>
      <c r="AT571" s="5"/>
      <c r="AU571" s="5"/>
      <c r="AV571" s="5"/>
      <c r="AW571" s="5" t="s">
        <v>1770</v>
      </c>
      <c r="AX571" s="5"/>
      <c r="AY571" s="5"/>
      <c r="AZ571" s="5" t="s">
        <v>1770</v>
      </c>
      <c r="BA571" s="93">
        <v>0.0</v>
      </c>
      <c r="BB571" s="93">
        <v>0.0</v>
      </c>
      <c r="BC571" s="93">
        <v>0.0</v>
      </c>
      <c r="BD571" s="93">
        <v>0.0</v>
      </c>
      <c r="BE571" s="93">
        <v>0.0</v>
      </c>
      <c r="BF571" s="93">
        <v>0.0</v>
      </c>
      <c r="BG571" s="5"/>
      <c r="BH571" s="93">
        <v>0.0</v>
      </c>
      <c r="BI571" s="93">
        <v>0.0</v>
      </c>
      <c r="BJ571" s="93">
        <v>0.0</v>
      </c>
      <c r="BK571" s="93">
        <v>0.0</v>
      </c>
      <c r="BL571" s="93">
        <v>0.0</v>
      </c>
      <c r="BM571" s="93">
        <v>0.0</v>
      </c>
      <c r="BN571" s="93">
        <v>0.0</v>
      </c>
      <c r="BO571" s="5"/>
      <c r="BP571" s="5"/>
      <c r="BQ571" s="5" t="s">
        <v>1775</v>
      </c>
      <c r="BR571" s="94">
        <v>46122.43431712963</v>
      </c>
      <c r="BS571" s="5">
        <v>40.0</v>
      </c>
      <c r="BT571" s="5" t="s">
        <v>1770</v>
      </c>
      <c r="BU571" s="5" t="s">
        <v>1770</v>
      </c>
      <c r="BV571" s="5" t="s">
        <v>1770</v>
      </c>
      <c r="BW571" s="5" t="s">
        <v>1770</v>
      </c>
    </row>
    <row r="572" ht="14.25" customHeight="1">
      <c r="A572" s="5">
        <v>571.0</v>
      </c>
      <c r="B572" s="5">
        <v>835.0</v>
      </c>
      <c r="C572" s="5" t="s">
        <v>5893</v>
      </c>
      <c r="D572" s="5" t="s">
        <v>5894</v>
      </c>
      <c r="E572" s="5" t="s">
        <v>2965</v>
      </c>
      <c r="F572" s="5" t="s">
        <v>5895</v>
      </c>
      <c r="G572" s="5" t="s">
        <v>5896</v>
      </c>
      <c r="H572" s="5" t="s">
        <v>1762</v>
      </c>
      <c r="I572" s="5" t="s">
        <v>1763</v>
      </c>
      <c r="J572" s="91">
        <v>26425.0</v>
      </c>
      <c r="K572" s="5">
        <v>834.0</v>
      </c>
      <c r="L572" s="5" t="s">
        <v>5897</v>
      </c>
      <c r="M572" s="5">
        <v>202.0</v>
      </c>
      <c r="N572" s="5"/>
      <c r="O572" s="5">
        <v>54682.0</v>
      </c>
      <c r="P572" s="5" t="s">
        <v>5898</v>
      </c>
      <c r="Q572" s="5" t="s">
        <v>2342</v>
      </c>
      <c r="R572" s="5">
        <v>869.0</v>
      </c>
      <c r="S572" s="5">
        <v>4.43123825E9</v>
      </c>
      <c r="T572" s="5" t="s">
        <v>5899</v>
      </c>
      <c r="U572" s="5" t="s">
        <v>5900</v>
      </c>
      <c r="V572" s="5">
        <v>4.434592648E9</v>
      </c>
      <c r="W572" s="5" t="s">
        <v>2780</v>
      </c>
      <c r="X572" s="91">
        <v>46118.0</v>
      </c>
      <c r="Y572" s="5">
        <v>4.0</v>
      </c>
      <c r="Z572" s="5">
        <v>1.0</v>
      </c>
      <c r="AA572" s="5">
        <v>79.0</v>
      </c>
      <c r="AB572" s="5" t="s">
        <v>5901</v>
      </c>
      <c r="AC572" s="5" t="s">
        <v>1772</v>
      </c>
      <c r="AD572" s="91">
        <v>45258.0</v>
      </c>
      <c r="AE572" s="91">
        <v>48911.0</v>
      </c>
      <c r="AF572" s="5"/>
      <c r="AG572" s="5"/>
      <c r="AH572" s="5">
        <v>5.3897238407E10</v>
      </c>
      <c r="AI572" s="5">
        <v>80.0</v>
      </c>
      <c r="AJ572" s="5"/>
      <c r="AK572" s="5" t="s">
        <v>1773</v>
      </c>
      <c r="AL572" s="92">
        <v>0.0</v>
      </c>
      <c r="AM572" s="5" t="s">
        <v>1770</v>
      </c>
      <c r="AN572" s="5" t="s">
        <v>1830</v>
      </c>
      <c r="AO572" s="5"/>
      <c r="AP572" s="5"/>
      <c r="AQ572" s="5"/>
      <c r="AR572" s="5"/>
      <c r="AS572" s="5"/>
      <c r="AT572" s="5"/>
      <c r="AU572" s="5"/>
      <c r="AV572" s="5"/>
      <c r="AW572" s="5" t="s">
        <v>1770</v>
      </c>
      <c r="AX572" s="5"/>
      <c r="AY572" s="5"/>
      <c r="AZ572" s="5" t="s">
        <v>1770</v>
      </c>
      <c r="BA572" s="93">
        <v>0.0</v>
      </c>
      <c r="BB572" s="93">
        <v>0.0</v>
      </c>
      <c r="BC572" s="93">
        <v>0.0</v>
      </c>
      <c r="BD572" s="93">
        <v>0.0</v>
      </c>
      <c r="BE572" s="93">
        <v>0.0</v>
      </c>
      <c r="BF572" s="93">
        <v>0.0</v>
      </c>
      <c r="BG572" s="5"/>
      <c r="BH572" s="93">
        <v>0.0</v>
      </c>
      <c r="BI572" s="93">
        <v>0.0</v>
      </c>
      <c r="BJ572" s="93">
        <v>0.0</v>
      </c>
      <c r="BK572" s="93">
        <v>0.0</v>
      </c>
      <c r="BL572" s="93">
        <v>0.0</v>
      </c>
      <c r="BM572" s="93">
        <v>0.0</v>
      </c>
      <c r="BN572" s="93">
        <v>0.0</v>
      </c>
      <c r="BO572" s="5"/>
      <c r="BP572" s="5"/>
      <c r="BQ572" s="5" t="s">
        <v>1789</v>
      </c>
      <c r="BR572" s="94">
        <v>46122.451527777775</v>
      </c>
      <c r="BS572" s="5">
        <v>40.0</v>
      </c>
      <c r="BT572" s="5" t="s">
        <v>1770</v>
      </c>
      <c r="BU572" s="5" t="s">
        <v>1770</v>
      </c>
      <c r="BV572" s="94">
        <v>46169.40431712963</v>
      </c>
      <c r="BW572" s="5">
        <v>40.0</v>
      </c>
    </row>
    <row r="573" ht="14.25" customHeight="1">
      <c r="A573" s="5">
        <v>572.0</v>
      </c>
      <c r="B573" s="5">
        <v>836.0</v>
      </c>
      <c r="C573" s="5" t="s">
        <v>5902</v>
      </c>
      <c r="D573" s="5" t="s">
        <v>1778</v>
      </c>
      <c r="E573" s="5" t="s">
        <v>2934</v>
      </c>
      <c r="F573" s="5" t="s">
        <v>5903</v>
      </c>
      <c r="G573" s="5" t="s">
        <v>5904</v>
      </c>
      <c r="H573" s="5" t="s">
        <v>1781</v>
      </c>
      <c r="I573" s="5" t="s">
        <v>1782</v>
      </c>
      <c r="J573" s="91">
        <v>22342.0</v>
      </c>
      <c r="K573" s="5">
        <v>883.0</v>
      </c>
      <c r="L573" s="5" t="s">
        <v>5905</v>
      </c>
      <c r="M573" s="5">
        <v>1403.0</v>
      </c>
      <c r="N573" s="5"/>
      <c r="O573" s="5">
        <v>55912.0</v>
      </c>
      <c r="P573" s="5" t="s">
        <v>5906</v>
      </c>
      <c r="Q573" s="5" t="s">
        <v>5128</v>
      </c>
      <c r="R573" s="5">
        <v>883.0</v>
      </c>
      <c r="S573" s="5">
        <v>4.521685275E9</v>
      </c>
      <c r="T573" s="5" t="s">
        <v>5907</v>
      </c>
      <c r="U573" s="5" t="s">
        <v>5908</v>
      </c>
      <c r="V573" s="5">
        <v>4.52251728E9</v>
      </c>
      <c r="W573" s="5" t="s">
        <v>2284</v>
      </c>
      <c r="X573" s="91">
        <v>46118.0</v>
      </c>
      <c r="Y573" s="5">
        <v>4.0</v>
      </c>
      <c r="Z573" s="5">
        <v>1.0</v>
      </c>
      <c r="AA573" s="5">
        <v>79.0</v>
      </c>
      <c r="AB573" s="5" t="s">
        <v>5909</v>
      </c>
      <c r="AC573" s="5" t="s">
        <v>1800</v>
      </c>
      <c r="AD573" s="91">
        <v>45912.0</v>
      </c>
      <c r="AE573" s="91">
        <v>47738.0</v>
      </c>
      <c r="AF573" s="5"/>
      <c r="AG573" s="5"/>
      <c r="AH573" s="5">
        <v>5.3806107933E10</v>
      </c>
      <c r="AI573" s="5">
        <v>80.0</v>
      </c>
      <c r="AJ573" s="5"/>
      <c r="AK573" s="5" t="s">
        <v>1773</v>
      </c>
      <c r="AL573" s="92">
        <v>0.0</v>
      </c>
      <c r="AM573" s="5" t="s">
        <v>1770</v>
      </c>
      <c r="AN573" s="5" t="s">
        <v>1830</v>
      </c>
      <c r="AO573" s="5"/>
      <c r="AP573" s="5"/>
      <c r="AQ573" s="5"/>
      <c r="AR573" s="5"/>
      <c r="AS573" s="5"/>
      <c r="AT573" s="5"/>
      <c r="AU573" s="5"/>
      <c r="AV573" s="5"/>
      <c r="AW573" s="5" t="s">
        <v>1770</v>
      </c>
      <c r="AX573" s="5"/>
      <c r="AY573" s="5"/>
      <c r="AZ573" s="5" t="s">
        <v>1770</v>
      </c>
      <c r="BA573" s="93">
        <v>0.0</v>
      </c>
      <c r="BB573" s="93">
        <v>0.0</v>
      </c>
      <c r="BC573" s="93">
        <v>0.0</v>
      </c>
      <c r="BD573" s="93">
        <v>0.0</v>
      </c>
      <c r="BE573" s="93">
        <v>0.0</v>
      </c>
      <c r="BF573" s="93">
        <v>0.0</v>
      </c>
      <c r="BG573" s="5"/>
      <c r="BH573" s="93">
        <v>0.0</v>
      </c>
      <c r="BI573" s="93">
        <v>0.0</v>
      </c>
      <c r="BJ573" s="93">
        <v>0.0</v>
      </c>
      <c r="BK573" s="93">
        <v>0.0</v>
      </c>
      <c r="BL573" s="93">
        <v>0.0</v>
      </c>
      <c r="BM573" s="93">
        <v>0.0</v>
      </c>
      <c r="BN573" s="93">
        <v>0.0</v>
      </c>
      <c r="BO573" s="5"/>
      <c r="BP573" s="5"/>
      <c r="BQ573" s="5" t="s">
        <v>1775</v>
      </c>
      <c r="BR573" s="94">
        <v>46122.46115740741</v>
      </c>
      <c r="BS573" s="5">
        <v>40.0</v>
      </c>
      <c r="BT573" s="5" t="s">
        <v>1770</v>
      </c>
      <c r="BU573" s="5" t="s">
        <v>1770</v>
      </c>
      <c r="BV573" s="5" t="s">
        <v>1770</v>
      </c>
      <c r="BW573" s="5" t="s">
        <v>1770</v>
      </c>
    </row>
    <row r="574" ht="14.25" customHeight="1">
      <c r="A574" s="5">
        <v>573.0</v>
      </c>
      <c r="B574" s="5">
        <v>837.0</v>
      </c>
      <c r="C574" s="5" t="s">
        <v>5910</v>
      </c>
      <c r="D574" s="5" t="s">
        <v>1926</v>
      </c>
      <c r="E574" s="5" t="s">
        <v>5911</v>
      </c>
      <c r="F574" s="5" t="s">
        <v>5912</v>
      </c>
      <c r="G574" s="5" t="s">
        <v>5913</v>
      </c>
      <c r="H574" s="5" t="s">
        <v>1972</v>
      </c>
      <c r="I574" s="5" t="s">
        <v>1782</v>
      </c>
      <c r="J574" s="91">
        <v>38815.0</v>
      </c>
      <c r="K574" s="5">
        <v>831.0</v>
      </c>
      <c r="L574" s="5" t="s">
        <v>5914</v>
      </c>
      <c r="M574" s="5">
        <v>129.0</v>
      </c>
      <c r="N574" s="5"/>
      <c r="O574" s="5">
        <v>54695.0</v>
      </c>
      <c r="P574" s="5" t="s">
        <v>5915</v>
      </c>
      <c r="Q574" s="5" t="s">
        <v>2342</v>
      </c>
      <c r="R574" s="5">
        <v>869.0</v>
      </c>
      <c r="S574" s="5">
        <v>4.471183254E9</v>
      </c>
      <c r="T574" s="5" t="s">
        <v>5916</v>
      </c>
      <c r="U574" s="5" t="s">
        <v>5917</v>
      </c>
      <c r="V574" s="5">
        <v>4.471114742E9</v>
      </c>
      <c r="W574" s="5" t="s">
        <v>2610</v>
      </c>
      <c r="X574" s="91">
        <v>46118.0</v>
      </c>
      <c r="Y574" s="5">
        <v>4.0</v>
      </c>
      <c r="Z574" s="5">
        <v>4.0</v>
      </c>
      <c r="AA574" s="5">
        <v>39.0</v>
      </c>
      <c r="AB574" s="5"/>
      <c r="AC574" s="5"/>
      <c r="AD574" s="5" t="s">
        <v>1770</v>
      </c>
      <c r="AE574" s="5" t="s">
        <v>1770</v>
      </c>
      <c r="AF574" s="5"/>
      <c r="AG574" s="5"/>
      <c r="AH574" s="5">
        <v>1.2160633116E10</v>
      </c>
      <c r="AI574" s="5">
        <v>80.0</v>
      </c>
      <c r="AJ574" s="5"/>
      <c r="AK574" s="5" t="s">
        <v>1773</v>
      </c>
      <c r="AL574" s="92">
        <v>0.0</v>
      </c>
      <c r="AM574" s="5" t="s">
        <v>1770</v>
      </c>
      <c r="AN574" s="5" t="s">
        <v>1830</v>
      </c>
      <c r="AO574" s="5"/>
      <c r="AP574" s="5"/>
      <c r="AQ574" s="5"/>
      <c r="AR574" s="5"/>
      <c r="AS574" s="5"/>
      <c r="AT574" s="5"/>
      <c r="AU574" s="5"/>
      <c r="AV574" s="5"/>
      <c r="AW574" s="5" t="s">
        <v>1770</v>
      </c>
      <c r="AX574" s="5"/>
      <c r="AY574" s="5"/>
      <c r="AZ574" s="5" t="s">
        <v>1770</v>
      </c>
      <c r="BA574" s="93">
        <v>0.0</v>
      </c>
      <c r="BB574" s="93">
        <v>0.0</v>
      </c>
      <c r="BC574" s="93">
        <v>0.0</v>
      </c>
      <c r="BD574" s="93">
        <v>0.0</v>
      </c>
      <c r="BE574" s="93">
        <v>0.0</v>
      </c>
      <c r="BF574" s="93">
        <v>0.0</v>
      </c>
      <c r="BG574" s="5"/>
      <c r="BH574" s="93">
        <v>0.0</v>
      </c>
      <c r="BI574" s="93">
        <v>0.0</v>
      </c>
      <c r="BJ574" s="93">
        <v>0.0</v>
      </c>
      <c r="BK574" s="93">
        <v>0.0</v>
      </c>
      <c r="BL574" s="93">
        <v>0.0</v>
      </c>
      <c r="BM574" s="93">
        <v>0.0</v>
      </c>
      <c r="BN574" s="93">
        <v>0.0</v>
      </c>
      <c r="BO574" s="5"/>
      <c r="BP574" s="5"/>
      <c r="BQ574" s="5" t="s">
        <v>1775</v>
      </c>
      <c r="BR574" s="94">
        <v>46122.48103009259</v>
      </c>
      <c r="BS574" s="5">
        <v>40.0</v>
      </c>
      <c r="BT574" s="5" t="s">
        <v>1770</v>
      </c>
      <c r="BU574" s="5" t="s">
        <v>1770</v>
      </c>
      <c r="BV574" s="5" t="s">
        <v>1770</v>
      </c>
      <c r="BW574" s="5" t="s">
        <v>1770</v>
      </c>
    </row>
    <row r="575" ht="14.25" customHeight="1">
      <c r="A575" s="5">
        <v>574.0</v>
      </c>
      <c r="B575" s="5">
        <v>838.0</v>
      </c>
      <c r="C575" s="5" t="s">
        <v>5414</v>
      </c>
      <c r="D575" s="5" t="s">
        <v>2132</v>
      </c>
      <c r="E575" s="5" t="s">
        <v>5918</v>
      </c>
      <c r="F575" s="5" t="s">
        <v>5919</v>
      </c>
      <c r="G575" s="5" t="s">
        <v>5920</v>
      </c>
      <c r="H575" s="5" t="s">
        <v>1781</v>
      </c>
      <c r="I575" s="5" t="s">
        <v>1782</v>
      </c>
      <c r="J575" s="91">
        <v>37358.0</v>
      </c>
      <c r="K575" s="5">
        <v>424.0</v>
      </c>
      <c r="L575" s="5" t="s">
        <v>3851</v>
      </c>
      <c r="M575" s="5">
        <v>23.0</v>
      </c>
      <c r="N575" s="5"/>
      <c r="O575" s="5">
        <v>35904.0</v>
      </c>
      <c r="P575" s="5" t="s">
        <v>5921</v>
      </c>
      <c r="Q575" s="5" t="s">
        <v>5921</v>
      </c>
      <c r="R575" s="5">
        <v>424.0</v>
      </c>
      <c r="S575" s="5">
        <v>3.52129284E9</v>
      </c>
      <c r="T575" s="5" t="s">
        <v>5922</v>
      </c>
      <c r="U575" s="5" t="s">
        <v>5923</v>
      </c>
      <c r="V575" s="5">
        <v>3.521245377E9</v>
      </c>
      <c r="W575" s="5" t="s">
        <v>1965</v>
      </c>
      <c r="X575" s="91">
        <v>46120.0</v>
      </c>
      <c r="Y575" s="5">
        <v>3.0</v>
      </c>
      <c r="Z575" s="5">
        <v>3.0</v>
      </c>
      <c r="AA575" s="5">
        <v>58.0</v>
      </c>
      <c r="AB575" s="5" t="s">
        <v>5924</v>
      </c>
      <c r="AC575" s="5" t="s">
        <v>1772</v>
      </c>
      <c r="AD575" s="91">
        <v>45870.0</v>
      </c>
      <c r="AE575" s="91">
        <v>49430.0</v>
      </c>
      <c r="AF575" s="5"/>
      <c r="AG575" s="5"/>
      <c r="AH575" s="5">
        <v>1.7180223426E10</v>
      </c>
      <c r="AI575" s="5">
        <v>77.0</v>
      </c>
      <c r="AJ575" s="5"/>
      <c r="AK575" s="5" t="s">
        <v>1773</v>
      </c>
      <c r="AL575" s="92">
        <v>0.0</v>
      </c>
      <c r="AM575" s="5" t="s">
        <v>1770</v>
      </c>
      <c r="AN575" s="5" t="s">
        <v>1830</v>
      </c>
      <c r="AO575" s="5"/>
      <c r="AP575" s="5"/>
      <c r="AQ575" s="5"/>
      <c r="AR575" s="5"/>
      <c r="AS575" s="5"/>
      <c r="AT575" s="5"/>
      <c r="AU575" s="5"/>
      <c r="AV575" s="5"/>
      <c r="AW575" s="5" t="s">
        <v>1770</v>
      </c>
      <c r="AX575" s="5"/>
      <c r="AY575" s="5"/>
      <c r="AZ575" s="5" t="s">
        <v>1770</v>
      </c>
      <c r="BA575" s="93">
        <v>0.0</v>
      </c>
      <c r="BB575" s="93">
        <v>0.0</v>
      </c>
      <c r="BC575" s="93">
        <v>0.0</v>
      </c>
      <c r="BD575" s="93">
        <v>0.0</v>
      </c>
      <c r="BE575" s="93">
        <v>0.0</v>
      </c>
      <c r="BF575" s="93">
        <v>0.0</v>
      </c>
      <c r="BG575" s="5"/>
      <c r="BH575" s="93">
        <v>0.0</v>
      </c>
      <c r="BI575" s="93">
        <v>0.0</v>
      </c>
      <c r="BJ575" s="93">
        <v>0.0</v>
      </c>
      <c r="BK575" s="93">
        <v>0.0</v>
      </c>
      <c r="BL575" s="93">
        <v>0.0</v>
      </c>
      <c r="BM575" s="93">
        <v>0.0</v>
      </c>
      <c r="BN575" s="93">
        <v>0.0</v>
      </c>
      <c r="BO575" s="5"/>
      <c r="BP575" s="5"/>
      <c r="BQ575" s="5" t="s">
        <v>1775</v>
      </c>
      <c r="BR575" s="94">
        <v>46122.489699074074</v>
      </c>
      <c r="BS575" s="5">
        <v>40.0</v>
      </c>
      <c r="BT575" s="5" t="s">
        <v>1770</v>
      </c>
      <c r="BU575" s="5" t="s">
        <v>1770</v>
      </c>
      <c r="BV575" s="5" t="s">
        <v>1770</v>
      </c>
      <c r="BW575" s="5" t="s">
        <v>1770</v>
      </c>
    </row>
    <row r="576" ht="14.25" customHeight="1">
      <c r="A576" s="5">
        <v>575.0</v>
      </c>
      <c r="B576" s="5">
        <v>841.0</v>
      </c>
      <c r="C576" s="5" t="s">
        <v>5925</v>
      </c>
      <c r="D576" s="5" t="s">
        <v>4601</v>
      </c>
      <c r="E576" s="5" t="s">
        <v>2306</v>
      </c>
      <c r="F576" s="5" t="s">
        <v>5926</v>
      </c>
      <c r="G576" s="5" t="s">
        <v>5927</v>
      </c>
      <c r="H576" s="5" t="s">
        <v>1815</v>
      </c>
      <c r="I576" s="5" t="s">
        <v>1763</v>
      </c>
      <c r="J576" s="91">
        <v>37946.0</v>
      </c>
      <c r="K576" s="5">
        <v>424.0</v>
      </c>
      <c r="L576" s="5" t="s">
        <v>5928</v>
      </c>
      <c r="M576" s="5">
        <v>8.0</v>
      </c>
      <c r="N576" s="5"/>
      <c r="O576" s="5">
        <v>35896.0</v>
      </c>
      <c r="P576" s="5" t="s">
        <v>3139</v>
      </c>
      <c r="Q576" s="5" t="s">
        <v>3406</v>
      </c>
      <c r="R576" s="5">
        <v>424.0</v>
      </c>
      <c r="S576" s="5">
        <v>4.499285029E9</v>
      </c>
      <c r="T576" s="5" t="s">
        <v>5929</v>
      </c>
      <c r="U576" s="5" t="s">
        <v>5930</v>
      </c>
      <c r="V576" s="5">
        <v>4.696030268E9</v>
      </c>
      <c r="W576" s="5" t="s">
        <v>1808</v>
      </c>
      <c r="X576" s="91">
        <v>46128.0</v>
      </c>
      <c r="Y576" s="5">
        <v>2.0</v>
      </c>
      <c r="Z576" s="5">
        <v>19.0</v>
      </c>
      <c r="AA576" s="5">
        <v>9.0</v>
      </c>
      <c r="AB576" s="5"/>
      <c r="AC576" s="5"/>
      <c r="AD576" s="5" t="s">
        <v>1770</v>
      </c>
      <c r="AE576" s="5" t="s">
        <v>1770</v>
      </c>
      <c r="AF576" s="5"/>
      <c r="AG576" s="5"/>
      <c r="AH576" s="5">
        <v>5.6170335196E10</v>
      </c>
      <c r="AI576" s="5">
        <v>9.0</v>
      </c>
      <c r="AJ576" s="5"/>
      <c r="AK576" s="5" t="s">
        <v>1773</v>
      </c>
      <c r="AL576" s="92">
        <v>0.0</v>
      </c>
      <c r="AM576" s="5" t="s">
        <v>1770</v>
      </c>
      <c r="AN576" s="5" t="s">
        <v>3236</v>
      </c>
      <c r="AO576" s="5"/>
      <c r="AP576" s="5"/>
      <c r="AQ576" s="5"/>
      <c r="AR576" s="5"/>
      <c r="AS576" s="5"/>
      <c r="AT576" s="5"/>
      <c r="AU576" s="5"/>
      <c r="AV576" s="5"/>
      <c r="AW576" s="5" t="s">
        <v>1770</v>
      </c>
      <c r="AX576" s="5"/>
      <c r="AY576" s="5"/>
      <c r="AZ576" s="5" t="s">
        <v>1770</v>
      </c>
      <c r="BA576" s="93">
        <v>0.0</v>
      </c>
      <c r="BB576" s="93">
        <v>0.0</v>
      </c>
      <c r="BC576" s="93">
        <v>0.0</v>
      </c>
      <c r="BD576" s="93">
        <v>0.0</v>
      </c>
      <c r="BE576" s="93">
        <v>0.0</v>
      </c>
      <c r="BF576" s="93">
        <v>0.0</v>
      </c>
      <c r="BG576" s="5"/>
      <c r="BH576" s="93">
        <v>0.0</v>
      </c>
      <c r="BI576" s="93">
        <v>0.0</v>
      </c>
      <c r="BJ576" s="93">
        <v>0.0</v>
      </c>
      <c r="BK576" s="93">
        <v>0.0</v>
      </c>
      <c r="BL576" s="93">
        <v>0.0</v>
      </c>
      <c r="BM576" s="93">
        <v>0.0</v>
      </c>
      <c r="BN576" s="93">
        <v>0.0</v>
      </c>
      <c r="BO576" s="5"/>
      <c r="BP576" s="5"/>
      <c r="BQ576" s="5" t="s">
        <v>1775</v>
      </c>
      <c r="BR576" s="94">
        <v>46134.69642361111</v>
      </c>
      <c r="BS576" s="5">
        <v>40.0</v>
      </c>
      <c r="BT576" s="5" t="s">
        <v>1770</v>
      </c>
      <c r="BU576" s="5" t="s">
        <v>1770</v>
      </c>
      <c r="BV576" s="5" t="s">
        <v>1770</v>
      </c>
      <c r="BW576" s="5" t="s">
        <v>1770</v>
      </c>
    </row>
    <row r="577" ht="14.25" customHeight="1">
      <c r="A577" s="5">
        <v>576.0</v>
      </c>
      <c r="B577" s="5">
        <v>840.0</v>
      </c>
      <c r="C577" s="5" t="s">
        <v>5931</v>
      </c>
      <c r="D577" s="5" t="s">
        <v>2001</v>
      </c>
      <c r="E577" s="5" t="s">
        <v>2343</v>
      </c>
      <c r="F577" s="5" t="s">
        <v>5932</v>
      </c>
      <c r="G577" s="5" t="s">
        <v>5933</v>
      </c>
      <c r="H577" s="5" t="s">
        <v>1972</v>
      </c>
      <c r="I577" s="5" t="s">
        <v>1782</v>
      </c>
      <c r="J577" s="91">
        <v>35740.0</v>
      </c>
      <c r="K577" s="5">
        <v>570.0</v>
      </c>
      <c r="L577" s="5" t="s">
        <v>5934</v>
      </c>
      <c r="M577" s="5">
        <v>11.0</v>
      </c>
      <c r="N577" s="5"/>
      <c r="O577" s="5">
        <v>43929.0</v>
      </c>
      <c r="P577" s="5" t="s">
        <v>3139</v>
      </c>
      <c r="Q577" s="5" t="s">
        <v>5935</v>
      </c>
      <c r="R577" s="5">
        <v>597.0</v>
      </c>
      <c r="S577" s="5">
        <v>3.328176785E9</v>
      </c>
      <c r="T577" s="5" t="s">
        <v>5936</v>
      </c>
      <c r="U577" s="5" t="s">
        <v>5937</v>
      </c>
      <c r="V577" s="5">
        <v>3.334579223E9</v>
      </c>
      <c r="W577" s="5" t="s">
        <v>1808</v>
      </c>
      <c r="X577" s="91">
        <v>46128.0</v>
      </c>
      <c r="Y577" s="5">
        <v>5.0</v>
      </c>
      <c r="Z577" s="5">
        <v>4.0</v>
      </c>
      <c r="AA577" s="5">
        <v>12.0</v>
      </c>
      <c r="AB577" s="5"/>
      <c r="AC577" s="5" t="s">
        <v>1800</v>
      </c>
      <c r="AD577" s="91">
        <v>46182.0</v>
      </c>
      <c r="AE577" s="91">
        <v>47643.0</v>
      </c>
      <c r="AF577" s="5"/>
      <c r="AG577" s="5"/>
      <c r="AH577" s="5">
        <v>5.179770226E9</v>
      </c>
      <c r="AI577" s="5">
        <v>95.0</v>
      </c>
      <c r="AJ577" s="5"/>
      <c r="AK577" s="5" t="s">
        <v>1773</v>
      </c>
      <c r="AL577" s="92">
        <v>0.0</v>
      </c>
      <c r="AM577" s="5" t="s">
        <v>1770</v>
      </c>
      <c r="AN577" s="5" t="s">
        <v>1774</v>
      </c>
      <c r="AO577" s="5"/>
      <c r="AP577" s="5"/>
      <c r="AQ577" s="5"/>
      <c r="AR577" s="5"/>
      <c r="AS577" s="5"/>
      <c r="AT577" s="5"/>
      <c r="AU577" s="5"/>
      <c r="AV577" s="5"/>
      <c r="AW577" s="5" t="s">
        <v>1770</v>
      </c>
      <c r="AX577" s="5"/>
      <c r="AY577" s="5"/>
      <c r="AZ577" s="5" t="s">
        <v>1770</v>
      </c>
      <c r="BA577" s="93">
        <v>0.0</v>
      </c>
      <c r="BB577" s="93">
        <v>0.0</v>
      </c>
      <c r="BC577" s="93">
        <v>0.0</v>
      </c>
      <c r="BD577" s="93">
        <v>0.0</v>
      </c>
      <c r="BE577" s="93">
        <v>0.0</v>
      </c>
      <c r="BF577" s="93">
        <v>0.0</v>
      </c>
      <c r="BG577" s="5"/>
      <c r="BH577" s="93">
        <v>0.0</v>
      </c>
      <c r="BI577" s="93">
        <v>0.0</v>
      </c>
      <c r="BJ577" s="93">
        <v>0.0</v>
      </c>
      <c r="BK577" s="93">
        <v>0.0</v>
      </c>
      <c r="BL577" s="93">
        <v>0.0</v>
      </c>
      <c r="BM577" s="93">
        <v>0.0</v>
      </c>
      <c r="BN577" s="93">
        <v>0.0</v>
      </c>
      <c r="BO577" s="5"/>
      <c r="BP577" s="5"/>
      <c r="BQ577" s="5" t="s">
        <v>1775</v>
      </c>
      <c r="BR577" s="94">
        <v>46134.710960648146</v>
      </c>
      <c r="BS577" s="5">
        <v>40.0</v>
      </c>
      <c r="BT577" s="94">
        <v>46182.65613425926</v>
      </c>
      <c r="BU577" s="5">
        <v>272.0</v>
      </c>
      <c r="BV577" s="5" t="s">
        <v>1770</v>
      </c>
      <c r="BW577" s="5" t="s">
        <v>1770</v>
      </c>
    </row>
    <row r="578" ht="14.25" customHeight="1">
      <c r="A578" s="5">
        <v>577.0</v>
      </c>
      <c r="B578" s="5">
        <v>839.0</v>
      </c>
      <c r="C578" s="5" t="s">
        <v>5938</v>
      </c>
      <c r="D578" s="5" t="s">
        <v>5325</v>
      </c>
      <c r="E578" s="5" t="s">
        <v>5325</v>
      </c>
      <c r="F578" s="5" t="s">
        <v>5939</v>
      </c>
      <c r="G578" s="5" t="s">
        <v>5940</v>
      </c>
      <c r="H578" s="5" t="s">
        <v>1815</v>
      </c>
      <c r="I578" s="5" t="s">
        <v>1763</v>
      </c>
      <c r="J578" s="91">
        <v>37308.0</v>
      </c>
      <c r="K578" s="5" t="s">
        <v>1770</v>
      </c>
      <c r="L578" s="5" t="s">
        <v>3878</v>
      </c>
      <c r="M578" s="5">
        <v>113.0</v>
      </c>
      <c r="N578" s="5"/>
      <c r="O578" s="5">
        <v>55002.0</v>
      </c>
      <c r="P578" s="5" t="s">
        <v>1797</v>
      </c>
      <c r="Q578" s="5" t="s">
        <v>1974</v>
      </c>
      <c r="R578" s="5">
        <v>886.0</v>
      </c>
      <c r="S578" s="5">
        <v>3.931586527E9</v>
      </c>
      <c r="T578" s="5" t="s">
        <v>5941</v>
      </c>
      <c r="U578" s="5" t="s">
        <v>1819</v>
      </c>
      <c r="V578" s="5">
        <v>3.329363671E9</v>
      </c>
      <c r="W578" s="5" t="s">
        <v>1819</v>
      </c>
      <c r="X578" s="91">
        <v>46128.0</v>
      </c>
      <c r="Y578" s="5">
        <v>1.0</v>
      </c>
      <c r="Z578" s="5">
        <v>17.0</v>
      </c>
      <c r="AA578" s="5">
        <v>5.0</v>
      </c>
      <c r="AB578" s="5"/>
      <c r="AC578" s="5"/>
      <c r="AD578" s="5" t="s">
        <v>1770</v>
      </c>
      <c r="AE578" s="5" t="s">
        <v>1770</v>
      </c>
      <c r="AF578" s="5"/>
      <c r="AG578" s="5"/>
      <c r="AH578" s="5">
        <v>3.190220941E9</v>
      </c>
      <c r="AI578" s="5">
        <v>23.0</v>
      </c>
      <c r="AJ578" s="5"/>
      <c r="AK578" s="5" t="s">
        <v>1773</v>
      </c>
      <c r="AL578" s="92">
        <v>0.0</v>
      </c>
      <c r="AM578" s="5" t="s">
        <v>1770</v>
      </c>
      <c r="AN578" s="5" t="s">
        <v>2052</v>
      </c>
      <c r="AO578" s="5"/>
      <c r="AP578" s="5"/>
      <c r="AQ578" s="5"/>
      <c r="AR578" s="5"/>
      <c r="AS578" s="5"/>
      <c r="AT578" s="5"/>
      <c r="AU578" s="5"/>
      <c r="AV578" s="5"/>
      <c r="AW578" s="5" t="s">
        <v>1770</v>
      </c>
      <c r="AX578" s="5"/>
      <c r="AY578" s="5"/>
      <c r="AZ578" s="5" t="s">
        <v>1770</v>
      </c>
      <c r="BA578" s="93">
        <v>0.0</v>
      </c>
      <c r="BB578" s="93">
        <v>0.0</v>
      </c>
      <c r="BC578" s="93">
        <v>0.0</v>
      </c>
      <c r="BD578" s="93">
        <v>0.0</v>
      </c>
      <c r="BE578" s="93">
        <v>0.0</v>
      </c>
      <c r="BF578" s="93">
        <v>0.0</v>
      </c>
      <c r="BG578" s="5"/>
      <c r="BH578" s="93">
        <v>0.0</v>
      </c>
      <c r="BI578" s="93">
        <v>0.0</v>
      </c>
      <c r="BJ578" s="93">
        <v>0.0</v>
      </c>
      <c r="BK578" s="93">
        <v>0.0</v>
      </c>
      <c r="BL578" s="93">
        <v>0.0</v>
      </c>
      <c r="BM578" s="93">
        <v>0.0</v>
      </c>
      <c r="BN578" s="93">
        <v>0.0</v>
      </c>
      <c r="BO578" s="5"/>
      <c r="BP578" s="5"/>
      <c r="BQ578" s="5" t="s">
        <v>1775</v>
      </c>
      <c r="BR578" s="94">
        <v>46134.72400462963</v>
      </c>
      <c r="BS578" s="5">
        <v>40.0</v>
      </c>
      <c r="BT578" s="5" t="s">
        <v>1770</v>
      </c>
      <c r="BU578" s="5" t="s">
        <v>1770</v>
      </c>
      <c r="BV578" s="5" t="s">
        <v>1770</v>
      </c>
      <c r="BW578" s="5" t="s">
        <v>1770</v>
      </c>
    </row>
    <row r="579" ht="14.25" customHeight="1">
      <c r="A579" s="5">
        <v>578.0</v>
      </c>
      <c r="B579" s="5">
        <v>842.0</v>
      </c>
      <c r="C579" s="5" t="s">
        <v>3216</v>
      </c>
      <c r="D579" s="5" t="s">
        <v>1778</v>
      </c>
      <c r="E579" s="5" t="s">
        <v>2005</v>
      </c>
      <c r="F579" s="5" t="s">
        <v>5942</v>
      </c>
      <c r="G579" s="5" t="s">
        <v>5943</v>
      </c>
      <c r="H579" s="5"/>
      <c r="I579" s="5" t="s">
        <v>1782</v>
      </c>
      <c r="J579" s="91">
        <v>25186.0</v>
      </c>
      <c r="K579" s="5">
        <v>850.0</v>
      </c>
      <c r="L579" s="5" t="s">
        <v>5944</v>
      </c>
      <c r="M579" s="5" t="s">
        <v>2913</v>
      </c>
      <c r="N579" s="5"/>
      <c r="O579" s="5">
        <v>43722.0</v>
      </c>
      <c r="P579" s="5" t="s">
        <v>1883</v>
      </c>
      <c r="Q579" s="5" t="s">
        <v>1883</v>
      </c>
      <c r="R579" s="5">
        <v>850.0</v>
      </c>
      <c r="S579" s="5">
        <v>1.111111111E9</v>
      </c>
      <c r="T579" s="5"/>
      <c r="U579" s="5" t="s">
        <v>5945</v>
      </c>
      <c r="V579" s="5">
        <v>1.111111111E9</v>
      </c>
      <c r="W579" s="5" t="s">
        <v>5945</v>
      </c>
      <c r="X579" s="91">
        <v>46132.0</v>
      </c>
      <c r="Y579" s="5">
        <v>1.0</v>
      </c>
      <c r="Z579" s="5">
        <v>14.0</v>
      </c>
      <c r="AA579" s="5">
        <v>13.0</v>
      </c>
      <c r="AB579" s="5"/>
      <c r="AC579" s="5"/>
      <c r="AD579" s="5" t="s">
        <v>1770</v>
      </c>
      <c r="AE579" s="5" t="s">
        <v>1770</v>
      </c>
      <c r="AF579" s="5">
        <v>1.570170894E9</v>
      </c>
      <c r="AG579" s="5">
        <v>1.2180015701708944E16</v>
      </c>
      <c r="AH579" s="5">
        <v>4.096803962E9</v>
      </c>
      <c r="AI579" s="5"/>
      <c r="AJ579" s="5"/>
      <c r="AK579" s="5" t="s">
        <v>1773</v>
      </c>
      <c r="AL579" s="92">
        <v>0.0</v>
      </c>
      <c r="AM579" s="5" t="s">
        <v>1770</v>
      </c>
      <c r="AN579" s="5" t="s">
        <v>1830</v>
      </c>
      <c r="AO579" s="5"/>
      <c r="AP579" s="5"/>
      <c r="AQ579" s="5"/>
      <c r="AR579" s="5"/>
      <c r="AS579" s="5"/>
      <c r="AT579" s="5"/>
      <c r="AU579" s="5"/>
      <c r="AV579" s="5"/>
      <c r="AW579" s="5" t="s">
        <v>1770</v>
      </c>
      <c r="AX579" s="5"/>
      <c r="AY579" s="5"/>
      <c r="AZ579" s="5" t="s">
        <v>1770</v>
      </c>
      <c r="BA579" s="93">
        <v>0.0</v>
      </c>
      <c r="BB579" s="93">
        <v>0.0</v>
      </c>
      <c r="BC579" s="93">
        <v>0.0</v>
      </c>
      <c r="BD579" s="93">
        <v>0.0</v>
      </c>
      <c r="BE579" s="93">
        <v>0.0</v>
      </c>
      <c r="BF579" s="93">
        <v>0.0</v>
      </c>
      <c r="BG579" s="5"/>
      <c r="BH579" s="93">
        <v>0.0</v>
      </c>
      <c r="BI579" s="93">
        <v>0.0</v>
      </c>
      <c r="BJ579" s="93">
        <v>0.0</v>
      </c>
      <c r="BK579" s="93">
        <v>0.0</v>
      </c>
      <c r="BL579" s="93">
        <v>0.0</v>
      </c>
      <c r="BM579" s="93">
        <v>0.0</v>
      </c>
      <c r="BN579" s="93">
        <v>0.0</v>
      </c>
      <c r="BO579" s="5"/>
      <c r="BP579" s="5"/>
      <c r="BQ579" s="5" t="s">
        <v>1775</v>
      </c>
      <c r="BR579" s="94">
        <v>46142.476006944446</v>
      </c>
      <c r="BS579" s="5">
        <v>339.0</v>
      </c>
      <c r="BT579" s="94">
        <v>46176.40605324074</v>
      </c>
      <c r="BU579" s="5">
        <v>272.0</v>
      </c>
      <c r="BV579" s="5" t="s">
        <v>1770</v>
      </c>
      <c r="BW579" s="5" t="s">
        <v>1770</v>
      </c>
    </row>
    <row r="580" ht="14.25" customHeight="1">
      <c r="A580" s="5">
        <v>579.0</v>
      </c>
      <c r="B580" s="5">
        <v>843.0</v>
      </c>
      <c r="C580" s="5" t="s">
        <v>2612</v>
      </c>
      <c r="D580" s="5" t="s">
        <v>4783</v>
      </c>
      <c r="E580" s="5" t="s">
        <v>2765</v>
      </c>
      <c r="F580" s="5" t="s">
        <v>5946</v>
      </c>
      <c r="G580" s="5" t="s">
        <v>5947</v>
      </c>
      <c r="H580" s="5" t="s">
        <v>1781</v>
      </c>
      <c r="I580" s="5" t="s">
        <v>1782</v>
      </c>
      <c r="J580" s="91">
        <v>30506.0</v>
      </c>
      <c r="K580" s="5">
        <v>594.0</v>
      </c>
      <c r="L580" s="5" t="s">
        <v>5948</v>
      </c>
      <c r="M580" s="5">
        <v>17.0</v>
      </c>
      <c r="N580" s="5"/>
      <c r="O580" s="5">
        <v>43782.0</v>
      </c>
      <c r="P580" s="5" t="s">
        <v>5949</v>
      </c>
      <c r="Q580" s="5" t="s">
        <v>5362</v>
      </c>
      <c r="R580" s="5">
        <v>539.0</v>
      </c>
      <c r="S580" s="5">
        <v>3.481262449E9</v>
      </c>
      <c r="T580" s="5" t="s">
        <v>5950</v>
      </c>
      <c r="U580" s="5" t="s">
        <v>5951</v>
      </c>
      <c r="V580" s="5">
        <v>3.481074292E9</v>
      </c>
      <c r="W580" s="5" t="s">
        <v>1787</v>
      </c>
      <c r="X580" s="91">
        <v>46146.0</v>
      </c>
      <c r="Y580" s="5">
        <v>1.0</v>
      </c>
      <c r="Z580" s="5">
        <v>4.0</v>
      </c>
      <c r="AA580" s="5">
        <v>48.0</v>
      </c>
      <c r="AB580" s="5" t="s">
        <v>5952</v>
      </c>
      <c r="AC580" s="5" t="s">
        <v>1800</v>
      </c>
      <c r="AD580" s="91">
        <v>46126.0</v>
      </c>
      <c r="AE580" s="91">
        <v>47587.0</v>
      </c>
      <c r="AF580" s="5"/>
      <c r="AG580" s="5"/>
      <c r="AH580" s="5">
        <v>4.038353217E9</v>
      </c>
      <c r="AI580" s="5">
        <v>23.0</v>
      </c>
      <c r="AJ580" s="5"/>
      <c r="AK580" s="5" t="s">
        <v>2907</v>
      </c>
      <c r="AL580" s="92">
        <v>0.0</v>
      </c>
      <c r="AM580" s="5" t="s">
        <v>1770</v>
      </c>
      <c r="AN580" s="5" t="s">
        <v>1774</v>
      </c>
      <c r="AO580" s="5"/>
      <c r="AP580" s="5"/>
      <c r="AQ580" s="5"/>
      <c r="AR580" s="5"/>
      <c r="AS580" s="5"/>
      <c r="AT580" s="5"/>
      <c r="AU580" s="5"/>
      <c r="AV580" s="5"/>
      <c r="AW580" s="5" t="s">
        <v>1770</v>
      </c>
      <c r="AX580" s="5"/>
      <c r="AY580" s="5"/>
      <c r="AZ580" s="5" t="s">
        <v>1770</v>
      </c>
      <c r="BA580" s="93">
        <v>0.0</v>
      </c>
      <c r="BB580" s="93">
        <v>0.0</v>
      </c>
      <c r="BC580" s="93">
        <v>0.0</v>
      </c>
      <c r="BD580" s="93">
        <v>0.0</v>
      </c>
      <c r="BE580" s="93">
        <v>0.0</v>
      </c>
      <c r="BF580" s="93">
        <v>0.0</v>
      </c>
      <c r="BG580" s="5"/>
      <c r="BH580" s="93">
        <v>0.0</v>
      </c>
      <c r="BI580" s="93">
        <v>0.0</v>
      </c>
      <c r="BJ580" s="93">
        <v>0.0</v>
      </c>
      <c r="BK580" s="93">
        <v>0.0</v>
      </c>
      <c r="BL580" s="93">
        <v>0.0</v>
      </c>
      <c r="BM580" s="93">
        <v>0.0</v>
      </c>
      <c r="BN580" s="93">
        <v>0.0</v>
      </c>
      <c r="BO580" s="5"/>
      <c r="BP580" s="5"/>
      <c r="BQ580" s="5" t="s">
        <v>1775</v>
      </c>
      <c r="BR580" s="94">
        <v>46150.54148148148</v>
      </c>
      <c r="BS580" s="5">
        <v>40.0</v>
      </c>
      <c r="BT580" s="5" t="s">
        <v>1770</v>
      </c>
      <c r="BU580" s="5" t="s">
        <v>1770</v>
      </c>
      <c r="BV580" s="5" t="s">
        <v>1770</v>
      </c>
      <c r="BW580" s="5" t="s">
        <v>1770</v>
      </c>
    </row>
    <row r="581" ht="14.25" customHeight="1">
      <c r="A581" s="5">
        <v>580.0</v>
      </c>
      <c r="B581" s="5">
        <v>845.0</v>
      </c>
      <c r="C581" s="5" t="s">
        <v>2877</v>
      </c>
      <c r="D581" s="100" t="s">
        <v>5953</v>
      </c>
      <c r="E581" s="5" t="s">
        <v>1758</v>
      </c>
      <c r="F581" s="5" t="s">
        <v>5954</v>
      </c>
      <c r="G581" s="5" t="s">
        <v>5955</v>
      </c>
      <c r="H581" s="5" t="s">
        <v>1972</v>
      </c>
      <c r="I581" s="5" t="s">
        <v>1782</v>
      </c>
      <c r="J581" s="91">
        <v>36149.0</v>
      </c>
      <c r="K581" s="5">
        <v>549.0</v>
      </c>
      <c r="L581" s="5" t="s">
        <v>2784</v>
      </c>
      <c r="M581" s="5">
        <v>45.0</v>
      </c>
      <c r="N581" s="5" t="s">
        <v>2624</v>
      </c>
      <c r="O581" s="5">
        <v>43886.0</v>
      </c>
      <c r="P581" s="5" t="s">
        <v>3139</v>
      </c>
      <c r="Q581" s="5" t="s">
        <v>1883</v>
      </c>
      <c r="R581" s="5">
        <v>549.0</v>
      </c>
      <c r="S581" s="5">
        <v>6.648511298E9</v>
      </c>
      <c r="T581" s="5" t="s">
        <v>5956</v>
      </c>
      <c r="U581" s="5" t="s">
        <v>5957</v>
      </c>
      <c r="V581" s="5">
        <v>3.931082301E9</v>
      </c>
      <c r="W581" s="5" t="s">
        <v>1808</v>
      </c>
      <c r="X581" s="91">
        <v>46160.0</v>
      </c>
      <c r="Y581" s="5" t="s">
        <v>1770</v>
      </c>
      <c r="Z581" s="5">
        <v>17.0</v>
      </c>
      <c r="AA581" s="5">
        <v>9.0</v>
      </c>
      <c r="AB581" s="5" t="s">
        <v>5958</v>
      </c>
      <c r="AC581" s="5" t="s">
        <v>1800</v>
      </c>
      <c r="AD581" s="91">
        <v>45337.0</v>
      </c>
      <c r="AE581" s="91">
        <v>46798.0</v>
      </c>
      <c r="AF581" s="5"/>
      <c r="AG581" s="5"/>
      <c r="AH581" s="5">
        <v>1.0139817109E10</v>
      </c>
      <c r="AI581" s="5">
        <v>23.0</v>
      </c>
      <c r="AJ581" s="5"/>
      <c r="AK581" s="5" t="s">
        <v>1773</v>
      </c>
      <c r="AL581" s="92">
        <v>0.0</v>
      </c>
      <c r="AM581" s="5" t="s">
        <v>1770</v>
      </c>
      <c r="AN581" s="5" t="s">
        <v>1774</v>
      </c>
      <c r="AO581" s="5"/>
      <c r="AP581" s="5"/>
      <c r="AQ581" s="5"/>
      <c r="AR581" s="5"/>
      <c r="AS581" s="5"/>
      <c r="AT581" s="5"/>
      <c r="AU581" s="5"/>
      <c r="AV581" s="5"/>
      <c r="AW581" s="5" t="s">
        <v>1770</v>
      </c>
      <c r="AX581" s="5"/>
      <c r="AY581" s="5"/>
      <c r="AZ581" s="5" t="s">
        <v>1770</v>
      </c>
      <c r="BA581" s="93">
        <v>0.0</v>
      </c>
      <c r="BB581" s="93">
        <v>0.0</v>
      </c>
      <c r="BC581" s="93">
        <v>0.0</v>
      </c>
      <c r="BD581" s="93">
        <v>0.0</v>
      </c>
      <c r="BE581" s="93">
        <v>0.0</v>
      </c>
      <c r="BF581" s="93">
        <v>0.0</v>
      </c>
      <c r="BG581" s="5"/>
      <c r="BH581" s="93">
        <v>0.0</v>
      </c>
      <c r="BI581" s="93">
        <v>0.0</v>
      </c>
      <c r="BJ581" s="93">
        <v>0.0</v>
      </c>
      <c r="BK581" s="93">
        <v>0.0</v>
      </c>
      <c r="BL581" s="93">
        <v>0.0</v>
      </c>
      <c r="BM581" s="93">
        <v>0.0</v>
      </c>
      <c r="BN581" s="93">
        <v>0.0</v>
      </c>
      <c r="BO581" s="5"/>
      <c r="BP581" s="5"/>
      <c r="BQ581" s="5" t="s">
        <v>1775</v>
      </c>
      <c r="BR581" s="94">
        <v>46162.440254629626</v>
      </c>
      <c r="BS581" s="5">
        <v>40.0</v>
      </c>
      <c r="BT581" s="94">
        <v>46162.44097222222</v>
      </c>
      <c r="BU581" s="5">
        <v>40.0</v>
      </c>
      <c r="BV581" s="5" t="s">
        <v>1770</v>
      </c>
      <c r="BW581" s="5" t="s">
        <v>1770</v>
      </c>
    </row>
    <row r="582" ht="14.25" customHeight="1">
      <c r="A582" s="5">
        <v>581.0</v>
      </c>
      <c r="B582" s="5">
        <v>844.0</v>
      </c>
      <c r="C582" s="5" t="s">
        <v>1810</v>
      </c>
      <c r="D582" s="5" t="s">
        <v>2011</v>
      </c>
      <c r="E582" s="5" t="s">
        <v>1778</v>
      </c>
      <c r="F582" s="5" t="s">
        <v>5959</v>
      </c>
      <c r="G582" s="5" t="s">
        <v>5960</v>
      </c>
      <c r="H582" s="5" t="s">
        <v>1815</v>
      </c>
      <c r="I582" s="5" t="s">
        <v>1763</v>
      </c>
      <c r="J582" s="91">
        <v>35479.0</v>
      </c>
      <c r="K582" s="5">
        <v>1.0</v>
      </c>
      <c r="L582" s="5" t="s">
        <v>5961</v>
      </c>
      <c r="M582" s="5">
        <v>96.0</v>
      </c>
      <c r="N582" s="5"/>
      <c r="O582" s="5">
        <v>43152.0</v>
      </c>
      <c r="P582" s="5" t="s">
        <v>1797</v>
      </c>
      <c r="Q582" s="5" t="s">
        <v>5362</v>
      </c>
      <c r="R582" s="5">
        <v>539.0</v>
      </c>
      <c r="S582" s="5">
        <v>3.481497725E9</v>
      </c>
      <c r="T582" s="5" t="s">
        <v>5962</v>
      </c>
      <c r="U582" s="5" t="s">
        <v>5963</v>
      </c>
      <c r="V582" s="5">
        <v>3.481168681E9</v>
      </c>
      <c r="W582" s="5" t="s">
        <v>1819</v>
      </c>
      <c r="X582" s="91">
        <v>46160.0</v>
      </c>
      <c r="Y582" s="5">
        <v>6.0</v>
      </c>
      <c r="Z582" s="5">
        <v>19.0</v>
      </c>
      <c r="AA582" s="5">
        <v>81.0</v>
      </c>
      <c r="AB582" s="5" t="s">
        <v>5964</v>
      </c>
      <c r="AC582" s="5" t="s">
        <v>1800</v>
      </c>
      <c r="AD582" s="91">
        <v>44679.0</v>
      </c>
      <c r="AE582" s="91">
        <v>46505.0</v>
      </c>
      <c r="AF582" s="5"/>
      <c r="AG582" s="5"/>
      <c r="AH582" s="5">
        <v>6.19970884E9</v>
      </c>
      <c r="AI582" s="5">
        <v>23.0</v>
      </c>
      <c r="AJ582" s="5"/>
      <c r="AK582" s="5" t="s">
        <v>1773</v>
      </c>
      <c r="AL582" s="92">
        <v>0.0</v>
      </c>
      <c r="AM582" s="5" t="s">
        <v>1770</v>
      </c>
      <c r="AN582" s="5" t="s">
        <v>1830</v>
      </c>
      <c r="AO582" s="5"/>
      <c r="AP582" s="5"/>
      <c r="AQ582" s="5"/>
      <c r="AR582" s="5"/>
      <c r="AS582" s="5"/>
      <c r="AT582" s="5"/>
      <c r="AU582" s="5"/>
      <c r="AV582" s="5"/>
      <c r="AW582" s="5" t="s">
        <v>1770</v>
      </c>
      <c r="AX582" s="5"/>
      <c r="AY582" s="5"/>
      <c r="AZ582" s="5" t="s">
        <v>1770</v>
      </c>
      <c r="BA582" s="93">
        <v>0.0</v>
      </c>
      <c r="BB582" s="93">
        <v>0.0</v>
      </c>
      <c r="BC582" s="93">
        <v>0.0</v>
      </c>
      <c r="BD582" s="93">
        <v>0.0</v>
      </c>
      <c r="BE582" s="93">
        <v>0.0</v>
      </c>
      <c r="BF582" s="93">
        <v>0.0</v>
      </c>
      <c r="BG582" s="5"/>
      <c r="BH582" s="93">
        <v>0.0</v>
      </c>
      <c r="BI582" s="93">
        <v>0.0</v>
      </c>
      <c r="BJ582" s="93">
        <v>0.0</v>
      </c>
      <c r="BK582" s="93">
        <v>0.0</v>
      </c>
      <c r="BL582" s="93">
        <v>0.0</v>
      </c>
      <c r="BM582" s="93">
        <v>0.0</v>
      </c>
      <c r="BN582" s="93">
        <v>0.0</v>
      </c>
      <c r="BO582" s="5"/>
      <c r="BP582" s="5"/>
      <c r="BQ582" s="5" t="s">
        <v>1775</v>
      </c>
      <c r="BR582" s="94">
        <v>46162.49356481482</v>
      </c>
      <c r="BS582" s="5">
        <v>40.0</v>
      </c>
      <c r="BT582" s="5" t="s">
        <v>1770</v>
      </c>
      <c r="BU582" s="5" t="s">
        <v>1770</v>
      </c>
      <c r="BV582" s="5" t="s">
        <v>1770</v>
      </c>
      <c r="BW582" s="5" t="s">
        <v>1770</v>
      </c>
    </row>
    <row r="583" ht="14.25" customHeight="1">
      <c r="A583" s="5">
        <v>582.0</v>
      </c>
      <c r="B583" s="5">
        <v>846.0</v>
      </c>
      <c r="C583" s="5" t="s">
        <v>5965</v>
      </c>
      <c r="D583" s="5" t="s">
        <v>3678</v>
      </c>
      <c r="E583" s="5" t="s">
        <v>1926</v>
      </c>
      <c r="F583" s="5" t="s">
        <v>5966</v>
      </c>
      <c r="G583" s="5" t="s">
        <v>5967</v>
      </c>
      <c r="H583" s="5" t="s">
        <v>1815</v>
      </c>
      <c r="I583" s="5" t="s">
        <v>1763</v>
      </c>
      <c r="J583" s="91">
        <v>37240.0</v>
      </c>
      <c r="K583" s="5">
        <v>549.0</v>
      </c>
      <c r="L583" s="5" t="s">
        <v>2742</v>
      </c>
      <c r="M583" s="5">
        <v>152.0</v>
      </c>
      <c r="N583" s="5" t="s">
        <v>4941</v>
      </c>
      <c r="O583" s="5">
        <v>43882.0</v>
      </c>
      <c r="P583" s="5" t="s">
        <v>1797</v>
      </c>
      <c r="Q583" s="5" t="s">
        <v>1766</v>
      </c>
      <c r="R583" s="5">
        <v>549.0</v>
      </c>
      <c r="S583" s="5">
        <v>3.931209594E9</v>
      </c>
      <c r="T583" s="5" t="s">
        <v>5968</v>
      </c>
      <c r="U583" s="5" t="s">
        <v>5969</v>
      </c>
      <c r="V583" s="5">
        <v>3.931058248E9</v>
      </c>
      <c r="W583" s="5" t="s">
        <v>5970</v>
      </c>
      <c r="X583" s="91">
        <v>46160.0</v>
      </c>
      <c r="Y583" s="5">
        <v>1.0</v>
      </c>
      <c r="Z583" s="5">
        <v>6.0</v>
      </c>
      <c r="AA583" s="5">
        <v>66.0</v>
      </c>
      <c r="AB583" s="5"/>
      <c r="AC583" s="5"/>
      <c r="AD583" s="5" t="s">
        <v>1770</v>
      </c>
      <c r="AE583" s="5" t="s">
        <v>1770</v>
      </c>
      <c r="AF583" s="5"/>
      <c r="AG583" s="5"/>
      <c r="AH583" s="5">
        <v>4.210118305E9</v>
      </c>
      <c r="AI583" s="5">
        <v>23.0</v>
      </c>
      <c r="AJ583" s="5"/>
      <c r="AK583" s="5" t="s">
        <v>1773</v>
      </c>
      <c r="AL583" s="92">
        <v>0.0</v>
      </c>
      <c r="AM583" s="5" t="s">
        <v>1770</v>
      </c>
      <c r="AN583" s="5" t="s">
        <v>1830</v>
      </c>
      <c r="AO583" s="5"/>
      <c r="AP583" s="5"/>
      <c r="AQ583" s="5"/>
      <c r="AR583" s="5"/>
      <c r="AS583" s="5"/>
      <c r="AT583" s="5"/>
      <c r="AU583" s="5"/>
      <c r="AV583" s="5"/>
      <c r="AW583" s="5" t="s">
        <v>1770</v>
      </c>
      <c r="AX583" s="5"/>
      <c r="AY583" s="5"/>
      <c r="AZ583" s="5" t="s">
        <v>1770</v>
      </c>
      <c r="BA583" s="93">
        <v>0.0</v>
      </c>
      <c r="BB583" s="93">
        <v>0.0</v>
      </c>
      <c r="BC583" s="93">
        <v>0.0</v>
      </c>
      <c r="BD583" s="93">
        <v>0.0</v>
      </c>
      <c r="BE583" s="93">
        <v>0.0</v>
      </c>
      <c r="BF583" s="93">
        <v>0.0</v>
      </c>
      <c r="BG583" s="5"/>
      <c r="BH583" s="93">
        <v>0.0</v>
      </c>
      <c r="BI583" s="93">
        <v>0.0</v>
      </c>
      <c r="BJ583" s="93">
        <v>0.0</v>
      </c>
      <c r="BK583" s="93">
        <v>0.0</v>
      </c>
      <c r="BL583" s="93">
        <v>0.0</v>
      </c>
      <c r="BM583" s="93">
        <v>0.0</v>
      </c>
      <c r="BN583" s="93">
        <v>0.0</v>
      </c>
      <c r="BO583" s="5"/>
      <c r="BP583" s="5"/>
      <c r="BQ583" s="5" t="s">
        <v>1775</v>
      </c>
      <c r="BR583" s="94">
        <v>46162.51967592593</v>
      </c>
      <c r="BS583" s="5">
        <v>40.0</v>
      </c>
      <c r="BT583" s="5" t="s">
        <v>1770</v>
      </c>
      <c r="BU583" s="5" t="s">
        <v>1770</v>
      </c>
      <c r="BV583" s="5" t="s">
        <v>1770</v>
      </c>
      <c r="BW583" s="5" t="s">
        <v>1770</v>
      </c>
    </row>
    <row r="584" ht="14.25" customHeight="1">
      <c r="A584" s="5">
        <v>583.0</v>
      </c>
      <c r="B584" s="5">
        <v>848.0</v>
      </c>
      <c r="C584" s="5" t="s">
        <v>5971</v>
      </c>
      <c r="D584" s="5" t="s">
        <v>1926</v>
      </c>
      <c r="E584" s="5" t="s">
        <v>2642</v>
      </c>
      <c r="F584" s="5" t="s">
        <v>5972</v>
      </c>
      <c r="G584" s="5" t="s">
        <v>5973</v>
      </c>
      <c r="H584" s="5" t="s">
        <v>1972</v>
      </c>
      <c r="I584" s="5" t="s">
        <v>1782</v>
      </c>
      <c r="J584" s="91">
        <v>37541.0</v>
      </c>
      <c r="K584" s="5">
        <v>418.0</v>
      </c>
      <c r="L584" s="5" t="s">
        <v>2137</v>
      </c>
      <c r="M584" s="5">
        <v>45.0</v>
      </c>
      <c r="N584" s="5"/>
      <c r="O584" s="5">
        <v>35910.0</v>
      </c>
      <c r="P584" s="5" t="s">
        <v>3139</v>
      </c>
      <c r="Q584" s="5" t="s">
        <v>5974</v>
      </c>
      <c r="R584" s="5">
        <v>424.0</v>
      </c>
      <c r="S584" s="5">
        <v>6.14840038E9</v>
      </c>
      <c r="T584" s="5" t="s">
        <v>5975</v>
      </c>
      <c r="U584" s="5" t="s">
        <v>5976</v>
      </c>
      <c r="V584" s="5">
        <v>4.691236057E9</v>
      </c>
      <c r="W584" s="5" t="s">
        <v>1808</v>
      </c>
      <c r="X584" s="91">
        <v>46174.0</v>
      </c>
      <c r="Y584" s="5">
        <v>2.0</v>
      </c>
      <c r="Z584" s="5">
        <v>18.0</v>
      </c>
      <c r="AA584" s="5">
        <v>1.0</v>
      </c>
      <c r="AB584" s="5" t="s">
        <v>5977</v>
      </c>
      <c r="AC584" s="5" t="s">
        <v>1772</v>
      </c>
      <c r="AD584" s="91">
        <v>46162.0</v>
      </c>
      <c r="AE584" s="91">
        <v>46893.0</v>
      </c>
      <c r="AF584" s="5"/>
      <c r="AG584" s="5"/>
      <c r="AH584" s="5">
        <v>5.7170252712E10</v>
      </c>
      <c r="AI584" s="5"/>
      <c r="AJ584" s="5"/>
      <c r="AK584" s="5" t="s">
        <v>1773</v>
      </c>
      <c r="AL584" s="92">
        <v>0.0</v>
      </c>
      <c r="AM584" s="5" t="s">
        <v>1770</v>
      </c>
      <c r="AN584" s="5" t="s">
        <v>1774</v>
      </c>
      <c r="AO584" s="5"/>
      <c r="AP584" s="5"/>
      <c r="AQ584" s="5"/>
      <c r="AR584" s="5"/>
      <c r="AS584" s="5"/>
      <c r="AT584" s="5"/>
      <c r="AU584" s="5"/>
      <c r="AV584" s="5"/>
      <c r="AW584" s="5" t="s">
        <v>1770</v>
      </c>
      <c r="AX584" s="5"/>
      <c r="AY584" s="5"/>
      <c r="AZ584" s="5" t="s">
        <v>1770</v>
      </c>
      <c r="BA584" s="93">
        <v>0.0</v>
      </c>
      <c r="BB584" s="93">
        <v>0.0</v>
      </c>
      <c r="BC584" s="93">
        <v>0.0</v>
      </c>
      <c r="BD584" s="93">
        <v>0.0</v>
      </c>
      <c r="BE584" s="93">
        <v>0.0</v>
      </c>
      <c r="BF584" s="93">
        <v>0.0</v>
      </c>
      <c r="BG584" s="5"/>
      <c r="BH584" s="93">
        <v>0.0</v>
      </c>
      <c r="BI584" s="93">
        <v>0.0</v>
      </c>
      <c r="BJ584" s="93">
        <v>0.0</v>
      </c>
      <c r="BK584" s="93">
        <v>0.0</v>
      </c>
      <c r="BL584" s="93">
        <v>0.0</v>
      </c>
      <c r="BM584" s="93">
        <v>0.0</v>
      </c>
      <c r="BN584" s="93">
        <v>0.0</v>
      </c>
      <c r="BO584" s="5"/>
      <c r="BP584" s="5"/>
      <c r="BQ584" s="5" t="s">
        <v>1775</v>
      </c>
      <c r="BR584" s="94">
        <v>46175.60434027778</v>
      </c>
      <c r="BS584" s="5">
        <v>40.0</v>
      </c>
      <c r="BT584" s="5" t="s">
        <v>1770</v>
      </c>
      <c r="BU584" s="5" t="s">
        <v>1770</v>
      </c>
      <c r="BV584" s="5" t="s">
        <v>1770</v>
      </c>
      <c r="BW584" s="5" t="s">
        <v>1770</v>
      </c>
    </row>
    <row r="585" ht="14.25" customHeight="1">
      <c r="A585" s="5">
        <v>584.0</v>
      </c>
      <c r="B585" s="5">
        <v>847.0</v>
      </c>
      <c r="C585" s="5" t="s">
        <v>2738</v>
      </c>
      <c r="D585" s="5" t="s">
        <v>1759</v>
      </c>
      <c r="E585" s="5" t="s">
        <v>3762</v>
      </c>
      <c r="F585" s="5" t="s">
        <v>5978</v>
      </c>
      <c r="G585" s="5" t="s">
        <v>5979</v>
      </c>
      <c r="H585" s="5" t="s">
        <v>1815</v>
      </c>
      <c r="I585" s="5" t="s">
        <v>1763</v>
      </c>
      <c r="J585" s="91">
        <v>34823.0</v>
      </c>
      <c r="K585" s="5">
        <v>594.0</v>
      </c>
      <c r="L585" s="5" t="s">
        <v>5980</v>
      </c>
      <c r="M585" s="5">
        <v>17.0</v>
      </c>
      <c r="N585" s="5"/>
      <c r="O585" s="5">
        <v>43884.0</v>
      </c>
      <c r="P585" s="5" t="s">
        <v>2663</v>
      </c>
      <c r="Q585" s="5" t="s">
        <v>1766</v>
      </c>
      <c r="R585" s="5">
        <v>549.0</v>
      </c>
      <c r="S585" s="5">
        <v>3.931004106E9</v>
      </c>
      <c r="T585" s="5" t="s">
        <v>5981</v>
      </c>
      <c r="U585" s="5" t="s">
        <v>5982</v>
      </c>
      <c r="V585" s="5">
        <v>3.931023558E9</v>
      </c>
      <c r="W585" s="5" t="s">
        <v>1808</v>
      </c>
      <c r="X585" s="91">
        <v>46174.0</v>
      </c>
      <c r="Y585" s="5">
        <v>1.0</v>
      </c>
      <c r="Z585" s="5">
        <v>17.0</v>
      </c>
      <c r="AA585" s="5">
        <v>31.0</v>
      </c>
      <c r="AB585" s="5"/>
      <c r="AC585" s="5"/>
      <c r="AD585" s="5" t="s">
        <v>1770</v>
      </c>
      <c r="AE585" s="5" t="s">
        <v>1770</v>
      </c>
      <c r="AF585" s="5"/>
      <c r="AG585" s="5"/>
      <c r="AH585" s="5">
        <v>4.16957294E9</v>
      </c>
      <c r="AI585" s="5">
        <v>23.0</v>
      </c>
      <c r="AJ585" s="5"/>
      <c r="AK585" s="5" t="s">
        <v>1773</v>
      </c>
      <c r="AL585" s="92">
        <v>0.0</v>
      </c>
      <c r="AM585" s="5" t="s">
        <v>1770</v>
      </c>
      <c r="AN585" s="5" t="s">
        <v>1774</v>
      </c>
      <c r="AO585" s="5"/>
      <c r="AP585" s="5"/>
      <c r="AQ585" s="5"/>
      <c r="AR585" s="5"/>
      <c r="AS585" s="5"/>
      <c r="AT585" s="5"/>
      <c r="AU585" s="5"/>
      <c r="AV585" s="5"/>
      <c r="AW585" s="5" t="s">
        <v>1770</v>
      </c>
      <c r="AX585" s="5"/>
      <c r="AY585" s="5"/>
      <c r="AZ585" s="5" t="s">
        <v>1770</v>
      </c>
      <c r="BA585" s="93">
        <v>0.0</v>
      </c>
      <c r="BB585" s="93">
        <v>0.0</v>
      </c>
      <c r="BC585" s="93">
        <v>0.0</v>
      </c>
      <c r="BD585" s="93">
        <v>0.0</v>
      </c>
      <c r="BE585" s="93">
        <v>0.0</v>
      </c>
      <c r="BF585" s="93">
        <v>0.0</v>
      </c>
      <c r="BG585" s="5"/>
      <c r="BH585" s="93">
        <v>0.0</v>
      </c>
      <c r="BI585" s="93">
        <v>0.0</v>
      </c>
      <c r="BJ585" s="93">
        <v>0.0</v>
      </c>
      <c r="BK585" s="93">
        <v>0.0</v>
      </c>
      <c r="BL585" s="93">
        <v>0.0</v>
      </c>
      <c r="BM585" s="93">
        <v>0.0</v>
      </c>
      <c r="BN585" s="93">
        <v>0.0</v>
      </c>
      <c r="BO585" s="5"/>
      <c r="BP585" s="5"/>
      <c r="BQ585" s="5" t="s">
        <v>1775</v>
      </c>
      <c r="BR585" s="94">
        <v>46175.611921296295</v>
      </c>
      <c r="BS585" s="5">
        <v>40.0</v>
      </c>
      <c r="BT585" s="5" t="s">
        <v>1770</v>
      </c>
      <c r="BU585" s="5" t="s">
        <v>1770</v>
      </c>
      <c r="BV585" s="5" t="s">
        <v>1770</v>
      </c>
      <c r="BW585" s="5" t="s">
        <v>1770</v>
      </c>
    </row>
    <row r="586" ht="14.25" customHeight="1">
      <c r="A586" s="5">
        <v>585.0</v>
      </c>
      <c r="B586" s="5">
        <v>849.0</v>
      </c>
      <c r="C586" s="5" t="s">
        <v>5983</v>
      </c>
      <c r="D586" s="5" t="s">
        <v>1950</v>
      </c>
      <c r="E586" s="5" t="s">
        <v>5984</v>
      </c>
      <c r="F586" s="5" t="s">
        <v>5985</v>
      </c>
      <c r="G586" s="5" t="s">
        <v>5986</v>
      </c>
      <c r="H586" s="5" t="s">
        <v>1781</v>
      </c>
      <c r="I586" s="5" t="s">
        <v>1782</v>
      </c>
      <c r="J586" s="91">
        <v>34074.0</v>
      </c>
      <c r="K586" s="5">
        <v>594.0</v>
      </c>
      <c r="L586" s="5" t="s">
        <v>5987</v>
      </c>
      <c r="M586" s="5">
        <v>20.0</v>
      </c>
      <c r="N586" s="5" t="s">
        <v>2340</v>
      </c>
      <c r="O586" s="5">
        <v>43884.0</v>
      </c>
      <c r="P586" s="5" t="s">
        <v>1902</v>
      </c>
      <c r="Q586" s="5" t="s">
        <v>1766</v>
      </c>
      <c r="R586" s="5">
        <v>549.0</v>
      </c>
      <c r="S586" s="5">
        <v>3.931241853E9</v>
      </c>
      <c r="T586" s="5" t="s">
        <v>5988</v>
      </c>
      <c r="U586" s="5" t="s">
        <v>5989</v>
      </c>
      <c r="V586" s="5">
        <v>3.931200596E9</v>
      </c>
      <c r="W586" s="5" t="s">
        <v>1787</v>
      </c>
      <c r="X586" s="91">
        <v>46181.0</v>
      </c>
      <c r="Y586" s="5">
        <v>1.0</v>
      </c>
      <c r="Z586" s="5">
        <v>4.0</v>
      </c>
      <c r="AA586" s="5">
        <v>115.0</v>
      </c>
      <c r="AB586" s="5" t="s">
        <v>5990</v>
      </c>
      <c r="AC586" s="5" t="s">
        <v>1800</v>
      </c>
      <c r="AD586" s="91">
        <v>45498.0</v>
      </c>
      <c r="AE586" s="91">
        <v>46959.0</v>
      </c>
      <c r="AF586" s="5"/>
      <c r="AG586" s="5"/>
      <c r="AH586" s="5">
        <v>4.129352383E9</v>
      </c>
      <c r="AI586" s="5">
        <v>23.0</v>
      </c>
      <c r="AJ586" s="5"/>
      <c r="AK586" s="5" t="s">
        <v>1773</v>
      </c>
      <c r="AL586" s="92">
        <v>0.0</v>
      </c>
      <c r="AM586" s="5" t="s">
        <v>1770</v>
      </c>
      <c r="AN586" s="5" t="s">
        <v>1830</v>
      </c>
      <c r="AO586" s="5"/>
      <c r="AP586" s="5"/>
      <c r="AQ586" s="5"/>
      <c r="AR586" s="5"/>
      <c r="AS586" s="5"/>
      <c r="AT586" s="5"/>
      <c r="AU586" s="5"/>
      <c r="AV586" s="5"/>
      <c r="AW586" s="5" t="s">
        <v>1770</v>
      </c>
      <c r="AX586" s="5"/>
      <c r="AY586" s="5"/>
      <c r="AZ586" s="5" t="s">
        <v>1770</v>
      </c>
      <c r="BA586" s="93">
        <v>0.0</v>
      </c>
      <c r="BB586" s="93">
        <v>0.0</v>
      </c>
      <c r="BC586" s="93">
        <v>0.0</v>
      </c>
      <c r="BD586" s="93">
        <v>0.0</v>
      </c>
      <c r="BE586" s="93">
        <v>0.0</v>
      </c>
      <c r="BF586" s="93">
        <v>0.0</v>
      </c>
      <c r="BG586" s="5"/>
      <c r="BH586" s="93">
        <v>0.0</v>
      </c>
      <c r="BI586" s="93">
        <v>0.0</v>
      </c>
      <c r="BJ586" s="93">
        <v>0.0</v>
      </c>
      <c r="BK586" s="93">
        <v>0.0</v>
      </c>
      <c r="BL586" s="93">
        <v>0.0</v>
      </c>
      <c r="BM586" s="93">
        <v>0.0</v>
      </c>
      <c r="BN586" s="93">
        <v>0.0</v>
      </c>
      <c r="BO586" s="5"/>
      <c r="BP586" s="5"/>
      <c r="BQ586" s="5" t="s">
        <v>1775</v>
      </c>
      <c r="BR586" s="94">
        <v>46188.740590277775</v>
      </c>
      <c r="BS586" s="5">
        <v>40.0</v>
      </c>
      <c r="BT586" s="5" t="s">
        <v>1770</v>
      </c>
      <c r="BU586" s="5" t="s">
        <v>1770</v>
      </c>
      <c r="BV586" s="5" t="s">
        <v>1770</v>
      </c>
      <c r="BW586" s="5" t="s">
        <v>1770</v>
      </c>
    </row>
    <row r="587" ht="14.25" customHeight="1">
      <c r="A587" s="5">
        <v>586.0</v>
      </c>
      <c r="B587" s="5">
        <v>850.0</v>
      </c>
      <c r="C587" s="5" t="s">
        <v>3127</v>
      </c>
      <c r="D587" s="5" t="s">
        <v>1792</v>
      </c>
      <c r="E587" s="5" t="s">
        <v>2259</v>
      </c>
      <c r="F587" s="5" t="s">
        <v>5991</v>
      </c>
      <c r="G587" s="5" t="s">
        <v>5992</v>
      </c>
      <c r="H587" s="5" t="s">
        <v>1781</v>
      </c>
      <c r="I587" s="5" t="s">
        <v>1782</v>
      </c>
      <c r="J587" s="91">
        <v>36481.0</v>
      </c>
      <c r="K587" s="5">
        <v>850.0</v>
      </c>
      <c r="L587" s="5" t="s">
        <v>5993</v>
      </c>
      <c r="M587" s="5">
        <v>312.0</v>
      </c>
      <c r="N587" s="5"/>
      <c r="O587" s="5">
        <v>55202.0</v>
      </c>
      <c r="P587" s="5" t="s">
        <v>3139</v>
      </c>
      <c r="Q587" s="5" t="s">
        <v>2241</v>
      </c>
      <c r="R587" s="5">
        <v>850.0</v>
      </c>
      <c r="S587" s="5">
        <v>3.521258462E9</v>
      </c>
      <c r="T587" s="5" t="s">
        <v>5994</v>
      </c>
      <c r="U587" s="5" t="s">
        <v>5995</v>
      </c>
      <c r="V587" s="5">
        <v>3.521649405E9</v>
      </c>
      <c r="W587" s="5" t="s">
        <v>3956</v>
      </c>
      <c r="X587" s="91">
        <v>46195.0</v>
      </c>
      <c r="Y587" s="5">
        <v>3.0</v>
      </c>
      <c r="Z587" s="5">
        <v>4.0</v>
      </c>
      <c r="AA587" s="5">
        <v>39.0</v>
      </c>
      <c r="AB587" s="5"/>
      <c r="AC587" s="5"/>
      <c r="AD587" s="5" t="s">
        <v>1770</v>
      </c>
      <c r="AE587" s="5" t="s">
        <v>1770</v>
      </c>
      <c r="AF587" s="5"/>
      <c r="AG587" s="5"/>
      <c r="AH587" s="5">
        <v>8.189995064E9</v>
      </c>
      <c r="AI587" s="5">
        <v>77.0</v>
      </c>
      <c r="AJ587" s="5"/>
      <c r="AK587" s="5" t="s">
        <v>1773</v>
      </c>
      <c r="AL587" s="92">
        <v>0.0</v>
      </c>
      <c r="AM587" s="5" t="s">
        <v>1770</v>
      </c>
      <c r="AN587" s="5" t="s">
        <v>1905</v>
      </c>
      <c r="AO587" s="5"/>
      <c r="AP587" s="5"/>
      <c r="AQ587" s="5"/>
      <c r="AR587" s="5"/>
      <c r="AS587" s="5"/>
      <c r="AT587" s="5"/>
      <c r="AU587" s="5"/>
      <c r="AV587" s="5"/>
      <c r="AW587" s="5" t="s">
        <v>1770</v>
      </c>
      <c r="AX587" s="5"/>
      <c r="AY587" s="5"/>
      <c r="AZ587" s="5" t="s">
        <v>1770</v>
      </c>
      <c r="BA587" s="93">
        <v>0.0</v>
      </c>
      <c r="BB587" s="93">
        <v>0.0</v>
      </c>
      <c r="BC587" s="93">
        <v>0.0</v>
      </c>
      <c r="BD587" s="93">
        <v>0.0</v>
      </c>
      <c r="BE587" s="93">
        <v>0.0</v>
      </c>
      <c r="BF587" s="93">
        <v>0.0</v>
      </c>
      <c r="BG587" s="5"/>
      <c r="BH587" s="93">
        <v>0.0</v>
      </c>
      <c r="BI587" s="93">
        <v>0.0</v>
      </c>
      <c r="BJ587" s="93">
        <v>0.0</v>
      </c>
      <c r="BK587" s="93">
        <v>0.0</v>
      </c>
      <c r="BL587" s="93">
        <v>0.0</v>
      </c>
      <c r="BM587" s="93">
        <v>0.0</v>
      </c>
      <c r="BN587" s="93">
        <v>0.0</v>
      </c>
      <c r="BO587" s="5"/>
      <c r="BP587" s="5" t="s">
        <v>5996</v>
      </c>
      <c r="BQ587" s="5" t="s">
        <v>1789</v>
      </c>
      <c r="BR587" s="94">
        <v>46205.58715277778</v>
      </c>
      <c r="BS587" s="5">
        <v>40.0</v>
      </c>
      <c r="BT587" s="5" t="s">
        <v>1770</v>
      </c>
      <c r="BU587" s="5" t="s">
        <v>1770</v>
      </c>
      <c r="BV587" s="94">
        <v>46205.58725694445</v>
      </c>
      <c r="BW587" s="5">
        <v>40.0</v>
      </c>
    </row>
    <row r="588" ht="14.25" customHeight="1">
      <c r="A588" s="5">
        <v>587.0</v>
      </c>
      <c r="B588" s="5">
        <v>851.0</v>
      </c>
      <c r="C588" s="5" t="s">
        <v>5828</v>
      </c>
      <c r="D588" s="5" t="s">
        <v>3950</v>
      </c>
      <c r="E588" s="5" t="s">
        <v>4952</v>
      </c>
      <c r="F588" s="5" t="s">
        <v>5997</v>
      </c>
      <c r="G588" s="5" t="s">
        <v>5998</v>
      </c>
      <c r="H588" s="5" t="s">
        <v>1972</v>
      </c>
      <c r="I588" s="5" t="s">
        <v>1782</v>
      </c>
      <c r="J588" s="91">
        <v>33566.0</v>
      </c>
      <c r="K588" s="5">
        <v>594.0</v>
      </c>
      <c r="L588" s="5" t="s">
        <v>5999</v>
      </c>
      <c r="M588" s="5">
        <v>39.0</v>
      </c>
      <c r="N588" s="5"/>
      <c r="O588" s="5">
        <v>43702.0</v>
      </c>
      <c r="P588" s="5" t="s">
        <v>6000</v>
      </c>
      <c r="Q588" s="5" t="s">
        <v>3092</v>
      </c>
      <c r="R588" s="5">
        <v>636.0</v>
      </c>
      <c r="S588" s="5">
        <v>3.921070396E9</v>
      </c>
      <c r="T588" s="5" t="s">
        <v>6001</v>
      </c>
      <c r="U588" s="5" t="s">
        <v>6002</v>
      </c>
      <c r="V588" s="5">
        <v>3.326568904E9</v>
      </c>
      <c r="W588" s="5" t="s">
        <v>1965</v>
      </c>
      <c r="X588" s="91">
        <v>46204.0</v>
      </c>
      <c r="Y588" s="5">
        <v>5.0</v>
      </c>
      <c r="Z588" s="5">
        <v>19.0</v>
      </c>
      <c r="AA588" s="5">
        <v>81.0</v>
      </c>
      <c r="AB588" s="5" t="s">
        <v>6003</v>
      </c>
      <c r="AC588" s="5" t="s">
        <v>1800</v>
      </c>
      <c r="AD588" s="91">
        <v>44880.0</v>
      </c>
      <c r="AE588" s="91">
        <v>46341.0</v>
      </c>
      <c r="AF588" s="5"/>
      <c r="AG588" s="5"/>
      <c r="AH588" s="5">
        <v>4.119198655E9</v>
      </c>
      <c r="AI588" s="5">
        <v>95.0</v>
      </c>
      <c r="AJ588" s="5"/>
      <c r="AK588" s="5" t="s">
        <v>1773</v>
      </c>
      <c r="AL588" s="92">
        <v>0.0</v>
      </c>
      <c r="AM588" s="5" t="s">
        <v>1770</v>
      </c>
      <c r="AN588" s="5" t="s">
        <v>1774</v>
      </c>
      <c r="AO588" s="5"/>
      <c r="AP588" s="5"/>
      <c r="AQ588" s="5"/>
      <c r="AR588" s="5"/>
      <c r="AS588" s="5"/>
      <c r="AT588" s="5"/>
      <c r="AU588" s="5"/>
      <c r="AV588" s="5"/>
      <c r="AW588" s="5" t="s">
        <v>1770</v>
      </c>
      <c r="AX588" s="5"/>
      <c r="AY588" s="5"/>
      <c r="AZ588" s="5" t="s">
        <v>1770</v>
      </c>
      <c r="BA588" s="93">
        <v>0.0</v>
      </c>
      <c r="BB588" s="93">
        <v>0.0</v>
      </c>
      <c r="BC588" s="93">
        <v>0.0</v>
      </c>
      <c r="BD588" s="93">
        <v>0.0</v>
      </c>
      <c r="BE588" s="93">
        <v>0.0</v>
      </c>
      <c r="BF588" s="93">
        <v>0.0</v>
      </c>
      <c r="BG588" s="5"/>
      <c r="BH588" s="93">
        <v>0.0</v>
      </c>
      <c r="BI588" s="93">
        <v>0.0</v>
      </c>
      <c r="BJ588" s="93">
        <v>0.0</v>
      </c>
      <c r="BK588" s="93">
        <v>0.0</v>
      </c>
      <c r="BL588" s="93">
        <v>0.0</v>
      </c>
      <c r="BM588" s="93">
        <v>0.0</v>
      </c>
      <c r="BN588" s="93">
        <v>0.0</v>
      </c>
      <c r="BO588" s="5"/>
      <c r="BP588" s="5"/>
      <c r="BQ588" s="5" t="s">
        <v>1775</v>
      </c>
      <c r="BR588" s="94">
        <v>46205.593148148146</v>
      </c>
      <c r="BS588" s="5">
        <v>40.0</v>
      </c>
      <c r="BT588" s="5" t="s">
        <v>1770</v>
      </c>
      <c r="BU588" s="5" t="s">
        <v>1770</v>
      </c>
      <c r="BV588" s="5" t="s">
        <v>1770</v>
      </c>
      <c r="BW588" s="5" t="s">
        <v>1770</v>
      </c>
    </row>
    <row r="589" ht="14.25" customHeight="1">
      <c r="A589" s="5">
        <v>588.0</v>
      </c>
      <c r="B589" s="5">
        <v>852.0</v>
      </c>
      <c r="C589" s="5" t="s">
        <v>6004</v>
      </c>
      <c r="D589" s="5" t="s">
        <v>1792</v>
      </c>
      <c r="E589" s="5" t="s">
        <v>5551</v>
      </c>
      <c r="F589" s="5" t="s">
        <v>6005</v>
      </c>
      <c r="G589" s="5" t="s">
        <v>6006</v>
      </c>
      <c r="H589" s="5" t="s">
        <v>1815</v>
      </c>
      <c r="I589" s="5" t="s">
        <v>1763</v>
      </c>
      <c r="J589" s="91">
        <v>35600.0</v>
      </c>
      <c r="K589" s="5">
        <v>549.0</v>
      </c>
      <c r="L589" s="5" t="s">
        <v>6007</v>
      </c>
      <c r="M589" s="5">
        <v>25.0</v>
      </c>
      <c r="N589" s="5"/>
      <c r="O589" s="5">
        <v>43885.0</v>
      </c>
      <c r="P589" s="5" t="s">
        <v>1931</v>
      </c>
      <c r="Q589" s="5" t="s">
        <v>1766</v>
      </c>
      <c r="R589" s="5">
        <v>549.0</v>
      </c>
      <c r="S589" s="5">
        <v>3.931583693E9</v>
      </c>
      <c r="T589" s="5" t="s">
        <v>6008</v>
      </c>
      <c r="U589" s="5" t="s">
        <v>6009</v>
      </c>
      <c r="V589" s="5">
        <v>3.931583693E9</v>
      </c>
      <c r="W589" s="5" t="s">
        <v>6010</v>
      </c>
      <c r="X589" s="91">
        <v>46204.0</v>
      </c>
      <c r="Y589" s="5">
        <v>1.0</v>
      </c>
      <c r="Z589" s="5">
        <v>17.0</v>
      </c>
      <c r="AA589" s="5">
        <v>5.0</v>
      </c>
      <c r="AB589" s="5"/>
      <c r="AC589" s="5"/>
      <c r="AD589" s="5" t="s">
        <v>1770</v>
      </c>
      <c r="AE589" s="5" t="s">
        <v>1770</v>
      </c>
      <c r="AF589" s="5"/>
      <c r="AG589" s="5"/>
      <c r="AH589" s="5">
        <v>7.0169701326E10</v>
      </c>
      <c r="AI589" s="5">
        <v>23.0</v>
      </c>
      <c r="AJ589" s="5"/>
      <c r="AK589" s="5" t="s">
        <v>1773</v>
      </c>
      <c r="AL589" s="92">
        <v>0.0</v>
      </c>
      <c r="AM589" s="5" t="s">
        <v>1770</v>
      </c>
      <c r="AN589" s="5" t="s">
        <v>3236</v>
      </c>
      <c r="AO589" s="5"/>
      <c r="AP589" s="5"/>
      <c r="AQ589" s="5"/>
      <c r="AR589" s="5"/>
      <c r="AS589" s="5"/>
      <c r="AT589" s="5"/>
      <c r="AU589" s="5"/>
      <c r="AV589" s="5"/>
      <c r="AW589" s="5" t="s">
        <v>1770</v>
      </c>
      <c r="AX589" s="5"/>
      <c r="AY589" s="5"/>
      <c r="AZ589" s="5" t="s">
        <v>1770</v>
      </c>
      <c r="BA589" s="93">
        <v>0.0</v>
      </c>
      <c r="BB589" s="93">
        <v>0.0</v>
      </c>
      <c r="BC589" s="93">
        <v>0.0</v>
      </c>
      <c r="BD589" s="93">
        <v>0.0</v>
      </c>
      <c r="BE589" s="93">
        <v>0.0</v>
      </c>
      <c r="BF589" s="93">
        <v>0.0</v>
      </c>
      <c r="BG589" s="5"/>
      <c r="BH589" s="93">
        <v>0.0</v>
      </c>
      <c r="BI589" s="93">
        <v>0.0</v>
      </c>
      <c r="BJ589" s="93">
        <v>0.0</v>
      </c>
      <c r="BK589" s="93">
        <v>0.0</v>
      </c>
      <c r="BL589" s="93">
        <v>0.0</v>
      </c>
      <c r="BM589" s="93">
        <v>0.0</v>
      </c>
      <c r="BN589" s="93">
        <v>0.0</v>
      </c>
      <c r="BO589" s="5"/>
      <c r="BP589" s="5"/>
      <c r="BQ589" s="5" t="s">
        <v>1775</v>
      </c>
      <c r="BR589" s="94">
        <v>46205.59693287037</v>
      </c>
      <c r="BS589" s="5">
        <v>40.0</v>
      </c>
      <c r="BT589" s="5" t="s">
        <v>1770</v>
      </c>
      <c r="BU589" s="5" t="s">
        <v>1770</v>
      </c>
      <c r="BV589" s="5" t="s">
        <v>1770</v>
      </c>
      <c r="BW589" s="5" t="s">
        <v>1770</v>
      </c>
    </row>
    <row r="590" ht="14.25" customHeight="1">
      <c r="A590" s="5">
        <v>589.0</v>
      </c>
      <c r="B590" s="5">
        <v>854.0</v>
      </c>
      <c r="C590" s="5" t="s">
        <v>6011</v>
      </c>
      <c r="D590" s="5" t="s">
        <v>1926</v>
      </c>
      <c r="E590" s="5" t="s">
        <v>6012</v>
      </c>
      <c r="F590" s="5" t="s">
        <v>6013</v>
      </c>
      <c r="G590" s="5" t="s">
        <v>6014</v>
      </c>
      <c r="H590" s="5" t="s">
        <v>1972</v>
      </c>
      <c r="I590" s="5" t="s">
        <v>1782</v>
      </c>
      <c r="J590" s="91">
        <v>39552.0</v>
      </c>
      <c r="K590" s="5">
        <v>549.0</v>
      </c>
      <c r="L590" s="5" t="s">
        <v>6015</v>
      </c>
      <c r="M590" s="5">
        <v>19.0</v>
      </c>
      <c r="N590" s="5"/>
      <c r="O590" s="5">
        <v>43897.0</v>
      </c>
      <c r="P590" s="5" t="s">
        <v>1923</v>
      </c>
      <c r="Q590" s="5" t="s">
        <v>1923</v>
      </c>
      <c r="R590" s="5">
        <v>549.0</v>
      </c>
      <c r="S590" s="5">
        <v>3.931322098E9</v>
      </c>
      <c r="T590" s="5" t="s">
        <v>6016</v>
      </c>
      <c r="U590" s="5" t="s">
        <v>6017</v>
      </c>
      <c r="V590" s="5">
        <v>3.931171341E9</v>
      </c>
      <c r="W590" s="5" t="s">
        <v>1924</v>
      </c>
      <c r="X590" s="91">
        <v>46219.0</v>
      </c>
      <c r="Y590" s="5">
        <v>1.0</v>
      </c>
      <c r="Z590" s="5">
        <v>14.0</v>
      </c>
      <c r="AA590" s="5">
        <v>39.0</v>
      </c>
      <c r="AB590" s="5"/>
      <c r="AC590" s="5"/>
      <c r="AD590" s="5" t="s">
        <v>1770</v>
      </c>
      <c r="AE590" s="5" t="s">
        <v>1770</v>
      </c>
      <c r="AF590" s="5">
        <v>1.57618296E9</v>
      </c>
      <c r="AG590" s="5">
        <v>1.21800157618296E16</v>
      </c>
      <c r="AH590" s="5">
        <v>8.230855937E9</v>
      </c>
      <c r="AI590" s="5">
        <v>23.0</v>
      </c>
      <c r="AJ590" s="5"/>
      <c r="AK590" s="5" t="s">
        <v>1773</v>
      </c>
      <c r="AL590" s="92">
        <v>0.0</v>
      </c>
      <c r="AM590" s="5" t="s">
        <v>1770</v>
      </c>
      <c r="AN590" s="5" t="s">
        <v>1788</v>
      </c>
      <c r="AO590" s="5"/>
      <c r="AP590" s="5"/>
      <c r="AQ590" s="5"/>
      <c r="AR590" s="5"/>
      <c r="AS590" s="5"/>
      <c r="AT590" s="5"/>
      <c r="AU590" s="5"/>
      <c r="AV590" s="5"/>
      <c r="AW590" s="5" t="s">
        <v>1770</v>
      </c>
      <c r="AX590" s="5"/>
      <c r="AY590" s="5"/>
      <c r="AZ590" s="5" t="s">
        <v>1770</v>
      </c>
      <c r="BA590" s="93">
        <v>0.0</v>
      </c>
      <c r="BB590" s="93">
        <v>0.0</v>
      </c>
      <c r="BC590" s="93">
        <v>0.0</v>
      </c>
      <c r="BD590" s="93">
        <v>0.0</v>
      </c>
      <c r="BE590" s="93">
        <v>0.0</v>
      </c>
      <c r="BF590" s="93">
        <v>0.0</v>
      </c>
      <c r="BG590" s="5"/>
      <c r="BH590" s="93">
        <v>0.0</v>
      </c>
      <c r="BI590" s="93">
        <v>0.0</v>
      </c>
      <c r="BJ590" s="93">
        <v>0.0</v>
      </c>
      <c r="BK590" s="93">
        <v>0.0</v>
      </c>
      <c r="BL590" s="93">
        <v>0.0</v>
      </c>
      <c r="BM590" s="93">
        <v>0.0</v>
      </c>
      <c r="BN590" s="93">
        <v>0.0</v>
      </c>
      <c r="BO590" s="5"/>
      <c r="BP590" s="5"/>
      <c r="BQ590" s="5" t="s">
        <v>1775</v>
      </c>
      <c r="BR590" s="94">
        <v>46223.45972222222</v>
      </c>
      <c r="BS590" s="5">
        <v>40.0</v>
      </c>
      <c r="BT590" s="94">
        <v>46223.55137731481</v>
      </c>
      <c r="BU590" s="5">
        <v>40.0</v>
      </c>
      <c r="BV590" s="5" t="s">
        <v>1770</v>
      </c>
      <c r="BW590" s="5" t="s">
        <v>1770</v>
      </c>
    </row>
    <row r="591" ht="14.25" customHeight="1">
      <c r="A591" s="5">
        <v>590.0</v>
      </c>
      <c r="B591" s="5">
        <v>855.0</v>
      </c>
      <c r="C591" s="5" t="s">
        <v>5864</v>
      </c>
      <c r="D591" s="100" t="s">
        <v>2398</v>
      </c>
      <c r="E591" s="5" t="s">
        <v>2573</v>
      </c>
      <c r="F591" s="5" t="s">
        <v>6018</v>
      </c>
      <c r="G591" s="5" t="s">
        <v>6019</v>
      </c>
      <c r="H591" s="5" t="s">
        <v>1972</v>
      </c>
      <c r="I591" s="5" t="s">
        <v>1782</v>
      </c>
      <c r="J591" s="91">
        <v>30338.0</v>
      </c>
      <c r="K591" s="5">
        <v>570.0</v>
      </c>
      <c r="L591" s="5" t="s">
        <v>1941</v>
      </c>
      <c r="M591" s="5">
        <v>19.0</v>
      </c>
      <c r="N591" s="5"/>
      <c r="O591" s="5">
        <v>43219.0</v>
      </c>
      <c r="P591" s="5" t="s">
        <v>6020</v>
      </c>
      <c r="Q591" s="5" t="s">
        <v>6021</v>
      </c>
      <c r="R591" s="5">
        <v>622.0</v>
      </c>
      <c r="S591" s="5">
        <v>3.344866889E9</v>
      </c>
      <c r="T591" s="5" t="s">
        <v>6022</v>
      </c>
      <c r="U591" s="5" t="s">
        <v>6023</v>
      </c>
      <c r="V591" s="5">
        <v>3.349655079E9</v>
      </c>
      <c r="W591" s="5" t="s">
        <v>1924</v>
      </c>
      <c r="X591" s="91">
        <v>46219.0</v>
      </c>
      <c r="Y591" s="5">
        <v>6.0</v>
      </c>
      <c r="Z591" s="5">
        <v>19.0</v>
      </c>
      <c r="AA591" s="5">
        <v>81.0</v>
      </c>
      <c r="AB591" s="5" t="s">
        <v>2230</v>
      </c>
      <c r="AC591" s="5" t="s">
        <v>1800</v>
      </c>
      <c r="AD591" s="91">
        <v>46203.0</v>
      </c>
      <c r="AE591" s="91">
        <v>47664.0</v>
      </c>
      <c r="AF591" s="5"/>
      <c r="AG591" s="5"/>
      <c r="AH591" s="5">
        <v>4.018336067E9</v>
      </c>
      <c r="AI591" s="5">
        <v>87.0</v>
      </c>
      <c r="AJ591" s="5"/>
      <c r="AK591" s="5" t="s">
        <v>1773</v>
      </c>
      <c r="AL591" s="92">
        <v>0.0</v>
      </c>
      <c r="AM591" s="5" t="s">
        <v>1770</v>
      </c>
      <c r="AN591" s="5" t="s">
        <v>1830</v>
      </c>
      <c r="AO591" s="5"/>
      <c r="AP591" s="5"/>
      <c r="AQ591" s="5"/>
      <c r="AR591" s="5"/>
      <c r="AS591" s="5"/>
      <c r="AT591" s="5"/>
      <c r="AU591" s="5"/>
      <c r="AV591" s="5"/>
      <c r="AW591" s="5" t="s">
        <v>1770</v>
      </c>
      <c r="AX591" s="5"/>
      <c r="AY591" s="5"/>
      <c r="AZ591" s="5" t="s">
        <v>1770</v>
      </c>
      <c r="BA591" s="93">
        <v>0.0</v>
      </c>
      <c r="BB591" s="93">
        <v>0.0</v>
      </c>
      <c r="BC591" s="93">
        <v>0.0</v>
      </c>
      <c r="BD591" s="93">
        <v>0.0</v>
      </c>
      <c r="BE591" s="93">
        <v>0.0</v>
      </c>
      <c r="BF591" s="93">
        <v>0.0</v>
      </c>
      <c r="BG591" s="5"/>
      <c r="BH591" s="93">
        <v>0.0</v>
      </c>
      <c r="BI591" s="93">
        <v>0.0</v>
      </c>
      <c r="BJ591" s="93">
        <v>0.0</v>
      </c>
      <c r="BK591" s="93">
        <v>0.0</v>
      </c>
      <c r="BL591" s="93">
        <v>0.0</v>
      </c>
      <c r="BM591" s="93">
        <v>0.0</v>
      </c>
      <c r="BN591" s="93">
        <v>0.0</v>
      </c>
      <c r="BO591" s="5"/>
      <c r="BP591" s="5"/>
      <c r="BQ591" s="5" t="s">
        <v>1775</v>
      </c>
      <c r="BR591" s="94">
        <v>46223.47336805556</v>
      </c>
      <c r="BS591" s="5">
        <v>40.0</v>
      </c>
      <c r="BT591" s="5" t="s">
        <v>1770</v>
      </c>
      <c r="BU591" s="5" t="s">
        <v>1770</v>
      </c>
      <c r="BV591" s="5" t="s">
        <v>1770</v>
      </c>
      <c r="BW591" s="5" t="s">
        <v>1770</v>
      </c>
    </row>
    <row r="592" ht="14.25" customHeight="1">
      <c r="A592" s="5">
        <v>591.0</v>
      </c>
      <c r="B592" s="5">
        <v>853.0</v>
      </c>
      <c r="C592" s="5" t="s">
        <v>3456</v>
      </c>
      <c r="D592" s="100" t="s">
        <v>3602</v>
      </c>
      <c r="E592" s="5" t="s">
        <v>2157</v>
      </c>
      <c r="F592" s="5" t="s">
        <v>6024</v>
      </c>
      <c r="G592" s="5" t="s">
        <v>6025</v>
      </c>
      <c r="H592" s="5" t="s">
        <v>1972</v>
      </c>
      <c r="I592" s="5" t="s">
        <v>1782</v>
      </c>
      <c r="J592" s="91">
        <v>38969.0</v>
      </c>
      <c r="K592" s="5">
        <v>549.0</v>
      </c>
      <c r="L592" s="5" t="s">
        <v>3985</v>
      </c>
      <c r="M592" s="5" t="s">
        <v>6026</v>
      </c>
      <c r="N592" s="5"/>
      <c r="O592" s="5">
        <v>43886.0</v>
      </c>
      <c r="P592" s="5" t="s">
        <v>4192</v>
      </c>
      <c r="Q592" s="5" t="s">
        <v>1766</v>
      </c>
      <c r="R592" s="5">
        <v>549.0</v>
      </c>
      <c r="S592" s="5">
        <v>3.931873702E9</v>
      </c>
      <c r="T592" s="5" t="s">
        <v>6027</v>
      </c>
      <c r="U592" s="5" t="s">
        <v>6028</v>
      </c>
      <c r="V592" s="5">
        <v>3.931057726E9</v>
      </c>
      <c r="W592" s="5" t="s">
        <v>1924</v>
      </c>
      <c r="X592" s="91">
        <v>46219.0</v>
      </c>
      <c r="Y592" s="5">
        <v>1.0</v>
      </c>
      <c r="Z592" s="5">
        <v>3.0</v>
      </c>
      <c r="AA592" s="5">
        <v>58.0</v>
      </c>
      <c r="AB592" s="5"/>
      <c r="AC592" s="5"/>
      <c r="AD592" s="5" t="s">
        <v>1770</v>
      </c>
      <c r="AE592" s="5" t="s">
        <v>1770</v>
      </c>
      <c r="AF592" s="5">
        <v>7.436076715764269E17</v>
      </c>
      <c r="AG592" s="5">
        <v>1.218001576426924E16</v>
      </c>
      <c r="AH592" s="5">
        <v>2.5230643659E10</v>
      </c>
      <c r="AI592" s="5">
        <v>23.0</v>
      </c>
      <c r="AJ592" s="5"/>
      <c r="AK592" s="5" t="s">
        <v>1773</v>
      </c>
      <c r="AL592" s="92">
        <v>0.0</v>
      </c>
      <c r="AM592" s="5" t="s">
        <v>1770</v>
      </c>
      <c r="AN592" s="5" t="s">
        <v>1774</v>
      </c>
      <c r="AO592" s="5"/>
      <c r="AP592" s="5"/>
      <c r="AQ592" s="5"/>
      <c r="AR592" s="5"/>
      <c r="AS592" s="5"/>
      <c r="AT592" s="5"/>
      <c r="AU592" s="5"/>
      <c r="AV592" s="5"/>
      <c r="AW592" s="5" t="s">
        <v>1770</v>
      </c>
      <c r="AX592" s="5"/>
      <c r="AY592" s="5"/>
      <c r="AZ592" s="5" t="s">
        <v>1770</v>
      </c>
      <c r="BA592" s="93">
        <v>0.0</v>
      </c>
      <c r="BB592" s="93">
        <v>0.0</v>
      </c>
      <c r="BC592" s="93">
        <v>0.0</v>
      </c>
      <c r="BD592" s="93">
        <v>0.0</v>
      </c>
      <c r="BE592" s="93">
        <v>0.0</v>
      </c>
      <c r="BF592" s="93">
        <v>0.0</v>
      </c>
      <c r="BG592" s="5"/>
      <c r="BH592" s="93">
        <v>0.0</v>
      </c>
      <c r="BI592" s="93">
        <v>0.0</v>
      </c>
      <c r="BJ592" s="93">
        <v>0.0</v>
      </c>
      <c r="BK592" s="93">
        <v>0.0</v>
      </c>
      <c r="BL592" s="93">
        <v>0.0</v>
      </c>
      <c r="BM592" s="93">
        <v>0.0</v>
      </c>
      <c r="BN592" s="93">
        <v>0.0</v>
      </c>
      <c r="BO592" s="5"/>
      <c r="BP592" s="5"/>
      <c r="BQ592" s="5" t="s">
        <v>1775</v>
      </c>
      <c r="BR592" s="94">
        <v>46223.48122685185</v>
      </c>
      <c r="BS592" s="5">
        <v>40.0</v>
      </c>
      <c r="BT592" s="5" t="s">
        <v>1770</v>
      </c>
      <c r="BU592" s="5" t="s">
        <v>1770</v>
      </c>
      <c r="BV592" s="5" t="s">
        <v>1770</v>
      </c>
      <c r="BW592" s="5" t="s">
        <v>1770</v>
      </c>
    </row>
    <row r="593" ht="14.25" customHeight="1">
      <c r="A593" s="5">
        <v>592.0</v>
      </c>
      <c r="B593" s="5">
        <v>999.0</v>
      </c>
      <c r="C593" s="5" t="s">
        <v>6029</v>
      </c>
      <c r="D593" s="5" t="s">
        <v>2133</v>
      </c>
      <c r="E593" s="5" t="s">
        <v>2011</v>
      </c>
      <c r="F593" s="5" t="s">
        <v>6030</v>
      </c>
      <c r="G593" s="5" t="s">
        <v>6031</v>
      </c>
      <c r="H593" s="5" t="s">
        <v>1972</v>
      </c>
      <c r="I593" s="5" t="s">
        <v>1782</v>
      </c>
      <c r="J593" s="91">
        <v>38969.0</v>
      </c>
      <c r="K593" s="5">
        <v>549.0</v>
      </c>
      <c r="L593" s="5" t="s">
        <v>3693</v>
      </c>
      <c r="M593" s="5">
        <v>43.0</v>
      </c>
      <c r="N593" s="5"/>
      <c r="O593" s="5">
        <v>43885.0</v>
      </c>
      <c r="P593" s="5" t="s">
        <v>3694</v>
      </c>
      <c r="Q593" s="5" t="s">
        <v>6032</v>
      </c>
      <c r="R593" s="5">
        <v>549.0</v>
      </c>
      <c r="S593" s="5">
        <v>3.931242357E9</v>
      </c>
      <c r="T593" s="5" t="s">
        <v>6033</v>
      </c>
      <c r="U593" s="5" t="s">
        <v>6034</v>
      </c>
      <c r="V593" s="5">
        <v>3.939362661E9</v>
      </c>
      <c r="W593" s="5" t="s">
        <v>1924</v>
      </c>
      <c r="X593" s="91">
        <v>46219.0</v>
      </c>
      <c r="Y593" s="5">
        <v>1.0</v>
      </c>
      <c r="Z593" s="5">
        <v>18.0</v>
      </c>
      <c r="AA593" s="5">
        <v>116.0</v>
      </c>
      <c r="AB593" s="5"/>
      <c r="AC593" s="5"/>
      <c r="AD593" s="5" t="s">
        <v>1770</v>
      </c>
      <c r="AE593" s="5" t="s">
        <v>1770</v>
      </c>
      <c r="AF593" s="5"/>
      <c r="AG593" s="5"/>
      <c r="AH593" s="5">
        <v>8.220765328E9</v>
      </c>
      <c r="AI593" s="5">
        <v>23.0</v>
      </c>
      <c r="AJ593" s="5"/>
      <c r="AK593" s="5" t="s">
        <v>1773</v>
      </c>
      <c r="AL593" s="92">
        <v>0.0</v>
      </c>
      <c r="AM593" s="5" t="s">
        <v>1770</v>
      </c>
      <c r="AN593" s="5" t="s">
        <v>1788</v>
      </c>
      <c r="AO593" s="5"/>
      <c r="AP593" s="5"/>
      <c r="AQ593" s="5"/>
      <c r="AR593" s="5"/>
      <c r="AS593" s="5"/>
      <c r="AT593" s="5"/>
      <c r="AU593" s="5"/>
      <c r="AV593" s="5"/>
      <c r="AW593" s="5" t="s">
        <v>1770</v>
      </c>
      <c r="AX593" s="5"/>
      <c r="AY593" s="5"/>
      <c r="AZ593" s="5" t="s">
        <v>1770</v>
      </c>
      <c r="BA593" s="93">
        <v>0.0</v>
      </c>
      <c r="BB593" s="93">
        <v>0.0</v>
      </c>
      <c r="BC593" s="93">
        <v>0.0</v>
      </c>
      <c r="BD593" s="93">
        <v>0.0</v>
      </c>
      <c r="BE593" s="93">
        <v>0.0</v>
      </c>
      <c r="BF593" s="93">
        <v>0.0</v>
      </c>
      <c r="BG593" s="5"/>
      <c r="BH593" s="93">
        <v>0.0</v>
      </c>
      <c r="BI593" s="93">
        <v>0.0</v>
      </c>
      <c r="BJ593" s="93">
        <v>0.0</v>
      </c>
      <c r="BK593" s="93">
        <v>0.0</v>
      </c>
      <c r="BL593" s="93">
        <v>0.0</v>
      </c>
      <c r="BM593" s="93">
        <v>0.0</v>
      </c>
      <c r="BN593" s="93">
        <v>0.0</v>
      </c>
      <c r="BO593" s="5"/>
      <c r="BP593" s="5"/>
      <c r="BQ593" s="5" t="s">
        <v>1775</v>
      </c>
      <c r="BR593" s="94">
        <v>46223.488657407404</v>
      </c>
      <c r="BS593" s="5">
        <v>40.0</v>
      </c>
      <c r="BT593" s="94">
        <v>46223.489583333336</v>
      </c>
      <c r="BU593" s="5">
        <v>40.0</v>
      </c>
      <c r="BV593" s="5" t="s">
        <v>1770</v>
      </c>
      <c r="BW593" s="5" t="s">
        <v>1770</v>
      </c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4.57"/>
    <col customWidth="1" min="3" max="3" width="9.57"/>
    <col customWidth="1" min="4" max="4" width="16.86"/>
    <col customWidth="1" min="5" max="5" width="8.29"/>
    <col customWidth="1" min="6" max="6" width="9.57"/>
    <col customWidth="1" min="7" max="7" width="16.86"/>
    <col customWidth="1" min="8" max="8" width="4.14"/>
    <col customWidth="1" min="9" max="9" width="13.43"/>
    <col customWidth="1" min="10" max="10" width="9.57"/>
    <col customWidth="1" min="11" max="26" width="8.71"/>
  </cols>
  <sheetData>
    <row r="1" ht="14.25" customHeight="1">
      <c r="A1" s="104" t="s">
        <v>2391</v>
      </c>
      <c r="B1" s="104" t="s">
        <v>2392</v>
      </c>
      <c r="C1" s="104" t="s">
        <v>2393</v>
      </c>
      <c r="D1" s="104" t="s">
        <v>2394</v>
      </c>
      <c r="E1" s="104" t="s">
        <v>2395</v>
      </c>
      <c r="F1" s="104" t="s">
        <v>2396</v>
      </c>
      <c r="G1" s="105" t="s">
        <v>2397</v>
      </c>
      <c r="H1" s="104" t="s">
        <v>2400</v>
      </c>
      <c r="I1" s="104" t="s">
        <v>2403</v>
      </c>
      <c r="J1" s="106" t="s">
        <v>2404</v>
      </c>
    </row>
    <row r="2" ht="14.25" customHeight="1">
      <c r="A2" s="107">
        <v>3.310431719E9</v>
      </c>
      <c r="B2" s="108" t="s">
        <v>444</v>
      </c>
      <c r="C2" s="108">
        <v>4.0</v>
      </c>
      <c r="D2" s="109">
        <v>549.0</v>
      </c>
      <c r="E2" s="110">
        <v>12.0</v>
      </c>
      <c r="F2" s="111">
        <v>5.0</v>
      </c>
      <c r="G2" s="109">
        <v>649.0</v>
      </c>
      <c r="H2" s="108">
        <v>30.0</v>
      </c>
      <c r="I2" s="108">
        <v>45.0</v>
      </c>
      <c r="J2" s="112">
        <v>100.0</v>
      </c>
    </row>
    <row r="3" ht="14.25" customHeight="1">
      <c r="A3" s="19">
        <v>3.312846765E9</v>
      </c>
      <c r="B3" s="7" t="s">
        <v>2411</v>
      </c>
      <c r="C3" s="7">
        <v>3.0</v>
      </c>
      <c r="D3" s="9">
        <v>479.0</v>
      </c>
      <c r="E3" s="113">
        <v>10.5</v>
      </c>
      <c r="F3" s="114">
        <v>4.0</v>
      </c>
      <c r="G3" s="9">
        <v>599.0</v>
      </c>
      <c r="H3" s="7">
        <v>15.0</v>
      </c>
      <c r="I3" s="7">
        <v>22.5</v>
      </c>
      <c r="J3" s="115">
        <v>100.0</v>
      </c>
    </row>
    <row r="4" ht="14.25" customHeight="1">
      <c r="A4" s="19">
        <v>3.313254527E9</v>
      </c>
      <c r="B4" s="7" t="s">
        <v>444</v>
      </c>
      <c r="C4" s="7" t="s">
        <v>713</v>
      </c>
      <c r="D4" s="9">
        <v>229.0</v>
      </c>
      <c r="E4" s="113">
        <v>4.0</v>
      </c>
      <c r="F4" s="114">
        <v>1.0</v>
      </c>
      <c r="G4" s="9">
        <v>269.0</v>
      </c>
      <c r="H4" s="7">
        <v>6.0</v>
      </c>
      <c r="I4" s="7">
        <v>9.0</v>
      </c>
      <c r="J4" s="115">
        <v>100.0</v>
      </c>
    </row>
    <row r="5" ht="14.25" customHeight="1">
      <c r="A5" s="19">
        <v>3.313697838E9</v>
      </c>
      <c r="B5" s="7" t="s">
        <v>2411</v>
      </c>
      <c r="C5" s="7" t="s">
        <v>713</v>
      </c>
      <c r="D5" s="9">
        <v>279.0</v>
      </c>
      <c r="E5" s="113">
        <v>4.0</v>
      </c>
      <c r="F5" s="114">
        <v>1.0</v>
      </c>
      <c r="G5" s="9">
        <v>319.0</v>
      </c>
      <c r="H5" s="7">
        <v>6.0</v>
      </c>
      <c r="I5" s="7">
        <v>9.0</v>
      </c>
      <c r="J5" s="115">
        <v>100.0</v>
      </c>
    </row>
    <row r="6" ht="14.25" customHeight="1">
      <c r="A6" s="19">
        <v>3.315684816E9</v>
      </c>
      <c r="B6" s="7" t="s">
        <v>2411</v>
      </c>
      <c r="C6" s="7">
        <v>3.0</v>
      </c>
      <c r="D6" s="9">
        <v>479.0</v>
      </c>
      <c r="E6" s="113">
        <v>10.5</v>
      </c>
      <c r="F6" s="114">
        <v>4.0</v>
      </c>
      <c r="G6" s="9">
        <v>599.0</v>
      </c>
      <c r="H6" s="7">
        <v>15.0</v>
      </c>
      <c r="I6" s="7">
        <v>22.5</v>
      </c>
      <c r="J6" s="115">
        <v>100.0</v>
      </c>
    </row>
    <row r="7" ht="14.25" customHeight="1">
      <c r="A7" s="19">
        <v>3.316091328E9</v>
      </c>
      <c r="B7" s="7" t="s">
        <v>444</v>
      </c>
      <c r="C7" s="7">
        <v>3.0</v>
      </c>
      <c r="D7" s="9">
        <v>429.0</v>
      </c>
      <c r="E7" s="113">
        <v>10.5</v>
      </c>
      <c r="F7" s="114">
        <v>4.0</v>
      </c>
      <c r="G7" s="9">
        <v>549.0</v>
      </c>
      <c r="H7" s="7">
        <v>15.0</v>
      </c>
      <c r="I7" s="7">
        <v>22.5</v>
      </c>
      <c r="J7" s="115">
        <v>100.0</v>
      </c>
    </row>
    <row r="8" ht="14.25" customHeight="1">
      <c r="A8" s="19">
        <v>3.316091879E9</v>
      </c>
      <c r="B8" s="7" t="s">
        <v>2411</v>
      </c>
      <c r="C8" s="7" t="s">
        <v>713</v>
      </c>
      <c r="D8" s="9">
        <v>279.0</v>
      </c>
      <c r="E8" s="113">
        <v>4.0</v>
      </c>
      <c r="F8" s="114">
        <v>1.0</v>
      </c>
      <c r="G8" s="9">
        <v>319.0</v>
      </c>
      <c r="H8" s="7">
        <v>6.0</v>
      </c>
      <c r="I8" s="7">
        <v>9.0</v>
      </c>
      <c r="J8" s="115">
        <v>100.0</v>
      </c>
    </row>
    <row r="9" ht="14.25" customHeight="1">
      <c r="A9" s="19">
        <v>3.316092672E9</v>
      </c>
      <c r="B9" s="7" t="s">
        <v>444</v>
      </c>
      <c r="C9" s="7">
        <v>3.0</v>
      </c>
      <c r="D9" s="9">
        <v>429.0</v>
      </c>
      <c r="E9" s="113">
        <v>10.5</v>
      </c>
      <c r="F9" s="114">
        <v>4.0</v>
      </c>
      <c r="G9" s="9">
        <v>549.0</v>
      </c>
      <c r="H9" s="7">
        <v>15.0</v>
      </c>
      <c r="I9" s="7">
        <v>22.5</v>
      </c>
      <c r="J9" s="115">
        <v>100.0</v>
      </c>
    </row>
    <row r="10" ht="14.25" customHeight="1">
      <c r="A10" s="19">
        <v>3.316092786E9</v>
      </c>
      <c r="B10" s="7" t="s">
        <v>2411</v>
      </c>
      <c r="C10" s="7">
        <v>3.0</v>
      </c>
      <c r="D10" s="9">
        <v>479.0</v>
      </c>
      <c r="E10" s="113">
        <v>10.5</v>
      </c>
      <c r="F10" s="114">
        <v>4.0</v>
      </c>
      <c r="G10" s="9">
        <v>599.0</v>
      </c>
      <c r="H10" s="7">
        <v>15.0</v>
      </c>
      <c r="I10" s="7">
        <v>22.5</v>
      </c>
      <c r="J10" s="115">
        <v>100.0</v>
      </c>
    </row>
    <row r="11" ht="14.25" customHeight="1">
      <c r="A11" s="19">
        <v>3.31609388E9</v>
      </c>
      <c r="B11" s="7" t="s">
        <v>2411</v>
      </c>
      <c r="C11" s="7">
        <v>3.0</v>
      </c>
      <c r="D11" s="9">
        <v>479.0</v>
      </c>
      <c r="E11" s="113">
        <v>10.5</v>
      </c>
      <c r="F11" s="114">
        <v>4.0</v>
      </c>
      <c r="G11" s="9">
        <v>599.0</v>
      </c>
      <c r="H11" s="7">
        <v>15.0</v>
      </c>
      <c r="I11" s="7">
        <v>22.5</v>
      </c>
      <c r="J11" s="115">
        <v>100.0</v>
      </c>
    </row>
    <row r="12" ht="14.25" customHeight="1">
      <c r="A12" s="19">
        <v>3.316094471E9</v>
      </c>
      <c r="B12" s="7" t="s">
        <v>2411</v>
      </c>
      <c r="C12" s="7" t="s">
        <v>713</v>
      </c>
      <c r="D12" s="9">
        <v>279.0</v>
      </c>
      <c r="E12" s="113">
        <v>4.0</v>
      </c>
      <c r="F12" s="114">
        <v>1.0</v>
      </c>
      <c r="G12" s="9">
        <v>319.0</v>
      </c>
      <c r="H12" s="7">
        <v>6.0</v>
      </c>
      <c r="I12" s="7">
        <v>9.0</v>
      </c>
      <c r="J12" s="115">
        <v>100.0</v>
      </c>
    </row>
    <row r="13" ht="14.25" customHeight="1">
      <c r="A13" s="19">
        <v>3.316094916E9</v>
      </c>
      <c r="B13" s="7" t="s">
        <v>444</v>
      </c>
      <c r="C13" s="7">
        <v>3.0</v>
      </c>
      <c r="D13" s="9">
        <v>429.0</v>
      </c>
      <c r="E13" s="113">
        <v>10.5</v>
      </c>
      <c r="F13" s="114">
        <v>4.0</v>
      </c>
      <c r="G13" s="9">
        <v>549.0</v>
      </c>
      <c r="H13" s="7">
        <v>15.0</v>
      </c>
      <c r="I13" s="7">
        <v>22.5</v>
      </c>
      <c r="J13" s="115">
        <v>100.0</v>
      </c>
    </row>
    <row r="14" ht="14.25" customHeight="1">
      <c r="A14" s="19">
        <v>3.316096709E9</v>
      </c>
      <c r="B14" s="7" t="s">
        <v>444</v>
      </c>
      <c r="C14" s="7" t="s">
        <v>713</v>
      </c>
      <c r="D14" s="9">
        <v>229.0</v>
      </c>
      <c r="E14" s="113">
        <v>4.0</v>
      </c>
      <c r="F14" s="114">
        <v>1.0</v>
      </c>
      <c r="G14" s="9">
        <v>269.0</v>
      </c>
      <c r="H14" s="7">
        <v>6.0</v>
      </c>
      <c r="I14" s="7">
        <v>9.0</v>
      </c>
      <c r="J14" s="115">
        <v>100.0</v>
      </c>
    </row>
    <row r="15" ht="14.25" customHeight="1">
      <c r="A15" s="19">
        <v>3.316097179E9</v>
      </c>
      <c r="B15" s="7" t="s">
        <v>444</v>
      </c>
      <c r="C15" s="7" t="s">
        <v>713</v>
      </c>
      <c r="D15" s="9">
        <v>229.0</v>
      </c>
      <c r="E15" s="113">
        <v>4.0</v>
      </c>
      <c r="F15" s="114">
        <v>4.0</v>
      </c>
      <c r="G15" s="9">
        <v>549.0</v>
      </c>
      <c r="H15" s="7">
        <v>15.0</v>
      </c>
      <c r="I15" s="7">
        <v>22.5</v>
      </c>
      <c r="J15" s="115">
        <v>100.0</v>
      </c>
    </row>
    <row r="16" ht="14.25" customHeight="1">
      <c r="A16" s="19">
        <v>3.316097328E9</v>
      </c>
      <c r="B16" s="7" t="s">
        <v>444</v>
      </c>
      <c r="C16" s="7">
        <v>3.0</v>
      </c>
      <c r="D16" s="9">
        <v>429.0</v>
      </c>
      <c r="E16" s="113">
        <v>10.5</v>
      </c>
      <c r="F16" s="114">
        <v>4.0</v>
      </c>
      <c r="G16" s="9">
        <v>549.0</v>
      </c>
      <c r="H16" s="7">
        <v>15.0</v>
      </c>
      <c r="I16" s="7">
        <v>22.5</v>
      </c>
      <c r="J16" s="115">
        <v>100.0</v>
      </c>
    </row>
    <row r="17" ht="14.25" customHeight="1">
      <c r="A17" s="19">
        <v>3.316097918E9</v>
      </c>
      <c r="B17" s="7" t="s">
        <v>2411</v>
      </c>
      <c r="C17" s="7" t="s">
        <v>713</v>
      </c>
      <c r="D17" s="9">
        <v>279.0</v>
      </c>
      <c r="E17" s="113">
        <v>4.0</v>
      </c>
      <c r="F17" s="114">
        <v>1.0</v>
      </c>
      <c r="G17" s="9">
        <v>319.0</v>
      </c>
      <c r="H17" s="7">
        <v>6.0</v>
      </c>
      <c r="I17" s="7">
        <v>9.0</v>
      </c>
      <c r="J17" s="115">
        <v>100.0</v>
      </c>
    </row>
    <row r="18" ht="14.25" customHeight="1">
      <c r="A18" s="19">
        <v>3.316098052E9</v>
      </c>
      <c r="B18" s="7" t="s">
        <v>444</v>
      </c>
      <c r="C18" s="7">
        <v>3.0</v>
      </c>
      <c r="D18" s="9">
        <v>429.0</v>
      </c>
      <c r="E18" s="113">
        <v>10.5</v>
      </c>
      <c r="F18" s="114">
        <v>4.0</v>
      </c>
      <c r="G18" s="9">
        <v>549.0</v>
      </c>
      <c r="H18" s="7">
        <v>15.0</v>
      </c>
      <c r="I18" s="7">
        <v>22.5</v>
      </c>
      <c r="J18" s="115">
        <v>100.0</v>
      </c>
    </row>
    <row r="19" ht="14.25" customHeight="1">
      <c r="A19" s="19">
        <v>3.316098501E9</v>
      </c>
      <c r="B19" s="7" t="s">
        <v>2411</v>
      </c>
      <c r="C19" s="7" t="s">
        <v>713</v>
      </c>
      <c r="D19" s="9">
        <v>279.0</v>
      </c>
      <c r="E19" s="113">
        <v>4.0</v>
      </c>
      <c r="F19" s="114">
        <v>1.0</v>
      </c>
      <c r="G19" s="9">
        <v>319.0</v>
      </c>
      <c r="H19" s="7">
        <v>6.0</v>
      </c>
      <c r="I19" s="7">
        <v>9.0</v>
      </c>
      <c r="J19" s="115">
        <v>100.0</v>
      </c>
    </row>
    <row r="20" ht="14.25" customHeight="1">
      <c r="A20" s="19">
        <v>3.316098529E9</v>
      </c>
      <c r="B20" s="7" t="s">
        <v>2411</v>
      </c>
      <c r="C20" s="7">
        <v>3.0</v>
      </c>
      <c r="D20" s="9">
        <v>479.0</v>
      </c>
      <c r="E20" s="113">
        <v>10.5</v>
      </c>
      <c r="F20" s="114">
        <v>4.0</v>
      </c>
      <c r="G20" s="9">
        <v>599.0</v>
      </c>
      <c r="H20" s="7">
        <v>15.0</v>
      </c>
      <c r="I20" s="7">
        <v>22.5</v>
      </c>
      <c r="J20" s="115">
        <v>100.0</v>
      </c>
    </row>
    <row r="21" ht="14.25" customHeight="1">
      <c r="A21" s="19">
        <v>3.316099062E9</v>
      </c>
      <c r="B21" s="7" t="s">
        <v>2411</v>
      </c>
      <c r="C21" s="7" t="s">
        <v>713</v>
      </c>
      <c r="D21" s="9">
        <v>279.0</v>
      </c>
      <c r="E21" s="113">
        <v>4.0</v>
      </c>
      <c r="F21" s="114">
        <v>1.0</v>
      </c>
      <c r="G21" s="9">
        <v>319.0</v>
      </c>
      <c r="H21" s="7">
        <v>6.0</v>
      </c>
      <c r="I21" s="7">
        <v>9.0</v>
      </c>
      <c r="J21" s="115">
        <v>100.0</v>
      </c>
    </row>
    <row r="22" ht="14.25" customHeight="1">
      <c r="A22" s="19">
        <v>3.316106051E9</v>
      </c>
      <c r="B22" s="7" t="s">
        <v>444</v>
      </c>
      <c r="C22" s="7">
        <v>3.0</v>
      </c>
      <c r="D22" s="9">
        <v>429.0</v>
      </c>
      <c r="E22" s="113">
        <v>10.5</v>
      </c>
      <c r="F22" s="114">
        <v>4.0</v>
      </c>
      <c r="G22" s="9">
        <v>549.0</v>
      </c>
      <c r="H22" s="7">
        <v>15.0</v>
      </c>
      <c r="I22" s="7">
        <v>22.5</v>
      </c>
      <c r="J22" s="115">
        <v>100.0</v>
      </c>
    </row>
    <row r="23" ht="14.25" customHeight="1">
      <c r="A23" s="19">
        <v>3.316106113E9</v>
      </c>
      <c r="B23" s="7" t="s">
        <v>2411</v>
      </c>
      <c r="C23" s="7">
        <v>3.0</v>
      </c>
      <c r="D23" s="9">
        <v>479.0</v>
      </c>
      <c r="E23" s="113">
        <v>10.5</v>
      </c>
      <c r="F23" s="114">
        <v>4.0</v>
      </c>
      <c r="G23" s="9">
        <v>599.0</v>
      </c>
      <c r="H23" s="7">
        <v>15.0</v>
      </c>
      <c r="I23" s="7">
        <v>22.5</v>
      </c>
      <c r="J23" s="115">
        <v>100.0</v>
      </c>
    </row>
    <row r="24" ht="14.25" customHeight="1">
      <c r="A24" s="19">
        <v>3.316106119E9</v>
      </c>
      <c r="B24" s="7" t="s">
        <v>2411</v>
      </c>
      <c r="C24" s="7" t="s">
        <v>713</v>
      </c>
      <c r="D24" s="9">
        <v>279.0</v>
      </c>
      <c r="E24" s="113">
        <v>4.0</v>
      </c>
      <c r="F24" s="114">
        <v>1.0</v>
      </c>
      <c r="G24" s="9">
        <v>319.0</v>
      </c>
      <c r="H24" s="7">
        <v>6.0</v>
      </c>
      <c r="I24" s="7">
        <v>9.0</v>
      </c>
      <c r="J24" s="115">
        <v>100.0</v>
      </c>
    </row>
    <row r="25" ht="14.25" customHeight="1">
      <c r="A25" s="19">
        <v>3.316114768E9</v>
      </c>
      <c r="B25" s="7" t="s">
        <v>444</v>
      </c>
      <c r="C25" s="7" t="s">
        <v>713</v>
      </c>
      <c r="D25" s="9">
        <v>229.0</v>
      </c>
      <c r="E25" s="113">
        <v>4.0</v>
      </c>
      <c r="F25" s="114">
        <v>1.0</v>
      </c>
      <c r="G25" s="9">
        <v>269.0</v>
      </c>
      <c r="H25" s="7">
        <v>6.0</v>
      </c>
      <c r="I25" s="7">
        <v>9.0</v>
      </c>
      <c r="J25" s="115">
        <v>100.0</v>
      </c>
    </row>
    <row r="26" ht="14.25" customHeight="1">
      <c r="A26" s="19">
        <v>3.316117782E9</v>
      </c>
      <c r="B26" s="7" t="s">
        <v>444</v>
      </c>
      <c r="C26" s="7">
        <v>3.0</v>
      </c>
      <c r="D26" s="9">
        <v>429.0</v>
      </c>
      <c r="E26" s="113">
        <v>10.5</v>
      </c>
      <c r="F26" s="114">
        <v>4.0</v>
      </c>
      <c r="G26" s="9">
        <v>549.0</v>
      </c>
      <c r="H26" s="7">
        <v>15.0</v>
      </c>
      <c r="I26" s="7">
        <v>22.5</v>
      </c>
      <c r="J26" s="115">
        <v>100.0</v>
      </c>
    </row>
    <row r="27" ht="14.25" customHeight="1">
      <c r="A27" s="19">
        <v>3.316118572E9</v>
      </c>
      <c r="B27" s="7" t="s">
        <v>2411</v>
      </c>
      <c r="C27" s="7" t="s">
        <v>713</v>
      </c>
      <c r="D27" s="9">
        <v>279.0</v>
      </c>
      <c r="E27" s="113">
        <v>4.0</v>
      </c>
      <c r="F27" s="114">
        <v>1.0</v>
      </c>
      <c r="G27" s="9">
        <v>319.0</v>
      </c>
      <c r="H27" s="7">
        <v>6.0</v>
      </c>
      <c r="I27" s="7">
        <v>9.0</v>
      </c>
      <c r="J27" s="115">
        <v>100.0</v>
      </c>
    </row>
    <row r="28" ht="14.25" customHeight="1">
      <c r="A28" s="19">
        <v>3.316129046E9</v>
      </c>
      <c r="B28" s="7" t="s">
        <v>444</v>
      </c>
      <c r="C28" s="7">
        <v>3.0</v>
      </c>
      <c r="D28" s="9">
        <v>429.0</v>
      </c>
      <c r="E28" s="113">
        <v>10.5</v>
      </c>
      <c r="F28" s="114">
        <v>4.0</v>
      </c>
      <c r="G28" s="9">
        <v>549.0</v>
      </c>
      <c r="H28" s="7">
        <v>15.0</v>
      </c>
      <c r="I28" s="7">
        <v>22.5</v>
      </c>
      <c r="J28" s="115">
        <v>100.0</v>
      </c>
    </row>
    <row r="29" ht="14.25" customHeight="1">
      <c r="A29" s="19">
        <v>3.316132351E9</v>
      </c>
      <c r="B29" s="7" t="s">
        <v>2411</v>
      </c>
      <c r="C29" s="7">
        <v>3.0</v>
      </c>
      <c r="D29" s="9">
        <v>479.0</v>
      </c>
      <c r="E29" s="113">
        <v>10.5</v>
      </c>
      <c r="F29" s="114">
        <v>4.0</v>
      </c>
      <c r="G29" s="9">
        <v>599.0</v>
      </c>
      <c r="H29" s="7">
        <v>15.0</v>
      </c>
      <c r="I29" s="7">
        <v>22.5</v>
      </c>
      <c r="J29" s="115">
        <v>100.0</v>
      </c>
    </row>
    <row r="30" ht="14.25" customHeight="1">
      <c r="A30" s="19">
        <v>3.316133712E9</v>
      </c>
      <c r="B30" s="7" t="s">
        <v>444</v>
      </c>
      <c r="C30" s="7">
        <v>3.0</v>
      </c>
      <c r="D30" s="9">
        <v>429.0</v>
      </c>
      <c r="E30" s="113">
        <v>10.5</v>
      </c>
      <c r="F30" s="114">
        <v>4.0</v>
      </c>
      <c r="G30" s="9">
        <v>549.0</v>
      </c>
      <c r="H30" s="7">
        <v>15.0</v>
      </c>
      <c r="I30" s="7">
        <v>22.5</v>
      </c>
      <c r="J30" s="115">
        <v>100.0</v>
      </c>
    </row>
    <row r="31" ht="14.25" customHeight="1">
      <c r="A31" s="19">
        <v>3.31613378E9</v>
      </c>
      <c r="B31" s="7" t="s">
        <v>2411</v>
      </c>
      <c r="C31" s="7" t="s">
        <v>713</v>
      </c>
      <c r="D31" s="9">
        <v>279.0</v>
      </c>
      <c r="E31" s="113">
        <v>4.0</v>
      </c>
      <c r="F31" s="114">
        <v>4.0</v>
      </c>
      <c r="G31" s="9">
        <v>599.0</v>
      </c>
      <c r="H31" s="7">
        <v>15.0</v>
      </c>
      <c r="I31" s="7">
        <v>22.5</v>
      </c>
      <c r="J31" s="115">
        <v>100.0</v>
      </c>
    </row>
    <row r="32" ht="14.25" customHeight="1">
      <c r="A32" s="19">
        <v>3.316135271E9</v>
      </c>
      <c r="B32" s="7" t="s">
        <v>444</v>
      </c>
      <c r="C32" s="7">
        <v>3.0</v>
      </c>
      <c r="D32" s="9">
        <v>429.0</v>
      </c>
      <c r="E32" s="113">
        <v>10.5</v>
      </c>
      <c r="F32" s="114">
        <v>4.0</v>
      </c>
      <c r="G32" s="9">
        <v>549.0</v>
      </c>
      <c r="H32" s="7">
        <v>15.0</v>
      </c>
      <c r="I32" s="7">
        <v>22.5</v>
      </c>
      <c r="J32" s="115">
        <v>100.0</v>
      </c>
    </row>
    <row r="33" ht="14.25" customHeight="1">
      <c r="A33" s="19">
        <v>3.316135604E9</v>
      </c>
      <c r="B33" s="7" t="s">
        <v>444</v>
      </c>
      <c r="C33" s="7">
        <v>3.0</v>
      </c>
      <c r="D33" s="9">
        <v>429.0</v>
      </c>
      <c r="E33" s="113">
        <v>10.5</v>
      </c>
      <c r="F33" s="114">
        <v>4.0</v>
      </c>
      <c r="G33" s="9">
        <v>549.0</v>
      </c>
      <c r="H33" s="7">
        <v>15.0</v>
      </c>
      <c r="I33" s="7">
        <v>22.5</v>
      </c>
      <c r="J33" s="115">
        <v>100.0</v>
      </c>
    </row>
    <row r="34" ht="14.25" customHeight="1">
      <c r="A34" s="19">
        <v>3.316135759E9</v>
      </c>
      <c r="B34" s="7" t="s">
        <v>2411</v>
      </c>
      <c r="C34" s="7">
        <v>3.0</v>
      </c>
      <c r="D34" s="9">
        <v>479.0</v>
      </c>
      <c r="E34" s="113">
        <v>10.5</v>
      </c>
      <c r="F34" s="114">
        <v>4.0</v>
      </c>
      <c r="G34" s="9">
        <v>599.0</v>
      </c>
      <c r="H34" s="7">
        <v>15.0</v>
      </c>
      <c r="I34" s="7">
        <v>22.5</v>
      </c>
      <c r="J34" s="115">
        <v>100.0</v>
      </c>
    </row>
    <row r="35" ht="14.25" customHeight="1">
      <c r="A35" s="19">
        <v>3.316137123E9</v>
      </c>
      <c r="B35" s="7" t="s">
        <v>2411</v>
      </c>
      <c r="C35" s="7">
        <v>4.0</v>
      </c>
      <c r="D35" s="9">
        <v>599.0</v>
      </c>
      <c r="E35" s="113">
        <v>12.0</v>
      </c>
      <c r="F35" s="114">
        <v>5.0</v>
      </c>
      <c r="G35" s="9">
        <v>699.0</v>
      </c>
      <c r="H35" s="7">
        <v>30.0</v>
      </c>
      <c r="I35" s="7">
        <v>45.0</v>
      </c>
      <c r="J35" s="115">
        <v>100.0</v>
      </c>
    </row>
    <row r="36" ht="14.25" customHeight="1">
      <c r="A36" s="19">
        <v>3.316142992E9</v>
      </c>
      <c r="B36" s="7" t="s">
        <v>2411</v>
      </c>
      <c r="C36" s="7" t="s">
        <v>713</v>
      </c>
      <c r="D36" s="9">
        <v>279.0</v>
      </c>
      <c r="E36" s="113">
        <v>4.0</v>
      </c>
      <c r="F36" s="114">
        <v>1.0</v>
      </c>
      <c r="G36" s="9">
        <v>319.0</v>
      </c>
      <c r="H36" s="7">
        <v>6.0</v>
      </c>
      <c r="I36" s="7">
        <v>9.0</v>
      </c>
      <c r="J36" s="115">
        <v>100.0</v>
      </c>
    </row>
    <row r="37" ht="14.25" customHeight="1">
      <c r="A37" s="19">
        <v>3.316147399E9</v>
      </c>
      <c r="B37" s="7" t="s">
        <v>444</v>
      </c>
      <c r="C37" s="7">
        <v>3.0</v>
      </c>
      <c r="D37" s="9">
        <v>429.0</v>
      </c>
      <c r="E37" s="113">
        <v>10.5</v>
      </c>
      <c r="F37" s="114">
        <v>4.0</v>
      </c>
      <c r="G37" s="9">
        <v>549.0</v>
      </c>
      <c r="H37" s="7">
        <v>15.0</v>
      </c>
      <c r="I37" s="7">
        <v>22.5</v>
      </c>
      <c r="J37" s="115">
        <v>100.0</v>
      </c>
    </row>
    <row r="38" ht="14.25" customHeight="1">
      <c r="A38" s="19">
        <v>3.316156385E9</v>
      </c>
      <c r="B38" s="7" t="s">
        <v>2411</v>
      </c>
      <c r="C38" s="7" t="s">
        <v>713</v>
      </c>
      <c r="D38" s="9">
        <v>279.0</v>
      </c>
      <c r="E38" s="113">
        <v>4.0</v>
      </c>
      <c r="F38" s="114">
        <v>1.0</v>
      </c>
      <c r="G38" s="9">
        <v>319.0</v>
      </c>
      <c r="H38" s="7">
        <v>6.0</v>
      </c>
      <c r="I38" s="7">
        <v>9.0</v>
      </c>
      <c r="J38" s="115">
        <v>100.0</v>
      </c>
    </row>
    <row r="39" ht="14.25" customHeight="1">
      <c r="A39" s="19">
        <v>3.316158093E9</v>
      </c>
      <c r="B39" s="7" t="s">
        <v>444</v>
      </c>
      <c r="C39" s="7">
        <v>3.0</v>
      </c>
      <c r="D39" s="9">
        <v>429.0</v>
      </c>
      <c r="E39" s="113">
        <v>10.5</v>
      </c>
      <c r="F39" s="114">
        <v>4.0</v>
      </c>
      <c r="G39" s="9">
        <v>549.0</v>
      </c>
      <c r="H39" s="7">
        <v>15.0</v>
      </c>
      <c r="I39" s="7">
        <v>22.5</v>
      </c>
      <c r="J39" s="115">
        <v>100.0</v>
      </c>
    </row>
    <row r="40" ht="14.25" customHeight="1">
      <c r="A40" s="19">
        <v>3.316160073E9</v>
      </c>
      <c r="B40" s="7" t="s">
        <v>444</v>
      </c>
      <c r="C40" s="7">
        <v>3.0</v>
      </c>
      <c r="D40" s="9">
        <v>429.0</v>
      </c>
      <c r="E40" s="113">
        <v>10.5</v>
      </c>
      <c r="F40" s="114">
        <v>4.0</v>
      </c>
      <c r="G40" s="9">
        <v>549.0</v>
      </c>
      <c r="H40" s="7">
        <v>15.0</v>
      </c>
      <c r="I40" s="7">
        <v>22.5</v>
      </c>
      <c r="J40" s="115">
        <v>100.0</v>
      </c>
    </row>
    <row r="41" ht="14.25" customHeight="1">
      <c r="A41" s="19">
        <v>3.316172428E9</v>
      </c>
      <c r="B41" s="7" t="s">
        <v>444</v>
      </c>
      <c r="C41" s="7">
        <v>3.0</v>
      </c>
      <c r="D41" s="9">
        <v>429.0</v>
      </c>
      <c r="E41" s="113">
        <v>10.5</v>
      </c>
      <c r="F41" s="114">
        <v>4.0</v>
      </c>
      <c r="G41" s="9">
        <v>549.0</v>
      </c>
      <c r="H41" s="7">
        <v>15.0</v>
      </c>
      <c r="I41" s="7">
        <v>22.5</v>
      </c>
      <c r="J41" s="115">
        <v>100.0</v>
      </c>
    </row>
    <row r="42" ht="14.25" customHeight="1">
      <c r="A42" s="19">
        <v>3.318218012E9</v>
      </c>
      <c r="B42" s="7" t="s">
        <v>444</v>
      </c>
      <c r="C42" s="7">
        <v>3.0</v>
      </c>
      <c r="D42" s="9">
        <v>429.0</v>
      </c>
      <c r="E42" s="113">
        <v>10.5</v>
      </c>
      <c r="F42" s="114">
        <v>4.0</v>
      </c>
      <c r="G42" s="9">
        <v>549.0</v>
      </c>
      <c r="H42" s="7">
        <v>15.0</v>
      </c>
      <c r="I42" s="7">
        <v>22.5</v>
      </c>
      <c r="J42" s="115">
        <v>100.0</v>
      </c>
    </row>
    <row r="43" ht="14.25" customHeight="1">
      <c r="A43" s="19">
        <v>3.318621158E9</v>
      </c>
      <c r="B43" s="7" t="s">
        <v>444</v>
      </c>
      <c r="C43" s="7">
        <v>3.0</v>
      </c>
      <c r="D43" s="9">
        <v>429.0</v>
      </c>
      <c r="E43" s="113">
        <v>10.5</v>
      </c>
      <c r="F43" s="114">
        <v>4.0</v>
      </c>
      <c r="G43" s="9">
        <v>549.0</v>
      </c>
      <c r="H43" s="7">
        <v>15.0</v>
      </c>
      <c r="I43" s="7">
        <v>22.5</v>
      </c>
      <c r="J43" s="115">
        <v>100.0</v>
      </c>
    </row>
    <row r="44" ht="14.25" customHeight="1">
      <c r="A44" s="19">
        <v>3.318629135E9</v>
      </c>
      <c r="B44" s="7" t="s">
        <v>444</v>
      </c>
      <c r="C44" s="7" t="s">
        <v>713</v>
      </c>
      <c r="D44" s="9">
        <v>229.0</v>
      </c>
      <c r="E44" s="113">
        <v>4.0</v>
      </c>
      <c r="F44" s="114">
        <v>4.0</v>
      </c>
      <c r="G44" s="9">
        <v>549.0</v>
      </c>
      <c r="H44" s="7">
        <v>15.0</v>
      </c>
      <c r="I44" s="7">
        <v>22.5</v>
      </c>
      <c r="J44" s="115">
        <v>100.0</v>
      </c>
    </row>
    <row r="45" ht="14.25" customHeight="1">
      <c r="A45" s="19">
        <v>3.318934914E9</v>
      </c>
      <c r="B45" s="7" t="s">
        <v>444</v>
      </c>
      <c r="C45" s="7">
        <v>3.0</v>
      </c>
      <c r="D45" s="9">
        <v>429.0</v>
      </c>
      <c r="E45" s="113">
        <v>10.5</v>
      </c>
      <c r="F45" s="114">
        <v>4.0</v>
      </c>
      <c r="G45" s="9">
        <v>549.0</v>
      </c>
      <c r="H45" s="7">
        <v>15.0</v>
      </c>
      <c r="I45" s="7">
        <v>22.5</v>
      </c>
      <c r="J45" s="115">
        <v>100.0</v>
      </c>
    </row>
    <row r="46" ht="14.25" customHeight="1">
      <c r="A46" s="19">
        <v>3.321830554E9</v>
      </c>
      <c r="B46" s="7" t="s">
        <v>444</v>
      </c>
      <c r="C46" s="7">
        <v>4.0</v>
      </c>
      <c r="D46" s="9">
        <v>549.0</v>
      </c>
      <c r="E46" s="113">
        <v>12.0</v>
      </c>
      <c r="F46" s="114">
        <v>5.0</v>
      </c>
      <c r="G46" s="9">
        <v>649.0</v>
      </c>
      <c r="H46" s="7">
        <v>30.0</v>
      </c>
      <c r="I46" s="7">
        <v>45.0</v>
      </c>
      <c r="J46" s="115">
        <v>100.0</v>
      </c>
    </row>
    <row r="47" ht="14.25" customHeight="1">
      <c r="A47" s="19">
        <v>3.321842313E9</v>
      </c>
      <c r="B47" s="7" t="s">
        <v>444</v>
      </c>
      <c r="C47" s="7">
        <v>3.0</v>
      </c>
      <c r="D47" s="9">
        <v>429.0</v>
      </c>
      <c r="E47" s="113">
        <v>10.5</v>
      </c>
      <c r="F47" s="114">
        <v>4.0</v>
      </c>
      <c r="G47" s="9">
        <v>549.0</v>
      </c>
      <c r="H47" s="7">
        <v>15.0</v>
      </c>
      <c r="I47" s="7">
        <v>22.5</v>
      </c>
      <c r="J47" s="115">
        <v>100.0</v>
      </c>
    </row>
    <row r="48" ht="14.25" customHeight="1">
      <c r="A48" s="19">
        <v>3.328358335E9</v>
      </c>
      <c r="B48" s="7" t="s">
        <v>444</v>
      </c>
      <c r="C48" s="7" t="s">
        <v>713</v>
      </c>
      <c r="D48" s="9">
        <v>229.0</v>
      </c>
      <c r="E48" s="113">
        <v>4.0</v>
      </c>
      <c r="F48" s="114">
        <v>1.0</v>
      </c>
      <c r="G48" s="9">
        <v>269.0</v>
      </c>
      <c r="H48" s="7">
        <v>6.0</v>
      </c>
      <c r="I48" s="7">
        <v>9.0</v>
      </c>
      <c r="J48" s="115">
        <v>100.0</v>
      </c>
    </row>
    <row r="49" ht="14.25" customHeight="1">
      <c r="A49" s="19">
        <v>3.331523332E9</v>
      </c>
      <c r="B49" s="7" t="s">
        <v>444</v>
      </c>
      <c r="C49" s="7">
        <v>3.0</v>
      </c>
      <c r="D49" s="9">
        <v>429.0</v>
      </c>
      <c r="E49" s="113">
        <v>10.5</v>
      </c>
      <c r="F49" s="114">
        <v>4.0</v>
      </c>
      <c r="G49" s="9">
        <v>549.0</v>
      </c>
      <c r="H49" s="7">
        <v>15.0</v>
      </c>
      <c r="I49" s="7">
        <v>22.5</v>
      </c>
      <c r="J49" s="115">
        <v>100.0</v>
      </c>
    </row>
    <row r="50" ht="14.25" customHeight="1">
      <c r="A50" s="19">
        <v>3.33152505E9</v>
      </c>
      <c r="B50" s="7" t="s">
        <v>2411</v>
      </c>
      <c r="C50" s="7">
        <v>3.0</v>
      </c>
      <c r="D50" s="9">
        <v>479.0</v>
      </c>
      <c r="E50" s="113">
        <v>10.5</v>
      </c>
      <c r="F50" s="114">
        <v>4.0</v>
      </c>
      <c r="G50" s="9">
        <v>599.0</v>
      </c>
      <c r="H50" s="7">
        <v>15.0</v>
      </c>
      <c r="I50" s="7">
        <v>22.5</v>
      </c>
      <c r="J50" s="115">
        <v>100.0</v>
      </c>
    </row>
    <row r="51" ht="14.25" customHeight="1">
      <c r="A51" s="19">
        <v>3.337194504E9</v>
      </c>
      <c r="B51" s="7" t="s">
        <v>444</v>
      </c>
      <c r="C51" s="7">
        <v>3.0</v>
      </c>
      <c r="D51" s="9">
        <v>429.0</v>
      </c>
      <c r="E51" s="113">
        <v>10.5</v>
      </c>
      <c r="F51" s="114">
        <v>4.0</v>
      </c>
      <c r="G51" s="9">
        <v>549.0</v>
      </c>
      <c r="H51" s="7">
        <v>15.0</v>
      </c>
      <c r="I51" s="7">
        <v>22.5</v>
      </c>
      <c r="J51" s="115">
        <v>100.0</v>
      </c>
    </row>
    <row r="52" ht="14.25" customHeight="1">
      <c r="A52" s="19">
        <v>3.337194505E9</v>
      </c>
      <c r="B52" s="7" t="s">
        <v>444</v>
      </c>
      <c r="C52" s="7">
        <v>3.0</v>
      </c>
      <c r="D52" s="9">
        <v>429.0</v>
      </c>
      <c r="E52" s="113">
        <v>10.5</v>
      </c>
      <c r="F52" s="114">
        <v>4.0</v>
      </c>
      <c r="G52" s="9">
        <v>549.0</v>
      </c>
      <c r="H52" s="7">
        <v>15.0</v>
      </c>
      <c r="I52" s="7">
        <v>22.5</v>
      </c>
      <c r="J52" s="115">
        <v>100.0</v>
      </c>
    </row>
    <row r="53" ht="14.25" customHeight="1">
      <c r="A53" s="19">
        <v>3.337194517E9</v>
      </c>
      <c r="B53" s="7" t="s">
        <v>2411</v>
      </c>
      <c r="C53" s="7" t="s">
        <v>713</v>
      </c>
      <c r="D53" s="9">
        <v>279.0</v>
      </c>
      <c r="E53" s="113">
        <v>4.0</v>
      </c>
      <c r="F53" s="114">
        <v>4.0</v>
      </c>
      <c r="G53" s="9">
        <v>599.0</v>
      </c>
      <c r="H53" s="7">
        <v>15.0</v>
      </c>
      <c r="I53" s="7">
        <v>22.5</v>
      </c>
      <c r="J53" s="115">
        <v>100.0</v>
      </c>
    </row>
    <row r="54" ht="14.25" customHeight="1">
      <c r="A54" s="19">
        <v>3.338560241E9</v>
      </c>
      <c r="B54" s="7" t="s">
        <v>444</v>
      </c>
      <c r="C54" s="7">
        <v>3.0</v>
      </c>
      <c r="D54" s="9">
        <v>429.0</v>
      </c>
      <c r="E54" s="113">
        <v>10.5</v>
      </c>
      <c r="F54" s="114">
        <v>4.0</v>
      </c>
      <c r="G54" s="9">
        <v>549.0</v>
      </c>
      <c r="H54" s="7">
        <v>15.0</v>
      </c>
      <c r="I54" s="7">
        <v>22.5</v>
      </c>
      <c r="J54" s="115">
        <v>100.0</v>
      </c>
    </row>
    <row r="55" ht="14.25" customHeight="1">
      <c r="A55" s="19">
        <v>3.338560382E9</v>
      </c>
      <c r="B55" s="7" t="s">
        <v>444</v>
      </c>
      <c r="C55" s="7">
        <v>3.0</v>
      </c>
      <c r="D55" s="9">
        <v>429.0</v>
      </c>
      <c r="E55" s="113">
        <v>10.5</v>
      </c>
      <c r="F55" s="114">
        <v>4.0</v>
      </c>
      <c r="G55" s="9">
        <v>549.0</v>
      </c>
      <c r="H55" s="7">
        <v>15.0</v>
      </c>
      <c r="I55" s="7">
        <v>22.5</v>
      </c>
      <c r="J55" s="115">
        <v>100.0</v>
      </c>
    </row>
    <row r="56" ht="14.25" customHeight="1">
      <c r="A56" s="19">
        <v>3.338561078E9</v>
      </c>
      <c r="B56" s="7" t="s">
        <v>444</v>
      </c>
      <c r="C56" s="7">
        <v>4.0</v>
      </c>
      <c r="D56" s="9">
        <v>549.0</v>
      </c>
      <c r="E56" s="113">
        <v>12.0</v>
      </c>
      <c r="F56" s="114">
        <v>5.0</v>
      </c>
      <c r="G56" s="9">
        <v>649.0</v>
      </c>
      <c r="H56" s="7">
        <v>30.0</v>
      </c>
      <c r="I56" s="7">
        <v>45.0</v>
      </c>
      <c r="J56" s="115">
        <v>100.0</v>
      </c>
    </row>
    <row r="57" ht="14.25" customHeight="1">
      <c r="A57" s="19">
        <v>3.339580163E9</v>
      </c>
      <c r="B57" s="7" t="s">
        <v>2411</v>
      </c>
      <c r="C57" s="7" t="s">
        <v>713</v>
      </c>
      <c r="D57" s="9">
        <v>279.0</v>
      </c>
      <c r="E57" s="113">
        <v>4.0</v>
      </c>
      <c r="F57" s="114">
        <v>1.0</v>
      </c>
      <c r="G57" s="9">
        <v>319.0</v>
      </c>
      <c r="H57" s="7">
        <v>6.0</v>
      </c>
      <c r="I57" s="7">
        <v>9.0</v>
      </c>
      <c r="J57" s="115">
        <v>100.0</v>
      </c>
    </row>
    <row r="58" ht="14.25" customHeight="1">
      <c r="A58" s="19">
        <v>3.481044349E9</v>
      </c>
      <c r="B58" s="7" t="s">
        <v>444</v>
      </c>
      <c r="C58" s="7">
        <v>3.0</v>
      </c>
      <c r="D58" s="9">
        <v>429.0</v>
      </c>
      <c r="E58" s="113">
        <v>10.5</v>
      </c>
      <c r="F58" s="114">
        <v>4.0</v>
      </c>
      <c r="G58" s="9">
        <v>549.0</v>
      </c>
      <c r="H58" s="7">
        <v>15.0</v>
      </c>
      <c r="I58" s="7">
        <v>22.5</v>
      </c>
      <c r="J58" s="115">
        <v>100.0</v>
      </c>
    </row>
    <row r="59" ht="14.25" customHeight="1">
      <c r="A59" s="19">
        <v>3.481082366E9</v>
      </c>
      <c r="B59" s="7" t="s">
        <v>444</v>
      </c>
      <c r="C59" s="7">
        <v>3.0</v>
      </c>
      <c r="D59" s="9">
        <v>429.0</v>
      </c>
      <c r="E59" s="113">
        <v>10.5</v>
      </c>
      <c r="F59" s="114">
        <v>4.0</v>
      </c>
      <c r="G59" s="9">
        <v>549.0</v>
      </c>
      <c r="H59" s="7">
        <v>15.0</v>
      </c>
      <c r="I59" s="7">
        <v>22.5</v>
      </c>
      <c r="J59" s="115">
        <v>100.0</v>
      </c>
    </row>
    <row r="60" ht="14.25" customHeight="1">
      <c r="A60" s="19">
        <v>3.51111143E9</v>
      </c>
      <c r="B60" s="7" t="s">
        <v>444</v>
      </c>
      <c r="C60" s="7">
        <v>3.0</v>
      </c>
      <c r="D60" s="9">
        <v>429.0</v>
      </c>
      <c r="E60" s="113">
        <v>10.5</v>
      </c>
      <c r="F60" s="114">
        <v>4.0</v>
      </c>
      <c r="G60" s="9">
        <v>549.0</v>
      </c>
      <c r="H60" s="7">
        <v>15.0</v>
      </c>
      <c r="I60" s="7">
        <v>22.5</v>
      </c>
      <c r="J60" s="115">
        <v>100.0</v>
      </c>
    </row>
    <row r="61" ht="14.25" customHeight="1">
      <c r="A61" s="19">
        <v>3.521250804E9</v>
      </c>
      <c r="B61" s="7"/>
      <c r="C61" s="7" t="s">
        <v>275</v>
      </c>
      <c r="D61" s="7" t="s">
        <v>275</v>
      </c>
      <c r="E61" s="113" t="s">
        <v>275</v>
      </c>
      <c r="F61" s="114">
        <v>2.0</v>
      </c>
      <c r="G61" s="9">
        <v>329.0</v>
      </c>
      <c r="H61" s="7">
        <v>7.5</v>
      </c>
      <c r="I61" s="7">
        <v>7.5</v>
      </c>
      <c r="J61" s="115" t="s">
        <v>275</v>
      </c>
    </row>
    <row r="62" ht="14.25" customHeight="1">
      <c r="A62" s="19">
        <v>3.52138702E9</v>
      </c>
      <c r="B62" s="7" t="s">
        <v>444</v>
      </c>
      <c r="C62" s="7" t="s">
        <v>713</v>
      </c>
      <c r="D62" s="9">
        <v>229.0</v>
      </c>
      <c r="E62" s="113">
        <v>4.0</v>
      </c>
      <c r="F62" s="114">
        <v>4.0</v>
      </c>
      <c r="G62" s="9">
        <v>549.0</v>
      </c>
      <c r="H62" s="7">
        <v>15.0</v>
      </c>
      <c r="I62" s="7">
        <v>22.5</v>
      </c>
      <c r="J62" s="115">
        <v>100.0</v>
      </c>
    </row>
    <row r="63" ht="14.25" customHeight="1">
      <c r="A63" s="19">
        <v>3.521399533E9</v>
      </c>
      <c r="B63" s="7"/>
      <c r="C63" s="7" t="s">
        <v>275</v>
      </c>
      <c r="D63" s="7" t="s">
        <v>275</v>
      </c>
      <c r="E63" s="113" t="s">
        <v>275</v>
      </c>
      <c r="F63" s="114">
        <v>2.0</v>
      </c>
      <c r="G63" s="9">
        <v>329.0</v>
      </c>
      <c r="H63" s="7">
        <v>7.5</v>
      </c>
      <c r="I63" s="7">
        <v>7.5</v>
      </c>
      <c r="J63" s="115" t="s">
        <v>275</v>
      </c>
    </row>
    <row r="64" ht="14.25" customHeight="1">
      <c r="A64" s="19">
        <v>3.521420398E9</v>
      </c>
      <c r="B64" s="7"/>
      <c r="C64" s="7" t="s">
        <v>275</v>
      </c>
      <c r="D64" s="7" t="s">
        <v>275</v>
      </c>
      <c r="E64" s="113" t="s">
        <v>275</v>
      </c>
      <c r="F64" s="114">
        <v>2.0</v>
      </c>
      <c r="G64" s="9">
        <v>329.0</v>
      </c>
      <c r="H64" s="7">
        <v>7.5</v>
      </c>
      <c r="I64" s="7">
        <v>7.5</v>
      </c>
      <c r="J64" s="115" t="s">
        <v>275</v>
      </c>
    </row>
    <row r="65" ht="14.25" customHeight="1">
      <c r="A65" s="19">
        <v>3.521421218E9</v>
      </c>
      <c r="B65" s="7"/>
      <c r="C65" s="7" t="s">
        <v>275</v>
      </c>
      <c r="D65" s="7" t="s">
        <v>275</v>
      </c>
      <c r="E65" s="113" t="s">
        <v>275</v>
      </c>
      <c r="F65" s="114">
        <v>1.0</v>
      </c>
      <c r="G65" s="9">
        <v>269.0</v>
      </c>
      <c r="H65" s="7" t="s">
        <v>275</v>
      </c>
      <c r="I65" s="7">
        <v>6.0</v>
      </c>
      <c r="J65" s="17" t="s">
        <v>275</v>
      </c>
    </row>
    <row r="66" ht="14.25" customHeight="1">
      <c r="A66" s="19">
        <v>3.521423189E9</v>
      </c>
      <c r="B66" s="7"/>
      <c r="C66" s="7" t="s">
        <v>275</v>
      </c>
      <c r="D66" s="7" t="s">
        <v>275</v>
      </c>
      <c r="E66" s="113" t="s">
        <v>275</v>
      </c>
      <c r="F66" s="114">
        <v>1.0</v>
      </c>
      <c r="G66" s="9">
        <v>269.0</v>
      </c>
      <c r="H66" s="7" t="s">
        <v>275</v>
      </c>
      <c r="I66" s="7">
        <v>6.0</v>
      </c>
      <c r="J66" s="17" t="s">
        <v>275</v>
      </c>
    </row>
    <row r="67" ht="14.25" customHeight="1">
      <c r="A67" s="19">
        <v>3.521471232E9</v>
      </c>
      <c r="B67" s="7" t="s">
        <v>444</v>
      </c>
      <c r="C67" s="7">
        <v>3.0</v>
      </c>
      <c r="D67" s="9">
        <v>429.0</v>
      </c>
      <c r="E67" s="113">
        <v>10.5</v>
      </c>
      <c r="F67" s="114">
        <v>4.0</v>
      </c>
      <c r="G67" s="9">
        <v>549.0</v>
      </c>
      <c r="H67" s="7">
        <v>15.0</v>
      </c>
      <c r="I67" s="7">
        <v>22.5</v>
      </c>
      <c r="J67" s="115">
        <v>100.0</v>
      </c>
    </row>
    <row r="68" ht="14.25" customHeight="1">
      <c r="A68" s="19">
        <v>3.521949987E9</v>
      </c>
      <c r="B68" s="7"/>
      <c r="C68" s="7" t="s">
        <v>275</v>
      </c>
      <c r="D68" s="7" t="s">
        <v>275</v>
      </c>
      <c r="E68" s="113" t="s">
        <v>275</v>
      </c>
      <c r="F68" s="114">
        <v>1.0</v>
      </c>
      <c r="G68" s="9">
        <v>269.0</v>
      </c>
      <c r="H68" s="7" t="s">
        <v>275</v>
      </c>
      <c r="I68" s="7">
        <v>6.0</v>
      </c>
      <c r="J68" s="17" t="s">
        <v>275</v>
      </c>
    </row>
    <row r="69" ht="14.25" customHeight="1">
      <c r="A69" s="19">
        <v>3.522060309E9</v>
      </c>
      <c r="B69" s="7"/>
      <c r="C69" s="7" t="s">
        <v>275</v>
      </c>
      <c r="D69" s="7" t="s">
        <v>275</v>
      </c>
      <c r="E69" s="113" t="s">
        <v>275</v>
      </c>
      <c r="F69" s="114">
        <v>2.0</v>
      </c>
      <c r="G69" s="9">
        <v>329.0</v>
      </c>
      <c r="H69" s="7">
        <v>7.5</v>
      </c>
      <c r="I69" s="7">
        <v>7.5</v>
      </c>
      <c r="J69" s="115" t="s">
        <v>275</v>
      </c>
    </row>
    <row r="70" ht="14.25" customHeight="1">
      <c r="A70" s="19">
        <v>3.781155312E9</v>
      </c>
      <c r="B70" s="7"/>
      <c r="C70" s="7" t="s">
        <v>275</v>
      </c>
      <c r="D70" s="7" t="s">
        <v>275</v>
      </c>
      <c r="E70" s="113" t="s">
        <v>275</v>
      </c>
      <c r="F70" s="114">
        <v>2.0</v>
      </c>
      <c r="G70" s="9">
        <v>329.0</v>
      </c>
      <c r="H70" s="7">
        <v>7.5</v>
      </c>
      <c r="I70" s="7">
        <v>7.5</v>
      </c>
      <c r="J70" s="115" t="s">
        <v>275</v>
      </c>
    </row>
    <row r="71" ht="14.25" customHeight="1">
      <c r="A71" s="19">
        <v>3.781868857E9</v>
      </c>
      <c r="B71" s="7" t="s">
        <v>444</v>
      </c>
      <c r="C71" s="7" t="s">
        <v>713</v>
      </c>
      <c r="D71" s="9">
        <v>229.0</v>
      </c>
      <c r="E71" s="113">
        <v>4.0</v>
      </c>
      <c r="F71" s="114">
        <v>1.0</v>
      </c>
      <c r="G71" s="9">
        <v>269.0</v>
      </c>
      <c r="H71" s="7">
        <v>6.0</v>
      </c>
      <c r="I71" s="7">
        <v>9.0</v>
      </c>
      <c r="J71" s="115">
        <v>100.0</v>
      </c>
    </row>
    <row r="72" ht="14.25" customHeight="1">
      <c r="A72" s="19">
        <v>3.781868858E9</v>
      </c>
      <c r="B72" s="7" t="s">
        <v>444</v>
      </c>
      <c r="C72" s="7">
        <v>3.0</v>
      </c>
      <c r="D72" s="9">
        <v>429.0</v>
      </c>
      <c r="E72" s="113">
        <v>10.5</v>
      </c>
      <c r="F72" s="114">
        <v>4.0</v>
      </c>
      <c r="G72" s="9">
        <v>549.0</v>
      </c>
      <c r="H72" s="7">
        <v>15.0</v>
      </c>
      <c r="I72" s="7">
        <v>22.5</v>
      </c>
      <c r="J72" s="115">
        <v>100.0</v>
      </c>
    </row>
    <row r="73" ht="14.25" customHeight="1">
      <c r="A73" s="19">
        <v>3.781868859E9</v>
      </c>
      <c r="B73" s="7" t="s">
        <v>444</v>
      </c>
      <c r="C73" s="7" t="s">
        <v>713</v>
      </c>
      <c r="D73" s="9">
        <v>229.0</v>
      </c>
      <c r="E73" s="113">
        <v>4.0</v>
      </c>
      <c r="F73" s="114">
        <v>4.0</v>
      </c>
      <c r="G73" s="9">
        <v>549.0</v>
      </c>
      <c r="H73" s="7">
        <v>15.0</v>
      </c>
      <c r="I73" s="7">
        <v>22.5</v>
      </c>
      <c r="J73" s="115">
        <v>100.0</v>
      </c>
    </row>
    <row r="74" ht="14.25" customHeight="1">
      <c r="A74" s="19">
        <v>3.78186886E9</v>
      </c>
      <c r="B74" s="7" t="s">
        <v>444</v>
      </c>
      <c r="C74" s="7">
        <v>3.0</v>
      </c>
      <c r="D74" s="9">
        <v>429.0</v>
      </c>
      <c r="E74" s="113">
        <v>10.5</v>
      </c>
      <c r="F74" s="114">
        <v>4.0</v>
      </c>
      <c r="G74" s="9">
        <v>549.0</v>
      </c>
      <c r="H74" s="7">
        <v>15.0</v>
      </c>
      <c r="I74" s="7">
        <v>22.5</v>
      </c>
      <c r="J74" s="115">
        <v>100.0</v>
      </c>
    </row>
    <row r="75" ht="14.25" customHeight="1">
      <c r="A75" s="19">
        <v>3.781868861E9</v>
      </c>
      <c r="B75" s="7" t="s">
        <v>444</v>
      </c>
      <c r="C75" s="7" t="s">
        <v>713</v>
      </c>
      <c r="D75" s="9">
        <v>229.0</v>
      </c>
      <c r="E75" s="113">
        <v>4.0</v>
      </c>
      <c r="F75" s="114">
        <v>1.0</v>
      </c>
      <c r="G75" s="9">
        <v>269.0</v>
      </c>
      <c r="H75" s="7">
        <v>6.0</v>
      </c>
      <c r="I75" s="7">
        <v>9.0</v>
      </c>
      <c r="J75" s="115">
        <v>100.0</v>
      </c>
    </row>
    <row r="76" ht="14.25" customHeight="1">
      <c r="A76" s="19">
        <v>3.781868862E9</v>
      </c>
      <c r="B76" s="7" t="s">
        <v>444</v>
      </c>
      <c r="C76" s="7" t="s">
        <v>713</v>
      </c>
      <c r="D76" s="9">
        <v>229.0</v>
      </c>
      <c r="E76" s="113">
        <v>4.0</v>
      </c>
      <c r="F76" s="114">
        <v>1.0</v>
      </c>
      <c r="G76" s="9">
        <v>269.0</v>
      </c>
      <c r="H76" s="7">
        <v>6.0</v>
      </c>
      <c r="I76" s="7">
        <v>9.0</v>
      </c>
      <c r="J76" s="115">
        <v>100.0</v>
      </c>
    </row>
    <row r="77" ht="14.25" customHeight="1">
      <c r="A77" s="19">
        <v>3.781868863E9</v>
      </c>
      <c r="B77" s="7" t="s">
        <v>444</v>
      </c>
      <c r="C77" s="7" t="s">
        <v>713</v>
      </c>
      <c r="D77" s="9">
        <v>229.0</v>
      </c>
      <c r="E77" s="113">
        <v>4.0</v>
      </c>
      <c r="F77" s="114">
        <v>4.0</v>
      </c>
      <c r="G77" s="9">
        <v>549.0</v>
      </c>
      <c r="H77" s="7">
        <v>15.0</v>
      </c>
      <c r="I77" s="7">
        <v>22.5</v>
      </c>
      <c r="J77" s="115">
        <v>100.0</v>
      </c>
    </row>
    <row r="78" ht="14.25" customHeight="1">
      <c r="A78" s="19">
        <v>3.781868864E9</v>
      </c>
      <c r="B78" s="7" t="s">
        <v>444</v>
      </c>
      <c r="C78" s="7">
        <v>3.0</v>
      </c>
      <c r="D78" s="9">
        <v>429.0</v>
      </c>
      <c r="E78" s="113">
        <v>10.5</v>
      </c>
      <c r="F78" s="114">
        <v>4.0</v>
      </c>
      <c r="G78" s="9">
        <v>549.0</v>
      </c>
      <c r="H78" s="7">
        <v>15.0</v>
      </c>
      <c r="I78" s="7">
        <v>22.5</v>
      </c>
      <c r="J78" s="115">
        <v>100.0</v>
      </c>
    </row>
    <row r="79" ht="14.25" customHeight="1">
      <c r="A79" s="19">
        <v>3.911035841E9</v>
      </c>
      <c r="B79" s="7"/>
      <c r="C79" s="7" t="s">
        <v>275</v>
      </c>
      <c r="D79" s="7" t="s">
        <v>275</v>
      </c>
      <c r="E79" s="113" t="s">
        <v>275</v>
      </c>
      <c r="F79" s="114">
        <v>1.0</v>
      </c>
      <c r="G79" s="9">
        <v>269.0</v>
      </c>
      <c r="H79" s="7" t="s">
        <v>275</v>
      </c>
      <c r="I79" s="7">
        <v>6.0</v>
      </c>
      <c r="J79" s="17" t="s">
        <v>275</v>
      </c>
    </row>
    <row r="80" ht="14.25" customHeight="1">
      <c r="A80" s="19">
        <v>3.911039008E9</v>
      </c>
      <c r="B80" s="7" t="s">
        <v>444</v>
      </c>
      <c r="C80" s="7" t="s">
        <v>713</v>
      </c>
      <c r="D80" s="9">
        <v>229.0</v>
      </c>
      <c r="E80" s="113">
        <v>4.0</v>
      </c>
      <c r="F80" s="114">
        <v>1.0</v>
      </c>
      <c r="G80" s="9">
        <v>269.0</v>
      </c>
      <c r="H80" s="7">
        <v>6.0</v>
      </c>
      <c r="I80" s="7">
        <v>9.0</v>
      </c>
      <c r="J80" s="115">
        <v>100.0</v>
      </c>
    </row>
    <row r="81" ht="14.25" customHeight="1">
      <c r="A81" s="19">
        <v>3.91125726E9</v>
      </c>
      <c r="B81" s="7"/>
      <c r="C81" s="7" t="s">
        <v>275</v>
      </c>
      <c r="D81" s="7" t="s">
        <v>275</v>
      </c>
      <c r="E81" s="113" t="s">
        <v>275</v>
      </c>
      <c r="F81" s="114">
        <v>1.0</v>
      </c>
      <c r="G81" s="9">
        <v>269.0</v>
      </c>
      <c r="H81" s="7" t="s">
        <v>275</v>
      </c>
      <c r="I81" s="7">
        <v>6.0</v>
      </c>
      <c r="J81" s="17" t="s">
        <v>275</v>
      </c>
    </row>
    <row r="82" ht="14.25" customHeight="1">
      <c r="A82" s="19">
        <v>3.911257736E9</v>
      </c>
      <c r="B82" s="7"/>
      <c r="C82" s="7" t="s">
        <v>275</v>
      </c>
      <c r="D82" s="7" t="s">
        <v>275</v>
      </c>
      <c r="E82" s="113" t="s">
        <v>275</v>
      </c>
      <c r="F82" s="114">
        <v>1.0</v>
      </c>
      <c r="G82" s="9">
        <v>269.0</v>
      </c>
      <c r="H82" s="7" t="s">
        <v>275</v>
      </c>
      <c r="I82" s="7">
        <v>6.0</v>
      </c>
      <c r="J82" s="17" t="s">
        <v>275</v>
      </c>
    </row>
    <row r="83" ht="14.25" customHeight="1">
      <c r="A83" s="19">
        <v>3.911750242E9</v>
      </c>
      <c r="B83" s="7" t="s">
        <v>444</v>
      </c>
      <c r="C83" s="7" t="s">
        <v>713</v>
      </c>
      <c r="D83" s="9">
        <v>229.0</v>
      </c>
      <c r="E83" s="113">
        <v>4.0</v>
      </c>
      <c r="F83" s="114">
        <v>1.0</v>
      </c>
      <c r="G83" s="9">
        <v>269.0</v>
      </c>
      <c r="H83" s="7">
        <v>6.0</v>
      </c>
      <c r="I83" s="7">
        <v>9.0</v>
      </c>
      <c r="J83" s="115">
        <v>100.0</v>
      </c>
    </row>
    <row r="84" ht="14.25" customHeight="1">
      <c r="A84" s="19">
        <v>3.921006351E9</v>
      </c>
      <c r="B84" s="28"/>
      <c r="C84" s="7" t="s">
        <v>713</v>
      </c>
      <c r="D84" s="9">
        <v>229.0</v>
      </c>
      <c r="E84" s="113">
        <v>4.0</v>
      </c>
      <c r="F84" s="114">
        <v>4.0</v>
      </c>
      <c r="G84" s="9">
        <v>549.0</v>
      </c>
      <c r="H84" s="7">
        <v>15.0</v>
      </c>
      <c r="I84" s="7">
        <v>22.5</v>
      </c>
      <c r="J84" s="115">
        <v>100.0</v>
      </c>
    </row>
    <row r="85" ht="14.25" customHeight="1">
      <c r="A85" s="19">
        <v>3.921057608E9</v>
      </c>
      <c r="B85" s="28"/>
      <c r="C85" s="7" t="s">
        <v>713</v>
      </c>
      <c r="D85" s="9">
        <v>229.0</v>
      </c>
      <c r="E85" s="113">
        <v>4.0</v>
      </c>
      <c r="F85" s="114">
        <v>4.0</v>
      </c>
      <c r="G85" s="9">
        <v>549.0</v>
      </c>
      <c r="H85" s="7">
        <v>15.0</v>
      </c>
      <c r="I85" s="7">
        <v>22.5</v>
      </c>
      <c r="J85" s="115">
        <v>100.0</v>
      </c>
    </row>
    <row r="86" ht="14.25" customHeight="1">
      <c r="A86" s="19">
        <v>3.921237762E9</v>
      </c>
      <c r="B86" s="7"/>
      <c r="C86" s="7" t="s">
        <v>275</v>
      </c>
      <c r="D86" s="7" t="s">
        <v>275</v>
      </c>
      <c r="E86" s="113" t="s">
        <v>275</v>
      </c>
      <c r="F86" s="114" t="s">
        <v>713</v>
      </c>
      <c r="G86" s="9">
        <v>229.0</v>
      </c>
      <c r="H86" s="7">
        <v>4.5</v>
      </c>
      <c r="I86" s="7">
        <v>4.5</v>
      </c>
      <c r="J86" s="115" t="s">
        <v>275</v>
      </c>
    </row>
    <row r="87" ht="14.25" customHeight="1">
      <c r="A87" s="19">
        <v>3.921368208E9</v>
      </c>
      <c r="B87" s="7"/>
      <c r="C87" s="7" t="s">
        <v>275</v>
      </c>
      <c r="D87" s="7" t="s">
        <v>275</v>
      </c>
      <c r="E87" s="113" t="s">
        <v>275</v>
      </c>
      <c r="F87" s="114">
        <v>2.0</v>
      </c>
      <c r="G87" s="9">
        <v>329.0</v>
      </c>
      <c r="H87" s="7">
        <v>7.5</v>
      </c>
      <c r="I87" s="7">
        <v>7.5</v>
      </c>
      <c r="J87" s="115" t="s">
        <v>275</v>
      </c>
    </row>
    <row r="88" ht="14.25" customHeight="1">
      <c r="A88" s="19">
        <v>3.921368749E9</v>
      </c>
      <c r="B88" s="7"/>
      <c r="C88" s="7" t="s">
        <v>275</v>
      </c>
      <c r="D88" s="7" t="s">
        <v>275</v>
      </c>
      <c r="E88" s="113" t="s">
        <v>275</v>
      </c>
      <c r="F88" s="114">
        <v>2.0</v>
      </c>
      <c r="G88" s="9">
        <v>329.0</v>
      </c>
      <c r="H88" s="7">
        <v>7.5</v>
      </c>
      <c r="I88" s="7">
        <v>7.5</v>
      </c>
      <c r="J88" s="115" t="s">
        <v>275</v>
      </c>
    </row>
    <row r="89" ht="14.25" customHeight="1">
      <c r="A89" s="19">
        <v>3.921369057E9</v>
      </c>
      <c r="B89" s="7"/>
      <c r="C89" s="7" t="s">
        <v>275</v>
      </c>
      <c r="D89" s="7" t="s">
        <v>275</v>
      </c>
      <c r="E89" s="113" t="s">
        <v>275</v>
      </c>
      <c r="F89" s="114">
        <v>1.0</v>
      </c>
      <c r="G89" s="9">
        <v>269.0</v>
      </c>
      <c r="H89" s="7" t="s">
        <v>275</v>
      </c>
      <c r="I89" s="7">
        <v>6.0</v>
      </c>
      <c r="J89" s="17" t="s">
        <v>275</v>
      </c>
    </row>
    <row r="90" ht="14.25" customHeight="1">
      <c r="A90" s="19">
        <v>3.921580546E9</v>
      </c>
      <c r="B90" s="7"/>
      <c r="C90" s="7" t="s">
        <v>275</v>
      </c>
      <c r="D90" s="7" t="s">
        <v>275</v>
      </c>
      <c r="E90" s="113" t="s">
        <v>275</v>
      </c>
      <c r="F90" s="114">
        <v>1.0</v>
      </c>
      <c r="G90" s="9">
        <v>269.0</v>
      </c>
      <c r="H90" s="7" t="s">
        <v>275</v>
      </c>
      <c r="I90" s="7">
        <v>6.0</v>
      </c>
      <c r="J90" s="17" t="s">
        <v>275</v>
      </c>
    </row>
    <row r="91" ht="14.25" customHeight="1">
      <c r="A91" s="19">
        <v>3.931001237E9</v>
      </c>
      <c r="B91" s="7" t="s">
        <v>444</v>
      </c>
      <c r="C91" s="7" t="s">
        <v>713</v>
      </c>
      <c r="D91" s="9">
        <v>229.0</v>
      </c>
      <c r="E91" s="113">
        <v>4.0</v>
      </c>
      <c r="F91" s="114">
        <v>1.0</v>
      </c>
      <c r="G91" s="9">
        <v>269.0</v>
      </c>
      <c r="H91" s="7">
        <v>6.0</v>
      </c>
      <c r="I91" s="7">
        <v>9.0</v>
      </c>
      <c r="J91" s="115">
        <v>100.0</v>
      </c>
    </row>
    <row r="92" ht="14.25" customHeight="1">
      <c r="A92" s="19">
        <v>3.93100134E9</v>
      </c>
      <c r="B92" s="7" t="s">
        <v>444</v>
      </c>
      <c r="C92" s="7" t="s">
        <v>713</v>
      </c>
      <c r="D92" s="9">
        <v>229.0</v>
      </c>
      <c r="E92" s="113">
        <v>4.0</v>
      </c>
      <c r="F92" s="114">
        <v>4.0</v>
      </c>
      <c r="G92" s="9">
        <v>549.0</v>
      </c>
      <c r="H92" s="7">
        <v>15.0</v>
      </c>
      <c r="I92" s="7">
        <v>22.5</v>
      </c>
      <c r="J92" s="115">
        <v>100.0</v>
      </c>
    </row>
    <row r="93" ht="14.25" customHeight="1">
      <c r="A93" s="19">
        <v>3.93100141E9</v>
      </c>
      <c r="B93" s="7" t="s">
        <v>444</v>
      </c>
      <c r="C93" s="7">
        <v>3.0</v>
      </c>
      <c r="D93" s="9">
        <v>429.0</v>
      </c>
      <c r="E93" s="113">
        <v>10.5</v>
      </c>
      <c r="F93" s="114">
        <v>4.0</v>
      </c>
      <c r="G93" s="9">
        <v>549.0</v>
      </c>
      <c r="H93" s="7">
        <v>15.0</v>
      </c>
      <c r="I93" s="7">
        <v>22.5</v>
      </c>
      <c r="J93" s="115">
        <v>100.0</v>
      </c>
    </row>
    <row r="94" ht="14.25" customHeight="1">
      <c r="A94" s="19">
        <v>3.931001477E9</v>
      </c>
      <c r="B94" s="7" t="s">
        <v>444</v>
      </c>
      <c r="C94" s="7" t="s">
        <v>713</v>
      </c>
      <c r="D94" s="9">
        <v>229.0</v>
      </c>
      <c r="E94" s="113">
        <v>4.0</v>
      </c>
      <c r="F94" s="114">
        <v>1.0</v>
      </c>
      <c r="G94" s="9">
        <v>269.0</v>
      </c>
      <c r="H94" s="7">
        <v>6.0</v>
      </c>
      <c r="I94" s="7">
        <v>9.0</v>
      </c>
      <c r="J94" s="115">
        <v>100.0</v>
      </c>
    </row>
    <row r="95" ht="14.25" customHeight="1">
      <c r="A95" s="19">
        <v>3.931001479E9</v>
      </c>
      <c r="B95" s="7" t="s">
        <v>444</v>
      </c>
      <c r="C95" s="7">
        <v>3.0</v>
      </c>
      <c r="D95" s="9">
        <v>429.0</v>
      </c>
      <c r="E95" s="113">
        <v>10.5</v>
      </c>
      <c r="F95" s="114">
        <v>4.0</v>
      </c>
      <c r="G95" s="9">
        <v>549.0</v>
      </c>
      <c r="H95" s="7">
        <v>15.0</v>
      </c>
      <c r="I95" s="7">
        <v>22.5</v>
      </c>
      <c r="J95" s="115">
        <v>100.0</v>
      </c>
    </row>
    <row r="96" ht="14.25" customHeight="1">
      <c r="A96" s="19">
        <v>3.93104207E9</v>
      </c>
      <c r="B96" s="7" t="s">
        <v>444</v>
      </c>
      <c r="C96" s="7">
        <v>3.0</v>
      </c>
      <c r="D96" s="9">
        <v>429.0</v>
      </c>
      <c r="E96" s="113">
        <v>10.5</v>
      </c>
      <c r="F96" s="114">
        <v>4.0</v>
      </c>
      <c r="G96" s="9">
        <v>549.0</v>
      </c>
      <c r="H96" s="7">
        <v>15.0</v>
      </c>
      <c r="I96" s="7">
        <v>22.5</v>
      </c>
      <c r="J96" s="115">
        <v>100.0</v>
      </c>
    </row>
    <row r="97" ht="14.25" customHeight="1">
      <c r="A97" s="19">
        <v>3.931042365E9</v>
      </c>
      <c r="B97" s="28"/>
      <c r="C97" s="7" t="s">
        <v>713</v>
      </c>
      <c r="D97" s="9">
        <v>229.0</v>
      </c>
      <c r="E97" s="113">
        <v>4.0</v>
      </c>
      <c r="F97" s="114">
        <v>4.0</v>
      </c>
      <c r="G97" s="9">
        <v>549.0</v>
      </c>
      <c r="H97" s="7">
        <v>15.0</v>
      </c>
      <c r="I97" s="7">
        <v>22.5</v>
      </c>
      <c r="J97" s="115">
        <v>100.0</v>
      </c>
    </row>
    <row r="98" ht="14.25" customHeight="1">
      <c r="A98" s="19">
        <v>3.931042392E9</v>
      </c>
      <c r="B98" s="7" t="s">
        <v>444</v>
      </c>
      <c r="C98" s="7" t="s">
        <v>713</v>
      </c>
      <c r="D98" s="9">
        <v>229.0</v>
      </c>
      <c r="E98" s="113">
        <v>4.0</v>
      </c>
      <c r="F98" s="114">
        <v>1.0</v>
      </c>
      <c r="G98" s="9">
        <v>269.0</v>
      </c>
      <c r="H98" s="7">
        <v>6.0</v>
      </c>
      <c r="I98" s="7">
        <v>9.0</v>
      </c>
      <c r="J98" s="115">
        <v>100.0</v>
      </c>
    </row>
    <row r="99" ht="14.25" customHeight="1">
      <c r="A99" s="19">
        <v>3.931042394E9</v>
      </c>
      <c r="B99" s="7" t="s">
        <v>444</v>
      </c>
      <c r="C99" s="7">
        <v>3.0</v>
      </c>
      <c r="D99" s="9">
        <v>429.0</v>
      </c>
      <c r="E99" s="113">
        <v>10.5</v>
      </c>
      <c r="F99" s="114">
        <v>4.0</v>
      </c>
      <c r="G99" s="9">
        <v>549.0</v>
      </c>
      <c r="H99" s="7">
        <v>15.0</v>
      </c>
      <c r="I99" s="7">
        <v>22.5</v>
      </c>
      <c r="J99" s="115">
        <v>100.0</v>
      </c>
    </row>
    <row r="100" ht="14.25" customHeight="1">
      <c r="A100" s="19">
        <v>3.931047948E9</v>
      </c>
      <c r="B100" s="7" t="s">
        <v>444</v>
      </c>
      <c r="C100" s="7">
        <v>3.0</v>
      </c>
      <c r="D100" s="9">
        <v>429.0</v>
      </c>
      <c r="E100" s="113">
        <v>10.5</v>
      </c>
      <c r="F100" s="114">
        <v>4.0</v>
      </c>
      <c r="G100" s="9">
        <v>549.0</v>
      </c>
      <c r="H100" s="7">
        <v>15.0</v>
      </c>
      <c r="I100" s="7">
        <v>22.5</v>
      </c>
      <c r="J100" s="115">
        <v>100.0</v>
      </c>
    </row>
    <row r="101" ht="14.25" customHeight="1">
      <c r="A101" s="19">
        <v>3.93106444E9</v>
      </c>
      <c r="B101" s="28"/>
      <c r="C101" s="7" t="s">
        <v>713</v>
      </c>
      <c r="D101" s="9">
        <v>229.0</v>
      </c>
      <c r="E101" s="113">
        <v>4.0</v>
      </c>
      <c r="F101" s="114">
        <v>4.0</v>
      </c>
      <c r="G101" s="9">
        <v>549.0</v>
      </c>
      <c r="H101" s="7">
        <v>15.0</v>
      </c>
      <c r="I101" s="7">
        <v>22.5</v>
      </c>
      <c r="J101" s="115">
        <v>100.0</v>
      </c>
    </row>
    <row r="102" ht="14.25" customHeight="1">
      <c r="A102" s="19">
        <v>3.931073664E9</v>
      </c>
      <c r="B102" s="7" t="s">
        <v>444</v>
      </c>
      <c r="C102" s="7" t="s">
        <v>713</v>
      </c>
      <c r="D102" s="9">
        <v>229.0</v>
      </c>
      <c r="E102" s="113">
        <v>4.0</v>
      </c>
      <c r="F102" s="114">
        <v>1.0</v>
      </c>
      <c r="G102" s="9">
        <v>269.0</v>
      </c>
      <c r="H102" s="7">
        <v>6.0</v>
      </c>
      <c r="I102" s="7">
        <v>9.0</v>
      </c>
      <c r="J102" s="115">
        <v>100.0</v>
      </c>
    </row>
    <row r="103" ht="14.25" customHeight="1">
      <c r="A103" s="19">
        <v>3.931073736E9</v>
      </c>
      <c r="B103" s="7" t="s">
        <v>444</v>
      </c>
      <c r="C103" s="7">
        <v>3.0</v>
      </c>
      <c r="D103" s="9">
        <v>429.0</v>
      </c>
      <c r="E103" s="113">
        <v>10.5</v>
      </c>
      <c r="F103" s="114">
        <v>4.0</v>
      </c>
      <c r="G103" s="9">
        <v>549.0</v>
      </c>
      <c r="H103" s="7">
        <v>15.0</v>
      </c>
      <c r="I103" s="7">
        <v>22.5</v>
      </c>
      <c r="J103" s="115">
        <v>100.0</v>
      </c>
    </row>
    <row r="104" ht="14.25" customHeight="1">
      <c r="A104" s="19">
        <v>3.931073856E9</v>
      </c>
      <c r="B104" s="7" t="s">
        <v>444</v>
      </c>
      <c r="C104" s="7">
        <v>3.0</v>
      </c>
      <c r="D104" s="9">
        <v>429.0</v>
      </c>
      <c r="E104" s="113">
        <v>10.5</v>
      </c>
      <c r="F104" s="114">
        <v>4.0</v>
      </c>
      <c r="G104" s="9">
        <v>549.0</v>
      </c>
      <c r="H104" s="7">
        <v>15.0</v>
      </c>
      <c r="I104" s="7">
        <v>22.5</v>
      </c>
      <c r="J104" s="115">
        <v>100.0</v>
      </c>
    </row>
    <row r="105" ht="14.25" customHeight="1">
      <c r="A105" s="19">
        <v>3.931073857E9</v>
      </c>
      <c r="B105" s="7" t="s">
        <v>444</v>
      </c>
      <c r="C105" s="7">
        <v>3.0</v>
      </c>
      <c r="D105" s="9">
        <v>429.0</v>
      </c>
      <c r="E105" s="113">
        <v>10.5</v>
      </c>
      <c r="F105" s="114">
        <v>4.0</v>
      </c>
      <c r="G105" s="9">
        <v>549.0</v>
      </c>
      <c r="H105" s="7">
        <v>15.0</v>
      </c>
      <c r="I105" s="7">
        <v>22.5</v>
      </c>
      <c r="J105" s="115">
        <v>100.0</v>
      </c>
    </row>
    <row r="106" ht="14.25" customHeight="1">
      <c r="A106" s="19">
        <v>3.931078005E9</v>
      </c>
      <c r="B106" s="7" t="s">
        <v>444</v>
      </c>
      <c r="C106" s="7">
        <v>3.0</v>
      </c>
      <c r="D106" s="9">
        <v>429.0</v>
      </c>
      <c r="E106" s="113">
        <v>10.5</v>
      </c>
      <c r="F106" s="114">
        <v>4.0</v>
      </c>
      <c r="G106" s="9">
        <v>549.0</v>
      </c>
      <c r="H106" s="7">
        <v>15.0</v>
      </c>
      <c r="I106" s="7">
        <v>22.5</v>
      </c>
      <c r="J106" s="115">
        <v>100.0</v>
      </c>
    </row>
    <row r="107" ht="14.25" customHeight="1">
      <c r="A107" s="19">
        <v>3.931078006E9</v>
      </c>
      <c r="B107" s="7" t="s">
        <v>444</v>
      </c>
      <c r="C107" s="7" t="s">
        <v>713</v>
      </c>
      <c r="D107" s="9">
        <v>229.0</v>
      </c>
      <c r="E107" s="113">
        <v>4.0</v>
      </c>
      <c r="F107" s="114">
        <v>1.0</v>
      </c>
      <c r="G107" s="9">
        <v>269.0</v>
      </c>
      <c r="H107" s="7">
        <v>6.0</v>
      </c>
      <c r="I107" s="7">
        <v>9.0</v>
      </c>
      <c r="J107" s="115">
        <v>100.0</v>
      </c>
    </row>
    <row r="108" ht="14.25" customHeight="1">
      <c r="A108" s="19">
        <v>3.931078067E9</v>
      </c>
      <c r="B108" s="7" t="s">
        <v>444</v>
      </c>
      <c r="C108" s="7" t="s">
        <v>713</v>
      </c>
      <c r="D108" s="9">
        <v>229.0</v>
      </c>
      <c r="E108" s="113">
        <v>4.0</v>
      </c>
      <c r="F108" s="114">
        <v>1.0</v>
      </c>
      <c r="G108" s="9">
        <v>269.0</v>
      </c>
      <c r="H108" s="7">
        <v>6.0</v>
      </c>
      <c r="I108" s="7">
        <v>9.0</v>
      </c>
      <c r="J108" s="115">
        <v>100.0</v>
      </c>
    </row>
    <row r="109" ht="14.25" customHeight="1">
      <c r="A109" s="19">
        <v>3.931079811E9</v>
      </c>
      <c r="B109" s="7" t="s">
        <v>444</v>
      </c>
      <c r="C109" s="7">
        <v>3.0</v>
      </c>
      <c r="D109" s="9">
        <v>429.0</v>
      </c>
      <c r="E109" s="113">
        <v>10.5</v>
      </c>
      <c r="F109" s="114">
        <v>4.0</v>
      </c>
      <c r="G109" s="9">
        <v>549.0</v>
      </c>
      <c r="H109" s="7">
        <v>15.0</v>
      </c>
      <c r="I109" s="7">
        <v>22.5</v>
      </c>
      <c r="J109" s="115">
        <v>100.0</v>
      </c>
    </row>
    <row r="110" ht="14.25" customHeight="1">
      <c r="A110" s="19">
        <v>3.931079956E9</v>
      </c>
      <c r="B110" s="7" t="s">
        <v>444</v>
      </c>
      <c r="C110" s="7">
        <v>3.0</v>
      </c>
      <c r="D110" s="9">
        <v>429.0</v>
      </c>
      <c r="E110" s="113">
        <v>10.5</v>
      </c>
      <c r="F110" s="114">
        <v>4.0</v>
      </c>
      <c r="G110" s="9">
        <v>549.0</v>
      </c>
      <c r="H110" s="7">
        <v>15.0</v>
      </c>
      <c r="I110" s="7">
        <v>22.5</v>
      </c>
      <c r="J110" s="115">
        <v>100.0</v>
      </c>
    </row>
    <row r="111" ht="14.25" customHeight="1">
      <c r="A111" s="19">
        <v>3.931079959E9</v>
      </c>
      <c r="B111" s="7" t="s">
        <v>444</v>
      </c>
      <c r="C111" s="7">
        <v>3.0</v>
      </c>
      <c r="D111" s="9">
        <v>429.0</v>
      </c>
      <c r="E111" s="113">
        <v>10.5</v>
      </c>
      <c r="F111" s="114">
        <v>4.0</v>
      </c>
      <c r="G111" s="9">
        <v>549.0</v>
      </c>
      <c r="H111" s="7">
        <v>15.0</v>
      </c>
      <c r="I111" s="7">
        <v>22.5</v>
      </c>
      <c r="J111" s="115">
        <v>100.0</v>
      </c>
    </row>
    <row r="112" ht="14.25" customHeight="1">
      <c r="A112" s="19">
        <v>3.93107996E9</v>
      </c>
      <c r="B112" s="7" t="s">
        <v>444</v>
      </c>
      <c r="C112" s="7" t="s">
        <v>713</v>
      </c>
      <c r="D112" s="9">
        <v>229.0</v>
      </c>
      <c r="E112" s="113">
        <v>4.0</v>
      </c>
      <c r="F112" s="114">
        <v>4.0</v>
      </c>
      <c r="G112" s="9">
        <v>549.0</v>
      </c>
      <c r="H112" s="7">
        <v>15.0</v>
      </c>
      <c r="I112" s="7">
        <v>22.5</v>
      </c>
      <c r="J112" s="115">
        <v>100.0</v>
      </c>
    </row>
    <row r="113" ht="14.25" customHeight="1">
      <c r="A113" s="19">
        <v>3.931090656E9</v>
      </c>
      <c r="B113" s="7"/>
      <c r="C113" s="7" t="s">
        <v>275</v>
      </c>
      <c r="D113" s="7" t="s">
        <v>275</v>
      </c>
      <c r="E113" s="113" t="s">
        <v>275</v>
      </c>
      <c r="F113" s="114">
        <v>2.0</v>
      </c>
      <c r="G113" s="9">
        <v>329.0</v>
      </c>
      <c r="H113" s="7">
        <v>105.0</v>
      </c>
      <c r="I113" s="7">
        <v>105.0</v>
      </c>
      <c r="J113" s="17" t="s">
        <v>275</v>
      </c>
    </row>
    <row r="114" ht="14.25" customHeight="1">
      <c r="A114" s="19">
        <v>3.931091335E9</v>
      </c>
      <c r="B114" s="7"/>
      <c r="C114" s="7" t="s">
        <v>275</v>
      </c>
      <c r="D114" s="7" t="s">
        <v>275</v>
      </c>
      <c r="E114" s="113" t="s">
        <v>275</v>
      </c>
      <c r="F114" s="114">
        <v>2.0</v>
      </c>
      <c r="G114" s="9">
        <v>329.0</v>
      </c>
      <c r="H114" s="7">
        <v>105.0</v>
      </c>
      <c r="I114" s="7">
        <v>105.0</v>
      </c>
      <c r="J114" s="17" t="s">
        <v>275</v>
      </c>
    </row>
    <row r="115" ht="14.25" customHeight="1">
      <c r="A115" s="19">
        <v>3.931099049E9</v>
      </c>
      <c r="B115" s="7" t="s">
        <v>2411</v>
      </c>
      <c r="C115" s="7" t="s">
        <v>713</v>
      </c>
      <c r="D115" s="9">
        <v>279.0</v>
      </c>
      <c r="E115" s="113">
        <v>4.0</v>
      </c>
      <c r="F115" s="114">
        <v>4.0</v>
      </c>
      <c r="G115" s="9">
        <v>599.0</v>
      </c>
      <c r="H115" s="7">
        <v>15.0</v>
      </c>
      <c r="I115" s="7">
        <v>22.5</v>
      </c>
      <c r="J115" s="115">
        <v>100.0</v>
      </c>
    </row>
    <row r="116" ht="14.25" customHeight="1">
      <c r="A116" s="19">
        <v>3.931171122E9</v>
      </c>
      <c r="B116" s="7" t="s">
        <v>444</v>
      </c>
      <c r="C116" s="7">
        <v>3.0</v>
      </c>
      <c r="D116" s="9">
        <v>429.0</v>
      </c>
      <c r="E116" s="113">
        <v>10.5</v>
      </c>
      <c r="F116" s="114">
        <v>4.0</v>
      </c>
      <c r="G116" s="9">
        <v>549.0</v>
      </c>
      <c r="H116" s="7">
        <v>15.0</v>
      </c>
      <c r="I116" s="7">
        <v>22.5</v>
      </c>
      <c r="J116" s="115">
        <v>100.0</v>
      </c>
    </row>
    <row r="117" ht="14.25" customHeight="1">
      <c r="A117" s="19">
        <v>3.93117983E9</v>
      </c>
      <c r="B117" s="7"/>
      <c r="C117" s="7" t="s">
        <v>275</v>
      </c>
      <c r="D117" s="7" t="s">
        <v>275</v>
      </c>
      <c r="E117" s="113" t="s">
        <v>275</v>
      </c>
      <c r="F117" s="114">
        <v>2.0</v>
      </c>
      <c r="G117" s="9">
        <v>329.0</v>
      </c>
      <c r="H117" s="7">
        <v>105.0</v>
      </c>
      <c r="I117" s="7">
        <v>105.0</v>
      </c>
      <c r="J117" s="17" t="s">
        <v>275</v>
      </c>
    </row>
    <row r="118" ht="14.25" customHeight="1">
      <c r="A118" s="19">
        <v>3.931190074E9</v>
      </c>
      <c r="B118" s="7" t="s">
        <v>444</v>
      </c>
      <c r="C118" s="7">
        <v>3.0</v>
      </c>
      <c r="D118" s="9">
        <v>429.0</v>
      </c>
      <c r="E118" s="113">
        <v>10.5</v>
      </c>
      <c r="F118" s="114">
        <v>4.0</v>
      </c>
      <c r="G118" s="9">
        <v>549.0</v>
      </c>
      <c r="H118" s="7">
        <v>15.0</v>
      </c>
      <c r="I118" s="7">
        <v>22.5</v>
      </c>
      <c r="J118" s="115">
        <v>100.0</v>
      </c>
    </row>
    <row r="119" ht="14.25" customHeight="1">
      <c r="A119" s="19">
        <v>3.93119008E9</v>
      </c>
      <c r="B119" s="7" t="s">
        <v>444</v>
      </c>
      <c r="C119" s="7" t="s">
        <v>713</v>
      </c>
      <c r="D119" s="9">
        <v>229.0</v>
      </c>
      <c r="E119" s="113">
        <v>4.0</v>
      </c>
      <c r="F119" s="114">
        <v>1.0</v>
      </c>
      <c r="G119" s="9">
        <v>269.0</v>
      </c>
      <c r="H119" s="7">
        <v>6.0</v>
      </c>
      <c r="I119" s="7">
        <v>9.0</v>
      </c>
      <c r="J119" s="115">
        <v>100.0</v>
      </c>
    </row>
    <row r="120" ht="14.25" customHeight="1">
      <c r="A120" s="19">
        <v>3.931190222E9</v>
      </c>
      <c r="B120" s="7" t="s">
        <v>444</v>
      </c>
      <c r="C120" s="7">
        <v>4.0</v>
      </c>
      <c r="D120" s="9">
        <v>549.0</v>
      </c>
      <c r="E120" s="113">
        <v>12.0</v>
      </c>
      <c r="F120" s="114">
        <v>5.0</v>
      </c>
      <c r="G120" s="9">
        <v>649.0</v>
      </c>
      <c r="H120" s="7">
        <v>30.0</v>
      </c>
      <c r="I120" s="7">
        <v>45.0</v>
      </c>
      <c r="J120" s="115">
        <v>100.0</v>
      </c>
    </row>
    <row r="121" ht="14.25" customHeight="1">
      <c r="A121" s="19">
        <v>3.931190252E9</v>
      </c>
      <c r="B121" s="7" t="s">
        <v>444</v>
      </c>
      <c r="C121" s="7">
        <v>3.0</v>
      </c>
      <c r="D121" s="9">
        <v>429.0</v>
      </c>
      <c r="E121" s="113">
        <v>10.5</v>
      </c>
      <c r="F121" s="114">
        <v>4.0</v>
      </c>
      <c r="G121" s="9">
        <v>549.0</v>
      </c>
      <c r="H121" s="7">
        <v>15.0</v>
      </c>
      <c r="I121" s="7">
        <v>22.5</v>
      </c>
      <c r="J121" s="115">
        <v>100.0</v>
      </c>
    </row>
    <row r="122" ht="14.25" customHeight="1">
      <c r="A122" s="19">
        <v>3.931190275E9</v>
      </c>
      <c r="B122" s="7" t="s">
        <v>444</v>
      </c>
      <c r="C122" s="7">
        <v>3.0</v>
      </c>
      <c r="D122" s="9">
        <v>429.0</v>
      </c>
      <c r="E122" s="113">
        <v>10.5</v>
      </c>
      <c r="F122" s="114">
        <v>4.0</v>
      </c>
      <c r="G122" s="9">
        <v>549.0</v>
      </c>
      <c r="H122" s="7">
        <v>15.0</v>
      </c>
      <c r="I122" s="7">
        <v>22.5</v>
      </c>
      <c r="J122" s="115">
        <v>100.0</v>
      </c>
    </row>
    <row r="123" ht="14.25" customHeight="1">
      <c r="A123" s="19">
        <v>3.931190277E9</v>
      </c>
      <c r="B123" s="7" t="s">
        <v>444</v>
      </c>
      <c r="C123" s="7" t="s">
        <v>713</v>
      </c>
      <c r="D123" s="9">
        <v>229.0</v>
      </c>
      <c r="E123" s="113">
        <v>4.0</v>
      </c>
      <c r="F123" s="114">
        <v>4.0</v>
      </c>
      <c r="G123" s="9">
        <v>549.0</v>
      </c>
      <c r="H123" s="7">
        <v>15.0</v>
      </c>
      <c r="I123" s="7">
        <v>22.5</v>
      </c>
      <c r="J123" s="115">
        <v>100.0</v>
      </c>
    </row>
    <row r="124" ht="14.25" customHeight="1">
      <c r="A124" s="19">
        <v>3.931196086E9</v>
      </c>
      <c r="B124" s="7" t="s">
        <v>444</v>
      </c>
      <c r="C124" s="7">
        <v>3.0</v>
      </c>
      <c r="D124" s="9">
        <v>429.0</v>
      </c>
      <c r="E124" s="113">
        <v>10.5</v>
      </c>
      <c r="F124" s="114">
        <v>4.0</v>
      </c>
      <c r="G124" s="9">
        <v>549.0</v>
      </c>
      <c r="H124" s="7">
        <v>15.0</v>
      </c>
      <c r="I124" s="7">
        <v>22.5</v>
      </c>
      <c r="J124" s="115">
        <v>100.0</v>
      </c>
    </row>
    <row r="125" ht="14.25" customHeight="1">
      <c r="A125" s="19">
        <v>3.931196087E9</v>
      </c>
      <c r="B125" s="7" t="s">
        <v>444</v>
      </c>
      <c r="C125" s="7">
        <v>3.0</v>
      </c>
      <c r="D125" s="9">
        <v>429.0</v>
      </c>
      <c r="E125" s="113">
        <v>10.5</v>
      </c>
      <c r="F125" s="114">
        <v>4.0</v>
      </c>
      <c r="G125" s="9">
        <v>549.0</v>
      </c>
      <c r="H125" s="7">
        <v>15.0</v>
      </c>
      <c r="I125" s="7">
        <v>22.5</v>
      </c>
      <c r="J125" s="115">
        <v>100.0</v>
      </c>
    </row>
    <row r="126" ht="14.25" customHeight="1">
      <c r="A126" s="19">
        <v>3.931196103E9</v>
      </c>
      <c r="B126" s="7" t="s">
        <v>444</v>
      </c>
      <c r="C126" s="7" t="s">
        <v>713</v>
      </c>
      <c r="D126" s="9">
        <v>229.0</v>
      </c>
      <c r="E126" s="113">
        <v>4.0</v>
      </c>
      <c r="F126" s="114">
        <v>1.0</v>
      </c>
      <c r="G126" s="9">
        <v>269.0</v>
      </c>
      <c r="H126" s="7">
        <v>6.0</v>
      </c>
      <c r="I126" s="7">
        <v>9.0</v>
      </c>
      <c r="J126" s="115">
        <v>100.0</v>
      </c>
    </row>
    <row r="127" ht="14.25" customHeight="1">
      <c r="A127" s="19">
        <v>3.931196104E9</v>
      </c>
      <c r="B127" s="7" t="s">
        <v>444</v>
      </c>
      <c r="C127" s="7">
        <v>3.0</v>
      </c>
      <c r="D127" s="9">
        <v>429.0</v>
      </c>
      <c r="E127" s="113">
        <v>10.5</v>
      </c>
      <c r="F127" s="114">
        <v>4.0</v>
      </c>
      <c r="G127" s="9">
        <v>549.0</v>
      </c>
      <c r="H127" s="7">
        <v>15.0</v>
      </c>
      <c r="I127" s="7">
        <v>22.5</v>
      </c>
      <c r="J127" s="115">
        <v>100.0</v>
      </c>
    </row>
    <row r="128" ht="14.25" customHeight="1">
      <c r="A128" s="19">
        <v>3.93119646E9</v>
      </c>
      <c r="B128" s="7" t="s">
        <v>444</v>
      </c>
      <c r="C128" s="7" t="s">
        <v>713</v>
      </c>
      <c r="D128" s="9">
        <v>229.0</v>
      </c>
      <c r="E128" s="113">
        <v>4.0</v>
      </c>
      <c r="F128" s="114">
        <v>4.0</v>
      </c>
      <c r="G128" s="9">
        <v>549.0</v>
      </c>
      <c r="H128" s="7">
        <v>15.0</v>
      </c>
      <c r="I128" s="7">
        <v>22.5</v>
      </c>
      <c r="J128" s="115">
        <v>100.0</v>
      </c>
    </row>
    <row r="129" ht="14.25" customHeight="1">
      <c r="A129" s="19">
        <v>3.93119711E9</v>
      </c>
      <c r="B129" s="7"/>
      <c r="C129" s="7" t="s">
        <v>275</v>
      </c>
      <c r="D129" s="7" t="s">
        <v>275</v>
      </c>
      <c r="E129" s="113" t="s">
        <v>275</v>
      </c>
      <c r="F129" s="114" t="s">
        <v>713</v>
      </c>
      <c r="G129" s="9">
        <v>229.0</v>
      </c>
      <c r="H129" s="7">
        <v>4.5</v>
      </c>
      <c r="I129" s="7">
        <v>4.5</v>
      </c>
      <c r="J129" s="115" t="s">
        <v>275</v>
      </c>
    </row>
    <row r="130" ht="14.25" customHeight="1">
      <c r="A130" s="19">
        <v>3.931205198E9</v>
      </c>
      <c r="B130" s="7" t="s">
        <v>444</v>
      </c>
      <c r="C130" s="7" t="s">
        <v>713</v>
      </c>
      <c r="D130" s="9">
        <v>229.0</v>
      </c>
      <c r="E130" s="113">
        <v>4.0</v>
      </c>
      <c r="F130" s="114">
        <v>1.0</v>
      </c>
      <c r="G130" s="9">
        <v>269.0</v>
      </c>
      <c r="H130" s="7">
        <v>6.0</v>
      </c>
      <c r="I130" s="7">
        <v>9.0</v>
      </c>
      <c r="J130" s="115">
        <v>100.0</v>
      </c>
    </row>
    <row r="131" ht="14.25" customHeight="1">
      <c r="A131" s="19">
        <v>3.931245167E9</v>
      </c>
      <c r="B131" s="7" t="s">
        <v>444</v>
      </c>
      <c r="C131" s="7" t="s">
        <v>713</v>
      </c>
      <c r="D131" s="9">
        <v>229.0</v>
      </c>
      <c r="E131" s="113">
        <v>4.0</v>
      </c>
      <c r="F131" s="114">
        <v>4.0</v>
      </c>
      <c r="G131" s="9">
        <v>549.0</v>
      </c>
      <c r="H131" s="7">
        <v>15.0</v>
      </c>
      <c r="I131" s="7">
        <v>22.5</v>
      </c>
      <c r="J131" s="115">
        <v>100.0</v>
      </c>
    </row>
    <row r="132" ht="14.25" customHeight="1">
      <c r="A132" s="19">
        <v>3.931245173E9</v>
      </c>
      <c r="B132" s="7" t="s">
        <v>444</v>
      </c>
      <c r="C132" s="7">
        <v>3.0</v>
      </c>
      <c r="D132" s="9">
        <v>429.0</v>
      </c>
      <c r="E132" s="113">
        <v>10.5</v>
      </c>
      <c r="F132" s="114">
        <v>4.0</v>
      </c>
      <c r="G132" s="9">
        <v>549.0</v>
      </c>
      <c r="H132" s="7">
        <v>15.0</v>
      </c>
      <c r="I132" s="7">
        <v>22.5</v>
      </c>
      <c r="J132" s="115">
        <v>100.0</v>
      </c>
    </row>
    <row r="133" ht="14.25" customHeight="1">
      <c r="A133" s="19">
        <v>3.931245174E9</v>
      </c>
      <c r="B133" s="7" t="s">
        <v>444</v>
      </c>
      <c r="C133" s="7">
        <v>3.0</v>
      </c>
      <c r="D133" s="9">
        <v>429.0</v>
      </c>
      <c r="E133" s="113">
        <v>10.5</v>
      </c>
      <c r="F133" s="114">
        <v>4.0</v>
      </c>
      <c r="G133" s="9">
        <v>549.0</v>
      </c>
      <c r="H133" s="7">
        <v>15.0</v>
      </c>
      <c r="I133" s="7">
        <v>22.5</v>
      </c>
      <c r="J133" s="115">
        <v>100.0</v>
      </c>
    </row>
    <row r="134" ht="14.25" customHeight="1">
      <c r="A134" s="19">
        <v>3.931245176E9</v>
      </c>
      <c r="B134" s="7" t="s">
        <v>444</v>
      </c>
      <c r="C134" s="7" t="s">
        <v>713</v>
      </c>
      <c r="D134" s="9">
        <v>229.0</v>
      </c>
      <c r="E134" s="113">
        <v>4.0</v>
      </c>
      <c r="F134" s="114">
        <v>4.0</v>
      </c>
      <c r="G134" s="9">
        <v>549.0</v>
      </c>
      <c r="H134" s="7">
        <v>15.0</v>
      </c>
      <c r="I134" s="7">
        <v>22.5</v>
      </c>
      <c r="J134" s="115">
        <v>100.0</v>
      </c>
    </row>
    <row r="135" ht="14.25" customHeight="1">
      <c r="A135" s="19">
        <v>3.931245254E9</v>
      </c>
      <c r="B135" s="7" t="s">
        <v>444</v>
      </c>
      <c r="C135" s="7">
        <v>3.0</v>
      </c>
      <c r="D135" s="9">
        <v>429.0</v>
      </c>
      <c r="E135" s="113">
        <v>10.5</v>
      </c>
      <c r="F135" s="114">
        <v>4.0</v>
      </c>
      <c r="G135" s="9">
        <v>549.0</v>
      </c>
      <c r="H135" s="7">
        <v>15.0</v>
      </c>
      <c r="I135" s="7">
        <v>22.5</v>
      </c>
      <c r="J135" s="115">
        <v>100.0</v>
      </c>
    </row>
    <row r="136" ht="14.25" customHeight="1">
      <c r="A136" s="116">
        <v>3.931245288E9</v>
      </c>
      <c r="B136" s="117"/>
      <c r="C136" s="117" t="s">
        <v>275</v>
      </c>
      <c r="D136" s="117" t="s">
        <v>275</v>
      </c>
      <c r="E136" s="118" t="s">
        <v>275</v>
      </c>
      <c r="F136" s="119">
        <v>2.0</v>
      </c>
      <c r="G136" s="120">
        <v>329.0</v>
      </c>
      <c r="H136" s="117">
        <v>105.0</v>
      </c>
      <c r="I136" s="117">
        <v>105.0</v>
      </c>
      <c r="J136" s="121" t="s">
        <v>275</v>
      </c>
    </row>
    <row r="137" ht="14.25" customHeight="1">
      <c r="A137" s="122">
        <v>3.931583046E9</v>
      </c>
      <c r="B137" s="123"/>
      <c r="C137" s="123" t="s">
        <v>275</v>
      </c>
      <c r="D137" s="123" t="s">
        <v>275</v>
      </c>
      <c r="E137" s="124" t="s">
        <v>275</v>
      </c>
      <c r="F137" s="125">
        <v>1.0</v>
      </c>
      <c r="G137" s="126">
        <v>269.0</v>
      </c>
      <c r="H137" s="123" t="s">
        <v>275</v>
      </c>
      <c r="I137" s="123">
        <v>6.0</v>
      </c>
      <c r="J137" s="127" t="s">
        <v>275</v>
      </c>
    </row>
    <row r="138" ht="14.25" customHeight="1">
      <c r="A138" s="19">
        <v>3.9315832E9</v>
      </c>
      <c r="B138" s="7"/>
      <c r="C138" s="7" t="s">
        <v>275</v>
      </c>
      <c r="D138" s="7" t="s">
        <v>275</v>
      </c>
      <c r="E138" s="113" t="s">
        <v>275</v>
      </c>
      <c r="F138" s="114" t="s">
        <v>713</v>
      </c>
      <c r="G138" s="9">
        <v>229.0</v>
      </c>
      <c r="H138" s="7">
        <v>4.5</v>
      </c>
      <c r="I138" s="7">
        <v>4.5</v>
      </c>
      <c r="J138" s="115" t="s">
        <v>275</v>
      </c>
    </row>
    <row r="139" ht="14.25" customHeight="1">
      <c r="A139" s="19">
        <v>3.931583232E9</v>
      </c>
      <c r="B139" s="7"/>
      <c r="C139" s="7" t="s">
        <v>275</v>
      </c>
      <c r="D139" s="7" t="s">
        <v>275</v>
      </c>
      <c r="E139" s="113" t="s">
        <v>275</v>
      </c>
      <c r="F139" s="114">
        <v>1.0</v>
      </c>
      <c r="G139" s="9">
        <v>269.0</v>
      </c>
      <c r="H139" s="7" t="s">
        <v>275</v>
      </c>
      <c r="I139" s="7">
        <v>6.0</v>
      </c>
      <c r="J139" s="17" t="s">
        <v>275</v>
      </c>
    </row>
    <row r="140" ht="14.25" customHeight="1">
      <c r="A140" s="19">
        <v>3.931583234E9</v>
      </c>
      <c r="B140" s="7"/>
      <c r="C140" s="7" t="s">
        <v>275</v>
      </c>
      <c r="D140" s="7" t="s">
        <v>275</v>
      </c>
      <c r="E140" s="113" t="s">
        <v>275</v>
      </c>
      <c r="F140" s="114">
        <v>1.0</v>
      </c>
      <c r="G140" s="9">
        <v>269.0</v>
      </c>
      <c r="H140" s="7" t="s">
        <v>275</v>
      </c>
      <c r="I140" s="7">
        <v>6.0</v>
      </c>
      <c r="J140" s="17" t="s">
        <v>275</v>
      </c>
    </row>
    <row r="141" ht="14.25" customHeight="1">
      <c r="A141" s="19">
        <v>3.931583367E9</v>
      </c>
      <c r="B141" s="7"/>
      <c r="C141" s="7" t="s">
        <v>275</v>
      </c>
      <c r="D141" s="7" t="s">
        <v>275</v>
      </c>
      <c r="E141" s="113" t="s">
        <v>275</v>
      </c>
      <c r="F141" s="114" t="s">
        <v>713</v>
      </c>
      <c r="G141" s="9">
        <v>229.0</v>
      </c>
      <c r="H141" s="7">
        <v>4.5</v>
      </c>
      <c r="I141" s="7">
        <v>4.5</v>
      </c>
      <c r="J141" s="115" t="s">
        <v>275</v>
      </c>
    </row>
    <row r="142" ht="14.25" customHeight="1">
      <c r="A142" s="19">
        <v>3.939332335E9</v>
      </c>
      <c r="B142" s="7" t="s">
        <v>444</v>
      </c>
      <c r="C142" s="7">
        <v>4.0</v>
      </c>
      <c r="D142" s="9">
        <v>549.0</v>
      </c>
      <c r="E142" s="113">
        <v>12.0</v>
      </c>
      <c r="F142" s="114">
        <v>5.0</v>
      </c>
      <c r="G142" s="9">
        <v>649.0</v>
      </c>
      <c r="H142" s="7">
        <v>30.0</v>
      </c>
      <c r="I142" s="7">
        <v>45.0</v>
      </c>
      <c r="J142" s="115">
        <v>100.0</v>
      </c>
    </row>
    <row r="143" ht="14.25" customHeight="1">
      <c r="A143" s="19">
        <v>3.939336334E9</v>
      </c>
      <c r="B143" s="7"/>
      <c r="C143" s="7" t="s">
        <v>275</v>
      </c>
      <c r="D143" s="7" t="s">
        <v>275</v>
      </c>
      <c r="E143" s="113" t="s">
        <v>275</v>
      </c>
      <c r="F143" s="114">
        <v>2.0</v>
      </c>
      <c r="G143" s="9">
        <v>329.0</v>
      </c>
      <c r="H143" s="7">
        <v>105.0</v>
      </c>
      <c r="I143" s="7">
        <v>105.0</v>
      </c>
      <c r="J143" s="17" t="s">
        <v>275</v>
      </c>
    </row>
    <row r="144" ht="14.25" customHeight="1">
      <c r="A144" s="19">
        <v>3.939366538E9</v>
      </c>
      <c r="B144" s="7" t="s">
        <v>444</v>
      </c>
      <c r="C144" s="7">
        <v>4.0</v>
      </c>
      <c r="D144" s="9">
        <v>549.0</v>
      </c>
      <c r="E144" s="113">
        <v>12.0</v>
      </c>
      <c r="F144" s="114">
        <v>5.0</v>
      </c>
      <c r="G144" s="9">
        <v>649.0</v>
      </c>
      <c r="H144" s="7">
        <v>30.0</v>
      </c>
      <c r="I144" s="7">
        <v>45.0</v>
      </c>
      <c r="J144" s="115">
        <v>100.0</v>
      </c>
    </row>
    <row r="145" ht="14.25" customHeight="1">
      <c r="A145" s="19">
        <v>3.939382471E9</v>
      </c>
      <c r="B145" s="7" t="s">
        <v>444</v>
      </c>
      <c r="C145" s="7" t="s">
        <v>713</v>
      </c>
      <c r="D145" s="9">
        <v>229.0</v>
      </c>
      <c r="E145" s="113">
        <v>4.0</v>
      </c>
      <c r="F145" s="114">
        <v>1.0</v>
      </c>
      <c r="G145" s="9">
        <v>269.0</v>
      </c>
      <c r="H145" s="7">
        <v>6.0</v>
      </c>
      <c r="I145" s="7">
        <v>9.0</v>
      </c>
      <c r="J145" s="115">
        <v>100.0</v>
      </c>
    </row>
    <row r="146" ht="14.25" customHeight="1">
      <c r="A146" s="19">
        <v>3.939385641E9</v>
      </c>
      <c r="B146" s="7"/>
      <c r="C146" s="7" t="s">
        <v>275</v>
      </c>
      <c r="D146" s="7" t="s">
        <v>275</v>
      </c>
      <c r="E146" s="113" t="s">
        <v>275</v>
      </c>
      <c r="F146" s="114">
        <v>2.0</v>
      </c>
      <c r="G146" s="9">
        <v>329.0</v>
      </c>
      <c r="H146" s="7">
        <v>105.0</v>
      </c>
      <c r="I146" s="7">
        <v>105.0</v>
      </c>
      <c r="J146" s="17" t="s">
        <v>275</v>
      </c>
    </row>
    <row r="147" ht="14.25" customHeight="1">
      <c r="A147" s="19">
        <v>3.951198072E9</v>
      </c>
      <c r="B147" s="7"/>
      <c r="C147" s="7" t="s">
        <v>275</v>
      </c>
      <c r="D147" s="7" t="s">
        <v>275</v>
      </c>
      <c r="E147" s="113" t="s">
        <v>275</v>
      </c>
      <c r="F147" s="114">
        <v>2.0</v>
      </c>
      <c r="G147" s="9">
        <v>329.0</v>
      </c>
      <c r="H147" s="7">
        <v>7.5</v>
      </c>
      <c r="I147" s="7">
        <v>7.5</v>
      </c>
      <c r="J147" s="115" t="s">
        <v>275</v>
      </c>
    </row>
    <row r="148" ht="14.25" customHeight="1">
      <c r="A148" s="19">
        <v>3.951428204E9</v>
      </c>
      <c r="B148" s="7" t="s">
        <v>444</v>
      </c>
      <c r="C148" s="7">
        <v>3.0</v>
      </c>
      <c r="D148" s="9">
        <v>429.0</v>
      </c>
      <c r="E148" s="113">
        <v>10.5</v>
      </c>
      <c r="F148" s="114">
        <v>4.0</v>
      </c>
      <c r="G148" s="9">
        <v>549.0</v>
      </c>
      <c r="H148" s="7">
        <v>15.0</v>
      </c>
      <c r="I148" s="7">
        <v>22.5</v>
      </c>
      <c r="J148" s="115">
        <v>100.0</v>
      </c>
    </row>
    <row r="149" ht="14.25" customHeight="1">
      <c r="A149" s="19">
        <v>3.952680842E9</v>
      </c>
      <c r="B149" s="7" t="s">
        <v>444</v>
      </c>
      <c r="C149" s="7">
        <v>3.0</v>
      </c>
      <c r="D149" s="9">
        <v>429.0</v>
      </c>
      <c r="E149" s="113">
        <v>10.5</v>
      </c>
      <c r="F149" s="114">
        <v>4.0</v>
      </c>
      <c r="G149" s="9">
        <v>549.0</v>
      </c>
      <c r="H149" s="7">
        <v>15.0</v>
      </c>
      <c r="I149" s="7">
        <v>22.5</v>
      </c>
      <c r="J149" s="115">
        <v>100.0</v>
      </c>
    </row>
    <row r="150" ht="14.25" customHeight="1">
      <c r="A150" s="19">
        <v>4.431281396E9</v>
      </c>
      <c r="B150" s="7" t="s">
        <v>444</v>
      </c>
      <c r="C150" s="7">
        <v>3.0</v>
      </c>
      <c r="D150" s="9">
        <v>429.0</v>
      </c>
      <c r="E150" s="113">
        <v>10.5</v>
      </c>
      <c r="F150" s="114">
        <v>4.0</v>
      </c>
      <c r="G150" s="9">
        <v>549.0</v>
      </c>
      <c r="H150" s="7">
        <v>15.0</v>
      </c>
      <c r="I150" s="7">
        <v>22.5</v>
      </c>
      <c r="J150" s="115">
        <v>100.0</v>
      </c>
    </row>
    <row r="151" ht="14.25" customHeight="1">
      <c r="A151" s="19">
        <v>4.431358405E9</v>
      </c>
      <c r="B151" s="7"/>
      <c r="C151" s="7" t="s">
        <v>275</v>
      </c>
      <c r="D151" s="7" t="s">
        <v>275</v>
      </c>
      <c r="E151" s="113" t="s">
        <v>275</v>
      </c>
      <c r="F151" s="114" t="s">
        <v>713</v>
      </c>
      <c r="G151" s="9">
        <v>229.0</v>
      </c>
      <c r="H151" s="7">
        <v>4.5</v>
      </c>
      <c r="I151" s="7">
        <v>4.5</v>
      </c>
      <c r="J151" s="115" t="s">
        <v>275</v>
      </c>
    </row>
    <row r="152" ht="14.25" customHeight="1">
      <c r="A152" s="19">
        <v>4.431415536E9</v>
      </c>
      <c r="B152" s="7" t="s">
        <v>444</v>
      </c>
      <c r="C152" s="7" t="s">
        <v>713</v>
      </c>
      <c r="D152" s="9">
        <v>229.0</v>
      </c>
      <c r="E152" s="113">
        <v>4.0</v>
      </c>
      <c r="F152" s="114">
        <v>4.0</v>
      </c>
      <c r="G152" s="9">
        <v>549.0</v>
      </c>
      <c r="H152" s="7">
        <v>15.0</v>
      </c>
      <c r="I152" s="7">
        <v>22.5</v>
      </c>
      <c r="J152" s="115">
        <v>100.0</v>
      </c>
    </row>
    <row r="153" ht="14.25" customHeight="1">
      <c r="A153" s="19">
        <v>4.431677121E9</v>
      </c>
      <c r="B153" s="7" t="s">
        <v>444</v>
      </c>
      <c r="C153" s="7">
        <v>3.0</v>
      </c>
      <c r="D153" s="9">
        <v>429.0</v>
      </c>
      <c r="E153" s="78">
        <v>10.5</v>
      </c>
      <c r="F153" s="128">
        <v>4.0</v>
      </c>
      <c r="G153" s="9">
        <v>549.0</v>
      </c>
      <c r="H153" s="7">
        <v>15.0</v>
      </c>
      <c r="I153" s="7">
        <v>22.5</v>
      </c>
      <c r="J153" s="129">
        <v>100.0</v>
      </c>
    </row>
    <row r="154" ht="14.25" customHeight="1">
      <c r="A154" s="19">
        <v>4.432078351E9</v>
      </c>
      <c r="B154" s="7" t="s">
        <v>444</v>
      </c>
      <c r="C154" s="7" t="s">
        <v>713</v>
      </c>
      <c r="D154" s="9">
        <v>229.0</v>
      </c>
      <c r="E154" s="78">
        <v>4.0</v>
      </c>
      <c r="F154" s="128">
        <v>1.0</v>
      </c>
      <c r="G154" s="9">
        <v>269.0</v>
      </c>
      <c r="H154" s="7">
        <v>6.0</v>
      </c>
      <c r="I154" s="7">
        <v>9.0</v>
      </c>
      <c r="J154" s="129">
        <v>100.0</v>
      </c>
    </row>
    <row r="155" ht="14.25" customHeight="1">
      <c r="A155" s="19">
        <v>4.432276388E9</v>
      </c>
      <c r="B155" s="7" t="s">
        <v>444</v>
      </c>
      <c r="C155" s="7">
        <v>3.0</v>
      </c>
      <c r="D155" s="9">
        <v>429.0</v>
      </c>
      <c r="E155" s="78">
        <v>10.5</v>
      </c>
      <c r="F155" s="128">
        <v>4.0</v>
      </c>
      <c r="G155" s="9">
        <v>549.0</v>
      </c>
      <c r="H155" s="7">
        <v>15.0</v>
      </c>
      <c r="I155" s="7">
        <v>22.5</v>
      </c>
      <c r="J155" s="129">
        <v>100.0</v>
      </c>
    </row>
    <row r="156" ht="14.25" customHeight="1">
      <c r="A156" s="19">
        <v>4.43264681E9</v>
      </c>
      <c r="B156" s="7"/>
      <c r="C156" s="7" t="s">
        <v>275</v>
      </c>
      <c r="D156" s="7" t="s">
        <v>275</v>
      </c>
      <c r="E156" s="78" t="s">
        <v>275</v>
      </c>
      <c r="F156" s="128">
        <v>2.0</v>
      </c>
      <c r="G156" s="9">
        <v>329.0</v>
      </c>
      <c r="H156" s="7">
        <v>7.5</v>
      </c>
      <c r="I156" s="7">
        <v>7.5</v>
      </c>
      <c r="J156" s="129" t="s">
        <v>275</v>
      </c>
    </row>
    <row r="157" ht="14.25" customHeight="1">
      <c r="A157" s="19">
        <v>4.432725034E9</v>
      </c>
      <c r="B157" s="7"/>
      <c r="C157" s="7" t="s">
        <v>275</v>
      </c>
      <c r="D157" s="7" t="s">
        <v>275</v>
      </c>
      <c r="E157" s="78" t="s">
        <v>275</v>
      </c>
      <c r="F157" s="128">
        <v>2.0</v>
      </c>
      <c r="G157" s="9">
        <v>329.0</v>
      </c>
      <c r="H157" s="7">
        <v>7.5</v>
      </c>
      <c r="I157" s="7">
        <v>7.5</v>
      </c>
      <c r="J157" s="129" t="s">
        <v>275</v>
      </c>
    </row>
    <row r="158" ht="14.25" customHeight="1">
      <c r="A158" s="19">
        <v>4.433031171E9</v>
      </c>
      <c r="B158" s="7" t="s">
        <v>2411</v>
      </c>
      <c r="C158" s="7">
        <v>3.0</v>
      </c>
      <c r="D158" s="9">
        <v>479.0</v>
      </c>
      <c r="E158" s="78">
        <v>10.5</v>
      </c>
      <c r="F158" s="128">
        <v>4.0</v>
      </c>
      <c r="G158" s="9">
        <v>599.0</v>
      </c>
      <c r="H158" s="7">
        <v>15.0</v>
      </c>
      <c r="I158" s="7">
        <v>22.5</v>
      </c>
      <c r="J158" s="129">
        <v>100.0</v>
      </c>
    </row>
    <row r="159" ht="14.25" customHeight="1">
      <c r="A159" s="19">
        <v>4.433765288E9</v>
      </c>
      <c r="B159" s="7" t="s">
        <v>444</v>
      </c>
      <c r="C159" s="7">
        <v>4.0</v>
      </c>
      <c r="D159" s="9">
        <v>549.0</v>
      </c>
      <c r="E159" s="78">
        <v>12.0</v>
      </c>
      <c r="F159" s="130">
        <v>5.0</v>
      </c>
      <c r="G159" s="9">
        <v>649.0</v>
      </c>
      <c r="H159" s="7">
        <v>30.0</v>
      </c>
      <c r="I159" s="7">
        <v>45.0</v>
      </c>
      <c r="J159" s="115">
        <v>100.0</v>
      </c>
    </row>
    <row r="160" ht="14.25" customHeight="1">
      <c r="A160" s="19">
        <v>4.434108329E9</v>
      </c>
      <c r="B160" s="7" t="s">
        <v>444</v>
      </c>
      <c r="C160" s="7">
        <v>3.0</v>
      </c>
      <c r="D160" s="9">
        <v>429.0</v>
      </c>
      <c r="E160" s="78">
        <v>10.5</v>
      </c>
      <c r="F160" s="130">
        <v>4.0</v>
      </c>
      <c r="G160" s="9">
        <v>549.0</v>
      </c>
      <c r="H160" s="7">
        <v>15.0</v>
      </c>
      <c r="I160" s="7">
        <v>22.5</v>
      </c>
      <c r="J160" s="115">
        <v>100.0</v>
      </c>
    </row>
    <row r="161" ht="14.25" customHeight="1">
      <c r="A161" s="19">
        <v>4.434108665E9</v>
      </c>
      <c r="B161" s="7" t="s">
        <v>444</v>
      </c>
      <c r="C161" s="7" t="s">
        <v>713</v>
      </c>
      <c r="D161" s="9">
        <v>229.0</v>
      </c>
      <c r="E161" s="78">
        <v>4.0</v>
      </c>
      <c r="F161" s="130">
        <v>1.0</v>
      </c>
      <c r="G161" s="9">
        <v>269.0</v>
      </c>
      <c r="H161" s="7">
        <v>6.0</v>
      </c>
      <c r="I161" s="7">
        <v>9.0</v>
      </c>
      <c r="J161" s="115">
        <v>100.0</v>
      </c>
    </row>
    <row r="162" ht="14.25" customHeight="1">
      <c r="A162" s="19">
        <v>4.434913907E9</v>
      </c>
      <c r="B162" s="7" t="s">
        <v>444</v>
      </c>
      <c r="C162" s="7">
        <v>3.0</v>
      </c>
      <c r="D162" s="9">
        <v>429.0</v>
      </c>
      <c r="E162" s="78">
        <v>10.5</v>
      </c>
      <c r="F162" s="130">
        <v>4.0</v>
      </c>
      <c r="G162" s="9">
        <v>549.0</v>
      </c>
      <c r="H162" s="7">
        <v>15.0</v>
      </c>
      <c r="I162" s="7">
        <v>22.5</v>
      </c>
      <c r="J162" s="115">
        <v>100.0</v>
      </c>
    </row>
    <row r="163" ht="14.25" customHeight="1">
      <c r="A163" s="19">
        <v>4.434913911E9</v>
      </c>
      <c r="B163" s="7" t="s">
        <v>444</v>
      </c>
      <c r="C163" s="7" t="s">
        <v>713</v>
      </c>
      <c r="D163" s="9">
        <v>229.0</v>
      </c>
      <c r="E163" s="78">
        <v>4.0</v>
      </c>
      <c r="F163" s="130">
        <v>4.0</v>
      </c>
      <c r="G163" s="9">
        <v>549.0</v>
      </c>
      <c r="H163" s="7">
        <v>15.0</v>
      </c>
      <c r="I163" s="7">
        <v>22.5</v>
      </c>
      <c r="J163" s="115">
        <v>100.0</v>
      </c>
    </row>
    <row r="164" ht="14.25" customHeight="1">
      <c r="A164" s="19">
        <v>4.434913913E9</v>
      </c>
      <c r="B164" s="7" t="s">
        <v>444</v>
      </c>
      <c r="C164" s="7" t="s">
        <v>713</v>
      </c>
      <c r="D164" s="9">
        <v>229.0</v>
      </c>
      <c r="E164" s="78">
        <v>4.0</v>
      </c>
      <c r="F164" s="130">
        <v>1.0</v>
      </c>
      <c r="G164" s="9">
        <v>269.0</v>
      </c>
      <c r="H164" s="7">
        <v>6.0</v>
      </c>
      <c r="I164" s="7">
        <v>9.0</v>
      </c>
      <c r="J164" s="115">
        <v>100.0</v>
      </c>
    </row>
    <row r="165" ht="14.25" customHeight="1">
      <c r="A165" s="19">
        <v>4.434913915E9</v>
      </c>
      <c r="B165" s="7" t="s">
        <v>444</v>
      </c>
      <c r="C165" s="7">
        <v>3.0</v>
      </c>
      <c r="D165" s="9">
        <v>429.0</v>
      </c>
      <c r="E165" s="78">
        <v>10.5</v>
      </c>
      <c r="F165" s="130">
        <v>4.0</v>
      </c>
      <c r="G165" s="9">
        <v>549.0</v>
      </c>
      <c r="H165" s="7">
        <v>15.0</v>
      </c>
      <c r="I165" s="7">
        <v>22.5</v>
      </c>
      <c r="J165" s="115">
        <v>100.0</v>
      </c>
    </row>
    <row r="166" ht="14.25" customHeight="1">
      <c r="A166" s="19">
        <v>4.691214431E9</v>
      </c>
      <c r="B166" s="7"/>
      <c r="C166" s="7" t="s">
        <v>275</v>
      </c>
      <c r="D166" s="7" t="s">
        <v>275</v>
      </c>
      <c r="E166" s="78" t="s">
        <v>275</v>
      </c>
      <c r="F166" s="130">
        <v>1.0</v>
      </c>
      <c r="G166" s="9">
        <v>269.0</v>
      </c>
      <c r="H166" s="7" t="s">
        <v>275</v>
      </c>
      <c r="I166" s="7">
        <v>6.0</v>
      </c>
      <c r="J166" s="17" t="s">
        <v>275</v>
      </c>
    </row>
    <row r="167" ht="14.25" customHeight="1">
      <c r="A167" s="19">
        <v>4.691214464E9</v>
      </c>
      <c r="B167" s="7"/>
      <c r="C167" s="7" t="s">
        <v>275</v>
      </c>
      <c r="D167" s="7" t="s">
        <v>275</v>
      </c>
      <c r="E167" s="78" t="s">
        <v>275</v>
      </c>
      <c r="F167" s="130">
        <v>1.0</v>
      </c>
      <c r="G167" s="9">
        <v>269.0</v>
      </c>
      <c r="H167" s="7" t="s">
        <v>275</v>
      </c>
      <c r="I167" s="7">
        <v>6.0</v>
      </c>
      <c r="J167" s="17" t="s">
        <v>275</v>
      </c>
    </row>
    <row r="168" ht="14.25" customHeight="1">
      <c r="A168" s="19">
        <v>4.691215361E9</v>
      </c>
      <c r="B168" s="7"/>
      <c r="C168" s="7" t="s">
        <v>275</v>
      </c>
      <c r="D168" s="7" t="s">
        <v>275</v>
      </c>
      <c r="E168" s="78" t="s">
        <v>275</v>
      </c>
      <c r="F168" s="130">
        <v>1.0</v>
      </c>
      <c r="G168" s="9">
        <v>269.0</v>
      </c>
      <c r="H168" s="7" t="s">
        <v>275</v>
      </c>
      <c r="I168" s="7">
        <v>6.0</v>
      </c>
      <c r="J168" s="17" t="s">
        <v>275</v>
      </c>
    </row>
    <row r="169" ht="14.25" customHeight="1">
      <c r="A169" s="19">
        <v>4.691215969E9</v>
      </c>
      <c r="B169" s="7" t="s">
        <v>444</v>
      </c>
      <c r="C169" s="7">
        <v>3.0</v>
      </c>
      <c r="D169" s="9">
        <v>429.0</v>
      </c>
      <c r="E169" s="78">
        <v>10.5</v>
      </c>
      <c r="F169" s="130">
        <v>4.0</v>
      </c>
      <c r="G169" s="9">
        <v>549.0</v>
      </c>
      <c r="H169" s="7">
        <v>15.0</v>
      </c>
      <c r="I169" s="7">
        <v>22.5</v>
      </c>
      <c r="J169" s="115">
        <v>100.0</v>
      </c>
    </row>
    <row r="170" ht="14.25" customHeight="1">
      <c r="A170" s="19">
        <v>4.696211513E9</v>
      </c>
      <c r="B170" s="7"/>
      <c r="C170" s="7" t="s">
        <v>275</v>
      </c>
      <c r="D170" s="7" t="s">
        <v>275</v>
      </c>
      <c r="E170" s="78" t="s">
        <v>275</v>
      </c>
      <c r="F170" s="130" t="s">
        <v>713</v>
      </c>
      <c r="G170" s="9">
        <v>229.0</v>
      </c>
      <c r="H170" s="7">
        <v>4.5</v>
      </c>
      <c r="I170" s="7">
        <v>4.5</v>
      </c>
      <c r="J170" s="115" t="s">
        <v>275</v>
      </c>
    </row>
    <row r="171" ht="14.25" customHeight="1">
      <c r="A171" s="19">
        <v>7.531153361E9</v>
      </c>
      <c r="B171" s="7" t="s">
        <v>444</v>
      </c>
      <c r="C171" s="7">
        <v>3.0</v>
      </c>
      <c r="D171" s="9">
        <v>429.0</v>
      </c>
      <c r="E171" s="78">
        <v>10.5</v>
      </c>
      <c r="F171" s="77">
        <v>4.0</v>
      </c>
      <c r="G171" s="9">
        <v>549.0</v>
      </c>
      <c r="H171" s="7">
        <v>15.0</v>
      </c>
      <c r="I171" s="7">
        <v>22.5</v>
      </c>
      <c r="J171" s="115">
        <v>100.0</v>
      </c>
    </row>
    <row r="172" ht="14.25" customHeight="1">
      <c r="A172" s="19">
        <v>7.531200508E9</v>
      </c>
      <c r="B172" s="7" t="s">
        <v>444</v>
      </c>
      <c r="C172" s="7" t="s">
        <v>713</v>
      </c>
      <c r="D172" s="9">
        <v>229.0</v>
      </c>
      <c r="E172" s="78">
        <v>4.0</v>
      </c>
      <c r="F172" s="77">
        <v>1.0</v>
      </c>
      <c r="G172" s="9">
        <v>269.0</v>
      </c>
      <c r="H172" s="7">
        <v>6.0</v>
      </c>
      <c r="I172" s="7">
        <v>9.0</v>
      </c>
      <c r="J172" s="129">
        <v>100.0</v>
      </c>
    </row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