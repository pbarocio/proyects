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porte" sheetId="1" r:id="rId5"/>
    <sheet state="visible" name="Relación de líneas" sheetId="2" r:id="rId6"/>
    <sheet state="visible" name="Directorio" sheetId="3" r:id="rId7"/>
    <sheet state="visible" name="Inventario Celulares" sheetId="4" r:id="rId8"/>
    <sheet state="visible" name="Inventario CPU" sheetId="5" r:id="rId9"/>
    <sheet state="visible" name="Inventario Laptop" sheetId="6" r:id="rId10"/>
    <sheet state="visible" name="Inventario Monitores" sheetId="7" r:id="rId11"/>
    <sheet state="visible" name="Inventario Tablet" sheetId="8" r:id="rId12"/>
    <sheet state="visible" name="Listas" sheetId="9" r:id="rId13"/>
    <sheet state="visible" name="Números baja" sheetId="10" r:id="rId14"/>
  </sheets>
  <definedNames>
    <definedName name="Correos_Institucionales">Directorio!$G$2:$G$185</definedName>
    <definedName name="Números_Asignados">Directorio!$I$2:$I$185</definedName>
    <definedName name="Caja">Listas!$A$2:$A$3</definedName>
    <definedName name="Tipo_HD">Listas!$E$2:$E$3</definedName>
    <definedName name="Lista_Monitores">'Inventario Monitores'!$A$2:$A$67</definedName>
    <definedName name="Lista_CPU">'Inventario CPU'!$A$2:$A$64</definedName>
    <definedName name="Puesto_Asignado">Directorio!$D$2:$D$185</definedName>
    <definedName name="Condición">Listas!$C$2:$C$6</definedName>
    <definedName name="Precio_Equipos_2026">Listas!$P$3:$P$10</definedName>
    <definedName name="CPU_Asignado">Directorio!$K$2:$K$185</definedName>
    <definedName name="Lista_Números">Listas!$AA$2:$AA$172</definedName>
    <definedName name="Lista_Equipos_2026">Listas!$O$3:$O$10</definedName>
    <definedName name="Departamento_Asignado">Directorio!$C$2:$C$185</definedName>
    <definedName name="Sucursal_Asignada">Directorio!$B$2:$B$185</definedName>
    <definedName name="Renovar">Listas!$G$2:$G$3</definedName>
    <definedName name="Laptops_Asignadas">Directorio!$J$2:$J$185</definedName>
    <definedName name="Lista_Laptop">'Inventario Laptop'!$A$2:$A$66</definedName>
    <definedName name="Sucursales">Listas!$U$2:$U$8</definedName>
    <definedName name="Lista_Tablets">'Inventario Tablet'!$A$2:$A$17</definedName>
    <definedName name="Puestos">Listas!$Y$2:$Y$512</definedName>
    <definedName name="Departamentos">Listas!$W$2:$W$25</definedName>
    <definedName name="Cargadores">Listas!$S$2:$S$8</definedName>
    <definedName name="Correos_Gmail">Directorio!$E$2:$E$185</definedName>
    <definedName name="Tablet_Asignada">Directorio!$M$2:$M$185</definedName>
    <definedName name="Nombres_Directorio">Directorio!$A$2:$A$185</definedName>
    <definedName name="Monitor_Asignado">Directorio!$L$2:$L$185</definedName>
    <definedName hidden="1" localSheetId="1" name="_xlnm._FilterDatabase">'Relación de líneas'!$A$1:$H$172</definedName>
    <definedName hidden="1" localSheetId="2" name="_xlnm._FilterDatabase">Directorio!$A$1:$O$186</definedName>
    <definedName hidden="1" localSheetId="3" name="_xlnm._FilterDatabase">'Inventario Celulares'!$A$1:$V$141</definedName>
    <definedName hidden="1" localSheetId="4" name="_xlnm._FilterDatabase">'Inventario CPU'!$A$1:$V$1</definedName>
    <definedName hidden="1" localSheetId="5" name="_xlnm._FilterDatabase">'Inventario Laptop'!$A$1:$X$1</definedName>
    <definedName hidden="1" localSheetId="6" name="_xlnm._FilterDatabase">'Inventario Monitores'!$A$1:$P$67</definedName>
    <definedName hidden="1" localSheetId="7" name="_xlnm._FilterDatabase">'Inventario Tablet'!$A$1:$R$17</definedName>
  </definedNames>
  <calcPr/>
</workbook>
</file>

<file path=xl/sharedStrings.xml><?xml version="1.0" encoding="utf-8"?>
<sst xmlns="http://schemas.openxmlformats.org/spreadsheetml/2006/main" count="5049" uniqueCount="1775">
  <si>
    <t>GoDaddy</t>
  </si>
  <si>
    <t>Número de soporte</t>
  </si>
  <si>
    <t>Número de cliente</t>
  </si>
  <si>
    <t>PIN</t>
  </si>
  <si>
    <t>Dominio</t>
  </si>
  <si>
    <t>AKKY</t>
  </si>
  <si>
    <t>Usuario</t>
  </si>
  <si>
    <t>VCASTELS</t>
  </si>
  <si>
    <t>Contraseña</t>
  </si>
  <si>
    <t>Implementos16</t>
  </si>
  <si>
    <t>PROVEEDOR ALARMAS ADT - 800 999 1206</t>
  </si>
  <si>
    <t>Sucursal</t>
  </si>
  <si>
    <t>No Cliente</t>
  </si>
  <si>
    <t>Tarímbaro</t>
  </si>
  <si>
    <t>Pénjamo</t>
  </si>
  <si>
    <t>La Piedad</t>
  </si>
  <si>
    <t>Sistema Titanium Checador</t>
  </si>
  <si>
    <t>Número de poliza:</t>
  </si>
  <si>
    <t>Empleados:</t>
  </si>
  <si>
    <t>Terminales:</t>
  </si>
  <si>
    <t>Instalaciones:</t>
  </si>
  <si>
    <t>Clave de Activación:</t>
  </si>
  <si>
    <t>D6C696F6-5091-4517-9FFF-27CE98F0AFD2</t>
  </si>
  <si>
    <t>Número</t>
  </si>
  <si>
    <t>Plan</t>
  </si>
  <si>
    <t>Mensualidad</t>
  </si>
  <si>
    <t>GB mensuales</t>
  </si>
  <si>
    <t>Nombre</t>
  </si>
  <si>
    <t>Departamento</t>
  </si>
  <si>
    <t>Puesto</t>
  </si>
  <si>
    <t>Carlos Vidal Plascencia Camacho</t>
  </si>
  <si>
    <t>Corporativo</t>
  </si>
  <si>
    <t>Dirección</t>
  </si>
  <si>
    <t>Director</t>
  </si>
  <si>
    <t>Jorge Luis Plascencia Camacho/Segunda línea</t>
  </si>
  <si>
    <t>José Luis Plascencia Camacho</t>
  </si>
  <si>
    <t>luisplascencia.agroc@gmail.com</t>
  </si>
  <si>
    <t>Hugo Antonio Gómez Hernández</t>
  </si>
  <si>
    <t>Familia</t>
  </si>
  <si>
    <t>Estacionamiento Atotonilco</t>
  </si>
  <si>
    <t>Velador</t>
  </si>
  <si>
    <t>Ramón Gómez</t>
  </si>
  <si>
    <t>Rancho San Antonio</t>
  </si>
  <si>
    <t>Elena del Cármen Plascencia Camacho</t>
  </si>
  <si>
    <t>N/A</t>
  </si>
  <si>
    <t>Georgina Niño Cerda/Esposa Sr Luis</t>
  </si>
  <si>
    <t>Jorge Luis Plascencia Niño / Hijo Sr Luis</t>
  </si>
  <si>
    <t>Juan Pablo Plascencia Hernández / Hijo Sr Vidal</t>
  </si>
  <si>
    <t>Laura Guadalupe Hernández Padilla/Esposa de Vidal</t>
  </si>
  <si>
    <t>Ex- Reclutamiento</t>
  </si>
  <si>
    <t>Baja por desfase de renovación</t>
  </si>
  <si>
    <t>Pablo (Temporal)</t>
  </si>
  <si>
    <t>BASE</t>
  </si>
  <si>
    <t>Módem La Barca</t>
  </si>
  <si>
    <t>La Barca</t>
  </si>
  <si>
    <t>TI</t>
  </si>
  <si>
    <t>Módem Pénjamo</t>
  </si>
  <si>
    <t>Módem La Piedad</t>
  </si>
  <si>
    <t>Módem Morelia</t>
  </si>
  <si>
    <t>Módem Poncitlán</t>
  </si>
  <si>
    <t>Correo Gmail</t>
  </si>
  <si>
    <t>Correo Institucional</t>
  </si>
  <si>
    <t>Celular</t>
  </si>
  <si>
    <t>Laptop</t>
  </si>
  <si>
    <t>CPU</t>
  </si>
  <si>
    <t>Monitor</t>
  </si>
  <si>
    <t>Tablet</t>
  </si>
  <si>
    <t>Zona</t>
  </si>
  <si>
    <t>KNOX</t>
  </si>
  <si>
    <t>Diego Guadalupe Armas Álvarez</t>
  </si>
  <si>
    <t>Agricultura Inteligente</t>
  </si>
  <si>
    <t>Asesor de Ventas</t>
  </si>
  <si>
    <t>diego.armas@agrocisa.com.mx</t>
  </si>
  <si>
    <t>4GR0C154#AI</t>
  </si>
  <si>
    <t>AGROCISA060904**</t>
  </si>
  <si>
    <t>DIEGO-ARMAS</t>
  </si>
  <si>
    <t>Jesus Alberto Zuno Jimenez</t>
  </si>
  <si>
    <t>jesus.zuno@agrocisa.com.mx</t>
  </si>
  <si>
    <t>4GR0C154#LB</t>
  </si>
  <si>
    <t>Pascual Humberto Ramírez Flores</t>
  </si>
  <si>
    <t>soportetcgps.agro@gmail.com</t>
  </si>
  <si>
    <t>4GR0C154#GPS</t>
  </si>
  <si>
    <t>soportetc.gps@agrocisa.com.mx</t>
  </si>
  <si>
    <t>SOPORTE-GPS</t>
  </si>
  <si>
    <t>AGROINTLB</t>
  </si>
  <si>
    <t>Abdiel Yahir González Razo</t>
  </si>
  <si>
    <t>paneles.solares@agrocisa.com.mx</t>
  </si>
  <si>
    <t>PANELES-SOLARES</t>
  </si>
  <si>
    <t>Mariana Álvarez Estrada</t>
  </si>
  <si>
    <t>Auxiliar Administrativo</t>
  </si>
  <si>
    <t>mariana.alvarez@agrocisa.com.mx</t>
  </si>
  <si>
    <t>AGR-INT</t>
  </si>
  <si>
    <t>Saúl Hernández Becerra</t>
  </si>
  <si>
    <t>Jefe de Agricultura Inteligente</t>
  </si>
  <si>
    <t>saul.hernandez@agrocisa.com.mx</t>
  </si>
  <si>
    <t>JEFE-AI</t>
  </si>
  <si>
    <t>José Alejandro Tellez Gómez</t>
  </si>
  <si>
    <t>Técnico</t>
  </si>
  <si>
    <t>alejandro.tellez@agrocisa.com.mx</t>
  </si>
  <si>
    <t>TECNICO-DRONES</t>
  </si>
  <si>
    <t>Isela María Guadalupe Rodríguez Estrada</t>
  </si>
  <si>
    <t>Capital Humano</t>
  </si>
  <si>
    <t>isela.rhagrocisa@gmail.com</t>
  </si>
  <si>
    <t>agrocisa2016</t>
  </si>
  <si>
    <t>isela.rodriguez@agrocisa.com.mx</t>
  </si>
  <si>
    <t>NOMINAS</t>
  </si>
  <si>
    <t>Luis Donaldo Sánchez Álvarez</t>
  </si>
  <si>
    <t>Jefe de Capital Humano</t>
  </si>
  <si>
    <t>capitalhumano.agrocisa@gmail.com</t>
  </si>
  <si>
    <t>capitalhumano@agrocisa.com.mx</t>
  </si>
  <si>
    <t>4GR0C154#CH</t>
  </si>
  <si>
    <t>CAPITAL-HUMANO</t>
  </si>
  <si>
    <t>María del Cármen Hernández Calderón</t>
  </si>
  <si>
    <t>Reclutamiento</t>
  </si>
  <si>
    <t>maria.hernandez@agrocisa.com.mx</t>
  </si>
  <si>
    <t>RECLUTAMIENTO</t>
  </si>
  <si>
    <t>Juan Pablo Quinones</t>
  </si>
  <si>
    <t>Compras</t>
  </si>
  <si>
    <t>juan.quinones.agro@gmail.com</t>
  </si>
  <si>
    <t>4GR0C154#COMPRAS</t>
  </si>
  <si>
    <t>juan.quinones@agrocisa.com.mx</t>
  </si>
  <si>
    <t>COMPRAS-2</t>
  </si>
  <si>
    <t>María del Cármen Sánchez García</t>
  </si>
  <si>
    <t>auxiliarcompras.agrocisa@gmail.com</t>
  </si>
  <si>
    <t>compras@agrocisa.com.mx</t>
  </si>
  <si>
    <t>COMPRAS</t>
  </si>
  <si>
    <t>José Alejandro Rosas Oñate</t>
  </si>
  <si>
    <t>Chofer</t>
  </si>
  <si>
    <t>chofercompras@agrocisa.com.mx</t>
  </si>
  <si>
    <t>Alejandra Guadalupe Munguía Albisio</t>
  </si>
  <si>
    <t>Compras Internacionales</t>
  </si>
  <si>
    <t>comprasinternacionales@agrocisa.com.mx</t>
  </si>
  <si>
    <t>COMPRAS-INT</t>
  </si>
  <si>
    <t>Juan Antonio Lara Mendoza</t>
  </si>
  <si>
    <t>Contabilidad</t>
  </si>
  <si>
    <t>antonio.lara@agrocisa.com.mx</t>
  </si>
  <si>
    <t>4GR0C154#CONTA</t>
  </si>
  <si>
    <t>juan.lara@agrocisa.com.mx</t>
  </si>
  <si>
    <t>CONTA-2</t>
  </si>
  <si>
    <t>María Rodríguez González</t>
  </si>
  <si>
    <t>mariarodriguez.agro@gmail.com</t>
  </si>
  <si>
    <t>maria.rodriguez@agrocisa.com.mx</t>
  </si>
  <si>
    <t>CONTA-4</t>
  </si>
  <si>
    <t>Nancy Esmeralda Carrillo González</t>
  </si>
  <si>
    <t>ncarrillo.agro@gmail.com</t>
  </si>
  <si>
    <t>Contable2018</t>
  </si>
  <si>
    <t>nancy.carrillo@agrocisa.com.mx</t>
  </si>
  <si>
    <t>CONTA-3</t>
  </si>
  <si>
    <t>Ramona Araceli Palos Chairez</t>
  </si>
  <si>
    <t>arpalos.agro@gmail.com</t>
  </si>
  <si>
    <t>Burbujas18</t>
  </si>
  <si>
    <t>araceli.palos@agrocisa.com.mx</t>
  </si>
  <si>
    <t>CONTA-5</t>
  </si>
  <si>
    <t>Ricardo Durán Ulloa</t>
  </si>
  <si>
    <t>Jefe de Contabilidad</t>
  </si>
  <si>
    <t>rduran.agro@gmail.com</t>
  </si>
  <si>
    <t>Brasil2017</t>
  </si>
  <si>
    <t>ricardo.duran@agrocisa.com.mx</t>
  </si>
  <si>
    <t>CONTA-1</t>
  </si>
  <si>
    <t>Brenda Guadalupe Martínez Aguilar</t>
  </si>
  <si>
    <t>Crédito y Cobranza</t>
  </si>
  <si>
    <t>brenda.martinez@agrocisa.com.mx</t>
  </si>
  <si>
    <t>4GR0C154#LBC</t>
  </si>
  <si>
    <t>CREDITO-3</t>
  </si>
  <si>
    <t>Dulce Sahagún Serna</t>
  </si>
  <si>
    <t>credito03.agro@gmail.com</t>
  </si>
  <si>
    <t>4GR0C154#C03</t>
  </si>
  <si>
    <t>credito03@agrocisa.com.mx</t>
  </si>
  <si>
    <t>CREDITO-2</t>
  </si>
  <si>
    <t>Patricia Lorena Covarrubias Tello</t>
  </si>
  <si>
    <t>auxiliarcredito.agro@gmail.com</t>
  </si>
  <si>
    <t>credito01@agrocisa.com.mx</t>
  </si>
  <si>
    <t>CREDITO-1</t>
  </si>
  <si>
    <t>Lucia Barboza Santiago</t>
  </si>
  <si>
    <t>Cajera</t>
  </si>
  <si>
    <t>lbarboza.agro@gmail.com</t>
  </si>
  <si>
    <t>Espana18</t>
  </si>
  <si>
    <t>lucia.barboza@agrocisa.com.mx</t>
  </si>
  <si>
    <t>CAJA</t>
  </si>
  <si>
    <t>Magdalena Estrada Gómez</t>
  </si>
  <si>
    <t>Jefa Crédito y Cobranza</t>
  </si>
  <si>
    <t>m.estradaagro@gmail.com</t>
  </si>
  <si>
    <t>Brasil17</t>
  </si>
  <si>
    <t>magdalena.estrada@agrocisa.com.mx</t>
  </si>
  <si>
    <t>CORD-CREDITO</t>
  </si>
  <si>
    <t>Vacante DMS</t>
  </si>
  <si>
    <t>Dealer Standard</t>
  </si>
  <si>
    <t>DMS</t>
  </si>
  <si>
    <t>dealerstandard@agrocisa.com.mx</t>
  </si>
  <si>
    <t>4GR0C154#DS</t>
  </si>
  <si>
    <t>cvidalpc@gmail.com</t>
  </si>
  <si>
    <t>vidal.plascencia@agrocisa.com.mx</t>
  </si>
  <si>
    <t>4GR0C154#LBD</t>
  </si>
  <si>
    <t>luis.plascencia@agrocisa.com.mx</t>
  </si>
  <si>
    <t>Jennifer Paulina Resendiz Bravo</t>
  </si>
  <si>
    <t>Finanzas</t>
  </si>
  <si>
    <t>paresendiz.agro@gmail.com</t>
  </si>
  <si>
    <t>Paris2022</t>
  </si>
  <si>
    <t>paulina.resendiz@agrocisa.com.mx</t>
  </si>
  <si>
    <t>AUX-FINANZAS</t>
  </si>
  <si>
    <t>Ricardo Moreno Medina</t>
  </si>
  <si>
    <t>ricardomoreno.agro@gmail.com</t>
  </si>
  <si>
    <t>4GR0C154#</t>
  </si>
  <si>
    <t>ricardo.moreno@agrocisa.com.mx</t>
  </si>
  <si>
    <t>Kathya Margarita Cerpa Velazco</t>
  </si>
  <si>
    <t>Jefa de Finanzas</t>
  </si>
  <si>
    <t>kacerpa.agro@gmail.com</t>
  </si>
  <si>
    <t>Turquia21</t>
  </si>
  <si>
    <t>kathya.cerpa@agrocisa.com.mx</t>
  </si>
  <si>
    <t>4GR0C154#FINANZAS</t>
  </si>
  <si>
    <t>FINANZAS</t>
  </si>
  <si>
    <t>Juana Alejandra García Jiménez</t>
  </si>
  <si>
    <t>Jurídico</t>
  </si>
  <si>
    <t>Representante Legal</t>
  </si>
  <si>
    <t>alegarcia.agro@gmail.com</t>
  </si>
  <si>
    <t>4GR0C154#JUZGADO</t>
  </si>
  <si>
    <t>juana.garcia@agrocisa.com.mx</t>
  </si>
  <si>
    <t>JURIDICO</t>
  </si>
  <si>
    <t>José Antonio Gómez Malacara</t>
  </si>
  <si>
    <t>Mantenimiento</t>
  </si>
  <si>
    <t>Jefe de Mantenimiento</t>
  </si>
  <si>
    <t>jantonio.agro@gmail.com</t>
  </si>
  <si>
    <t>jose.malacara@agrocisa.com.mx</t>
  </si>
  <si>
    <t>Sí</t>
  </si>
  <si>
    <t>David Villaseñor Núñez</t>
  </si>
  <si>
    <t>Maquinaria Agrícola</t>
  </si>
  <si>
    <t>Analista Comercial</t>
  </si>
  <si>
    <t>analistacomercial@agrocisa.com.mx</t>
  </si>
  <si>
    <t>david.villasenor@agrcoisa.com.mx</t>
  </si>
  <si>
    <t>ANALISTA-COMERCIAL</t>
  </si>
  <si>
    <t>Daniel Gerardo Aviña Bravo</t>
  </si>
  <si>
    <t>daniel.avina@agrocisa.com.mx</t>
  </si>
  <si>
    <t>DANIEL-AVINA</t>
  </si>
  <si>
    <t>CIENEGALB03</t>
  </si>
  <si>
    <t>Guillermo Barboza Santiago</t>
  </si>
  <si>
    <t>gbarboza.agro@gmail.com</t>
  </si>
  <si>
    <t>Soleado21</t>
  </si>
  <si>
    <t>guillermo.barboza@agrocisa.com.mx</t>
  </si>
  <si>
    <t>CIENEGALB04,CIENEGALB06</t>
  </si>
  <si>
    <t>Jesús Pérez Pérez</t>
  </si>
  <si>
    <t>jeperez.agro@gmail.com</t>
  </si>
  <si>
    <t>jesus.perez@agrocisa.com.mx</t>
  </si>
  <si>
    <t>JESUS-PEREZ</t>
  </si>
  <si>
    <t>CIENEGALB01</t>
  </si>
  <si>
    <t>Joaquín  de Jesús Hernández Rojas</t>
  </si>
  <si>
    <t>jhernandez.agrocisa@gmail.com</t>
  </si>
  <si>
    <t>Rusia2018</t>
  </si>
  <si>
    <t>joaquin.hernandez@agrocisa.com.mx</t>
  </si>
  <si>
    <t>CIENEGALB05</t>
  </si>
  <si>
    <t xml:space="preserve">José Luis Flores Barragán </t>
  </si>
  <si>
    <t>jose.flores.agro@gmail.com</t>
  </si>
  <si>
    <t>jose.flores@agrocisa.com.mx</t>
  </si>
  <si>
    <t>JOSE-LUIS</t>
  </si>
  <si>
    <t>Luis Ernesto Santiago González</t>
  </si>
  <si>
    <t>lsantiago.agro@gmail.com</t>
  </si>
  <si>
    <t>Argentina19</t>
  </si>
  <si>
    <t>luis.santiago@agrocisa.com.mx</t>
  </si>
  <si>
    <t>LUIS-SANTIAGO</t>
  </si>
  <si>
    <t>CIENEGALB07</t>
  </si>
  <si>
    <t>Luis Felipe Barboza Román</t>
  </si>
  <si>
    <t>luis.barboza@agrocisa.com.mx</t>
  </si>
  <si>
    <t>CIENEGALB02</t>
  </si>
  <si>
    <t>María Guadalupe Aviña Cervantes</t>
  </si>
  <si>
    <t>gavina.agro@gmail.com</t>
  </si>
  <si>
    <t>Morelia21</t>
  </si>
  <si>
    <t>guadalupe.avina@agrocisa.com.mx</t>
  </si>
  <si>
    <t>LUPITA-AVINA</t>
  </si>
  <si>
    <t>Jorge Humberto Gómez Córdova</t>
  </si>
  <si>
    <t>Jefe Ventas Agrícola</t>
  </si>
  <si>
    <t>jgomez.agro@gmail.com</t>
  </si>
  <si>
    <t>Maquinaria21</t>
  </si>
  <si>
    <t>jorge.gomez@agrocisa.com.mx</t>
  </si>
  <si>
    <t>CORD-AGRICOLA</t>
  </si>
  <si>
    <t>Bernardo Arceo Mendez</t>
  </si>
  <si>
    <t>Maquinaria Agrícola y Construcción</t>
  </si>
  <si>
    <t>bernaarceo.agro@gmail.com</t>
  </si>
  <si>
    <t>bernardo.arceo@agrocisa.com.mx</t>
  </si>
  <si>
    <t>Arleth Paola Martínez Carreón</t>
  </si>
  <si>
    <t>ventaslabarca@agrocisa.com.mx</t>
  </si>
  <si>
    <t>AUX-VENTAS</t>
  </si>
  <si>
    <t>Andrea Guadalupe Cárdenas Cárdenas</t>
  </si>
  <si>
    <t>recepcion@agrocisa.com.mx</t>
  </si>
  <si>
    <t>RECEPCION</t>
  </si>
  <si>
    <t>Jesús Bernardo Navarro Estrada</t>
  </si>
  <si>
    <t>jnavarro.agrocisa@gmail.com</t>
  </si>
  <si>
    <t>jesus.navarro@agrocisa.com.mx</t>
  </si>
  <si>
    <t>Ricardo Covarruvias García</t>
  </si>
  <si>
    <t>choferlb.agro@gmail.com</t>
  </si>
  <si>
    <t>ricardo.covarrubias@agrocisa.com.mx</t>
  </si>
  <si>
    <t>Eduardo Guadalupe Gutierrez Rodríguez</t>
  </si>
  <si>
    <t>Implementero</t>
  </si>
  <si>
    <t>edugutierrez.agro@gmail.com</t>
  </si>
  <si>
    <t>Camiones19</t>
  </si>
  <si>
    <t>eduardo.gutierrez@agrocisa.com.mx</t>
  </si>
  <si>
    <t>Francisco Valadez Gaona</t>
  </si>
  <si>
    <t>Maquinaria Construcción</t>
  </si>
  <si>
    <t>construccionlabarca@agrocisa.com.mx</t>
  </si>
  <si>
    <t>FRANCISCO-VALADEZ</t>
  </si>
  <si>
    <t>CONST LB1</t>
  </si>
  <si>
    <t>Adrián Paskinel Hernández Zavala</t>
  </si>
  <si>
    <t>Jefe de Ventas Construcción</t>
  </si>
  <si>
    <t>adrian.hernandez@agrocisa.com.mx</t>
  </si>
  <si>
    <t>COORD-CONST</t>
  </si>
  <si>
    <t>Marketing</t>
  </si>
  <si>
    <t>Asesor de Ventas en Línea</t>
  </si>
  <si>
    <t>ventas@agrocisa.com.mx</t>
  </si>
  <si>
    <t>4GR0C154#MKT</t>
  </si>
  <si>
    <t>Raúl Óscar Ortega Guillén</t>
  </si>
  <si>
    <t>Jefe de Marketing</t>
  </si>
  <si>
    <t>marketingdigital@agrocisa.com.mx</t>
  </si>
  <si>
    <t>4GR0C154#AGROmkt</t>
  </si>
  <si>
    <t>marketingexperiencial@agrocisa.com.mx</t>
  </si>
  <si>
    <t>COORD-MKT</t>
  </si>
  <si>
    <t>Paola Fernanda Paz Valdez</t>
  </si>
  <si>
    <t>Marketing Digital</t>
  </si>
  <si>
    <t>marketing.agrocisa@gmail.com</t>
  </si>
  <si>
    <t>Agroci54</t>
  </si>
  <si>
    <t>4GR0C154#MK</t>
  </si>
  <si>
    <t>Reclamos</t>
  </si>
  <si>
    <t>Aranza Cerda González</t>
  </si>
  <si>
    <t>Diseñador Gráfico</t>
  </si>
  <si>
    <t>diseno.grafico@agrocisa.com.mx</t>
  </si>
  <si>
    <t>Francisco Javier Ornelas</t>
  </si>
  <si>
    <t>Parque Vehicular</t>
  </si>
  <si>
    <t>auxpaquevehicular.agro@gmail.com</t>
  </si>
  <si>
    <t>auxparquevehicular@agrocisa.com.mx</t>
  </si>
  <si>
    <t>AUX-PV</t>
  </si>
  <si>
    <t>Jesús García Anaya</t>
  </si>
  <si>
    <t>Jefe Parque Vehicular</t>
  </si>
  <si>
    <t>jesusgarcia.agrocisa@gmail.com</t>
  </si>
  <si>
    <t>Londres17</t>
  </si>
  <si>
    <t>jesus.garcia@agrocisa.com.mx</t>
  </si>
  <si>
    <t>COORD-PV</t>
  </si>
  <si>
    <t>Michael Alberto Castro García</t>
  </si>
  <si>
    <t>Logística</t>
  </si>
  <si>
    <t>michael.castro@agrocisa.com.mx</t>
  </si>
  <si>
    <t>LOGISTICA</t>
  </si>
  <si>
    <t>Miguel Ángel González Escoto</t>
  </si>
  <si>
    <t>Postventa</t>
  </si>
  <si>
    <t>Jefe Postventa</t>
  </si>
  <si>
    <t>migonzalez.agro@gmail.com</t>
  </si>
  <si>
    <t>miguel.gonzalez@agrocisa.com.mx</t>
  </si>
  <si>
    <t>POSTVENTA</t>
  </si>
  <si>
    <t>Alonso Isiadro Tamayo García</t>
  </si>
  <si>
    <t>Refacciones</t>
  </si>
  <si>
    <t>Almacenista</t>
  </si>
  <si>
    <t>alonso.tamayo@agrocisa.com.mx</t>
  </si>
  <si>
    <t>Miguel Muñiz</t>
  </si>
  <si>
    <t>miguel.muniz@agrocisa.com.mx</t>
  </si>
  <si>
    <t>Diana Alejandrina Mendoza Flores</t>
  </si>
  <si>
    <t>Analista de Refacciones y Servicio</t>
  </si>
  <si>
    <t>analistaservicio.agro@gmail.com</t>
  </si>
  <si>
    <t>analistaservicio@agrocisa.com.mx</t>
  </si>
  <si>
    <t>SERVICIO</t>
  </si>
  <si>
    <t>Carlos Eduardo Ortega Herrera</t>
  </si>
  <si>
    <t>Asesor de Refacciones Campo</t>
  </si>
  <si>
    <t>refaccioneslb01@agrocisa.com.mx</t>
  </si>
  <si>
    <t>eduardo.ortega@agrocisa.com.mx</t>
  </si>
  <si>
    <t>LBZONA01</t>
  </si>
  <si>
    <t>Pedro Garcia Lara</t>
  </si>
  <si>
    <t>pedrolara.agro@gmail.com</t>
  </si>
  <si>
    <t>4GR0C154#PEDRO</t>
  </si>
  <si>
    <t>pedro.garcia@agrocisa.com.mx</t>
  </si>
  <si>
    <t>LBZONA02</t>
  </si>
  <si>
    <t>Raúl Arzate Ortíz</t>
  </si>
  <si>
    <t>raarzate.agro@gmail.com</t>
  </si>
  <si>
    <t>SOLEADO26</t>
  </si>
  <si>
    <t>raul.arzate@agrocisa.com.mx</t>
  </si>
  <si>
    <t>LBZONA03</t>
  </si>
  <si>
    <t>Damián Zaragoza Hernández</t>
  </si>
  <si>
    <t>Asesor de Refacciones Mostrador</t>
  </si>
  <si>
    <t>damian.zaragoza@agrocisa.com.mx</t>
  </si>
  <si>
    <t>Bruma0609**</t>
  </si>
  <si>
    <t>REFACCIONES-2</t>
  </si>
  <si>
    <t>Félix Antonio Román Becerra</t>
  </si>
  <si>
    <t>Encargado de Refacciones Sucursal</t>
  </si>
  <si>
    <t>felix.roman@agrocisa.com.mx</t>
  </si>
  <si>
    <t>ALMACEN-1</t>
  </si>
  <si>
    <t>Abraham Octavio García Sahagún</t>
  </si>
  <si>
    <t>Jefe de Refacciones</t>
  </si>
  <si>
    <t>refalabarca.agro@gmail.com</t>
  </si>
  <si>
    <t>AZgarcia5864</t>
  </si>
  <si>
    <t>abraham.garcia@agrocisa.com.mx</t>
  </si>
  <si>
    <t>CORD-REFACCIONES</t>
  </si>
  <si>
    <t>Andrea Becerra Cisneros</t>
  </si>
  <si>
    <t>Servicio</t>
  </si>
  <si>
    <t>serviciolabarca@agrocisa.com.mx</t>
  </si>
  <si>
    <t>4GR0C154#LBS</t>
  </si>
  <si>
    <t>SERVICIO-2</t>
  </si>
  <si>
    <t>Ashly Guadalupe López Martínez</t>
  </si>
  <si>
    <t>garantiaslabarca@agrocisa.com.mx</t>
  </si>
  <si>
    <t>ashly.lopez@agrocisa.com.mx</t>
  </si>
  <si>
    <t>4GR0C14#LB</t>
  </si>
  <si>
    <t>SERVICIO-1</t>
  </si>
  <si>
    <t>Juan Alfredo Baldovin López</t>
  </si>
  <si>
    <t>Dinamómetro</t>
  </si>
  <si>
    <t>dinamometrolb@agrocisa.com.mx</t>
  </si>
  <si>
    <t>4GR0C154#SER</t>
  </si>
  <si>
    <t>DINAMOMETRO-LB</t>
  </si>
  <si>
    <t>Luis Enrique Nuñez Nuñez</t>
  </si>
  <si>
    <t>Jefe de Taller</t>
  </si>
  <si>
    <t>luisnunez.agro@gmail.com</t>
  </si>
  <si>
    <t>tallerlabarca@agrocisa.com.mx</t>
  </si>
  <si>
    <t>Jaime García García</t>
  </si>
  <si>
    <t>Jefe de Técnicos</t>
  </si>
  <si>
    <t>jggarcia.agro@gmail.com</t>
  </si>
  <si>
    <t>Tractor19</t>
  </si>
  <si>
    <t>Antonio López Silva</t>
  </si>
  <si>
    <t>Jefe Maquinaria Gama Alta</t>
  </si>
  <si>
    <t>alopezsilva.agro@gmail.com</t>
  </si>
  <si>
    <t>Tornillos22</t>
  </si>
  <si>
    <t>antonio.lopez@agrocisa.com.mx</t>
  </si>
  <si>
    <t>J. Jesús Velazco</t>
  </si>
  <si>
    <t>Jefe Operativo</t>
  </si>
  <si>
    <t>jvelazco.agro@gmail.com</t>
  </si>
  <si>
    <t>jesus.velazco@agrocisa.com.mx</t>
  </si>
  <si>
    <t>SERVICIO-OPERATIVO</t>
  </si>
  <si>
    <t>Luis Eduardo Gutierrez Infante</t>
  </si>
  <si>
    <t>Promotor de Servicio</t>
  </si>
  <si>
    <t>promotorlabarca@agrocisa.com.mx</t>
  </si>
  <si>
    <t>luis.gutierrez@agrocisa.com.mx</t>
  </si>
  <si>
    <t>PROMOTOR-LB</t>
  </si>
  <si>
    <t>Andrés García García</t>
  </si>
  <si>
    <t>andresgarcia.agro@gmail.com</t>
  </si>
  <si>
    <t>andres.garcia@agrocisa.com.mx</t>
  </si>
  <si>
    <t>ESCANER-LB</t>
  </si>
  <si>
    <t>Jesús Eduardo Guerrero Zuñiga</t>
  </si>
  <si>
    <t>jeguerrero.agro@gmail.com</t>
  </si>
  <si>
    <t>jesus.guerrero@agrocisa.com.mx</t>
  </si>
  <si>
    <t>Félix Eugenio Ávalos Hernández</t>
  </si>
  <si>
    <t>Telemetría</t>
  </si>
  <si>
    <t>telematrix.agrocisa@gmail.com</t>
  </si>
  <si>
    <t>telemetria@agrocisa.com.mx</t>
  </si>
  <si>
    <t>TELEMETRIA</t>
  </si>
  <si>
    <t>TELEMETRIA-2</t>
  </si>
  <si>
    <t>Jesús Mora Pérez</t>
  </si>
  <si>
    <t>Jefe Administrativo</t>
  </si>
  <si>
    <t>coordservicio.agro@gmail.com</t>
  </si>
  <si>
    <t>jesus.mora@agrocisa.com.mx</t>
  </si>
  <si>
    <t>JESUS-MORA</t>
  </si>
  <si>
    <t>Lucia Guadalupe Trujillo Rodríguez</t>
  </si>
  <si>
    <t>Sistemas</t>
  </si>
  <si>
    <t>Auxiliar de Sistemas</t>
  </si>
  <si>
    <t>sistemas.agrocisa@gmail.com</t>
  </si>
  <si>
    <t>4GR0C154#2022</t>
  </si>
  <si>
    <t>sistemas@agrocisa.com.mx</t>
  </si>
  <si>
    <t>4GR0C154#SISTEMAS</t>
  </si>
  <si>
    <t>SISTEMAS-2</t>
  </si>
  <si>
    <t>Pablo Alberto Barocio Valle</t>
  </si>
  <si>
    <t>Jefe de Sistemas</t>
  </si>
  <si>
    <t>SISTEMAS</t>
  </si>
  <si>
    <t>Yessica Velázquez Villanueva</t>
  </si>
  <si>
    <t>Staff</t>
  </si>
  <si>
    <t>Jefe de Staff</t>
  </si>
  <si>
    <t>yvelazquez.agro@gmail.com</t>
  </si>
  <si>
    <t>Mercatec17</t>
  </si>
  <si>
    <t>yessica.velazquez@agrocisa.com.mx</t>
  </si>
  <si>
    <t>AUDITORIA</t>
  </si>
  <si>
    <t>Juan Martín Campos Rodríguez</t>
  </si>
  <si>
    <t>Vigilancia</t>
  </si>
  <si>
    <t>Guardia</t>
  </si>
  <si>
    <t>vigilancialabarca.agro@gmail.com</t>
  </si>
  <si>
    <t>vigilancialabarca@agrocisa.com.mx</t>
  </si>
  <si>
    <t>Practicante Credito y Cobranza</t>
  </si>
  <si>
    <t xml:space="preserve">Practicas Profesionales </t>
  </si>
  <si>
    <t>practicantecc@agrocisa.com.mx</t>
  </si>
  <si>
    <t>Diego Alejandro Núñez Flores</t>
  </si>
  <si>
    <t>diego.nunez@agrocisa.com.mx</t>
  </si>
  <si>
    <t>4GR0C154#AILP</t>
  </si>
  <si>
    <t>4GR0C154#LP</t>
  </si>
  <si>
    <t>PANELES-LP</t>
  </si>
  <si>
    <t>ZONA2</t>
  </si>
  <si>
    <t>Francisco Villalobos Sánchez</t>
  </si>
  <si>
    <t>droneslp@agrocisa.com.mx</t>
  </si>
  <si>
    <t>francisco.villalobos@agrocisa.com.mx</t>
  </si>
  <si>
    <t>DRONES-LP</t>
  </si>
  <si>
    <t>Eleonai Pérez Felipe</t>
  </si>
  <si>
    <t>tecdrones.lp.agro@gmail.com</t>
  </si>
  <si>
    <t>Diana Monserrat Osorio Hernández</t>
  </si>
  <si>
    <t>diosorio.agro@gmail.com</t>
  </si>
  <si>
    <t>caja.lp@agrocisa.com.mx</t>
  </si>
  <si>
    <t>CAJA-LP</t>
  </si>
  <si>
    <t>Alicia Viridiana Rodríguez Paredes</t>
  </si>
  <si>
    <t>Maquinaria</t>
  </si>
  <si>
    <t>ventaslapiedad.agro@gmail.com</t>
  </si>
  <si>
    <t>ventaslapiedad@agrocisa.com.mx</t>
  </si>
  <si>
    <t>VENTAS-LP</t>
  </si>
  <si>
    <t>Juan Carlos Morales Hernández</t>
  </si>
  <si>
    <t>choferlp.agro@gmail.com</t>
  </si>
  <si>
    <t>choferlapiedad@agrocisa.com.mx</t>
  </si>
  <si>
    <t>Fernando Barboza Román</t>
  </si>
  <si>
    <t>Gerente de Sucursal</t>
  </si>
  <si>
    <t>ferbarboza.agro@gmail.com</t>
  </si>
  <si>
    <t>Nublado21</t>
  </si>
  <si>
    <t>fernando.barboza@agrocisa.com.mx</t>
  </si>
  <si>
    <t>GERENTE-LP</t>
  </si>
  <si>
    <t>Guillermo Sahagún Cervantes</t>
  </si>
  <si>
    <t>ventasintlb.agro@gmail.com</t>
  </si>
  <si>
    <t>4GR0C154#LB1</t>
  </si>
  <si>
    <t>guillermo.sahagun@agrocisa.com.mx</t>
  </si>
  <si>
    <t>BAJIOPJ19</t>
  </si>
  <si>
    <t>Marco Dario Martínez Álvarez</t>
  </si>
  <si>
    <t>marcodario.agro@gmail.com</t>
  </si>
  <si>
    <t>Agrocisa14</t>
  </si>
  <si>
    <t>marco.martinez@agrocisa.com.mx</t>
  </si>
  <si>
    <t>BAJIOLP13</t>
  </si>
  <si>
    <t>Vacante</t>
  </si>
  <si>
    <t>ventaszonabajio.agro@gmail.com</t>
  </si>
  <si>
    <t>ventaszonabajio@agrocisa.com.mx</t>
  </si>
  <si>
    <t>VENTAS-1-LP</t>
  </si>
  <si>
    <t>LA PIEDAD</t>
  </si>
  <si>
    <t>Rafael Godínez Ramirez</t>
  </si>
  <si>
    <t>zonabajiolp14@agrocisa.com.mx</t>
  </si>
  <si>
    <t>VENTAS-3-LP</t>
  </si>
  <si>
    <t>BAJIOLP14</t>
  </si>
  <si>
    <t>Marco Antonio Falcón Ramirez</t>
  </si>
  <si>
    <t>construccionlapiedad@agrocisa.com.mx</t>
  </si>
  <si>
    <t>VENTAS-2-LP</t>
  </si>
  <si>
    <t>BAJIOLP12</t>
  </si>
  <si>
    <t>Uziel Sánchez Martínez</t>
  </si>
  <si>
    <t>uzsanchez.agro@gmail.com</t>
  </si>
  <si>
    <t>Italia19</t>
  </si>
  <si>
    <t>uziel.sanchez@agrocisa.com.mx</t>
  </si>
  <si>
    <t>REFA-1-LP</t>
  </si>
  <si>
    <t>LPZONA02</t>
  </si>
  <si>
    <t>Manuel Martínez Rizo</t>
  </si>
  <si>
    <t>refaccioneslapieda01@agrocisa.com.mx</t>
  </si>
  <si>
    <t>manuel.martinez@agrocisa.com.mx</t>
  </si>
  <si>
    <t>REFA-2-LP</t>
  </si>
  <si>
    <t>LPZONA01</t>
  </si>
  <si>
    <t>Elsa Guadalupe Ramírez López</t>
  </si>
  <si>
    <t>refaccioneslapiedad@agrocisa.com.mx</t>
  </si>
  <si>
    <t>elsa.ramirez@agrocisa.com.mx</t>
  </si>
  <si>
    <t>4GR0C154#RLP</t>
  </si>
  <si>
    <t>ALMACEN-LP</t>
  </si>
  <si>
    <t>María Fernanda Navarro Salazar</t>
  </si>
  <si>
    <t>serviciolp.agro@gmail.com</t>
  </si>
  <si>
    <t>serviciolapiedad@agrocisa.com.mx</t>
  </si>
  <si>
    <t>4GR0C154#SLP</t>
  </si>
  <si>
    <t>SERVICIO-1-LP</t>
  </si>
  <si>
    <t>Vacante Garantías LP</t>
  </si>
  <si>
    <t>garantiaslapiedad@agrocisa.com.mx</t>
  </si>
  <si>
    <t>SERVICIO-2-LP</t>
  </si>
  <si>
    <t>Abraham Rodríguez Mendoza</t>
  </si>
  <si>
    <t>tallerlapiedad@agrocisa.com.mx</t>
  </si>
  <si>
    <t>4GR0C154#LPSER</t>
  </si>
  <si>
    <t>TALLER-LP</t>
  </si>
  <si>
    <t>Juan Pablo Mendez Guzmán</t>
  </si>
  <si>
    <t>promotorlp.agro@gmail.com</t>
  </si>
  <si>
    <t>juan.mendez@agrocisa.com.mx</t>
  </si>
  <si>
    <t>Ana Karen Rocel Guerrero</t>
  </si>
  <si>
    <t>Morelia</t>
  </si>
  <si>
    <t>cajamorelia@agrocisa.com.mx</t>
  </si>
  <si>
    <t>4GR0C154#MOR</t>
  </si>
  <si>
    <t>CAJA-MOR</t>
  </si>
  <si>
    <t>Karla Edith Escalante Rodríguez</t>
  </si>
  <si>
    <t>ventasmorelia.agro@gmail.com</t>
  </si>
  <si>
    <t>4GR0C154#MORAD</t>
  </si>
  <si>
    <t>ventas.morelia@agrocisa.com.mx</t>
  </si>
  <si>
    <t xml:space="preserve">4GR0C154#MOR </t>
  </si>
  <si>
    <t>VENTAS-MOR</t>
  </si>
  <si>
    <t>Silvia Janeth Meza Segura</t>
  </si>
  <si>
    <t>gerenciamorelia.agrocisa@gmail.com</t>
  </si>
  <si>
    <t>gerenciamorelia@agrocisa.com.mx</t>
  </si>
  <si>
    <t>4GR0C154#GERMOR</t>
  </si>
  <si>
    <t>GERENTE-MOR</t>
  </si>
  <si>
    <t>Ana Gabriela Trejo Loza</t>
  </si>
  <si>
    <t>gtrejo.agro@gmail.com</t>
  </si>
  <si>
    <t>gabriela.trejo@agrocisa.com.mx</t>
  </si>
  <si>
    <t>CONST-MORELIA</t>
  </si>
  <si>
    <t>MORELIA 1</t>
  </si>
  <si>
    <t>Hugo César Bucio López</t>
  </si>
  <si>
    <t>hugo.bucio.agro@gmail.com</t>
  </si>
  <si>
    <t>hugo.bucio@agrocisa.com.mx</t>
  </si>
  <si>
    <t>MORELIA 4</t>
  </si>
  <si>
    <t>Joel Velázquez Jaime</t>
  </si>
  <si>
    <t>joel.velazquez@agrocisa.com.mx</t>
  </si>
  <si>
    <t>ZONAEDOMEX</t>
  </si>
  <si>
    <t>Juan Pablo Tapia García</t>
  </si>
  <si>
    <t>juanpablotapia.agro@gmail.com</t>
  </si>
  <si>
    <t>juan.tapia@agrocisa.com.mx</t>
  </si>
  <si>
    <t>MORELIA 5</t>
  </si>
  <si>
    <t>Roberto Adrián Ferreira Muñiz</t>
  </si>
  <si>
    <t>ventasmo1.agro@gmail.com</t>
  </si>
  <si>
    <t>roberto.ferreira@agrocisa.com.mx</t>
  </si>
  <si>
    <t>ADRIAN-FERREIRA</t>
  </si>
  <si>
    <t>MORELIA2</t>
  </si>
  <si>
    <t>Patricia Salinas Villa</t>
  </si>
  <si>
    <t>pavina.agro@gmail.com</t>
  </si>
  <si>
    <t>patricia.avina@agrocisa.com.mx</t>
  </si>
  <si>
    <t>MORELIA 6</t>
  </si>
  <si>
    <t xml:space="preserve">José Juan Hernández Zavala </t>
  </si>
  <si>
    <t>construcciontc2.agro@gmail.com</t>
  </si>
  <si>
    <t>4GR0C154#CONS</t>
  </si>
  <si>
    <t>construccion.tc2@agrocisa.com.mx</t>
  </si>
  <si>
    <t>MORELIA 3</t>
  </si>
  <si>
    <t>Juan José Aviña</t>
  </si>
  <si>
    <t>javina.agro@gmail.com</t>
  </si>
  <si>
    <t>juan.avina@agrocisa.com.mx</t>
  </si>
  <si>
    <t xml:space="preserve">Luis Ángel Reyes Tena </t>
  </si>
  <si>
    <t>luis.reyes@agrocisa.com.mx</t>
  </si>
  <si>
    <t>ALMACEN-MORELIA</t>
  </si>
  <si>
    <t>ALMACEN-MOR</t>
  </si>
  <si>
    <t>Jaime Salazar Guzmán</t>
  </si>
  <si>
    <t>jaimesalazar.agro@gmail.com</t>
  </si>
  <si>
    <t>jaime.salazar@agrocisa.com.mx</t>
  </si>
  <si>
    <t>REFA-2-MOR</t>
  </si>
  <si>
    <t>MOZONA01</t>
  </si>
  <si>
    <t>Juan José Márquez Villanueva</t>
  </si>
  <si>
    <t>refacciones.mozona02.agro@gmail.com</t>
  </si>
  <si>
    <t>juan.marquez@agrocisa.com.mx</t>
  </si>
  <si>
    <t>REFA-3-MOR</t>
  </si>
  <si>
    <t>MOZONA02</t>
  </si>
  <si>
    <t>Yadira Torres Barajas</t>
  </si>
  <si>
    <t>refamostradormorelia.agro@gmail.com</t>
  </si>
  <si>
    <t>yadira.torres@agrocisa.com.mx</t>
  </si>
  <si>
    <t>REFA-1-MOR</t>
  </si>
  <si>
    <t>Gabriela González Hinojosa</t>
  </si>
  <si>
    <t>servicio.mo.agro@gmail.com</t>
  </si>
  <si>
    <t>serviciomorelia@agrocisa.com.mx</t>
  </si>
  <si>
    <t>SERVICIO-MORELIA</t>
  </si>
  <si>
    <t>Vacante Jefe de Taller Morelia</t>
  </si>
  <si>
    <t>tallermor.agro@gmail.com</t>
  </si>
  <si>
    <t>4GR0C154#MO</t>
  </si>
  <si>
    <t>tallermorelia@agrocisa.com.mx</t>
  </si>
  <si>
    <t>TALLER-MORELIA</t>
  </si>
  <si>
    <t>Marco Antonio Solís Ortega</t>
  </si>
  <si>
    <t>tecdrones.pj.agro@gmail.com</t>
  </si>
  <si>
    <t>4GR0C154#PJ</t>
  </si>
  <si>
    <t>María Guadalupe Gutiérrez Magaña</t>
  </si>
  <si>
    <t>lgutierrez.agro@gmail.com</t>
  </si>
  <si>
    <t>Monedero18</t>
  </si>
  <si>
    <t>guadalupe.gutierrez@agrocisa.com.mx</t>
  </si>
  <si>
    <t>CAJA-PJ</t>
  </si>
  <si>
    <t>Nancy Yaneth Arroyo Cabello</t>
  </si>
  <si>
    <t>ventaspenjamo@agrocisa.com.mx</t>
  </si>
  <si>
    <t>VENTAS-PJ</t>
  </si>
  <si>
    <t>Victor Hugo Avilez Gutiérrez</t>
  </si>
  <si>
    <t>choferpenjamo@agrocisa.com.mx</t>
  </si>
  <si>
    <t>Gerardo Damián Contreras Aguilar</t>
  </si>
  <si>
    <t>g.contrerasagro@gmail.com</t>
  </si>
  <si>
    <t>Londres2022</t>
  </si>
  <si>
    <t>gerardo.contreras@agrocisa.com.mx</t>
  </si>
  <si>
    <t>GERENTE-PJ</t>
  </si>
  <si>
    <t>Isidro Navarro Ibarra</t>
  </si>
  <si>
    <t>inavarropj.agro@gmail.com</t>
  </si>
  <si>
    <t>Irving Josue Vega Ibarra</t>
  </si>
  <si>
    <t>zonabajiopj18@agrocisa.com.mx</t>
  </si>
  <si>
    <t>BAJIOPJ18</t>
  </si>
  <si>
    <t>Rodolfo Rico Uribe</t>
  </si>
  <si>
    <t>zonabajiopj16@agrocisa.com.mx</t>
  </si>
  <si>
    <t>rodolfo.rico@agrocisa.com.mx</t>
  </si>
  <si>
    <t>BAJIOPJ16</t>
  </si>
  <si>
    <t>Santiago Cruz Elizarraraz</t>
  </si>
  <si>
    <t>scruz.agrocisa@gmail.com</t>
  </si>
  <si>
    <t>Africa25</t>
  </si>
  <si>
    <t>santiago.cruz@agrocisa.com.mx</t>
  </si>
  <si>
    <t>BAJIOPJ17</t>
  </si>
  <si>
    <t>Alan Ricardo Estrada Duarte</t>
  </si>
  <si>
    <t>construccionpenjamo.agro@gmail.com</t>
  </si>
  <si>
    <t>construccionpenjamo@agrocisa.com.mx</t>
  </si>
  <si>
    <t>CONST PENJAMO</t>
  </si>
  <si>
    <t>Juan Pablo Frausto Cervantes</t>
  </si>
  <si>
    <t>construccionguanajuato@agrocisa.com.mx</t>
  </si>
  <si>
    <t>Ángel Mauel Delgado Vázquez</t>
  </si>
  <si>
    <t>andelgado.agro@gmail.com</t>
  </si>
  <si>
    <t>angel.delgado@agrocisa.com.mx</t>
  </si>
  <si>
    <t>PJZONA01</t>
  </si>
  <si>
    <t>Uriel Martínez Martínez</t>
  </si>
  <si>
    <t>uriel.martinez@agrocisa.com.mx</t>
  </si>
  <si>
    <t>REFA-2-PJ</t>
  </si>
  <si>
    <t>PJZONA02</t>
  </si>
  <si>
    <t>Brenda Alcocer Alcocer</t>
  </si>
  <si>
    <t>refapj.agro@gmail.com</t>
  </si>
  <si>
    <t>brenda.alcocer@agrocisa.com.mx</t>
  </si>
  <si>
    <t>REFA-1-PJ</t>
  </si>
  <si>
    <t>Pedro Castañeda Vázquez</t>
  </si>
  <si>
    <t>pcastaneda.agro@gmail.com</t>
  </si>
  <si>
    <t>pedro.castaneda@agrocisa.com.mx</t>
  </si>
  <si>
    <t>ALMACEN-PJ</t>
  </si>
  <si>
    <t>Lorena González Macías</t>
  </si>
  <si>
    <t>garantiaspj.agro@gmail.com</t>
  </si>
  <si>
    <t>garantias.pj@agrocisa.com.mx</t>
  </si>
  <si>
    <t>GARANTIAS-PJ</t>
  </si>
  <si>
    <t>Martín Ceballos Castillo</t>
  </si>
  <si>
    <t>tallerpenjamo.agro@gmail.com</t>
  </si>
  <si>
    <t>tallerpenjamo@agrocisa.com.mx</t>
  </si>
  <si>
    <t>DINAMOMETRO-PJ</t>
  </si>
  <si>
    <t>Natanael Bravo Gallardo</t>
  </si>
  <si>
    <t>promotorpenjamo@agrocisa.com.mx</t>
  </si>
  <si>
    <t>Gerardo Gudalupe Mendoza Hinojoza</t>
  </si>
  <si>
    <t>Poncitlán</t>
  </si>
  <si>
    <t>tecdrones.po.agro@gmail.com</t>
  </si>
  <si>
    <t>4GR0C154#PO</t>
  </si>
  <si>
    <t>Maribel Cervantes Flores</t>
  </si>
  <si>
    <t>cajaponcitlan@agrocisa.com.mx</t>
  </si>
  <si>
    <t>4GR0C154#CAJA</t>
  </si>
  <si>
    <t>CAJA-PO</t>
  </si>
  <si>
    <t>Airam Monserrat Vázquez Segura</t>
  </si>
  <si>
    <t>ventasponci.agrocisa@gmail.com</t>
  </si>
  <si>
    <t>4GR0C154#PON</t>
  </si>
  <si>
    <t>airam.vazquez@agrocisa.com.mx</t>
  </si>
  <si>
    <t>4RG0C154#PON</t>
  </si>
  <si>
    <t>VENTAS-PO</t>
  </si>
  <si>
    <t>Moisés Alberto González Mendoza</t>
  </si>
  <si>
    <t>mgonzalez.agrocisa@gmail.com</t>
  </si>
  <si>
    <t>moises.gonzalez@agrocisa.com.mx</t>
  </si>
  <si>
    <t>4GR0C154#GER</t>
  </si>
  <si>
    <t>GERENTE-PO</t>
  </si>
  <si>
    <t>Gerardo Isaac Godínez Ramírez</t>
  </si>
  <si>
    <t>agricolazonapn08.agrocisa@gmail.com</t>
  </si>
  <si>
    <t>gerardo.godinez@agrocisa.com.mx</t>
  </si>
  <si>
    <t>CIENEGAPN08</t>
  </si>
  <si>
    <t>José Alfredo Macías Plascencia</t>
  </si>
  <si>
    <t>alfredomacias.agro@gmail.com</t>
  </si>
  <si>
    <t>jose.macias@agrocisa.com.mx</t>
  </si>
  <si>
    <t>Luis Felipe Tinoco Solorzano</t>
  </si>
  <si>
    <t>zonacienegapn09.agro@gmail.com</t>
  </si>
  <si>
    <t>zonacienegapn09@agrocisa.com.mx</t>
  </si>
  <si>
    <t>CIENEGAPN09</t>
  </si>
  <si>
    <t>Luis Gustavo Soto Ibarra</t>
  </si>
  <si>
    <t>construccionponcitlan.agro@gmail.com</t>
  </si>
  <si>
    <t>construccionponcitlan@agrocisa.com.mx</t>
  </si>
  <si>
    <t>CIENEGAPN10</t>
  </si>
  <si>
    <t>Bryan Arturo Ramírez Alonso</t>
  </si>
  <si>
    <t>bryan.ramirez@agrocisa.com.mx</t>
  </si>
  <si>
    <t>Ricardo Emmanuel Chávez Lumbreras</t>
  </si>
  <si>
    <t>ricardo.chavez@agrocisa.com.mx</t>
  </si>
  <si>
    <t>POZONA02</t>
  </si>
  <si>
    <t>Orlando Yael Ceja Briseño</t>
  </si>
  <si>
    <t>orlando.ceja@agrocisa.com.mx</t>
  </si>
  <si>
    <t xml:space="preserve">Patricia Yunuen Vázquez Villa </t>
  </si>
  <si>
    <t>pvazquez.agro@gmail.com</t>
  </si>
  <si>
    <t>Invierno19</t>
  </si>
  <si>
    <t>patricia.vazquez@agrocisa.com.mx</t>
  </si>
  <si>
    <t>SERVICIO-PO</t>
  </si>
  <si>
    <t>César Enrique Flores Franco</t>
  </si>
  <si>
    <t>tallerponcitlan@agrocisa.com.mx</t>
  </si>
  <si>
    <t>TALLER-PO</t>
  </si>
  <si>
    <t>Vacante Promotor de Servicio</t>
  </si>
  <si>
    <t>promotorponcitlan.agro@gmail.com</t>
  </si>
  <si>
    <t>Martín Salcedo Vargas</t>
  </si>
  <si>
    <t>Zona Altos</t>
  </si>
  <si>
    <t>martin.salcedo@agrocisa.com.mx</t>
  </si>
  <si>
    <t>4GR0C154#ZA</t>
  </si>
  <si>
    <t>GERENTE-ZA</t>
  </si>
  <si>
    <t>Pablo Arturo Maldonado Ponce</t>
  </si>
  <si>
    <t>pablo.maldonado@agrocisa.com.mx</t>
  </si>
  <si>
    <t>VENTAS-ZA</t>
  </si>
  <si>
    <t>ALTOS3</t>
  </si>
  <si>
    <t>María Guadalupe Díaz Hernández</t>
  </si>
  <si>
    <t>ventaszonatepa@agrocisa.com.mx</t>
  </si>
  <si>
    <t>maria.diaz@agrocisa.com.mx</t>
  </si>
  <si>
    <t>ZONATEPA</t>
  </si>
  <si>
    <t>Ex Juanito Castillo</t>
  </si>
  <si>
    <t>Sin Asignación</t>
  </si>
  <si>
    <t>Sin Asignar</t>
  </si>
  <si>
    <t>Marketing Experiencial</t>
  </si>
  <si>
    <t>marketingsucursales@agrocisa.com.mx</t>
  </si>
  <si>
    <t>4GR0C154#Mkt</t>
  </si>
  <si>
    <t>Renovación</t>
  </si>
  <si>
    <t>GB Plan</t>
  </si>
  <si>
    <t xml:space="preserve"> </t>
  </si>
  <si>
    <t>IMEI</t>
  </si>
  <si>
    <t>Número de Serie</t>
  </si>
  <si>
    <t>MacAddress</t>
  </si>
  <si>
    <t>Condición</t>
  </si>
  <si>
    <t>Cargador</t>
  </si>
  <si>
    <t>Caja</t>
  </si>
  <si>
    <t>Fecha de entrega</t>
  </si>
  <si>
    <t>Comentarios</t>
  </si>
  <si>
    <t>Observaciones</t>
  </si>
  <si>
    <t>Precio</t>
  </si>
  <si>
    <t>Samsung Galaxy A36</t>
  </si>
  <si>
    <t>RFGL119947D</t>
  </si>
  <si>
    <t>7C:7B:BF:E9:7B:4E</t>
  </si>
  <si>
    <t>Nuevo (a)</t>
  </si>
  <si>
    <t>Sin Cargador y Sin cable</t>
  </si>
  <si>
    <t>Con caja</t>
  </si>
  <si>
    <t>Sin detalles estéticos ni de funcionamiento</t>
  </si>
  <si>
    <t>Samsung Galaxy A56</t>
  </si>
  <si>
    <t>RZGL10508TV</t>
  </si>
  <si>
    <t>8C:2E:72:08:0D:51</t>
  </si>
  <si>
    <t>RZGL105089X</t>
  </si>
  <si>
    <t>8C:2E:72:08:0D:61</t>
  </si>
  <si>
    <t>Samsung S25FE 128GB</t>
  </si>
  <si>
    <t>R5GL32KPQ7N</t>
  </si>
  <si>
    <t>60:B4:A2:7D:72:28</t>
  </si>
  <si>
    <t>RZGL1037RRR</t>
  </si>
  <si>
    <t>8C:2E:72:05:19:63</t>
  </si>
  <si>
    <t>R5GYC3DXFPH</t>
  </si>
  <si>
    <t>24:F4:0A:EE:E1:51</t>
  </si>
  <si>
    <t>R5GYC4JY3CW</t>
  </si>
  <si>
    <t>78:33:C6:1B:DF:CA</t>
  </si>
  <si>
    <t>RZGL1036BXX</t>
  </si>
  <si>
    <t>8C:2E:72:05:0D:4F</t>
  </si>
  <si>
    <t>Cambio de Lada Ex Morelia Zona01</t>
  </si>
  <si>
    <t>RZGL1036NKE</t>
  </si>
  <si>
    <t>8C:2E:72:05:10:0F</t>
  </si>
  <si>
    <t>Iphone 17 256</t>
  </si>
  <si>
    <t>KFXLGFN0J7</t>
  </si>
  <si>
    <t>00:92:35:ED:20:70</t>
  </si>
  <si>
    <t>RFGL1199AQB</t>
  </si>
  <si>
    <t>7C:7B:BF:E9:7C:FC</t>
  </si>
  <si>
    <t>RFGL1199ATT</t>
  </si>
  <si>
    <t>7C:7B:BF:E9:7D:02</t>
  </si>
  <si>
    <t>RZGL10377DV</t>
  </si>
  <si>
    <t>8C:2E:72:05:14:A7</t>
  </si>
  <si>
    <t>RZGL10507ZR</t>
  </si>
  <si>
    <t>8C:2E:72:08:0D:4D</t>
  </si>
  <si>
    <t>RZGL1050BEZ</t>
  </si>
  <si>
    <t>8C:2E:72:08:0E:31</t>
  </si>
  <si>
    <t>sabado, 25 de abril de 2026</t>
  </si>
  <si>
    <t>Línea no era renovable</t>
  </si>
  <si>
    <t>RZGL105068T</t>
  </si>
  <si>
    <t>8C:2E:72:08:0C:DB</t>
  </si>
  <si>
    <t>R5GL32KPJ2M</t>
  </si>
  <si>
    <t>60:B4:A2:7D:70:92</t>
  </si>
  <si>
    <t>R5GYC4JW58H</t>
  </si>
  <si>
    <t>78:33:C6:1B:CF:42</t>
  </si>
  <si>
    <t>R5GYC4JW5TH</t>
  </si>
  <si>
    <t>78:33:C6:1B:CF:68</t>
  </si>
  <si>
    <t>R5GL32KPJVX</t>
  </si>
  <si>
    <t>60:B4:A2:7D:70:C6</t>
  </si>
  <si>
    <t>R5GL32KPQ2J</t>
  </si>
  <si>
    <t>60:B4:A2:7D:72:1E</t>
  </si>
  <si>
    <t>RFGL1198LFH</t>
  </si>
  <si>
    <t>7C:7B:BF:E9:76:FC</t>
  </si>
  <si>
    <t>R5GYC4JVP3N</t>
  </si>
  <si>
    <t>78:33:C6:1B:CB:5A</t>
  </si>
  <si>
    <t>R5GL32KP8PK</t>
  </si>
  <si>
    <t>60:B4:A2:7D:6E:28</t>
  </si>
  <si>
    <t>R5GYC4JVREX</t>
  </si>
  <si>
    <t>78:33:C6:1B:CB:F4</t>
  </si>
  <si>
    <t>R5GL32KP9FH</t>
  </si>
  <si>
    <t>60:B4:A2:7D:6E:5A</t>
  </si>
  <si>
    <t>R5GL32KPCYP</t>
  </si>
  <si>
    <t>60:B4:A2:7D:6F:40</t>
  </si>
  <si>
    <t>R5GYC4JY29W</t>
  </si>
  <si>
    <t>78:33:C6:1B:DF:82</t>
  </si>
  <si>
    <t>RZGL1035FAA</t>
  </si>
  <si>
    <t>8C:2E:72:05:05:AD</t>
  </si>
  <si>
    <t>R5GL32KPB7X</t>
  </si>
  <si>
    <t>60:B4:A2:7D:6E:CE</t>
  </si>
  <si>
    <t>RFGL1198GRR</t>
  </si>
  <si>
    <t>7C:7B:BF:E9:76:08</t>
  </si>
  <si>
    <t>RFGL1198FLT</t>
  </si>
  <si>
    <t>7C:7B:BF:E9:75:BC</t>
  </si>
  <si>
    <t>RZGL10355PW</t>
  </si>
  <si>
    <t>8C:2E:72:05:03:33</t>
  </si>
  <si>
    <t>RZGL1035F3B</t>
  </si>
  <si>
    <t>8C:2E:72:05:05:9F</t>
  </si>
  <si>
    <t>RZGL1050B6R</t>
  </si>
  <si>
    <t>8C:2E:72:08:0E:21</t>
  </si>
  <si>
    <t>RZGL103657W</t>
  </si>
  <si>
    <t>8C:2E:72:05:0B:95</t>
  </si>
  <si>
    <t>RZGL103564V</t>
  </si>
  <si>
    <t>8C:2E:72:05:03:4F</t>
  </si>
  <si>
    <t>RZGL1036RZM</t>
  </si>
  <si>
    <t>8C:2E:72:05:10:EF</t>
  </si>
  <si>
    <t>RZGL1035EKB</t>
  </si>
  <si>
    <t>8C:2E:72:05:05:7D</t>
  </si>
  <si>
    <t>RZGL1035KBM</t>
  </si>
  <si>
    <t>8C:2E:72:05:06:B7</t>
  </si>
  <si>
    <t>RZGL1036C2R</t>
  </si>
  <si>
    <t>8C:2E:72:05:0D:59</t>
  </si>
  <si>
    <t>R5GL32KPMDH</t>
  </si>
  <si>
    <t>60:B4:A2:7D:71:6E</t>
  </si>
  <si>
    <t>R5GYC4JY1VY</t>
  </si>
  <si>
    <t>78:33:C6:1B:DF:66</t>
  </si>
  <si>
    <t>RFGL1198HNJ</t>
  </si>
  <si>
    <t>7C:7B:BF:E9:76:44</t>
  </si>
  <si>
    <t>RFGL1198HGW</t>
  </si>
  <si>
    <t>7C:7B:BF:E9:76:38</t>
  </si>
  <si>
    <t>RFGL1198GVF</t>
  </si>
  <si>
    <t>7C:7B:BF:E9:76:0E</t>
  </si>
  <si>
    <t>RZGL1035ZDK</t>
  </si>
  <si>
    <t>8C:2E:72:05:0A:15</t>
  </si>
  <si>
    <t>R5GL32KPC8E</t>
  </si>
  <si>
    <t>60:B4:A2:7D:6F:12</t>
  </si>
  <si>
    <t>R5CYC4JVVTF</t>
  </si>
  <si>
    <t>78:33:C6:1B:CC:D4</t>
  </si>
  <si>
    <t>Iphone 12 PRO</t>
  </si>
  <si>
    <t>Iphone 17 Pro 256</t>
  </si>
  <si>
    <t>LQ66122TF4</t>
  </si>
  <si>
    <t>R5GYC4JW5CW</t>
  </si>
  <si>
    <t>78:33:C6:1B:CF:4A</t>
  </si>
  <si>
    <t>R5GL32KPT1A</t>
  </si>
  <si>
    <t>60:B4:A2:7D:72:E2</t>
  </si>
  <si>
    <t>RZGL1050BZW</t>
  </si>
  <si>
    <t>8C:2E:72:08:0E:55</t>
  </si>
  <si>
    <t>RFGL1198L5E</t>
  </si>
  <si>
    <t>7C:7B:BF:E9:76:E8</t>
  </si>
  <si>
    <t>R5GL32KPNFJ</t>
  </si>
  <si>
    <t>60:B4:A2:7D:71:B4</t>
  </si>
  <si>
    <t>R5GYC4JVQVW</t>
  </si>
  <si>
    <t>78:33:C6:1B:CB:CE</t>
  </si>
  <si>
    <t>RZGL1035BYH</t>
  </si>
  <si>
    <t>8C:2E:72:05:04:CF</t>
  </si>
  <si>
    <t>RZGL10357CN</t>
  </si>
  <si>
    <t>8C:2E:72:05:03:A1</t>
  </si>
  <si>
    <t>RZGL10368HZ</t>
  </si>
  <si>
    <t>8C:2E:72:05:0C:6F</t>
  </si>
  <si>
    <t>RZGL103684B</t>
  </si>
  <si>
    <t>8C:2E:72:05:0C:55</t>
  </si>
  <si>
    <t>R5GYC4JY31Z</t>
  </si>
  <si>
    <t>78:33:C6:1B:DF:B4</t>
  </si>
  <si>
    <t>R5GL32KPDMT</t>
  </si>
  <si>
    <t>60:B4:A2:7D:6F:6E</t>
  </si>
  <si>
    <t>Cambio porque Abraham es Coordinador</t>
  </si>
  <si>
    <t>RZGL10354LW</t>
  </si>
  <si>
    <t>8C:2E:72:05:02:EB</t>
  </si>
  <si>
    <t>RZGL1036H6Z</t>
  </si>
  <si>
    <t>F6:B9:CB:54:A8:0A</t>
  </si>
  <si>
    <t>RZGL105047F</t>
  </si>
  <si>
    <t>8C:2E:72:08:0C:55</t>
  </si>
  <si>
    <t>RZGL1035N6D</t>
  </si>
  <si>
    <t>8C:2E:72:05:07:73</t>
  </si>
  <si>
    <t>R5GL32KPDWF</t>
  </si>
  <si>
    <t>60:B4:A2:7D:6F:7E</t>
  </si>
  <si>
    <t>RZGL1036HGP</t>
  </si>
  <si>
    <t>8C:2E:72:05:0E:BF</t>
  </si>
  <si>
    <t>RZGL1036CBN</t>
  </si>
  <si>
    <t>8C:2E:72:05:0D:6B</t>
  </si>
  <si>
    <t>R5GYC4JXCJR</t>
  </si>
  <si>
    <t>78:33:C6:1B:D9:A6</t>
  </si>
  <si>
    <t>R5GL32KPD7J</t>
  </si>
  <si>
    <t>60:B4:A2:7D:6F:52</t>
  </si>
  <si>
    <t>R5GYC3DXFBY</t>
  </si>
  <si>
    <t>24:F4:0A:EE:E1:39</t>
  </si>
  <si>
    <t>R5GL32KPHGV</t>
  </si>
  <si>
    <t>60:B4:A2:7D:70:6C</t>
  </si>
  <si>
    <t>RFGL1198F8Y</t>
  </si>
  <si>
    <t>7C:7B:BF:E9:75:A4</t>
  </si>
  <si>
    <t>RZGL103658Z</t>
  </si>
  <si>
    <t>8C:2E:72:05:0B:97</t>
  </si>
  <si>
    <t>RFGL1036PJA</t>
  </si>
  <si>
    <t>1A:39:58:34:AE:79</t>
  </si>
  <si>
    <t>R5GYC4JWT0A</t>
  </si>
  <si>
    <t>78:33:C6:1B:D4:DE</t>
  </si>
  <si>
    <t>RFGL1198GYE</t>
  </si>
  <si>
    <t>7C:7B:BF:E9:76:14</t>
  </si>
  <si>
    <t>Samsung S26 Ultra 512GB</t>
  </si>
  <si>
    <t>R5GL20QWZ0M</t>
  </si>
  <si>
    <t>70:4E:E0:5F:87:E9</t>
  </si>
  <si>
    <t>LNPH95TXDF</t>
  </si>
  <si>
    <t>EA:88:FD:47:D5:90</t>
  </si>
  <si>
    <t>RZGL1035CFH</t>
  </si>
  <si>
    <t>8C:2E:72:05:04:F1</t>
  </si>
  <si>
    <t>RZGL1035NVP</t>
  </si>
  <si>
    <t>8C:2E:72:05:07:9F</t>
  </si>
  <si>
    <t>RZGL1050BSL</t>
  </si>
  <si>
    <t>8C:2E:72:08:0E:49</t>
  </si>
  <si>
    <t>RZGL1035C4Y</t>
  </si>
  <si>
    <t>8C:2E:72:05:04:DB</t>
  </si>
  <si>
    <t>RZGL1035EQR</t>
  </si>
  <si>
    <t>8C:2E:72:05:05:87</t>
  </si>
  <si>
    <t>RZGL1035S0H</t>
  </si>
  <si>
    <t>8C:2E:72:05:08:6F</t>
  </si>
  <si>
    <t>RZGL103659N</t>
  </si>
  <si>
    <t>8C:2E:72:05:0B:99</t>
  </si>
  <si>
    <t>RZGL1035L9Y</t>
  </si>
  <si>
    <t>8C:2E:72:05:06:F5</t>
  </si>
  <si>
    <t>RZGL10504CZ</t>
  </si>
  <si>
    <t>8C:2E:72:08:0C:5F</t>
  </si>
  <si>
    <t>R5GYC4JVR7V</t>
  </si>
  <si>
    <t>78:33:C6:1B:CB:E6</t>
  </si>
  <si>
    <t>RZGL1037G0A</t>
  </si>
  <si>
    <t>8C:2E:72:05:16:DF</t>
  </si>
  <si>
    <t>RZGL1036S3H</t>
  </si>
  <si>
    <t>8C:2E:72:05:10:F7</t>
  </si>
  <si>
    <t>Linea no era renovable, MKT usa iPhone</t>
  </si>
  <si>
    <t>R5GL32KPC2W</t>
  </si>
  <si>
    <t>60:B4:A2:7D:6F:06</t>
  </si>
  <si>
    <t>GOW2J24R4M</t>
  </si>
  <si>
    <t>1E:E3:F3:3E:3F:21</t>
  </si>
  <si>
    <t>RZGL1037PBK</t>
  </si>
  <si>
    <t>8C:2E:72:05:18:C3</t>
  </si>
  <si>
    <t>RZGL105044R</t>
  </si>
  <si>
    <t>8C:2E:72:08:0C:4F</t>
  </si>
  <si>
    <t>RFGL1199APJ</t>
  </si>
  <si>
    <t>7C:7B:BF:E9:7C:FA</t>
  </si>
  <si>
    <t>RZGL105085Z</t>
  </si>
  <si>
    <t>8C:2E:72:08:0D:59</t>
  </si>
  <si>
    <t>RZGL1035CSZ</t>
  </si>
  <si>
    <t>8C:2E:72:05:05:07</t>
  </si>
  <si>
    <t>RZGL1037SEY</t>
  </si>
  <si>
    <t>26:3B:5C:58:97:08</t>
  </si>
  <si>
    <t>RZGL10508GR</t>
  </si>
  <si>
    <t>8C:2E:72:08:0D:6F</t>
  </si>
  <si>
    <t>RZGL10508TK</t>
  </si>
  <si>
    <t>8C:2E:72:08:0D:85</t>
  </si>
  <si>
    <t>RZGL1037J0D</t>
  </si>
  <si>
    <t>8C:2E:72:05:17:63</t>
  </si>
  <si>
    <t>R5GYC4JY2JL</t>
  </si>
  <si>
    <t>72:5A:AE:22:4F:C6</t>
  </si>
  <si>
    <t>RZGL1037P2A</t>
  </si>
  <si>
    <t>8C:2E:72:05:18:B1</t>
  </si>
  <si>
    <t>R5GYC4JY2VW</t>
  </si>
  <si>
    <t>78:33:C6:1B:DF:A8</t>
  </si>
  <si>
    <t>RZGL1037P7W</t>
  </si>
  <si>
    <t>8C:2E:72:05:18:BB</t>
  </si>
  <si>
    <t>R5GYC4JX6NT</t>
  </si>
  <si>
    <t>78:33:C6:1B:D8:22</t>
  </si>
  <si>
    <t>RFGL1198K7K</t>
  </si>
  <si>
    <t>7C:7B:BF:E9:76:AA</t>
  </si>
  <si>
    <t>R5GL130VE7A</t>
  </si>
  <si>
    <t>78:33:C6:B4:7C:A6</t>
  </si>
  <si>
    <t>DMQXLM2H76</t>
  </si>
  <si>
    <t>8E:DE:1A:A2:BA:71</t>
  </si>
  <si>
    <t>RFGL1198JEA</t>
  </si>
  <si>
    <t>7C:7B:BF:E9:76:76</t>
  </si>
  <si>
    <t>RZGL1035A1Z</t>
  </si>
  <si>
    <t>8C:2E:72:05:04:51</t>
  </si>
  <si>
    <t>RZGL105080F</t>
  </si>
  <si>
    <t>8C:2E:72:08:0D:4F</t>
  </si>
  <si>
    <t>RZGL1035B2E</t>
  </si>
  <si>
    <t>8C:2E:72:05:04:95</t>
  </si>
  <si>
    <t>RZGL10383YX</t>
  </si>
  <si>
    <t>8C:2E:72:05:1C:45</t>
  </si>
  <si>
    <t>RZGL10368AL</t>
  </si>
  <si>
    <t>8C:2E:72:05:0C:61</t>
  </si>
  <si>
    <t>RZGL10372SJ</t>
  </si>
  <si>
    <t>1E:B7:EA:B4:6B:B8</t>
  </si>
  <si>
    <t>RZGL1035MSR</t>
  </si>
  <si>
    <t>8C:2E:72:05:07:59</t>
  </si>
  <si>
    <t>R5GYC4JVRBB</t>
  </si>
  <si>
    <t>78:33:C6:1B:CB:EE</t>
  </si>
  <si>
    <t>RZGL10506JZ</t>
  </si>
  <si>
    <t>8C:2E:72:08:0C:EF</t>
  </si>
  <si>
    <t>RZGL10354NN</t>
  </si>
  <si>
    <t>8C:2E:72:05:02:EF</t>
  </si>
  <si>
    <t>RZGL1035XXD</t>
  </si>
  <si>
    <t>8C:2E:72:05:09:B3</t>
  </si>
  <si>
    <t>RFGL1198L4Y</t>
  </si>
  <si>
    <t>7C:7B:BF:E9:76:E6</t>
  </si>
  <si>
    <t>R5GYC4JY28B</t>
  </si>
  <si>
    <t>78:33:C6:1B:DF:80</t>
  </si>
  <si>
    <t>R5GL32KPDZX</t>
  </si>
  <si>
    <t>60:B4:A2:7D:6F:84</t>
  </si>
  <si>
    <t>D6F425J6PO</t>
  </si>
  <si>
    <t>32:EE:19:1A:D9:DA</t>
  </si>
  <si>
    <t>RZGL1036RVE</t>
  </si>
  <si>
    <t>8C:2E:72:05:10:E7</t>
  </si>
  <si>
    <t>RZGL1035ABP</t>
  </si>
  <si>
    <t>8C:2E:72:05:04:65</t>
  </si>
  <si>
    <t>RZGL10357EK</t>
  </si>
  <si>
    <t>8C:2E:72:05:03:A5</t>
  </si>
  <si>
    <t>RZGL1035MAF</t>
  </si>
  <si>
    <t>8C:2E:72:05:07:39</t>
  </si>
  <si>
    <t>RZGL10377EY</t>
  </si>
  <si>
    <t>8C:2E:72:05:14:A9</t>
  </si>
  <si>
    <t>RZGL10365WM</t>
  </si>
  <si>
    <t>8C:2E:72:05:0B:C1</t>
  </si>
  <si>
    <t>R5CYC4JY66T</t>
  </si>
  <si>
    <t>78:33:C6:1B:E0:84</t>
  </si>
  <si>
    <t>RZGL10369BP</t>
  </si>
  <si>
    <t>8C:2E:72:05:0C:A5</t>
  </si>
  <si>
    <t>R5GL32KPPDT</t>
  </si>
  <si>
    <t>60:B4:A2:7D:71:F2</t>
  </si>
  <si>
    <t>RZGL10365FD</t>
  </si>
  <si>
    <t>8C:2E:72:05:0B:A5</t>
  </si>
  <si>
    <t>RZGL1037DWA</t>
  </si>
  <si>
    <t>8C:2E:72:05:16:53</t>
  </si>
  <si>
    <t>Honor X5 Plus</t>
  </si>
  <si>
    <t>ANMXCP4119400882</t>
  </si>
  <si>
    <t>EC:53:82:AE:8E:C1</t>
  </si>
  <si>
    <t>HOST</t>
  </si>
  <si>
    <t>Costo</t>
  </si>
  <si>
    <t>Observavciones</t>
  </si>
  <si>
    <t>Sistema Operativo</t>
  </si>
  <si>
    <t>Procesador</t>
  </si>
  <si>
    <t>RAM</t>
  </si>
  <si>
    <t>Chipset</t>
  </si>
  <si>
    <t>Almacenamiento</t>
  </si>
  <si>
    <t>Tipo HD</t>
  </si>
  <si>
    <t>Renovar</t>
  </si>
  <si>
    <t>Componentes</t>
  </si>
  <si>
    <t>MAC LAN</t>
  </si>
  <si>
    <t>MAC WIFI</t>
  </si>
  <si>
    <t>Fecha Mantenimiento</t>
  </si>
  <si>
    <t>Intel Core i3 @ 3.30GHz</t>
  </si>
  <si>
    <t>12 GB</t>
  </si>
  <si>
    <t>94:DE:80:83:5C:5D</t>
  </si>
  <si>
    <t/>
  </si>
  <si>
    <t>Windows 10 Pro 64-bit</t>
  </si>
  <si>
    <t>Intel Core i5 7400 @ 3.00GHz</t>
  </si>
  <si>
    <t>8 GB</t>
  </si>
  <si>
    <t>ASUSTeK COMPUTER INC. PRIME H110M-P</t>
  </si>
  <si>
    <t>240 GB</t>
  </si>
  <si>
    <t>SSD</t>
  </si>
  <si>
    <t>No</t>
  </si>
  <si>
    <t>Buenas condiciones</t>
  </si>
  <si>
    <t>0C:9D:92:64:BF:FE</t>
  </si>
  <si>
    <t>viernes 05 de junio de 2024</t>
  </si>
  <si>
    <t>TALLER-1</t>
  </si>
  <si>
    <t>Windows 7 Professional 64-bit SP1</t>
  </si>
  <si>
    <t>Intel Core i3 7100 @ 3.90GHz</t>
  </si>
  <si>
    <t>ASUSTeK COMPUTER INC. H110M-A/M.2</t>
  </si>
  <si>
    <t>1 TB</t>
  </si>
  <si>
    <t>HDD</t>
  </si>
  <si>
    <t>Media Vida</t>
  </si>
  <si>
    <t>38:D5:47:7C:99:EE</t>
  </si>
  <si>
    <t>martes 23 de julio 2024</t>
  </si>
  <si>
    <t>TALLER-2</t>
  </si>
  <si>
    <t>Windows 10 Home 64-bit</t>
  </si>
  <si>
    <t>Intel Pentium E6500 @ 2.93GHz</t>
  </si>
  <si>
    <t>4 GB</t>
  </si>
  <si>
    <t>Gigabyte Technology Co. Ltd. G41MT-S2P</t>
  </si>
  <si>
    <t>480 GB</t>
  </si>
  <si>
    <t>50:E5:49:84:9D:7E</t>
  </si>
  <si>
    <t>64:66:B3:07:5A:3A</t>
  </si>
  <si>
    <t>Windows 11 Pro 64-bit</t>
  </si>
  <si>
    <t>Intel Core i3 4160 @ 3.60GHz</t>
  </si>
  <si>
    <t>ASUSTeK COMPUTER INC. H81M-K</t>
  </si>
  <si>
    <t>38:D5:47:7B:34:C4</t>
  </si>
  <si>
    <t>jueves 11 de julio de 2024</t>
  </si>
  <si>
    <t>Intel Pentium G4400 @ 3.30GHz</t>
  </si>
  <si>
    <t>ECS H110M4-C23 (U3E1)</t>
  </si>
  <si>
    <t>F4:4D:30:AF:4B:BD</t>
  </si>
  <si>
    <t>miércoles 12 de julio de 2024</t>
  </si>
  <si>
    <t>AUX-ALMACEN</t>
  </si>
  <si>
    <t>Intel Core i3 4150 @ 3.50GHz</t>
  </si>
  <si>
    <t>ASUSTeK COMPUTER INC. H81M-A</t>
  </si>
  <si>
    <t>2C:56:DC:4C:F1:B0</t>
  </si>
  <si>
    <t>50:3E:AA:94:BB:E0</t>
  </si>
  <si>
    <t>martes 11 de junio de 2024</t>
  </si>
  <si>
    <t>sábado 05 de julio de 2025</t>
  </si>
  <si>
    <t>800 GB</t>
  </si>
  <si>
    <t>B0:6E:BF:2A:AB:55</t>
  </si>
  <si>
    <t>lunes 15 de julio de 2024</t>
  </si>
  <si>
    <t>7C:10:C9:44:9E:DA</t>
  </si>
  <si>
    <t>Usado (a)</t>
  </si>
  <si>
    <t xml:space="preserve">ASUSTeK COMPUTER INC. H110M-R </t>
  </si>
  <si>
    <t>18:31:BF:69:48:85</t>
  </si>
  <si>
    <t>18:31:BF:69:49:9C</t>
  </si>
  <si>
    <t>martes 20 de agosto de 2024</t>
  </si>
  <si>
    <t>Intel Processor @ 3.60GHz</t>
  </si>
  <si>
    <t>GHIA PRIME H510M-E</t>
  </si>
  <si>
    <t>FC:34:97:A1:74:B1</t>
  </si>
  <si>
    <t>martes 04 de julio de 2023</t>
  </si>
  <si>
    <t>2C:4D:54:D4:76:BA</t>
  </si>
  <si>
    <t>B0:6E:BF:BF:FC:F3</t>
  </si>
  <si>
    <t>lunes 27 de enero de 2024</t>
  </si>
  <si>
    <t>Windows 11</t>
  </si>
  <si>
    <t>2C:56:DC:4D:02:88</t>
  </si>
  <si>
    <t>0C:9D:92:64:BD:82</t>
  </si>
  <si>
    <t>Windows 7 Ultimate 32-bit SP1</t>
  </si>
  <si>
    <t>Intel Core i3 2100 @ 3.10GHz</t>
  </si>
  <si>
    <t>Gigabyte Technology Co. Ltd. H61M-S2V-B3</t>
  </si>
  <si>
    <t>Renovar - Obsoleta</t>
  </si>
  <si>
    <t>50:E5:49:2C:70:F2</t>
  </si>
  <si>
    <t>C8:7F:54:56:8B:A5</t>
  </si>
  <si>
    <t>Intel Core i7 7700K @ 4.20GHz</t>
  </si>
  <si>
    <t>16 GB</t>
  </si>
  <si>
    <t>ASUSTeK COMPUTER INC. STRIX B250H GAMING</t>
  </si>
  <si>
    <t>Fuente de poder</t>
  </si>
  <si>
    <t>10:7B:44:15:16:5A</t>
  </si>
  <si>
    <t>REFACCIONES-1</t>
  </si>
  <si>
    <t>Intel Processor @ 2.60GHz</t>
  </si>
  <si>
    <t>ASUSTeK COMPUTER INC. PRIME B460M-A R2.0</t>
  </si>
  <si>
    <t>500 GB</t>
  </si>
  <si>
    <t>FC:34:97:E5:4E:8A</t>
  </si>
  <si>
    <t>miércoles 03 de julio de 2024</t>
  </si>
  <si>
    <t>Windows 11 Pro</t>
  </si>
  <si>
    <t>D0:17:C2:AC:3E:42</t>
  </si>
  <si>
    <t>REFACCIONES-3</t>
  </si>
  <si>
    <t>7C:10:C9:8A:91:73</t>
  </si>
  <si>
    <t>SALA-JUNTAS</t>
  </si>
  <si>
    <t>Windows 11 Pro for Workstations 64-bit</t>
  </si>
  <si>
    <t>AMD Ryzen 7</t>
  </si>
  <si>
    <t>CHUWI Innovation And Technology</t>
  </si>
  <si>
    <t>84:47:09:10:7B:4E</t>
  </si>
  <si>
    <t>A8:93:4A:E0:4C:89</t>
  </si>
  <si>
    <t>B0:6E:BF:BF:FA:D9</t>
  </si>
  <si>
    <t>Windows 10 Pro for Workstations 64-bit</t>
  </si>
  <si>
    <t>Intel Core i3 6100 @ 3.70GHz</t>
  </si>
  <si>
    <t>ASUSTeK COMPUTER INC. B150M-K D3</t>
  </si>
  <si>
    <t>30:5A:3A:7E:6F:BD</t>
  </si>
  <si>
    <t>jueves 02 de enero de 2024</t>
  </si>
  <si>
    <t>Intel Processor @ 3.20GHz</t>
  </si>
  <si>
    <t>HP 885F</t>
  </si>
  <si>
    <t>84:69:93:78:3A:6B</t>
  </si>
  <si>
    <t>30:03:C8:83:76:5D</t>
  </si>
  <si>
    <t>Windows 7 Professional 32-bit SP1</t>
  </si>
  <si>
    <t>Intel Pentium E5400 @ 2.70GHz</t>
  </si>
  <si>
    <t>2 GB</t>
  </si>
  <si>
    <t>ECS P43G</t>
  </si>
  <si>
    <t>44:87:FC:88:29:8F</t>
  </si>
  <si>
    <t>miércoles 24 de julio de 2024</t>
  </si>
  <si>
    <t>lunes 17 de febrero de 2025</t>
  </si>
  <si>
    <t>Intel Core i3 3220 @ 3.30GHz</t>
  </si>
  <si>
    <t>ASUSTeK COMPUTER INC. P8B75-M</t>
  </si>
  <si>
    <t>Fuente de Poder</t>
  </si>
  <si>
    <t>BC-EE-7B-8C-1C-E7</t>
  </si>
  <si>
    <t>Obsoleto (a)</t>
  </si>
  <si>
    <t>Intel Core 2 Duo E7400 @ 2.80GHz</t>
  </si>
  <si>
    <t>Dell Inc. 0P301D</t>
  </si>
  <si>
    <t>340 GB</t>
  </si>
  <si>
    <t>Obsoleto</t>
  </si>
  <si>
    <t>00:21:9B:26:46:DE</t>
  </si>
  <si>
    <t>Windows 7 Ultimate 64-bit SP1</t>
  </si>
  <si>
    <t>Fuente de Poder y SSD</t>
  </si>
  <si>
    <t>E0:3F:49:83:3D:48</t>
  </si>
  <si>
    <t>B0:6E:BF:BE:C8:4F</t>
  </si>
  <si>
    <t>martes 14 de enero de 2024</t>
  </si>
  <si>
    <t>Intel Core i5 @ 2.80GHz</t>
  </si>
  <si>
    <t>ASUSTeK COMPUTER INC. PRIME B360M-A</t>
  </si>
  <si>
    <t>04:92:26:4C:44:32</t>
  </si>
  <si>
    <t>B0:6E:BF:2A:AA:5B</t>
  </si>
  <si>
    <t>jueves 04 de julio de 2024</t>
  </si>
  <si>
    <t>Intel Pentium G2030 @ 3.00GHz</t>
  </si>
  <si>
    <t>ECS H61H2-MV</t>
  </si>
  <si>
    <t>74:27:EA:4A:7D:57</t>
  </si>
  <si>
    <t>lunes 16 de diciembre de 2024</t>
  </si>
  <si>
    <t>A0:36:BC:E6:9E:E7</t>
  </si>
  <si>
    <t>martes 21 de enero de 2025</t>
  </si>
  <si>
    <t>38:D5:47:7C:D9:67</t>
  </si>
  <si>
    <t>martes 27 de agosto de 2024</t>
  </si>
  <si>
    <t>0C:9D:92:64:BD:BF</t>
  </si>
  <si>
    <t>58:11:22:19:1E:83</t>
  </si>
  <si>
    <t>E0:3F:49:81:5B:9E</t>
  </si>
  <si>
    <t>ASUSTeK COMPUTER INC. H110M-D</t>
  </si>
  <si>
    <t>60:45:CB:6D:EC:4E</t>
  </si>
  <si>
    <t>B0:6E:BF:BF:F5:EA</t>
  </si>
  <si>
    <t>30:5A:3A:56:87:DD</t>
  </si>
  <si>
    <t>Gigabyte Technology Co. Ltd. H510M H</t>
  </si>
  <si>
    <t>74:56:3C:07:B7:42</t>
  </si>
  <si>
    <t>B8:AE:ED:35:13:9B</t>
  </si>
  <si>
    <t>jueves 18 de julio de 2024</t>
  </si>
  <si>
    <t>miércoles 05 de marzo de 2025</t>
  </si>
  <si>
    <t>14:DD:A9:E1:FA:E5</t>
  </si>
  <si>
    <t>74:27:EA:4A:75:97</t>
  </si>
  <si>
    <t>Teclado</t>
  </si>
  <si>
    <t>14:DD:A9:E1:FB:8C</t>
  </si>
  <si>
    <t>AMD Ryzen 3 PRO</t>
  </si>
  <si>
    <t>GHIA PRIME A320M-K</t>
  </si>
  <si>
    <t>Buenas Condiciones</t>
  </si>
  <si>
    <t>C8:7F:54:56:87:7B</t>
  </si>
  <si>
    <t>Mouse</t>
  </si>
  <si>
    <t>14:DD:A9:E1:FB:99</t>
  </si>
  <si>
    <t>SERVICIO-PJ</t>
  </si>
  <si>
    <t>C8:7F:54:56:8E:89</t>
  </si>
  <si>
    <t>jueves 15 de agosto de 2024</t>
  </si>
  <si>
    <t>VENTAS-1-PJ</t>
  </si>
  <si>
    <t>Obsoleta</t>
  </si>
  <si>
    <t>00:11:22:33:44:55</t>
  </si>
  <si>
    <t>VENTAS-2-PJ</t>
  </si>
  <si>
    <t>Intel Pentium G645 @ 2.90GHz</t>
  </si>
  <si>
    <t>Intel Corporation DH61HO</t>
  </si>
  <si>
    <t>EC:A8:6B:72:1E:F0</t>
  </si>
  <si>
    <t>VENTAS-ONLINE</t>
  </si>
  <si>
    <t>4C:ED:FB:C2:5B:41</t>
  </si>
  <si>
    <t>miércoles 11 de septiembre de 2024</t>
  </si>
  <si>
    <t>GARANTIAS-PO</t>
  </si>
  <si>
    <t>Intel Core i5 @ 2.90GHz</t>
  </si>
  <si>
    <t>Gigabyte Technology Co. Ltd. B365M H</t>
  </si>
  <si>
    <t>18:C0:4D:60:E7:1C</t>
  </si>
  <si>
    <t>REFA-1-PO</t>
  </si>
  <si>
    <t>Windows 10 Pro 32-bit</t>
  </si>
  <si>
    <t>ASUSTeK COMPUTER INC. H61M-E</t>
  </si>
  <si>
    <t>BC:EE:7B:9C:09:97</t>
  </si>
  <si>
    <t>viernes 09 de agosto de 2024</t>
  </si>
  <si>
    <t>REFA-2-PO</t>
  </si>
  <si>
    <t>B0:6E:BF:BE:C1:18</t>
  </si>
  <si>
    <t>74:27:EA:4A:30:0E</t>
  </si>
  <si>
    <t>lunes 19 de mayo de 2025</t>
  </si>
  <si>
    <t>180 GB</t>
  </si>
  <si>
    <t>B8:AE:ED:35:25:08</t>
  </si>
  <si>
    <t>VENDEDORES-PO</t>
  </si>
  <si>
    <t>Windows 7 Home Basic 32-bit SP1</t>
  </si>
  <si>
    <t>Intel Core 2 Duo E7500 @ 2.93GHz</t>
  </si>
  <si>
    <t>3 GB</t>
  </si>
  <si>
    <t>Intel Corporation DG41CN</t>
  </si>
  <si>
    <t>70:71:BC:B1:93:62</t>
  </si>
  <si>
    <t>70:71:BC:B1:CC:0A</t>
  </si>
  <si>
    <t>CONTA-PRAC</t>
  </si>
  <si>
    <t>AMD Ryzen 3</t>
  </si>
  <si>
    <t>08:BF:B8:A6:F0:B6</t>
  </si>
  <si>
    <t>martes 05 agosto de 2025</t>
  </si>
  <si>
    <t>Windows 11 pro 64-bit</t>
  </si>
  <si>
    <t>Intel Core i3-7100 @ 3.90GHz</t>
  </si>
  <si>
    <t>ASUSek COMPUTER INC. PRIME H110M-P (LGA1151)</t>
  </si>
  <si>
    <t>20:23:51:9A:25:D1</t>
  </si>
  <si>
    <t>Nombre de Host</t>
  </si>
  <si>
    <t>Condicion</t>
  </si>
  <si>
    <t>Marca</t>
  </si>
  <si>
    <t>Modelo</t>
  </si>
  <si>
    <t>No. Serie</t>
  </si>
  <si>
    <t>Correo empresarial</t>
  </si>
  <si>
    <t>Con cargador Original y cable Original</t>
  </si>
  <si>
    <t>martes 28 de enero de 2025</t>
  </si>
  <si>
    <t>Lenovo</t>
  </si>
  <si>
    <t>THINKPAD L14 GEN 1</t>
  </si>
  <si>
    <t>LENOVO 20U6S44E00</t>
  </si>
  <si>
    <t>84:A9:38:FE:5A:88</t>
  </si>
  <si>
    <t>C8:94:02:BC:0F:BB</t>
  </si>
  <si>
    <t>jueves 27 de marzo de 2025</t>
  </si>
  <si>
    <t>Hewlett Packard</t>
  </si>
  <si>
    <t>15-da0009la</t>
  </si>
  <si>
    <t>5CD9466J7R</t>
  </si>
  <si>
    <t>Windows 10 Home Single Language 64-bit</t>
  </si>
  <si>
    <t>Intel Core i3 @ 2.30GHz</t>
  </si>
  <si>
    <t>HP 864E</t>
  </si>
  <si>
    <t>40:23:43:34:77:7F</t>
  </si>
  <si>
    <t>COM-INT-N</t>
  </si>
  <si>
    <t>Batería Dañada</t>
  </si>
  <si>
    <t>lunes 19 de enero de 2025</t>
  </si>
  <si>
    <t>V330-14ARR - 81B1</t>
  </si>
  <si>
    <t>MTM:81B1002ULM</t>
  </si>
  <si>
    <t>AMD Ryzen 5</t>
  </si>
  <si>
    <t>6 GB</t>
  </si>
  <si>
    <t>LENOVO LNVNB161216</t>
  </si>
  <si>
    <t>7C:8A:E1:2D:3D:78</t>
  </si>
  <si>
    <t>E4:AA:EA:E1:01:27</t>
  </si>
  <si>
    <t>sabado 17 de enero de 2026</t>
  </si>
  <si>
    <t>Acer</t>
  </si>
  <si>
    <t>N16Q1</t>
  </si>
  <si>
    <t>NXGCUAL00963107A9D7600</t>
  </si>
  <si>
    <t>Intel Core i5 7200U @ 2.50GHz</t>
  </si>
  <si>
    <t>HP 8368 (U3E1)</t>
  </si>
  <si>
    <t>54:AB:3A:B5:04:56</t>
  </si>
  <si>
    <t>40:49:0F:80:AD:B9</t>
  </si>
  <si>
    <t>Dell</t>
  </si>
  <si>
    <t>81F4</t>
  </si>
  <si>
    <t>Windows 11 Home Single Language 64-bit</t>
  </si>
  <si>
    <t>Intel Core i7 @ 1.80GHz</t>
  </si>
  <si>
    <t>Dell Inc. 0TNFXD</t>
  </si>
  <si>
    <t>54:8D:5A:76:5F:66</t>
  </si>
  <si>
    <t>Aspire E5-475</t>
  </si>
  <si>
    <t>NXGCWAL01171027AF47600</t>
  </si>
  <si>
    <t>Acer AntMan_SK</t>
  </si>
  <si>
    <t>A8:1E:84:56:B5:81</t>
  </si>
  <si>
    <t>3C:A0:67:86:89:D9</t>
  </si>
  <si>
    <t>miércoles 20 de septiembre de 2023</t>
  </si>
  <si>
    <t>P143G</t>
  </si>
  <si>
    <t>NT2020MX061840</t>
  </si>
  <si>
    <t>7 GB</t>
  </si>
  <si>
    <t>Dell Inc. 0FH5FM</t>
  </si>
  <si>
    <t>10:6F:D9:BB:01:CF</t>
  </si>
  <si>
    <t>10:6F:D9:C5:5E:5B</t>
  </si>
  <si>
    <t>Inspiron 15 352s</t>
  </si>
  <si>
    <t>JXVY8W3</t>
  </si>
  <si>
    <t>Dell Inc. 035P38</t>
  </si>
  <si>
    <t>F0:A6:54:DE:F4:AB</t>
  </si>
  <si>
    <t>DINAMOMETRO-LP</t>
  </si>
  <si>
    <t>Inspiron 15</t>
  </si>
  <si>
    <t>Windows 10 Enterprise 64-bit</t>
  </si>
  <si>
    <t>Dell Inc. 04YVDP (U3E1)</t>
  </si>
  <si>
    <t>10:7D:1A:35:A9:BC</t>
  </si>
  <si>
    <t>E8:9E:B4:34:1F:DD</t>
  </si>
  <si>
    <t>Detalle en teclado</t>
  </si>
  <si>
    <t>sabado 20 de septiembre de 2025</t>
  </si>
  <si>
    <t>Intel Core i5 @ 2.50GHz</t>
  </si>
  <si>
    <t>Dell Inc. 04YVDP</t>
  </si>
  <si>
    <t>10:7D:1A:2F:EA:A3</t>
  </si>
  <si>
    <t>54:13:79:AD:61:4D</t>
  </si>
  <si>
    <t>ESCANER-MORELIA</t>
  </si>
  <si>
    <t>N17C4</t>
  </si>
  <si>
    <t>NXH2NAL0028200F9723400</t>
  </si>
  <si>
    <t>Intel Core i5 @ 1.60GHz</t>
  </si>
  <si>
    <t>KBL Charmander_KL</t>
  </si>
  <si>
    <t>98:28:A6:0F:E8:C7</t>
  </si>
  <si>
    <t>70:C9:4E:B8:FD:51</t>
  </si>
  <si>
    <t>PR-MKT</t>
  </si>
  <si>
    <t>HP</t>
  </si>
  <si>
    <t>RTL8723DE</t>
  </si>
  <si>
    <t>CND90724TC</t>
  </si>
  <si>
    <t>B0:0C:D1:E8:4B:D6</t>
  </si>
  <si>
    <t>48:5F:99:4A:B5:BD</t>
  </si>
  <si>
    <t>AUX-CAJA</t>
  </si>
  <si>
    <t>2 TB</t>
  </si>
  <si>
    <t>10:7D:1A:2F:E7:AF</t>
  </si>
  <si>
    <t>54:13:79:AA:F2:DF</t>
  </si>
  <si>
    <t>jueves 13 de marzo de 2025</t>
  </si>
  <si>
    <t>ZRK</t>
  </si>
  <si>
    <t>NXMA3AL0103390FBCA7600</t>
  </si>
  <si>
    <t>Intel Core @ 1.80GHz</t>
  </si>
  <si>
    <t>Acer Dazzle_CX</t>
  </si>
  <si>
    <t>3C:77:E6:AF:78:22</t>
  </si>
  <si>
    <t>3C:77:E6:AF:78:21</t>
  </si>
  <si>
    <t>Con cargador y cable Genéricos</t>
  </si>
  <si>
    <t>martes 05 de noviembre de 2024</t>
  </si>
  <si>
    <t>N16Q2</t>
  </si>
  <si>
    <t>Intel Core i3 6100U @ 2.30GHz</t>
  </si>
  <si>
    <t>Acer Ironman_SK (U3E1)</t>
  </si>
  <si>
    <t>CA:FF:7D:2E:1C:B4</t>
  </si>
  <si>
    <t>C8:FF:28:2E:89:BD</t>
  </si>
  <si>
    <t>TECNICO-DRONES-O</t>
  </si>
  <si>
    <t>Con Cargador Original</t>
  </si>
  <si>
    <t>Equipo obsoleto</t>
  </si>
  <si>
    <t>Notebook</t>
  </si>
  <si>
    <t>14-G031LA</t>
  </si>
  <si>
    <t>AMD E1-6010</t>
  </si>
  <si>
    <t>Hewlett-Packard 22CF</t>
  </si>
  <si>
    <t>38:63:BB:E2:8A:43</t>
  </si>
  <si>
    <t>30:10:B3:BB:6C:C7</t>
  </si>
  <si>
    <t>YD04AW7F</t>
  </si>
  <si>
    <t>LENOVO LNVNB161216 (U3E1)</t>
  </si>
  <si>
    <t>50:5B:C2:BF:1A:4D</t>
  </si>
  <si>
    <t>jueves 06 de febrero de 2020</t>
  </si>
  <si>
    <t>15-dy0016la</t>
  </si>
  <si>
    <t>5CD9466JNG</t>
  </si>
  <si>
    <t>viernes 31 de marzo de 2023</t>
  </si>
  <si>
    <t>V14G2ALC</t>
  </si>
  <si>
    <t>PF3WVTXS</t>
  </si>
  <si>
    <t>00:45:E2:BF:20:25</t>
  </si>
  <si>
    <t>viernes 19 de septiembre de 2025</t>
  </si>
  <si>
    <t>Pavilion 15/EH0XXX</t>
  </si>
  <si>
    <t>5CD1424D2X</t>
  </si>
  <si>
    <t>HP 87C5</t>
  </si>
  <si>
    <t>48:E7:DA:66:15:97</t>
  </si>
  <si>
    <t>PANELES-SOLARES-</t>
  </si>
  <si>
    <t>Usado</t>
  </si>
  <si>
    <t>Siniestrada</t>
  </si>
  <si>
    <t>NXGE7AL001619010E67600</t>
  </si>
  <si>
    <t>54:AB:3A:80:CC:B1</t>
  </si>
  <si>
    <t>C8:FF:28:31:FB:C9</t>
  </si>
  <si>
    <t>CORD-AI</t>
  </si>
  <si>
    <t>5CD1424D1B</t>
  </si>
  <si>
    <t>Windows 11 Enterprise 64-bit</t>
  </si>
  <si>
    <t>16 FB</t>
  </si>
  <si>
    <t>CND90724RC</t>
  </si>
  <si>
    <t>HP 84A6</t>
  </si>
  <si>
    <t>B0:0C:D1:E8:46:CA</t>
  </si>
  <si>
    <t>48:5F:99:4A:B5:A7</t>
  </si>
  <si>
    <t>15-dy2052la</t>
  </si>
  <si>
    <t>5CD1528XFT</t>
  </si>
  <si>
    <t>Intel Processor @ 2.40GHz</t>
  </si>
  <si>
    <t>HP 87FE</t>
  </si>
  <si>
    <t>10:6F:D9:C5:05:CB</t>
  </si>
  <si>
    <t>Teclado reparado</t>
  </si>
  <si>
    <t>5CD1424D2B</t>
  </si>
  <si>
    <t>48:E7:DA:66:AF:91</t>
  </si>
  <si>
    <t>Batería reparada</t>
  </si>
  <si>
    <t>NXGCWAL01171027A0E7600</t>
  </si>
  <si>
    <t>A8:1E:84:56:B6:BC</t>
  </si>
  <si>
    <t>3C:A0:67:86:7C:83</t>
  </si>
  <si>
    <t>sábado 15 de julio de 2023</t>
  </si>
  <si>
    <t>VOSTRO 14 3000</t>
  </si>
  <si>
    <t>FCBJZT3</t>
  </si>
  <si>
    <t>Dell Inc. 05HPX6</t>
  </si>
  <si>
    <t>04:BF:1B:3F:F5:BD</t>
  </si>
  <si>
    <t>F0:A6:54:3D:BA:21</t>
  </si>
  <si>
    <t>NXGCUAL009631077F77600</t>
  </si>
  <si>
    <t>Acer AntMan_SK (U3E1)</t>
  </si>
  <si>
    <t>54:AB:3A:B2:38:8C</t>
  </si>
  <si>
    <t>40:49:0F:78:B8:23</t>
  </si>
  <si>
    <t>03 de febrero de 2025</t>
  </si>
  <si>
    <t>Vostro 3515</t>
  </si>
  <si>
    <t>GZ336N3</t>
  </si>
  <si>
    <t>Dell Inc. 0G62VR</t>
  </si>
  <si>
    <t>B4:45:06:AC:40:DF</t>
  </si>
  <si>
    <t>50:C2:E8:16:A7:B3</t>
  </si>
  <si>
    <t>VENTAS-MORELIA</t>
  </si>
  <si>
    <t>Robada a Adrián Ferreira</t>
  </si>
  <si>
    <t>jueves 05 de octubre de 2023</t>
  </si>
  <si>
    <t>NT2020MX061846</t>
  </si>
  <si>
    <t>10:6F:D9:BB:01:D7</t>
  </si>
  <si>
    <t>CM5HZT3</t>
  </si>
  <si>
    <t>04:BF:1B:40:03:3D</t>
  </si>
  <si>
    <t>TALLER-PJ</t>
  </si>
  <si>
    <t>Equipo en mal estado</t>
  </si>
  <si>
    <t>jueves 15 de septiembre de 2022</t>
  </si>
  <si>
    <t>Toshiba</t>
  </si>
  <si>
    <t>No legible</t>
  </si>
  <si>
    <t>Windows 7 Starter 32-bit</t>
  </si>
  <si>
    <t>Intel Celeron B815 @ 1.60GHz</t>
  </si>
  <si>
    <t>00:26:6C:12:CE:E1</t>
  </si>
  <si>
    <t>44:6D:57:2A:61:61</t>
  </si>
  <si>
    <t>martes 14 de febrero de 2023</t>
  </si>
  <si>
    <t>PF-3FBL8X</t>
  </si>
  <si>
    <t>C8:94:02:BC:12:09</t>
  </si>
  <si>
    <t>SERV-CONTPAQ</t>
  </si>
  <si>
    <t>KBL Metapod_KL</t>
  </si>
  <si>
    <t>98:28:A6:1C:FD:D1</t>
  </si>
  <si>
    <t>30:D1:6B:AE:9E:1B</t>
  </si>
  <si>
    <t>DEALER-STANDARD</t>
  </si>
  <si>
    <t>lunes 28 de abril de 2025</t>
  </si>
  <si>
    <t>15-en0031a</t>
  </si>
  <si>
    <t>5CDI4Z4CVH</t>
  </si>
  <si>
    <t>48:E7:DA:66:B4:D9</t>
  </si>
  <si>
    <t>5CD152841T</t>
  </si>
  <si>
    <t>10:6F:D9:C4:A0:E9</t>
  </si>
  <si>
    <t>CAJA-L</t>
  </si>
  <si>
    <t>Asusteck</t>
  </si>
  <si>
    <t>Prime B460M-A</t>
  </si>
  <si>
    <t>Inspiron 15-3567</t>
  </si>
  <si>
    <t>5952PJ2</t>
  </si>
  <si>
    <t>KBL Metapod_KL (U3E1)</t>
  </si>
  <si>
    <t>98:28:A6:1B:11:BD</t>
  </si>
  <si>
    <t>30:D1:6B:AE:C1:E1</t>
  </si>
  <si>
    <t>Display Reparado</t>
  </si>
  <si>
    <t>jueves 18 de diciembre de 2025</t>
  </si>
  <si>
    <t>N15Q6</t>
  </si>
  <si>
    <t>NXG1KAL0015380A0517600</t>
  </si>
  <si>
    <t>Intel Core i5 @ 2.20GHz</t>
  </si>
  <si>
    <t>Acer USOPP_BH (U3E1)</t>
  </si>
  <si>
    <t>2C-60-0C-DF-B1-BF</t>
  </si>
  <si>
    <t>94-65-9C-4F-1C-44</t>
  </si>
  <si>
    <t>Aspire A315-53</t>
  </si>
  <si>
    <t>NXH2AAL0098340B39A3400</t>
  </si>
  <si>
    <t>Falso contacto en cargador</t>
  </si>
  <si>
    <t>lunes 19 de enero de 2026</t>
  </si>
  <si>
    <t>Intel Pentium CPU N4200 @ 1.10GHz</t>
  </si>
  <si>
    <t>88:B1:11:8B:79:8C</t>
  </si>
  <si>
    <t>NXGCUAL00963107B247600</t>
  </si>
  <si>
    <t>40:49:0F:80:EF:75</t>
  </si>
  <si>
    <t>lunes 23 de junio de 2025</t>
  </si>
  <si>
    <t>CND90723S9</t>
  </si>
  <si>
    <t>48:5F:99:40:01:57</t>
  </si>
  <si>
    <t>miércoles 04 de diciembre de 2024</t>
  </si>
  <si>
    <t>N23C3</t>
  </si>
  <si>
    <t>NXKJRAL00H347040F3400</t>
  </si>
  <si>
    <t>MDC Herbag_MDU</t>
  </si>
  <si>
    <t>D0:39:57:7D:F2:57</t>
  </si>
  <si>
    <t>lunes 15 de enero de 2023</t>
  </si>
  <si>
    <t>NXKJEAL00H347042743400</t>
  </si>
  <si>
    <t>D0:39:57:7E:04:C1</t>
  </si>
  <si>
    <t>MKT-ASUS</t>
  </si>
  <si>
    <t>Falta S-Pen</t>
  </si>
  <si>
    <t>martes 04 de fecbrero de 2025</t>
  </si>
  <si>
    <t>ZenBook Pro Duo</t>
  </si>
  <si>
    <t>N6N0CV04D85723B</t>
  </si>
  <si>
    <t>Intel Core i7-12700H</t>
  </si>
  <si>
    <t>ASUS UX582ZW</t>
  </si>
  <si>
    <t>BC:6E:E2:C6:74:D8</t>
  </si>
  <si>
    <t>PRACTICANTE-PV</t>
  </si>
  <si>
    <t>Sin Información</t>
  </si>
  <si>
    <t>Intel(R) Celeron(R) 847 @ 1.10 ghZ</t>
  </si>
  <si>
    <t>Hewlett-Packard 1854</t>
  </si>
  <si>
    <t>F0:92:1C:52:C2:37</t>
  </si>
  <si>
    <t>0C:84:DC:AC:00:0D</t>
  </si>
  <si>
    <t>CND907252L</t>
  </si>
  <si>
    <t>48:5F:99:3F:A3:AF</t>
  </si>
  <si>
    <t>Lenovo V15 G4 ABP</t>
  </si>
  <si>
    <t>PF4LHPFD</t>
  </si>
  <si>
    <t xml:space="preserve">Windows 11 pro 64-bit </t>
  </si>
  <si>
    <t>AMD Ryzen 7 7730U</t>
  </si>
  <si>
    <t>FC:5C:EE:BB:25:2A</t>
  </si>
  <si>
    <t>E8:65:38:25:2E:31</t>
  </si>
  <si>
    <t>martes 05 de diciembre de 2024</t>
  </si>
  <si>
    <t>V15 G4 ABP</t>
  </si>
  <si>
    <t>PF4LHWC8</t>
  </si>
  <si>
    <t>FC:5C:EE:C1:EC:79</t>
  </si>
  <si>
    <t>E8:65:38:17:D2:7F</t>
  </si>
  <si>
    <t>sábado 29 de noviembre de 2025</t>
  </si>
  <si>
    <t>PF4LHBHM</t>
  </si>
  <si>
    <t>FC:5C:EE:C1:E6:59</t>
  </si>
  <si>
    <t>E8:65:38:25:2D:E9</t>
  </si>
  <si>
    <t>viernes 23 de mayo de 2025</t>
  </si>
  <si>
    <t>15-fc00801a</t>
  </si>
  <si>
    <t>1H844836GB</t>
  </si>
  <si>
    <t xml:space="preserve">Windows 11 Pro 64-bit </t>
  </si>
  <si>
    <t>HP 8B30</t>
  </si>
  <si>
    <t>F8:6D:CC:C7:29:4A</t>
  </si>
  <si>
    <t>jueves 05 de junio de 2025</t>
  </si>
  <si>
    <t>1H844836P6</t>
  </si>
  <si>
    <t>F8:6D:CC:C7:2D:C8</t>
  </si>
  <si>
    <t>Aspire E5-475-52ZU</t>
  </si>
  <si>
    <t>NXGCWAL0117102791F7600</t>
  </si>
  <si>
    <t>3C:A0:67:86:A2:B5</t>
  </si>
  <si>
    <t>martes 02 de diciembre de 2025</t>
  </si>
  <si>
    <t>MSI</t>
  </si>
  <si>
    <t>Modern 15 F13MG</t>
  </si>
  <si>
    <t>Intel 13th Core i7-1355U</t>
  </si>
  <si>
    <t>Micro-Star MS-15S1</t>
  </si>
  <si>
    <t>40:C2:BA:B6:7F:79</t>
  </si>
  <si>
    <t>EC:8E:77:BF:32:86</t>
  </si>
  <si>
    <t>14-dq0052dx</t>
  </si>
  <si>
    <t>5CD4475G58</t>
  </si>
  <si>
    <t>Intel Processor @ 1.10GHz</t>
  </si>
  <si>
    <t>HP 864D</t>
  </si>
  <si>
    <t>64 GB</t>
  </si>
  <si>
    <t>A8:E2:91:00:FA:67</t>
  </si>
  <si>
    <t>MS-15H5 (U3E1)</t>
  </si>
  <si>
    <t>VWRXX-3MYYH-M8CY6-BMR3Y-FGDW6</t>
  </si>
  <si>
    <t>Intel Core Ultra 5 125H</t>
  </si>
  <si>
    <t>Micro-Star  MS-15H5 (U3E1)</t>
  </si>
  <si>
    <t>9C:B1:50:BD:53:F8</t>
  </si>
  <si>
    <t>jueves 30 de octubre de 2025</t>
  </si>
  <si>
    <t>VAIO</t>
  </si>
  <si>
    <t>jueves 27 de noviembre de 2025</t>
  </si>
  <si>
    <t>Modern 15 B13M</t>
  </si>
  <si>
    <t>K2504N0117978</t>
  </si>
  <si>
    <t>Intel Core i7-1355U</t>
  </si>
  <si>
    <t>MS-15H1</t>
  </si>
  <si>
    <t>D0:57:7E:00:C2:01</t>
  </si>
  <si>
    <t>THIN 15 B13UC-1000US1000US</t>
  </si>
  <si>
    <t>V2506N0009830</t>
  </si>
  <si>
    <t>Intel Core I5-13420H</t>
  </si>
  <si>
    <t>MSI MS-16R8</t>
  </si>
  <si>
    <t>D8:43:AE:FB:66:80</t>
  </si>
  <si>
    <t>FC:6D:77:85:B8:9E</t>
  </si>
  <si>
    <t>MKT-EXPERIENCIAL</t>
  </si>
  <si>
    <t>V2506N0010700</t>
  </si>
  <si>
    <t>FC:6D:77:8C:C5:44</t>
  </si>
  <si>
    <t>sábado 27 de diciembre de 2025</t>
  </si>
  <si>
    <t>HUAWEI</t>
  </si>
  <si>
    <t>Matebook D16</t>
  </si>
  <si>
    <t>28KBB25B24800231</t>
  </si>
  <si>
    <t>13th Gen Intel Core i5-13420H</t>
  </si>
  <si>
    <t>HUAWEI MCLG-XX-PCB</t>
  </si>
  <si>
    <t>miércoles 31 de diciembre de 2025</t>
  </si>
  <si>
    <t>2BKBB25B24800106</t>
  </si>
  <si>
    <t>FC:6D:77:44:CB:A9</t>
  </si>
  <si>
    <t>viernes 09 de enero de 2026</t>
  </si>
  <si>
    <t>Matebook D17</t>
  </si>
  <si>
    <t>2BKBB25B224800150</t>
  </si>
  <si>
    <t>FC:6D:77:85:63:4E</t>
  </si>
  <si>
    <t>Observaviones</t>
  </si>
  <si>
    <t>Resolución</t>
  </si>
  <si>
    <t>Condiciones</t>
  </si>
  <si>
    <t>LG FLATRON 19EN33SA</t>
  </si>
  <si>
    <t>308NDUN31510</t>
  </si>
  <si>
    <t>Gateway KX2403</t>
  </si>
  <si>
    <t>MMC3BAA001325027638500</t>
  </si>
  <si>
    <t>Media vida</t>
  </si>
  <si>
    <t>HNC HSG1016</t>
  </si>
  <si>
    <t>721HW1BY00684</t>
  </si>
  <si>
    <t>Obsoleo</t>
  </si>
  <si>
    <t>LG FLATRON W1943C-B</t>
  </si>
  <si>
    <t>009NDLS3E176</t>
  </si>
  <si>
    <t>LG 22MK430H-B</t>
  </si>
  <si>
    <t>812NTMXE7107</t>
  </si>
  <si>
    <t>ALMACEN-2</t>
  </si>
  <si>
    <t>LG FLATRON L1718S-BN</t>
  </si>
  <si>
    <t>803UXVW2Z567</t>
  </si>
  <si>
    <t>AUX-COMPRAS</t>
  </si>
  <si>
    <t>ASUSTEK VP227HE</t>
  </si>
  <si>
    <t>N6LMTF001284</t>
  </si>
  <si>
    <t>LG 22M38A-B</t>
  </si>
  <si>
    <t>512NTLE9P520</t>
  </si>
  <si>
    <t>LG 19M35A-B</t>
  </si>
  <si>
    <t>407NDDM0G226</t>
  </si>
  <si>
    <t>LG FLATRON 19EN3S-B</t>
  </si>
  <si>
    <t>308NDRF22782</t>
  </si>
  <si>
    <t>Imágen con demasiada luz azul</t>
  </si>
  <si>
    <t>LG FLATRON E194 C-BN</t>
  </si>
  <si>
    <t>204NDCR17971</t>
  </si>
  <si>
    <t>sábado 18 de marzo 2023</t>
  </si>
  <si>
    <t>ASUSTEK VH197</t>
  </si>
  <si>
    <t>B5LM1206178</t>
  </si>
  <si>
    <t>lunes 27 de enero de 2025</t>
  </si>
  <si>
    <t>512NTYT9P514</t>
  </si>
  <si>
    <t>Lenovo D22e-20</t>
  </si>
  <si>
    <t>1S66D2KAC6WWURHH88RR</t>
  </si>
  <si>
    <t xml:space="preserve">AOC </t>
  </si>
  <si>
    <t>LG FLATRON 19EN33S-B</t>
  </si>
  <si>
    <t>309NDVWN2311</t>
  </si>
  <si>
    <t>View Sonic VS15562</t>
  </si>
  <si>
    <t>TVT172783266</t>
  </si>
  <si>
    <t>GHIA MG2020</t>
  </si>
  <si>
    <t>S12120701478</t>
  </si>
  <si>
    <t>Dell E1916HV</t>
  </si>
  <si>
    <t>CN-0HN22V-FCC00-AK-D8WB-A16</t>
  </si>
  <si>
    <t>LG 24MP60G</t>
  </si>
  <si>
    <t>105NTMX0D731</t>
  </si>
  <si>
    <t>LG 19M38A-B</t>
  </si>
  <si>
    <t>902NTMXBU643</t>
  </si>
  <si>
    <t>210NDNU09799</t>
  </si>
  <si>
    <t>jueves 02 de enero de 2023</t>
  </si>
  <si>
    <t>LG 32MN500M</t>
  </si>
  <si>
    <t>204NTXRG7778</t>
  </si>
  <si>
    <t>204NTNHG7775</t>
  </si>
  <si>
    <t>DELL E1909Wf</t>
  </si>
  <si>
    <t>CN-0Y858D-72872-923-0J5L</t>
  </si>
  <si>
    <t>603NTWGGF273</t>
  </si>
  <si>
    <t>407NDZJ0G221</t>
  </si>
  <si>
    <t>608NTBK1J901</t>
  </si>
  <si>
    <t>DVR-LP</t>
  </si>
  <si>
    <t>Acer P166HQL</t>
  </si>
  <si>
    <t>MMLTYAA0034150794C4201</t>
  </si>
  <si>
    <t>Acer V206HQL</t>
  </si>
  <si>
    <t>MMLY6AM001505113978504</t>
  </si>
  <si>
    <t>708NTYT7M634</t>
  </si>
  <si>
    <t>LG 19EN33S-B</t>
  </si>
  <si>
    <t>307NDYG51386</t>
  </si>
  <si>
    <t>804NTKFBY453</t>
  </si>
  <si>
    <t>Acer X163W</t>
  </si>
  <si>
    <t>ETLE50C006047120EB4000</t>
  </si>
  <si>
    <t>S12120702545</t>
  </si>
  <si>
    <t>801NTJJE228</t>
  </si>
  <si>
    <t>807NTSU3N734</t>
  </si>
  <si>
    <t>POSTVENTA-MOR</t>
  </si>
  <si>
    <t>MMLY6AM0016150670F8504</t>
  </si>
  <si>
    <t>807NTEP3L036</t>
  </si>
  <si>
    <t>704NTPCA1912</t>
  </si>
  <si>
    <t>612NTZN02517</t>
  </si>
  <si>
    <t>LG 19M38A</t>
  </si>
  <si>
    <t>801NTJJ2E228</t>
  </si>
  <si>
    <t>Hacer EB192Q</t>
  </si>
  <si>
    <t>MMT6MAA002716030073E00</t>
  </si>
  <si>
    <t>802NTWG0Y137</t>
  </si>
  <si>
    <t>LG 22M37A-B</t>
  </si>
  <si>
    <t>510NTCZ0M915</t>
  </si>
  <si>
    <t>510NTXR0M786</t>
  </si>
  <si>
    <t>510NTRLBK582</t>
  </si>
  <si>
    <t>510NTDV0N162</t>
  </si>
  <si>
    <t>NVR-PJ</t>
  </si>
  <si>
    <t>BTC VT17WV7X</t>
  </si>
  <si>
    <t>MMLY6AM001505114948504</t>
  </si>
  <si>
    <t>Benq ET-0004-L</t>
  </si>
  <si>
    <t>ETI7700528027</t>
  </si>
  <si>
    <t>Samsung S19A10N</t>
  </si>
  <si>
    <t>ZT16H9NB500106V</t>
  </si>
  <si>
    <t>612NTHM02609</t>
  </si>
  <si>
    <t>Samsung 740NW</t>
  </si>
  <si>
    <t>HA17HVBP517624X</t>
  </si>
  <si>
    <t>804NTFABY459</t>
  </si>
  <si>
    <t>008NTFAM3923</t>
  </si>
  <si>
    <t>708NTNH7M623</t>
  </si>
  <si>
    <t>312NDFVDJ163</t>
  </si>
  <si>
    <t>1S66D2KAC6WWURHH8AYD</t>
  </si>
  <si>
    <t>LG 19M38-B</t>
  </si>
  <si>
    <t>902NTABBT936</t>
  </si>
  <si>
    <t>BENQ HLI507SW</t>
  </si>
  <si>
    <t>SIN NÚMERO</t>
  </si>
  <si>
    <t>MMLXKAM001551009004225</t>
  </si>
  <si>
    <t>ANALISTA-COMER</t>
  </si>
  <si>
    <t>Samsung S19A330NHL</t>
  </si>
  <si>
    <t>4L22H9DX200754P</t>
  </si>
  <si>
    <t>martes 05 de agosto de 2025</t>
  </si>
  <si>
    <t>ASUSTEK VP227</t>
  </si>
  <si>
    <t>No.</t>
  </si>
  <si>
    <t>MAC-Address</t>
  </si>
  <si>
    <t>Precio Equipo</t>
  </si>
  <si>
    <t>Precio Sugerido</t>
  </si>
  <si>
    <t>Hyundai</t>
  </si>
  <si>
    <t>HT8WB1RBK03</t>
  </si>
  <si>
    <t>CF08218WB115900</t>
  </si>
  <si>
    <t>CF08218WB115891</t>
  </si>
  <si>
    <t>CF08218WB115898</t>
  </si>
  <si>
    <t>CF08218WB115894</t>
  </si>
  <si>
    <t>CF08218WB115896</t>
  </si>
  <si>
    <t>Alcatel</t>
  </si>
  <si>
    <t>8094M</t>
  </si>
  <si>
    <t>Huawei</t>
  </si>
  <si>
    <t>Mediapad T3 10</t>
  </si>
  <si>
    <t>D8TNU19820107722</t>
  </si>
  <si>
    <t>D8TNU19907106381</t>
  </si>
  <si>
    <t>D8TNU19907107447</t>
  </si>
  <si>
    <t>D8TNU19820106700</t>
  </si>
  <si>
    <t>HyTab Pro 10LC1</t>
  </si>
  <si>
    <t>K112110LC1LTM03356</t>
  </si>
  <si>
    <t>8C:C5:E1:6D:E6:89</t>
  </si>
  <si>
    <t>K112110LC1LTM04879</t>
  </si>
  <si>
    <t>8C:C5:E1:6D:F0:60</t>
  </si>
  <si>
    <t>K112110LC1LTM03274</t>
  </si>
  <si>
    <t>8C:C5:E1:6D:E6:ED</t>
  </si>
  <si>
    <t>lunes 08 de julio de 2024</t>
  </si>
  <si>
    <t>K112110LC1LTM00554</t>
  </si>
  <si>
    <t>8C:C5:E1:6D:E0:2C</t>
  </si>
  <si>
    <t>jueves 4 de enerto de 2023</t>
  </si>
  <si>
    <t>3T10 Smart 8094M</t>
  </si>
  <si>
    <t>NBYTW8XWQOIFIN8T</t>
  </si>
  <si>
    <t>Tipo</t>
  </si>
  <si>
    <t>Planes 2026</t>
  </si>
  <si>
    <t>Equipos 2026</t>
  </si>
  <si>
    <t>Cargadores</t>
  </si>
  <si>
    <t>Números</t>
  </si>
  <si>
    <t>GB Mensuales</t>
  </si>
  <si>
    <t>Marca y Modelo</t>
  </si>
  <si>
    <t>Precio renovación</t>
  </si>
  <si>
    <t>Sin caja</t>
  </si>
  <si>
    <t>Escritorio</t>
  </si>
  <si>
    <t>Con cargador Original y Cable Genérico</t>
  </si>
  <si>
    <t>Iphone 17 PRO MAX</t>
  </si>
  <si>
    <t>Con cargador original sin cable</t>
  </si>
  <si>
    <t>Analista de Ventas</t>
  </si>
  <si>
    <t>Samsung S26+ 512GB</t>
  </si>
  <si>
    <t>Con cargador gernérico sin cable</t>
  </si>
  <si>
    <t>Analista Postventa</t>
  </si>
  <si>
    <t>Sólo cable</t>
  </si>
  <si>
    <t>Practicas Profesionales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</si>
</sst>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"/>
    <numFmt numFmtId="165" formatCode="dddd&quot;, &quot;d&quot; de &quot;mmmm&quot; de &quot;yyyy"/>
    <numFmt numFmtId="166" formatCode="&quot;$&quot;#,##0.00"/>
    <numFmt numFmtId="167" formatCode="d/m"/>
    <numFmt numFmtId="168" formatCode="dddd&quot;, &quot;mmmm&quot; &quot;dd&quot;, &quot;yyyy"/>
    <numFmt numFmtId="169" formatCode="d/m/yyyy"/>
    <numFmt numFmtId="170" formatCode="&quot;$&quot;#,##0.00;[Red]\-&quot;$&quot;#,##0.00"/>
  </numFmts>
  <fonts count="12">
    <font>
      <sz val="11.0"/>
      <color theme="1"/>
      <name val="Calibri"/>
      <scheme val="minor"/>
    </font>
    <font>
      <b/>
      <sz val="10.0"/>
      <color rgb="FFFFFFFF"/>
      <name val="Book Antiqua"/>
    </font>
    <font/>
    <font>
      <sz val="11.0"/>
      <color theme="1"/>
      <name val="Calibri"/>
    </font>
    <font>
      <sz val="10.0"/>
      <color theme="1"/>
      <name val="Book Antiqua"/>
    </font>
    <font>
      <sz val="10.0"/>
      <color theme="1"/>
      <name val="Calibri"/>
    </font>
    <font>
      <sz val="10.0"/>
      <color rgb="FFFFFFFF"/>
      <name val="Book Antiqua"/>
    </font>
    <font>
      <b/>
      <sz val="10.0"/>
      <color theme="0"/>
      <name val="Book Antiqua"/>
    </font>
    <font>
      <color theme="1"/>
      <name val="Calibri"/>
      <scheme val="minor"/>
    </font>
    <font>
      <sz val="10.0"/>
      <color rgb="FF000000"/>
      <name val="Book Antiqua"/>
    </font>
    <font>
      <b/>
      <sz val="10.0"/>
      <color theme="1"/>
      <name val="Book Antiqua"/>
    </font>
    <font>
      <sz val="10.0"/>
      <color rgb="FFFF0000"/>
      <name val="Book Antiqua"/>
    </font>
  </fonts>
  <fills count="1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3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right"/>
    </xf>
    <xf borderId="4" fillId="0" fontId="2" numFmtId="0" xfId="0" applyBorder="1" applyFont="1"/>
    <xf borderId="3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right" vertical="center"/>
    </xf>
    <xf borderId="5" fillId="0" fontId="4" numFmtId="0" xfId="0" applyAlignment="1" applyBorder="1" applyFont="1">
      <alignment horizontal="right" vertical="center"/>
    </xf>
    <xf borderId="6" fillId="0" fontId="2" numFmtId="0" xfId="0" applyBorder="1" applyFont="1"/>
    <xf borderId="7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vertical="center"/>
    </xf>
    <xf borderId="3" fillId="0" fontId="4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readingOrder="0"/>
    </xf>
    <xf borderId="3" fillId="0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vertical="center"/>
    </xf>
    <xf borderId="3" fillId="3" fontId="4" numFmtId="164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3" fillId="0" fontId="4" numFmtId="1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3" fillId="2" fontId="6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3" fillId="4" fontId="4" numFmtId="0" xfId="0" applyAlignment="1" applyBorder="1" applyFill="1" applyFont="1">
      <alignment horizontal="center" vertical="center"/>
    </xf>
    <xf borderId="3" fillId="0" fontId="4" numFmtId="1" xfId="0" applyAlignment="1" applyBorder="1" applyFont="1" applyNumberFormat="1">
      <alignment horizontal="center" readingOrder="0" vertical="center"/>
    </xf>
    <xf borderId="3" fillId="5" fontId="4" numFmtId="0" xfId="0" applyAlignment="1" applyBorder="1" applyFill="1" applyFont="1">
      <alignment horizontal="center" vertical="center"/>
    </xf>
    <xf borderId="3" fillId="4" fontId="4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vertical="center"/>
    </xf>
    <xf borderId="3" fillId="6" fontId="4" numFmtId="0" xfId="0" applyAlignment="1" applyBorder="1" applyFill="1" applyFont="1">
      <alignment horizontal="center" readingOrder="0" vertical="center"/>
    </xf>
    <xf borderId="3" fillId="6" fontId="4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center"/>
    </xf>
    <xf borderId="3" fillId="0" fontId="4" numFmtId="165" xfId="0" applyAlignment="1" applyBorder="1" applyFont="1" applyNumberFormat="1">
      <alignment horizontal="center" vertical="center"/>
    </xf>
    <xf borderId="3" fillId="0" fontId="4" numFmtId="166" xfId="0" applyAlignment="1" applyBorder="1" applyFont="1" applyNumberFormat="1">
      <alignment horizontal="center" vertical="center"/>
    </xf>
    <xf borderId="3" fillId="0" fontId="4" numFmtId="165" xfId="0" applyAlignment="1" applyBorder="1" applyFont="1" applyNumberFormat="1">
      <alignment horizontal="center" readingOrder="0" vertical="center"/>
    </xf>
    <xf borderId="3" fillId="7" fontId="4" numFmtId="0" xfId="0" applyAlignment="1" applyBorder="1" applyFill="1" applyFont="1">
      <alignment horizontal="center" vertical="center"/>
    </xf>
    <xf borderId="3" fillId="7" fontId="9" numFmtId="0" xfId="0" applyAlignment="1" applyBorder="1" applyFont="1">
      <alignment horizontal="center"/>
    </xf>
    <xf borderId="3" fillId="0" fontId="4" numFmtId="167" xfId="0" applyAlignment="1" applyBorder="1" applyFont="1" applyNumberFormat="1">
      <alignment horizontal="center" readingOrder="0" vertical="center"/>
    </xf>
    <xf borderId="3" fillId="7" fontId="4" numFmtId="1" xfId="0" applyAlignment="1" applyBorder="1" applyFont="1" applyNumberFormat="1">
      <alignment horizontal="center" readingOrder="0" vertical="center"/>
    </xf>
    <xf borderId="3" fillId="0" fontId="4" numFmtId="164" xfId="0" applyAlignment="1" applyBorder="1" applyFont="1" applyNumberFormat="1">
      <alignment horizontal="center" readingOrder="0" vertical="center"/>
    </xf>
    <xf borderId="3" fillId="0" fontId="4" numFmtId="165" xfId="0" applyAlignment="1" applyBorder="1" applyFont="1" applyNumberFormat="1">
      <alignment horizontal="center" readingOrder="0" vertical="center"/>
    </xf>
    <xf borderId="3" fillId="0" fontId="10" numFmtId="0" xfId="0" applyAlignment="1" applyBorder="1" applyFont="1">
      <alignment horizontal="center" vertical="center"/>
    </xf>
    <xf borderId="3" fillId="0" fontId="4" numFmtId="166" xfId="0" applyAlignment="1" applyBorder="1" applyFont="1" applyNumberFormat="1">
      <alignment horizontal="center" readingOrder="0" vertical="center"/>
    </xf>
    <xf borderId="0" fillId="0" fontId="4" numFmtId="0" xfId="0" applyFont="1"/>
    <xf borderId="0" fillId="0" fontId="4" numFmtId="0" xfId="0" applyAlignment="1" applyFont="1">
      <alignment horizontal="center"/>
    </xf>
    <xf borderId="9" fillId="7" fontId="4" numFmtId="0" xfId="0" applyAlignment="1" applyBorder="1" applyFont="1">
      <alignment horizontal="center" vertical="center"/>
    </xf>
    <xf borderId="9" fillId="7" fontId="4" numFmtId="166" xfId="0" applyAlignment="1" applyBorder="1" applyFont="1" applyNumberFormat="1">
      <alignment horizontal="center" vertical="center"/>
    </xf>
    <xf borderId="9" fillId="7" fontId="4" numFmtId="168" xfId="0" applyAlignment="1" applyBorder="1" applyFont="1" applyNumberFormat="1">
      <alignment horizontal="center" vertical="center"/>
    </xf>
    <xf borderId="9" fillId="7" fontId="4" numFmtId="169" xfId="0" applyAlignment="1" applyBorder="1" applyFont="1" applyNumberFormat="1">
      <alignment horizontal="center" vertical="center"/>
    </xf>
    <xf borderId="3" fillId="0" fontId="4" numFmtId="166" xfId="0" applyAlignment="1" applyBorder="1" applyFont="1" applyNumberFormat="1">
      <alignment horizontal="center" vertical="center"/>
    </xf>
    <xf borderId="3" fillId="0" fontId="4" numFmtId="168" xfId="0" applyAlignment="1" applyBorder="1" applyFont="1" applyNumberFormat="1">
      <alignment horizontal="center" vertical="center"/>
    </xf>
    <xf borderId="3" fillId="0" fontId="11" numFmtId="0" xfId="0" applyAlignment="1" applyBorder="1" applyFont="1">
      <alignment horizontal="center" vertical="center"/>
    </xf>
    <xf borderId="3" fillId="0" fontId="11" numFmtId="166" xfId="0" applyAlignment="1" applyBorder="1" applyFont="1" applyNumberFormat="1">
      <alignment horizontal="center" vertical="center"/>
    </xf>
    <xf borderId="3" fillId="7" fontId="4" numFmtId="166" xfId="0" applyAlignment="1" applyBorder="1" applyFont="1" applyNumberFormat="1">
      <alignment horizontal="center" vertical="center"/>
    </xf>
    <xf borderId="3" fillId="7" fontId="4" numFmtId="168" xfId="0" applyAlignment="1" applyBorder="1" applyFont="1" applyNumberFormat="1">
      <alignment horizontal="center" vertical="center"/>
    </xf>
    <xf borderId="3" fillId="8" fontId="4" numFmtId="0" xfId="0" applyAlignment="1" applyBorder="1" applyFill="1" applyFont="1">
      <alignment horizontal="center" vertical="center"/>
    </xf>
    <xf borderId="3" fillId="8" fontId="4" numFmtId="169" xfId="0" applyAlignment="1" applyBorder="1" applyFont="1" applyNumberFormat="1">
      <alignment horizontal="center" vertical="center"/>
    </xf>
    <xf borderId="3" fillId="0" fontId="4" numFmtId="169" xfId="0" applyAlignment="1" applyBorder="1" applyFont="1" applyNumberFormat="1">
      <alignment horizontal="center" vertical="center"/>
    </xf>
    <xf borderId="3" fillId="0" fontId="11" numFmtId="168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3" fillId="0" fontId="9" numFmtId="166" xfId="0" applyAlignment="1" applyBorder="1" applyFont="1" applyNumberFormat="1">
      <alignment horizontal="center" vertical="center"/>
    </xf>
    <xf borderId="3" fillId="3" fontId="9" numFmtId="0" xfId="0" applyAlignment="1" applyBorder="1" applyFont="1">
      <alignment horizontal="center" vertical="center"/>
    </xf>
    <xf borderId="3" fillId="3" fontId="9" numFmtId="166" xfId="0" applyAlignment="1" applyBorder="1" applyFont="1" applyNumberFormat="1">
      <alignment horizontal="center" vertical="center"/>
    </xf>
    <xf borderId="3" fillId="3" fontId="9" numFmtId="168" xfId="0" applyAlignment="1" applyBorder="1" applyFont="1" applyNumberFormat="1">
      <alignment horizontal="center" vertical="center"/>
    </xf>
    <xf borderId="3" fillId="0" fontId="4" numFmtId="168" xfId="0" applyAlignment="1" applyBorder="1" applyFont="1" applyNumberFormat="1">
      <alignment horizontal="center" readingOrder="0" vertical="center"/>
    </xf>
    <xf borderId="3" fillId="0" fontId="9" numFmtId="168" xfId="0" applyAlignment="1" applyBorder="1" applyFont="1" applyNumberFormat="1">
      <alignment horizontal="center" vertical="center"/>
    </xf>
    <xf borderId="3" fillId="0" fontId="4" numFmtId="166" xfId="0" applyAlignment="1" applyBorder="1" applyFont="1" applyNumberFormat="1">
      <alignment horizontal="center" readingOrder="0" vertical="center"/>
    </xf>
    <xf borderId="3" fillId="0" fontId="11" numFmtId="164" xfId="0" applyAlignment="1" applyBorder="1" applyFont="1" applyNumberFormat="1">
      <alignment horizontal="center" vertical="center"/>
    </xf>
    <xf borderId="3" fillId="0" fontId="4" numFmtId="49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vertical="center"/>
    </xf>
    <xf borderId="3" fillId="0" fontId="4" numFmtId="170" xfId="0" applyAlignment="1" applyBorder="1" applyFont="1" applyNumberFormat="1">
      <alignment horizontal="center" vertical="center"/>
    </xf>
    <xf borderId="3" fillId="0" fontId="3" numFmtId="1" xfId="0" applyAlignment="1" applyBorder="1" applyFont="1" applyNumberFormat="1">
      <alignment vertical="center"/>
    </xf>
    <xf borderId="10" fillId="2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center" vertical="center"/>
    </xf>
    <xf borderId="13" fillId="2" fontId="7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2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9" fontId="7" numFmtId="0" xfId="0" applyAlignment="1" applyBorder="1" applyFill="1" applyFont="1">
      <alignment horizontal="center" vertical="center"/>
    </xf>
    <xf borderId="3" fillId="9" fontId="7" numFmtId="0" xfId="0" applyAlignment="1" applyBorder="1" applyFont="1">
      <alignment horizontal="center" vertical="center"/>
    </xf>
    <xf borderId="20" fillId="9" fontId="7" numFmtId="0" xfId="0" applyAlignment="1" applyBorder="1" applyFont="1">
      <alignment horizontal="center" vertical="center"/>
    </xf>
    <xf borderId="21" fillId="9" fontId="7" numFmtId="0" xfId="0" applyAlignment="1" applyBorder="1" applyFont="1">
      <alignment horizontal="center" vertical="center"/>
    </xf>
    <xf borderId="22" fillId="9" fontId="7" numFmtId="0" xfId="0" applyAlignment="1" applyBorder="1" applyFont="1">
      <alignment horizontal="center" vertical="center"/>
    </xf>
    <xf borderId="23" fillId="9" fontId="7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4" fillId="0" fontId="4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3" fillId="0" fontId="4" numFmtId="0" xfId="0" applyAlignment="1" applyBorder="1" applyFont="1">
      <alignment horizontal="center" readingOrder="0"/>
    </xf>
    <xf borderId="3" fillId="7" fontId="9" numFmtId="0" xfId="0" applyAlignment="1" applyBorder="1" applyFont="1">
      <alignment horizontal="center" vertical="center"/>
    </xf>
    <xf borderId="3" fillId="8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7.0"/>
    <col customWidth="1" min="2" max="2" width="13.71"/>
    <col customWidth="1" min="3" max="3" width="10.57"/>
    <col customWidth="1" min="4" max="4" width="24.71"/>
    <col customWidth="1" min="5" max="5" width="6.0"/>
    <col customWidth="1" min="6" max="6" width="10.71"/>
  </cols>
  <sheetData>
    <row r="1">
      <c r="A1" s="1" t="s">
        <v>0</v>
      </c>
      <c r="B1" s="2"/>
      <c r="C1" s="3"/>
      <c r="D1" s="4"/>
      <c r="E1" s="4"/>
    </row>
    <row r="2">
      <c r="A2" s="5" t="s">
        <v>1</v>
      </c>
      <c r="B2" s="5">
        <v>3.346241997E9</v>
      </c>
      <c r="C2" s="3"/>
      <c r="D2" s="4"/>
      <c r="E2" s="6"/>
    </row>
    <row r="3">
      <c r="A3" s="5" t="s">
        <v>2</v>
      </c>
      <c r="B3" s="5">
        <v>5.69713333E8</v>
      </c>
      <c r="C3" s="3"/>
      <c r="D3" s="4"/>
      <c r="E3" s="4"/>
    </row>
    <row r="4">
      <c r="A4" s="5" t="s">
        <v>3</v>
      </c>
      <c r="B4" s="5">
        <v>6595.0</v>
      </c>
      <c r="C4" s="3"/>
      <c r="D4" s="4"/>
      <c r="E4" s="4"/>
    </row>
    <row r="5">
      <c r="A5" s="3"/>
      <c r="B5" s="3"/>
      <c r="C5" s="3"/>
      <c r="D5" s="4"/>
      <c r="E5" s="4"/>
    </row>
    <row r="6">
      <c r="A6" s="1" t="s">
        <v>4</v>
      </c>
      <c r="B6" s="2"/>
      <c r="C6" s="3"/>
      <c r="D6" s="4"/>
      <c r="E6" s="4"/>
    </row>
    <row r="7">
      <c r="A7" s="1" t="s">
        <v>5</v>
      </c>
      <c r="B7" s="2"/>
      <c r="C7" s="3"/>
      <c r="D7" s="4"/>
      <c r="E7" s="4"/>
    </row>
    <row r="8">
      <c r="A8" s="5" t="s">
        <v>6</v>
      </c>
      <c r="B8" s="5" t="s">
        <v>7</v>
      </c>
      <c r="C8" s="3"/>
      <c r="D8" s="4"/>
      <c r="E8" s="4"/>
    </row>
    <row r="9">
      <c r="A9" s="5" t="s">
        <v>8</v>
      </c>
      <c r="B9" s="5" t="s">
        <v>9</v>
      </c>
      <c r="C9" s="3"/>
      <c r="D9" s="4"/>
      <c r="E9" s="4"/>
    </row>
    <row r="10">
      <c r="A10" s="3"/>
      <c r="B10" s="3"/>
      <c r="C10" s="3"/>
      <c r="D10" s="4"/>
      <c r="E10" s="4"/>
    </row>
    <row r="11">
      <c r="A11" s="3"/>
      <c r="B11" s="3"/>
      <c r="C11" s="3"/>
      <c r="D11" s="4"/>
      <c r="E11" s="4"/>
    </row>
    <row r="12" ht="30.0" customHeight="1">
      <c r="A12" s="1" t="s">
        <v>10</v>
      </c>
      <c r="B12" s="7"/>
      <c r="C12" s="2"/>
      <c r="D12" s="4"/>
      <c r="E12" s="4"/>
    </row>
    <row r="13">
      <c r="A13" s="8" t="s">
        <v>11</v>
      </c>
      <c r="B13" s="8" t="s">
        <v>12</v>
      </c>
      <c r="C13" s="8" t="s">
        <v>8</v>
      </c>
      <c r="D13" s="4"/>
      <c r="E13" s="4"/>
    </row>
    <row r="14">
      <c r="A14" s="5" t="s">
        <v>13</v>
      </c>
      <c r="B14" s="5">
        <v>7.0560781E8</v>
      </c>
      <c r="C14" s="5">
        <v>3.3876303E7</v>
      </c>
      <c r="D14" s="4"/>
      <c r="E14" s="4"/>
    </row>
    <row r="15">
      <c r="A15" s="5" t="s">
        <v>14</v>
      </c>
      <c r="B15" s="5">
        <v>7.05607463E8</v>
      </c>
      <c r="C15" s="5">
        <v>9.6923817E7</v>
      </c>
      <c r="D15" s="4"/>
      <c r="E15" s="4"/>
    </row>
    <row r="16">
      <c r="A16" s="5" t="s">
        <v>15</v>
      </c>
      <c r="B16" s="5">
        <v>7.05604114E8</v>
      </c>
      <c r="C16" s="5">
        <v>2.5265732E7</v>
      </c>
      <c r="D16" s="4"/>
      <c r="E16" s="4"/>
    </row>
    <row r="17">
      <c r="A17" s="4"/>
      <c r="B17" s="4"/>
      <c r="C17" s="4"/>
      <c r="D17" s="4"/>
      <c r="E17" s="4"/>
    </row>
    <row r="18">
      <c r="A18" s="9" t="s">
        <v>16</v>
      </c>
      <c r="B18" s="7"/>
      <c r="C18" s="2"/>
      <c r="D18" s="4"/>
      <c r="E18" s="4"/>
    </row>
    <row r="19">
      <c r="A19" s="10" t="s">
        <v>17</v>
      </c>
      <c r="B19" s="2"/>
      <c r="C19" s="5">
        <v>17359.0</v>
      </c>
      <c r="D19" s="4"/>
      <c r="E19" s="4"/>
    </row>
    <row r="20" ht="15.75" customHeight="1">
      <c r="A20" s="10" t="s">
        <v>18</v>
      </c>
      <c r="B20" s="2"/>
      <c r="C20" s="5">
        <v>500.0</v>
      </c>
      <c r="D20" s="4"/>
      <c r="E20" s="4"/>
    </row>
    <row r="21" ht="15.75" customHeight="1">
      <c r="A21" s="10" t="s">
        <v>19</v>
      </c>
      <c r="B21" s="2"/>
      <c r="C21" s="5">
        <v>5.0</v>
      </c>
      <c r="D21" s="4"/>
      <c r="E21" s="4"/>
    </row>
    <row r="22" ht="15.75" customHeight="1">
      <c r="A22" s="11" t="s">
        <v>20</v>
      </c>
      <c r="B22" s="12"/>
      <c r="C22" s="13">
        <v>1.0</v>
      </c>
      <c r="D22" s="4"/>
      <c r="E22" s="4"/>
    </row>
    <row r="23" ht="27.0" customHeight="1">
      <c r="A23" s="10" t="s">
        <v>21</v>
      </c>
      <c r="B23" s="2"/>
      <c r="C23" s="14" t="s">
        <v>22</v>
      </c>
      <c r="D23" s="7"/>
      <c r="E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1:B21"/>
    <mergeCell ref="A22:B22"/>
    <mergeCell ref="A23:B23"/>
    <mergeCell ref="C23:E23"/>
    <mergeCell ref="A1:B1"/>
    <mergeCell ref="A6:B6"/>
    <mergeCell ref="A7:B7"/>
    <mergeCell ref="A12:C12"/>
    <mergeCell ref="A18:C18"/>
    <mergeCell ref="A19:B19"/>
    <mergeCell ref="A20:B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9.43"/>
    <col customWidth="1" min="3" max="3" width="17.0"/>
    <col customWidth="1" min="4" max="4" width="18.14"/>
    <col customWidth="1" min="5" max="5" width="47.71"/>
    <col customWidth="1" min="6" max="6" width="13.0"/>
    <col customWidth="1" min="7" max="7" width="32.0"/>
    <col customWidth="1" min="8" max="8" width="30.86"/>
    <col customWidth="1" min="9" max="9" width="28.71"/>
  </cols>
  <sheetData>
    <row r="1">
      <c r="A1" s="15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6" t="s">
        <v>11</v>
      </c>
      <c r="G1" s="16" t="s">
        <v>28</v>
      </c>
      <c r="H1" s="15" t="s">
        <v>29</v>
      </c>
    </row>
    <row r="2">
      <c r="A2" s="5">
        <v>3.93107996E9</v>
      </c>
      <c r="B2" s="5">
        <v>4.0</v>
      </c>
      <c r="C2" s="17">
        <v>549.0</v>
      </c>
      <c r="D2" s="5">
        <v>22.5</v>
      </c>
      <c r="E2" s="5" t="str">
        <f t="array" ref="E2">XLOOKUP($A2,Números_Asignados,Nombres_Directorio," *** OJO *** ",0)</f>
        <v>Saúl Hernández Becerra</v>
      </c>
      <c r="F2" s="5" t="str">
        <f t="array" ref="F2">XLOOKUP($A2,Números_Asignados,Sucursal_Asignada," *** OJO *** ",0)</f>
        <v>Corporativo</v>
      </c>
      <c r="G2" s="5" t="str">
        <f t="array" ref="G2">XLOOKUP($A2,Números_Asignados,Departamento_Asignado," *** OJO *** ",0)</f>
        <v>Agricultura Inteligente</v>
      </c>
      <c r="H2" s="5" t="str">
        <f t="array" ref="H2">XLOOKUP($A2,Números_Asignados,Puesto_Asignado," *** OJO *** ",0)</f>
        <v>Jefe de Agricultura Inteligente</v>
      </c>
    </row>
    <row r="3">
      <c r="A3" s="5">
        <v>3.931245167E9</v>
      </c>
      <c r="B3" s="5">
        <v>4.0</v>
      </c>
      <c r="C3" s="17">
        <v>549.0</v>
      </c>
      <c r="D3" s="5">
        <v>22.5</v>
      </c>
      <c r="E3" s="5" t="str">
        <f t="array" ref="E3">XLOOKUP($A3,Números_Asignados,Nombres_Directorio," *** OJO *** ",0)</f>
        <v>Luis Donaldo Sánchez Álvarez</v>
      </c>
      <c r="F3" s="5" t="str">
        <f t="array" ref="F3">XLOOKUP($A3,Números_Asignados,Sucursal_Asignada," *** OJO *** ",0)</f>
        <v>Corporativo</v>
      </c>
      <c r="G3" s="5" t="str">
        <f t="array" ref="G3">XLOOKUP($A3,Números_Asignados,Departamento_Asignado," *** OJO *** ",0)</f>
        <v>Capital Humano</v>
      </c>
      <c r="H3" s="5" t="str">
        <f t="array" ref="H3">XLOOKUP($A3,Números_Asignados,Puesto_Asignado," *** OJO *** ",0)</f>
        <v>Jefe de Capital Humano</v>
      </c>
    </row>
    <row r="4">
      <c r="A4" s="5">
        <v>3.931042392E9</v>
      </c>
      <c r="B4" s="5">
        <v>1.0</v>
      </c>
      <c r="C4" s="17">
        <v>269.0</v>
      </c>
      <c r="D4" s="5">
        <v>9.0</v>
      </c>
      <c r="E4" s="5" t="str">
        <f t="array" ref="E4">XLOOKUP($A4,Números_Asignados,Nombres_Directorio," *** OJO *** ",0)</f>
        <v>Ricardo Durán Ulloa</v>
      </c>
      <c r="F4" s="5" t="str">
        <f t="array" ref="F4">XLOOKUP($A4,Números_Asignados,Sucursal_Asignada," *** OJO *** ",0)</f>
        <v>Corporativo</v>
      </c>
      <c r="G4" s="5" t="str">
        <f t="array" ref="G4">XLOOKUP($A4,Números_Asignados,Departamento_Asignado," *** OJO *** ",0)</f>
        <v>Contabilidad</v>
      </c>
      <c r="H4" s="5" t="str">
        <f t="array" ref="H4">XLOOKUP($A4,Números_Asignados,Puesto_Asignado," *** OJO *** ",0)</f>
        <v>Jefe de Contabilidad</v>
      </c>
    </row>
    <row r="5">
      <c r="A5" s="5">
        <v>3.316099062E9</v>
      </c>
      <c r="B5" s="5">
        <v>1.0</v>
      </c>
      <c r="C5" s="17">
        <v>319.0</v>
      </c>
      <c r="D5" s="5">
        <v>9.0</v>
      </c>
      <c r="E5" s="5" t="str">
        <f t="array" ref="E5">XLOOKUP($A5,Números_Asignados,Nombres_Directorio," *** OJO *** ",0)</f>
        <v>Magdalena Estrada Gómez</v>
      </c>
      <c r="F5" s="5" t="str">
        <f t="array" ref="F5">XLOOKUP($A5,Números_Asignados,Sucursal_Asignada," *** OJO *** ",0)</f>
        <v>Corporativo</v>
      </c>
      <c r="G5" s="5" t="str">
        <f t="array" ref="G5">XLOOKUP($A5,Números_Asignados,Departamento_Asignado," *** OJO *** ",0)</f>
        <v>Crédito y Cobranza</v>
      </c>
      <c r="H5" s="5" t="str">
        <f t="array" ref="H5">XLOOKUP($A5,Números_Asignados,Puesto_Asignado," *** OJO *** ",0)</f>
        <v>Jefa Crédito y Cobranza</v>
      </c>
    </row>
    <row r="6">
      <c r="A6" s="5">
        <v>3.781868858E9</v>
      </c>
      <c r="B6" s="5">
        <v>4.0</v>
      </c>
      <c r="C6" s="17">
        <v>549.0</v>
      </c>
      <c r="D6" s="5">
        <v>22.5</v>
      </c>
      <c r="E6" s="5" t="str">
        <f t="array" ref="E6">XLOOKUP($A6,Números_Asignados,Nombres_Directorio," *** OJO *** ",0)</f>
        <v>Jesús Mora Pérez</v>
      </c>
      <c r="F6" s="5" t="str">
        <f t="array" ref="F6">XLOOKUP($A6,Números_Asignados,Sucursal_Asignada," *** OJO *** ",0)</f>
        <v>Corporativo</v>
      </c>
      <c r="G6" s="5" t="str">
        <f t="array" ref="G6">XLOOKUP($A6,Números_Asignados,Departamento_Asignado," *** OJO *** ",0)</f>
        <v>Servicio</v>
      </c>
      <c r="H6" s="5" t="str">
        <f t="array" ref="H6">XLOOKUP($A6,Números_Asignados,Puesto_Asignado," *** OJO *** ",0)</f>
        <v>Jefe Administrativo</v>
      </c>
    </row>
    <row r="7">
      <c r="A7" s="5">
        <v>3.338561078E9</v>
      </c>
      <c r="B7" s="5">
        <v>5.0</v>
      </c>
      <c r="C7" s="17">
        <v>649.0</v>
      </c>
      <c r="D7" s="5">
        <v>45.0</v>
      </c>
      <c r="E7" s="5" t="s">
        <v>30</v>
      </c>
      <c r="F7" s="5" t="s">
        <v>31</v>
      </c>
      <c r="G7" s="5" t="s">
        <v>32</v>
      </c>
      <c r="H7" s="5" t="s">
        <v>33</v>
      </c>
    </row>
    <row r="8">
      <c r="A8" s="5">
        <v>3.931042394E9</v>
      </c>
      <c r="B8" s="5">
        <v>4.0</v>
      </c>
      <c r="C8" s="17">
        <v>549.0</v>
      </c>
      <c r="D8" s="5">
        <v>22.5</v>
      </c>
      <c r="E8" s="5" t="s">
        <v>34</v>
      </c>
      <c r="F8" s="5" t="s">
        <v>31</v>
      </c>
      <c r="G8" s="5" t="s">
        <v>32</v>
      </c>
      <c r="H8" s="5" t="s">
        <v>33</v>
      </c>
    </row>
    <row r="9">
      <c r="A9" s="5">
        <v>3.931190222E9</v>
      </c>
      <c r="B9" s="5">
        <v>5.0</v>
      </c>
      <c r="C9" s="17">
        <v>649.0</v>
      </c>
      <c r="D9" s="5">
        <v>45.0</v>
      </c>
      <c r="E9" s="5" t="s">
        <v>35</v>
      </c>
      <c r="F9" s="5" t="s">
        <v>31</v>
      </c>
      <c r="G9" s="5" t="s">
        <v>32</v>
      </c>
      <c r="H9" s="5" t="s">
        <v>33</v>
      </c>
      <c r="I9" s="4" t="s">
        <v>36</v>
      </c>
    </row>
    <row r="10">
      <c r="A10" s="5">
        <v>3.316118572E9</v>
      </c>
      <c r="B10" s="5">
        <v>1.0</v>
      </c>
      <c r="C10" s="17">
        <v>319.0</v>
      </c>
      <c r="D10" s="5">
        <v>9.0</v>
      </c>
      <c r="E10" s="5" t="str">
        <f t="array" ref="E10">XLOOKUP($A10,Números_Asignados,Nombres_Directorio," *** OJO *** ",0)</f>
        <v>Kathya Margarita Cerpa Velazco</v>
      </c>
      <c r="F10" s="5" t="str">
        <f t="array" ref="F10">XLOOKUP($A10,Números_Asignados,Sucursal_Asignada," *** OJO *** ",0)</f>
        <v>Corporativo</v>
      </c>
      <c r="G10" s="5" t="str">
        <f t="array" ref="G10">XLOOKUP($A10,Números_Asignados,Departamento_Asignado," *** OJO *** ",0)</f>
        <v>Finanzas</v>
      </c>
      <c r="H10" s="5" t="str">
        <f t="array" ref="H10">XLOOKUP($A10,Números_Asignados,Puesto_Asignado," *** OJO *** ",0)</f>
        <v>Jefa de Finanzas</v>
      </c>
    </row>
    <row r="11">
      <c r="A11" s="5">
        <v>3.312846765E9</v>
      </c>
      <c r="B11" s="5">
        <v>4.0</v>
      </c>
      <c r="C11" s="17">
        <v>599.0</v>
      </c>
      <c r="D11" s="5">
        <v>22.5</v>
      </c>
      <c r="E11" s="5" t="str">
        <f t="array" ref="E11">XLOOKUP($A11,Números_Asignados,Nombres_Directorio," *** OJO *** ",0)</f>
        <v>Jorge Humberto Gómez Córdova</v>
      </c>
      <c r="F11" s="5" t="str">
        <f t="array" ref="F11">XLOOKUP($A11,Números_Asignados,Sucursal_Asignada," *** OJO *** ",0)</f>
        <v>Corporativo</v>
      </c>
      <c r="G11" s="5" t="str">
        <f t="array" ref="G11">XLOOKUP($A11,Números_Asignados,Departamento_Asignado," *** OJO *** ",0)</f>
        <v>Maquinaria Agrícola</v>
      </c>
      <c r="H11" s="5" t="str">
        <f t="array" ref="H11">XLOOKUP($A11,Números_Asignados,Puesto_Asignado," *** OJO *** ",0)</f>
        <v>Jefe Ventas Agrícola</v>
      </c>
    </row>
    <row r="12">
      <c r="A12" s="5">
        <v>3.337194505E9</v>
      </c>
      <c r="B12" s="5">
        <v>4.0</v>
      </c>
      <c r="C12" s="17">
        <v>549.0</v>
      </c>
      <c r="D12" s="5">
        <v>22.5</v>
      </c>
      <c r="E12" s="5" t="str">
        <f t="array" ref="E12">XLOOKUP($A12,Números_Asignados,Nombres_Directorio," *** OJO *** ",0)</f>
        <v>Adrián Paskinel Hernández Zavala</v>
      </c>
      <c r="F12" s="5" t="str">
        <f t="array" ref="F12">XLOOKUP($A12,Números_Asignados,Sucursal_Asignada," *** OJO *** ",0)</f>
        <v>Corporativo</v>
      </c>
      <c r="G12" s="5" t="str">
        <f t="array" ref="G12">XLOOKUP($A12,Números_Asignados,Departamento_Asignado," *** OJO *** ",0)</f>
        <v>Maquinaria Construcción</v>
      </c>
      <c r="H12" s="5" t="str">
        <f t="array" ref="H12">XLOOKUP($A12,Números_Asignados,Puesto_Asignado," *** OJO *** ",0)</f>
        <v>Jefe de Ventas Construcción</v>
      </c>
    </row>
    <row r="13">
      <c r="A13" s="5">
        <v>3.781868863E9</v>
      </c>
      <c r="B13" s="5">
        <v>4.0</v>
      </c>
      <c r="C13" s="17">
        <v>549.0</v>
      </c>
      <c r="D13" s="5">
        <v>22.5</v>
      </c>
      <c r="E13" s="5" t="str">
        <f t="array" ref="E13">XLOOKUP($A13,Números_Asignados,Nombres_Directorio," *** OJO *** ",0)</f>
        <v>Raúl Óscar Ortega Guillén</v>
      </c>
      <c r="F13" s="5" t="str">
        <f t="array" ref="F13">XLOOKUP($A13,Números_Asignados,Sucursal_Asignada," *** OJO *** ",0)</f>
        <v>Corporativo</v>
      </c>
      <c r="G13" s="5" t="str">
        <f t="array" ref="G13">XLOOKUP($A13,Números_Asignados,Departamento_Asignado," *** OJO *** ",0)</f>
        <v>Marketing</v>
      </c>
      <c r="H13" s="5" t="str">
        <f t="array" ref="H13">XLOOKUP($A13,Números_Asignados,Puesto_Asignado," *** OJO *** ",0)</f>
        <v>Jefe de Marketing</v>
      </c>
    </row>
    <row r="14">
      <c r="A14" s="5">
        <v>3.951428204E9</v>
      </c>
      <c r="B14" s="5">
        <v>4.0</v>
      </c>
      <c r="C14" s="17">
        <v>549.0</v>
      </c>
      <c r="D14" s="5">
        <v>22.5</v>
      </c>
      <c r="E14" s="5" t="str">
        <f t="array" ref="E14">XLOOKUP($A14,Números_Asignados,Nombres_Directorio," *** OJO *** ",0)</f>
        <v>Jesús García Anaya</v>
      </c>
      <c r="F14" s="5" t="str">
        <f t="array" ref="F14">XLOOKUP($A14,Números_Asignados,Sucursal_Asignada," *** OJO *** ",0)</f>
        <v>Corporativo</v>
      </c>
      <c r="G14" s="5" t="str">
        <f t="array" ref="G14">XLOOKUP($A14,Números_Asignados,Departamento_Asignado," *** OJO *** ",0)</f>
        <v>Parque Vehicular</v>
      </c>
      <c r="H14" s="5" t="str">
        <f t="array" ref="H14">XLOOKUP($A14,Números_Asignados,Puesto_Asignado," *** OJO *** ",0)</f>
        <v>Jefe Parque Vehicular</v>
      </c>
    </row>
    <row r="15">
      <c r="A15" s="5">
        <v>3.316098529E9</v>
      </c>
      <c r="B15" s="5">
        <v>4.0</v>
      </c>
      <c r="C15" s="17">
        <v>599.0</v>
      </c>
      <c r="D15" s="5">
        <v>22.5</v>
      </c>
      <c r="E15" s="5" t="str">
        <f t="array" ref="E15">XLOOKUP($A15,Números_Asignados,Nombres_Directorio," *** OJO *** ",0)</f>
        <v>Miguel Ángel González Escoto</v>
      </c>
      <c r="F15" s="5" t="str">
        <f t="array" ref="F15">XLOOKUP($A15,Números_Asignados,Sucursal_Asignada," *** OJO *** ",0)</f>
        <v>Corporativo</v>
      </c>
      <c r="G15" s="5" t="str">
        <f t="array" ref="G15">XLOOKUP($A15,Números_Asignados,Departamento_Asignado," *** OJO *** ",0)</f>
        <v>Postventa</v>
      </c>
      <c r="H15" s="5" t="str">
        <f t="array" ref="H15">XLOOKUP($A15,Números_Asignados,Puesto_Asignado," *** OJO *** ",0)</f>
        <v>Jefe Postventa</v>
      </c>
    </row>
    <row r="16">
      <c r="A16" s="5">
        <v>3.93119646E9</v>
      </c>
      <c r="B16" s="5">
        <v>4.0</v>
      </c>
      <c r="C16" s="17">
        <v>549.0</v>
      </c>
      <c r="D16" s="5">
        <v>22.5</v>
      </c>
      <c r="E16" s="5" t="str">
        <f t="array" ref="E16">XLOOKUP($A16,Números_Asignados,Nombres_Directorio," *** OJO *** ",0)</f>
        <v>Abraham Octavio García Sahagún</v>
      </c>
      <c r="F16" s="5" t="str">
        <f t="array" ref="F16">XLOOKUP($A16,Números_Asignados,Sucursal_Asignada," *** OJO *** ",0)</f>
        <v>Corporativo</v>
      </c>
      <c r="G16" s="5" t="str">
        <f t="array" ref="G16">XLOOKUP($A16,Números_Asignados,Departamento_Asignado," *** OJO *** ",0)</f>
        <v>Refacciones</v>
      </c>
      <c r="H16" s="5" t="str">
        <f t="array" ref="H16">XLOOKUP($A16,Números_Asignados,Puesto_Asignado," *** OJO *** ",0)</f>
        <v>Jefe de Refacciones</v>
      </c>
    </row>
    <row r="17">
      <c r="A17" s="5">
        <v>3.93106444E9</v>
      </c>
      <c r="B17" s="5">
        <v>4.0</v>
      </c>
      <c r="C17" s="17">
        <v>549.0</v>
      </c>
      <c r="D17" s="5">
        <v>22.5</v>
      </c>
      <c r="E17" s="5" t="str">
        <f t="array" ref="E17">XLOOKUP($A17,Números_Asignados,Nombres_Directorio," *** OJO *** ",0)</f>
        <v>J. Jesús Velazco</v>
      </c>
      <c r="F17" s="5" t="str">
        <f t="array" ref="F17">XLOOKUP($A17,Números_Asignados,Sucursal_Asignada," *** OJO *** ",0)</f>
        <v>Corporativo</v>
      </c>
      <c r="G17" s="5" t="str">
        <f t="array" ref="G17">XLOOKUP($A17,Números_Asignados,Departamento_Asignado," *** OJO *** ",0)</f>
        <v>Servicio</v>
      </c>
      <c r="H17" s="5" t="str">
        <f t="array" ref="H17">XLOOKUP($A17,Números_Asignados,Puesto_Asignado," *** OJO *** ",0)</f>
        <v>Jefe Operativo</v>
      </c>
    </row>
    <row r="18">
      <c r="A18" s="5">
        <v>3.939332335E9</v>
      </c>
      <c r="B18" s="5">
        <v>5.0</v>
      </c>
      <c r="C18" s="17">
        <v>649.0</v>
      </c>
      <c r="D18" s="5">
        <v>45.0</v>
      </c>
      <c r="E18" s="5" t="str">
        <f t="array" ref="E18">XLOOKUP($A18,Números_Asignados,Nombres_Directorio," *** OJO *** ",0)</f>
        <v>Pablo Alberto Barocio Valle</v>
      </c>
      <c r="F18" s="5" t="str">
        <f t="array" ref="F18">XLOOKUP($A18,Números_Asignados,Sucursal_Asignada," *** OJO *** ",0)</f>
        <v>Corporativo</v>
      </c>
      <c r="G18" s="5" t="str">
        <f t="array" ref="G18">XLOOKUP($A18,Números_Asignados,Departamento_Asignado," *** OJO *** ",0)</f>
        <v>Sistemas</v>
      </c>
      <c r="H18" s="5" t="str">
        <f t="array" ref="H18">XLOOKUP($A18,Números_Asignados,Puesto_Asignado," *** OJO *** ",0)</f>
        <v>Jefe de Sistemas</v>
      </c>
    </row>
    <row r="19">
      <c r="A19" s="5">
        <v>3.931079959E9</v>
      </c>
      <c r="B19" s="5">
        <v>4.0</v>
      </c>
      <c r="C19" s="17">
        <v>549.0</v>
      </c>
      <c r="D19" s="5">
        <v>22.5</v>
      </c>
      <c r="E19" s="5" t="str">
        <f t="array" ref="E19">XLOOKUP($A19,Números_Asignados,Nombres_Directorio," *** OJO *** ",0)</f>
        <v>Yessica Velázquez Villanueva</v>
      </c>
      <c r="F19" s="5" t="str">
        <f t="array" ref="F19">XLOOKUP($A19,Números_Asignados,Sucursal_Asignada," *** OJO *** ",0)</f>
        <v>Corporativo</v>
      </c>
      <c r="G19" s="5" t="str">
        <f t="array" ref="G19">XLOOKUP($A19,Números_Asignados,Departamento_Asignado," *** OJO *** ",0)</f>
        <v>Staff</v>
      </c>
      <c r="H19" s="5" t="str">
        <f t="array" ref="H19">XLOOKUP($A19,Números_Asignados,Puesto_Asignado," *** OJO *** ",0)</f>
        <v>Jefe de Staff</v>
      </c>
    </row>
    <row r="20">
      <c r="A20" s="5">
        <v>3.316106119E9</v>
      </c>
      <c r="B20" s="5">
        <v>1.0</v>
      </c>
      <c r="C20" s="17">
        <v>319.0</v>
      </c>
      <c r="D20" s="5">
        <v>9.0</v>
      </c>
      <c r="E20" s="5" t="s">
        <v>37</v>
      </c>
      <c r="F20" s="5" t="s">
        <v>38</v>
      </c>
      <c r="G20" s="5" t="s">
        <v>39</v>
      </c>
      <c r="H20" s="5" t="s">
        <v>40</v>
      </c>
    </row>
    <row r="21" ht="15.75" customHeight="1">
      <c r="A21" s="5">
        <v>3.931078006E9</v>
      </c>
      <c r="B21" s="5">
        <v>1.0</v>
      </c>
      <c r="C21" s="17">
        <v>269.0</v>
      </c>
      <c r="D21" s="5">
        <v>9.0</v>
      </c>
      <c r="E21" s="5" t="s">
        <v>41</v>
      </c>
      <c r="F21" s="5" t="s">
        <v>38</v>
      </c>
      <c r="G21" s="5" t="s">
        <v>42</v>
      </c>
      <c r="H21" s="5" t="s">
        <v>40</v>
      </c>
    </row>
    <row r="22" ht="15.75" customHeight="1">
      <c r="A22" s="5">
        <v>3.310431719E9</v>
      </c>
      <c r="B22" s="5">
        <v>5.0</v>
      </c>
      <c r="C22" s="17">
        <v>649.0</v>
      </c>
      <c r="D22" s="5">
        <v>45.0</v>
      </c>
      <c r="E22" s="5" t="s">
        <v>43</v>
      </c>
      <c r="F22" s="5" t="s">
        <v>38</v>
      </c>
      <c r="G22" s="5" t="s">
        <v>44</v>
      </c>
      <c r="H22" s="5" t="s">
        <v>44</v>
      </c>
    </row>
    <row r="23" ht="15.75" customHeight="1">
      <c r="A23" s="5">
        <v>3.939366538E9</v>
      </c>
      <c r="B23" s="5">
        <v>5.0</v>
      </c>
      <c r="C23" s="17">
        <v>649.0</v>
      </c>
      <c r="D23" s="5">
        <v>45.0</v>
      </c>
      <c r="E23" s="5" t="s">
        <v>45</v>
      </c>
      <c r="F23" s="5" t="s">
        <v>38</v>
      </c>
      <c r="G23" s="5" t="s">
        <v>44</v>
      </c>
      <c r="H23" s="5" t="s">
        <v>44</v>
      </c>
    </row>
    <row r="24" ht="15.75" customHeight="1">
      <c r="A24" s="5">
        <v>3.321830554E9</v>
      </c>
      <c r="B24" s="5">
        <v>5.0</v>
      </c>
      <c r="C24" s="17">
        <v>649.0</v>
      </c>
      <c r="D24" s="5">
        <v>45.0</v>
      </c>
      <c r="E24" s="5" t="s">
        <v>46</v>
      </c>
      <c r="F24" s="5" t="s">
        <v>38</v>
      </c>
      <c r="G24" s="5" t="s">
        <v>44</v>
      </c>
      <c r="H24" s="5" t="s">
        <v>44</v>
      </c>
    </row>
    <row r="25" ht="15.75" customHeight="1">
      <c r="A25" s="5">
        <v>4.433765288E9</v>
      </c>
      <c r="B25" s="5">
        <v>5.0</v>
      </c>
      <c r="C25" s="17">
        <v>649.0</v>
      </c>
      <c r="D25" s="5">
        <v>45.0</v>
      </c>
      <c r="E25" s="5" t="s">
        <v>47</v>
      </c>
      <c r="F25" s="5" t="s">
        <v>38</v>
      </c>
      <c r="G25" s="5" t="s">
        <v>44</v>
      </c>
      <c r="H25" s="5" t="s">
        <v>44</v>
      </c>
    </row>
    <row r="26" ht="15.75" customHeight="1">
      <c r="A26" s="5">
        <v>3.316137123E9</v>
      </c>
      <c r="B26" s="5">
        <v>5.0</v>
      </c>
      <c r="C26" s="17">
        <v>699.0</v>
      </c>
      <c r="D26" s="5">
        <v>45.0</v>
      </c>
      <c r="E26" s="5" t="s">
        <v>48</v>
      </c>
      <c r="F26" s="5" t="s">
        <v>38</v>
      </c>
      <c r="G26" s="5" t="s">
        <v>44</v>
      </c>
      <c r="H26" s="5" t="s">
        <v>44</v>
      </c>
    </row>
    <row r="27" ht="15.75" customHeight="1">
      <c r="A27" s="5">
        <v>3.931245174E9</v>
      </c>
      <c r="B27" s="5">
        <v>4.0</v>
      </c>
      <c r="C27" s="17">
        <v>549.0</v>
      </c>
      <c r="D27" s="5">
        <v>22.5</v>
      </c>
      <c r="E27" s="5" t="str">
        <f t="array" ref="E27">XLOOKUP($A27,Números_Asignados,Nombres_Directorio," *** OJO *** ",0)</f>
        <v>Diego Guadalupe Armas Álvarez</v>
      </c>
      <c r="F27" s="5" t="str">
        <f t="array" ref="F27">XLOOKUP($A27,Números_Asignados,Sucursal_Asignada," *** OJO *** ",0)</f>
        <v>Corporativo</v>
      </c>
      <c r="G27" s="5" t="str">
        <f t="array" ref="G27">XLOOKUP($A27,Números_Asignados,Departamento_Asignado," *** OJO *** ",0)</f>
        <v>Agricultura Inteligente</v>
      </c>
      <c r="H27" s="5" t="str">
        <f t="array" ref="H27">XLOOKUP($A27,Números_Asignados,Puesto_Asignado," *** OJO *** ",0)</f>
        <v>Asesor de Ventas</v>
      </c>
    </row>
    <row r="28" ht="15.75" customHeight="1">
      <c r="A28" s="5">
        <v>3.931079956E9</v>
      </c>
      <c r="B28" s="5">
        <v>4.0</v>
      </c>
      <c r="C28" s="17">
        <v>549.0</v>
      </c>
      <c r="D28" s="5">
        <v>22.5</v>
      </c>
      <c r="E28" s="5" t="str">
        <f t="array" ref="E28">XLOOKUP($A28,Números_Asignados,Nombres_Directorio," *** OJO *** ",0)</f>
        <v>Abdiel Yahir González Razo</v>
      </c>
      <c r="F28" s="5" t="str">
        <f t="array" ref="F28">XLOOKUP($A28,Números_Asignados,Sucursal_Asignada," *** OJO *** ",0)</f>
        <v>Corporativo</v>
      </c>
      <c r="G28" s="5" t="str">
        <f t="array" ref="G28">XLOOKUP($A28,Números_Asignados,Departamento_Asignado," *** OJO *** ",0)</f>
        <v>Agricultura Inteligente</v>
      </c>
      <c r="H28" s="5" t="str">
        <f t="array" ref="H28">XLOOKUP($A28,Números_Asignados,Puesto_Asignado," *** OJO *** ",0)</f>
        <v>Asesor de Ventas</v>
      </c>
    </row>
    <row r="29" ht="15.75" customHeight="1">
      <c r="A29" s="5">
        <v>3.931099049E9</v>
      </c>
      <c r="B29" s="5">
        <v>4.0</v>
      </c>
      <c r="C29" s="17">
        <v>599.0</v>
      </c>
      <c r="D29" s="5">
        <v>22.5</v>
      </c>
      <c r="E29" s="5" t="str">
        <f t="array" ref="E29">XLOOKUP($A29,Números_Asignados,Nombres_Directorio," *** OJO *** ",0)</f>
        <v>Jesus Alberto Zuno Jimenez</v>
      </c>
      <c r="F29" s="5" t="str">
        <f t="array" ref="F29">XLOOKUP($A29,Números_Asignados,Sucursal_Asignada," *** OJO *** ",0)</f>
        <v>Corporativo</v>
      </c>
      <c r="G29" s="5" t="str">
        <f t="array" ref="G29">XLOOKUP($A29,Números_Asignados,Departamento_Asignado," *** OJO *** ",0)</f>
        <v>Agricultura Inteligente</v>
      </c>
      <c r="H29" s="5" t="str">
        <f t="array" ref="H29">XLOOKUP($A29,Números_Asignados,Puesto_Asignado," *** OJO *** ",0)</f>
        <v>Asesor de Ventas</v>
      </c>
    </row>
    <row r="30" ht="15.75" customHeight="1">
      <c r="A30" s="5">
        <v>3.931190252E9</v>
      </c>
      <c r="B30" s="5">
        <v>4.0</v>
      </c>
      <c r="C30" s="17">
        <v>549.0</v>
      </c>
      <c r="D30" s="5">
        <v>22.5</v>
      </c>
      <c r="E30" s="5" t="str">
        <f t="array" ref="E30">XLOOKUP($A30,Números_Asignados,Nombres_Directorio," *** OJO *** ",0)</f>
        <v>Pascual Humberto Ramírez Flores</v>
      </c>
      <c r="F30" s="5" t="str">
        <f t="array" ref="F30">XLOOKUP($A30,Números_Asignados,Sucursal_Asignada," *** OJO *** ",0)</f>
        <v>Corporativo</v>
      </c>
      <c r="G30" s="5" t="str">
        <f t="array" ref="G30">XLOOKUP($A30,Números_Asignados,Departamento_Asignado," *** OJO *** ",0)</f>
        <v>Agricultura Inteligente</v>
      </c>
      <c r="H30" s="5" t="str">
        <f t="array" ref="H30">XLOOKUP($A30,Números_Asignados,Puesto_Asignado," *** OJO *** ",0)</f>
        <v>Asesor de Ventas</v>
      </c>
    </row>
    <row r="31" ht="15.75" customHeight="1">
      <c r="A31" s="5">
        <v>3.316135759E9</v>
      </c>
      <c r="B31" s="5">
        <v>4.0</v>
      </c>
      <c r="C31" s="17">
        <v>599.0</v>
      </c>
      <c r="D31" s="5">
        <v>22.5</v>
      </c>
      <c r="E31" s="5" t="str">
        <f t="array" ref="E31">XLOOKUP($A31,Números_Asignados,Nombres_Directorio," *** OJO *** ",0)</f>
        <v>Mariana Álvarez Estrada</v>
      </c>
      <c r="F31" s="5" t="str">
        <f t="array" ref="F31">XLOOKUP($A31,Números_Asignados,Sucursal_Asignada," *** OJO *** ",0)</f>
        <v>Corporativo</v>
      </c>
      <c r="G31" s="5" t="str">
        <f t="array" ref="G31">XLOOKUP($A31,Números_Asignados,Departamento_Asignado," *** OJO *** ",0)</f>
        <v>Agricultura Inteligente</v>
      </c>
      <c r="H31" s="5" t="str">
        <f t="array" ref="H31">XLOOKUP($A31,Números_Asignados,Puesto_Asignado," *** OJO *** ",0)</f>
        <v>Auxiliar Administrativo</v>
      </c>
    </row>
    <row r="32" ht="15.75" customHeight="1">
      <c r="A32" s="5">
        <v>3.781868862E9</v>
      </c>
      <c r="B32" s="5">
        <v>1.0</v>
      </c>
      <c r="C32" s="17">
        <v>269.0</v>
      </c>
      <c r="D32" s="5">
        <v>9.0</v>
      </c>
      <c r="E32" s="5" t="str">
        <f t="array" ref="E32">XLOOKUP($A32,Números_Asignados,Nombres_Directorio," *** OJO *** ",0)</f>
        <v>José Alejandro Tellez Gómez</v>
      </c>
      <c r="F32" s="5" t="str">
        <f t="array" ref="F32">XLOOKUP($A32,Números_Asignados,Sucursal_Asignada," *** OJO *** ",0)</f>
        <v>Corporativo</v>
      </c>
      <c r="G32" s="5" t="str">
        <f t="array" ref="G32">XLOOKUP($A32,Números_Asignados,Departamento_Asignado," *** OJO *** ",0)</f>
        <v>Agricultura Inteligente</v>
      </c>
      <c r="H32" s="5" t="str">
        <f t="array" ref="H32">XLOOKUP($A32,Números_Asignados,Puesto_Asignado," *** OJO *** ",0)</f>
        <v>Técnico</v>
      </c>
    </row>
    <row r="33" ht="15.75" customHeight="1">
      <c r="A33" s="5">
        <v>3.931001237E9</v>
      </c>
      <c r="B33" s="5">
        <v>1.0</v>
      </c>
      <c r="C33" s="17">
        <v>269.0</v>
      </c>
      <c r="D33" s="5">
        <v>9.0</v>
      </c>
      <c r="E33" s="5" t="str">
        <f t="array" ref="E33">XLOOKUP($A33,Números_Asignados,Nombres_Directorio," *** OJO *** ",0)</f>
        <v>Isela María Guadalupe Rodríguez Estrada</v>
      </c>
      <c r="F33" s="5" t="str">
        <f t="array" ref="F33">XLOOKUP($A33,Números_Asignados,Sucursal_Asignada," *** OJO *** ",0)</f>
        <v>Corporativo</v>
      </c>
      <c r="G33" s="5" t="str">
        <f t="array" ref="G33">XLOOKUP($A33,Números_Asignados,Departamento_Asignado," *** OJO *** ",0)</f>
        <v>Capital Humano</v>
      </c>
      <c r="H33" s="5" t="str">
        <f t="array" ref="H33">XLOOKUP($A33,Números_Asignados,Puesto_Asignado," *** OJO *** ",0)</f>
        <v>Auxiliar Administrativo</v>
      </c>
    </row>
    <row r="34" ht="15.75" customHeight="1">
      <c r="A34" s="5">
        <v>3.921006351E9</v>
      </c>
      <c r="B34" s="5">
        <v>4.0</v>
      </c>
      <c r="C34" s="17">
        <v>549.0</v>
      </c>
      <c r="D34" s="5">
        <v>22.5</v>
      </c>
      <c r="E34" s="5" t="str">
        <f t="array" ref="E34">XLOOKUP($A34,Números_Asignados,Nombres_Directorio," *** OJO *** ",0)</f>
        <v> *** OJO *** </v>
      </c>
      <c r="F34" s="5" t="str">
        <f t="array" ref="F34">XLOOKUP($A34,Números_Asignados,Sucursal_Asignada," *** OJO *** ",0)</f>
        <v> *** OJO *** </v>
      </c>
      <c r="G34" s="5" t="str">
        <f t="array" ref="G34">XLOOKUP($A34,Números_Asignados,Departamento_Asignado," *** OJO *** ",0)</f>
        <v> *** OJO *** </v>
      </c>
      <c r="H34" s="5" t="str">
        <f t="array" ref="H34">XLOOKUP($A34,Números_Asignados,Puesto_Asignado," *** OJO *** ",0)</f>
        <v> *** OJO *** </v>
      </c>
      <c r="I34" s="18" t="s">
        <v>49</v>
      </c>
    </row>
    <row r="35" ht="15.75" customHeight="1">
      <c r="A35" s="5">
        <v>3.931205198E9</v>
      </c>
      <c r="B35" s="5">
        <v>1.0</v>
      </c>
      <c r="C35" s="17">
        <v>269.0</v>
      </c>
      <c r="D35" s="5">
        <v>9.0</v>
      </c>
      <c r="E35" s="5" t="str">
        <f t="array" ref="E35">XLOOKUP($A35,Números_Asignados,Nombres_Directorio," *** OJO *** ",0)</f>
        <v>María del Cármen Sánchez García</v>
      </c>
      <c r="F35" s="5" t="str">
        <f t="array" ref="F35">XLOOKUP($A35,Números_Asignados,Sucursal_Asignada," *** OJO *** ",0)</f>
        <v>Corporativo</v>
      </c>
      <c r="G35" s="5" t="str">
        <f t="array" ref="G35">XLOOKUP($A35,Números_Asignados,Departamento_Asignado," *** OJO *** ",0)</f>
        <v>Compras</v>
      </c>
      <c r="H35" s="5" t="str">
        <f t="array" ref="H35">XLOOKUP($A35,Números_Asignados,Puesto_Asignado," *** OJO *** ",0)</f>
        <v>Auxiliar Administrativo</v>
      </c>
    </row>
    <row r="36" ht="15.75" customHeight="1">
      <c r="A36" s="5">
        <v>3.931245254E9</v>
      </c>
      <c r="B36" s="5">
        <v>4.0</v>
      </c>
      <c r="C36" s="17">
        <v>549.0</v>
      </c>
      <c r="D36" s="5">
        <v>22.5</v>
      </c>
      <c r="E36" s="5" t="str">
        <f t="array" ref="E36">XLOOKUP($A36,Números_Asignados,Nombres_Directorio," *** OJO *** ",0)</f>
        <v>José Alejandro Rosas Oñate</v>
      </c>
      <c r="F36" s="5" t="str">
        <f t="array" ref="F36">XLOOKUP($A36,Números_Asignados,Sucursal_Asignada," *** OJO *** ",0)</f>
        <v>Corporativo</v>
      </c>
      <c r="G36" s="5" t="str">
        <f t="array" ref="G36">XLOOKUP($A36,Números_Asignados,Departamento_Asignado," *** OJO *** ",0)</f>
        <v>Compras</v>
      </c>
      <c r="H36" s="5" t="str">
        <f t="array" ref="H36">XLOOKUP($A36,Números_Asignados,Puesto_Asignado," *** OJO *** ",0)</f>
        <v>Chofer</v>
      </c>
    </row>
    <row r="37" ht="15.75" customHeight="1">
      <c r="A37" s="5">
        <v>3.313254527E9</v>
      </c>
      <c r="B37" s="5">
        <v>1.0</v>
      </c>
      <c r="C37" s="17">
        <v>269.0</v>
      </c>
      <c r="D37" s="5">
        <v>9.0</v>
      </c>
      <c r="E37" s="5" t="str">
        <f t="array" ref="E37">XLOOKUP($A37,Números_Asignados,Nombres_Directorio," *** OJO *** ",0)</f>
        <v>Alejandra Guadalupe Munguía Albisio</v>
      </c>
      <c r="F37" s="5" t="str">
        <f t="array" ref="F37">XLOOKUP($A37,Números_Asignados,Sucursal_Asignada," *** OJO *** ",0)</f>
        <v>Corporativo</v>
      </c>
      <c r="G37" s="5" t="str">
        <f t="array" ref="G37">XLOOKUP($A37,Números_Asignados,Departamento_Asignado," *** OJO *** ",0)</f>
        <v>Compras Internacionales</v>
      </c>
      <c r="H37" s="5" t="str">
        <f t="array" ref="H37">XLOOKUP($A37,Números_Asignados,Puesto_Asignado," *** OJO *** ",0)</f>
        <v>Auxiliar Administrativo</v>
      </c>
    </row>
    <row r="38" ht="15.75" customHeight="1">
      <c r="A38" s="5">
        <v>3.781868857E9</v>
      </c>
      <c r="B38" s="5">
        <v>1.0</v>
      </c>
      <c r="C38" s="17">
        <v>269.0</v>
      </c>
      <c r="D38" s="5">
        <v>9.0</v>
      </c>
      <c r="E38" s="5" t="str">
        <f t="array" ref="E38">XLOOKUP($A38,Números_Asignados,Nombres_Directorio," *** OJO *** ",0)</f>
        <v>Patricia Lorena Covarrubias Tello</v>
      </c>
      <c r="F38" s="5" t="str">
        <f t="array" ref="F38">XLOOKUP($A38,Números_Asignados,Sucursal_Asignada," *** OJO *** ",0)</f>
        <v>Corporativo</v>
      </c>
      <c r="G38" s="5" t="str">
        <f t="array" ref="G38">XLOOKUP($A38,Números_Asignados,Departamento_Asignado," *** OJO *** ",0)</f>
        <v>Crédito y Cobranza</v>
      </c>
      <c r="H38" s="5" t="str">
        <f t="array" ref="H38">XLOOKUP($A38,Números_Asignados,Puesto_Asignado," *** OJO *** ",0)</f>
        <v>Auxiliar Administrativo</v>
      </c>
    </row>
    <row r="39" ht="15.75" customHeight="1">
      <c r="A39" s="5">
        <v>3.939382471E9</v>
      </c>
      <c r="B39" s="5">
        <v>1.0</v>
      </c>
      <c r="C39" s="17">
        <v>269.0</v>
      </c>
      <c r="D39" s="5">
        <v>9.0</v>
      </c>
      <c r="E39" s="5" t="str">
        <f t="array" ref="E39">XLOOKUP($A39,Números_Asignados,Nombres_Directorio," *** OJO *** ",0)</f>
        <v>Jennifer Paulina Resendiz Bravo</v>
      </c>
      <c r="F39" s="5" t="str">
        <f t="array" ref="F39">XLOOKUP($A39,Números_Asignados,Sucursal_Asignada," *** OJO *** ",0)</f>
        <v>Corporativo</v>
      </c>
      <c r="G39" s="5" t="str">
        <f t="array" ref="G39">XLOOKUP($A39,Números_Asignados,Departamento_Asignado," *** OJO *** ",0)</f>
        <v>Finanzas</v>
      </c>
      <c r="H39" s="5" t="str">
        <f t="array" ref="H39">XLOOKUP($A39,Números_Asignados,Puesto_Asignado," *** OJO *** ",0)</f>
        <v>Auxiliar Administrativo</v>
      </c>
    </row>
    <row r="40" ht="15.75" customHeight="1">
      <c r="A40" s="5">
        <v>3.316172428E9</v>
      </c>
      <c r="B40" s="5">
        <v>4.0</v>
      </c>
      <c r="C40" s="17">
        <v>549.0</v>
      </c>
      <c r="D40" s="5">
        <v>22.5</v>
      </c>
      <c r="E40" s="5" t="str">
        <f t="array" ref="E40">XLOOKUP($A40,Números_Asignados,Nombres_Directorio," *** OJO *** ",0)</f>
        <v>Ricardo Moreno Medina</v>
      </c>
      <c r="F40" s="5" t="str">
        <f t="array" ref="F40">XLOOKUP($A40,Números_Asignados,Sucursal_Asignada," *** OJO *** ",0)</f>
        <v>Corporativo</v>
      </c>
      <c r="G40" s="5" t="str">
        <f t="array" ref="G40">XLOOKUP($A40,Números_Asignados,Departamento_Asignado," *** OJO *** ",0)</f>
        <v>Finanzas</v>
      </c>
      <c r="H40" s="5" t="str">
        <f t="array" ref="H40">XLOOKUP($A40,Números_Asignados,Puesto_Asignado," *** OJO *** ",0)</f>
        <v>Auxiliar Administrativo</v>
      </c>
    </row>
    <row r="41" ht="15.75" customHeight="1">
      <c r="A41" s="5">
        <v>3.316156385E9</v>
      </c>
      <c r="B41" s="5">
        <v>1.0</v>
      </c>
      <c r="C41" s="17">
        <v>319.0</v>
      </c>
      <c r="D41" s="5">
        <v>9.0</v>
      </c>
      <c r="E41" s="5" t="str">
        <f t="array" ref="E41">XLOOKUP($A41,Números_Asignados,Nombres_Directorio," *** OJO *** ",0)</f>
        <v>Juana Alejandra García Jiménez</v>
      </c>
      <c r="F41" s="5" t="str">
        <f t="array" ref="F41">XLOOKUP($A41,Números_Asignados,Sucursal_Asignada," *** OJO *** ",0)</f>
        <v>Corporativo</v>
      </c>
      <c r="G41" s="5" t="str">
        <f t="array" ref="G41">XLOOKUP($A41,Números_Asignados,Departamento_Asignado," *** OJO *** ",0)</f>
        <v>Jurídico</v>
      </c>
      <c r="H41" s="5" t="str">
        <f t="array" ref="H41">XLOOKUP($A41,Números_Asignados,Puesto_Asignado," *** OJO *** ",0)</f>
        <v>Representante Legal</v>
      </c>
    </row>
    <row r="42" ht="15.75" customHeight="1">
      <c r="A42" s="5">
        <v>3.316098501E9</v>
      </c>
      <c r="B42" s="5">
        <v>1.0</v>
      </c>
      <c r="C42" s="17">
        <v>319.0</v>
      </c>
      <c r="D42" s="5">
        <v>9.0</v>
      </c>
      <c r="E42" s="5" t="str">
        <f t="array" ref="E42">XLOOKUP($A42,Números_Asignados,Nombres_Directorio," *** OJO *** ",0)</f>
        <v>José Antonio Gómez Malacara</v>
      </c>
      <c r="F42" s="5" t="str">
        <f t="array" ref="F42">XLOOKUP($A42,Números_Asignados,Sucursal_Asignada," *** OJO *** ",0)</f>
        <v>Corporativo</v>
      </c>
      <c r="G42" s="5" t="str">
        <f t="array" ref="G42">XLOOKUP($A42,Números_Asignados,Departamento_Asignado," *** OJO *** ",0)</f>
        <v>Mantenimiento</v>
      </c>
      <c r="H42" s="5" t="str">
        <f t="array" ref="H42">XLOOKUP($A42,Números_Asignados,Puesto_Asignado," *** OJO *** ",0)</f>
        <v>Jefe de Mantenimiento</v>
      </c>
    </row>
    <row r="43" ht="15.75" customHeight="1">
      <c r="A43" s="5">
        <v>3.93119008E9</v>
      </c>
      <c r="B43" s="5">
        <v>1.0</v>
      </c>
      <c r="C43" s="17">
        <v>269.0</v>
      </c>
      <c r="D43" s="5">
        <v>9.0</v>
      </c>
      <c r="E43" s="5" t="str">
        <f t="array" ref="E43">XLOOKUP($A43,Números_Asignados,Nombres_Directorio," *** OJO *** ",0)</f>
        <v>Arleth Paola Martínez Carreón</v>
      </c>
      <c r="F43" s="5" t="str">
        <f t="array" ref="F43">XLOOKUP($A43,Números_Asignados,Sucursal_Asignada," *** OJO *** ",0)</f>
        <v>Corporativo</v>
      </c>
      <c r="G43" s="19" t="str">
        <f t="array" ref="G43">XLOOKUP($A43,Números_Asignados,Departamento_Asignado," *** OJO *** ",0)</f>
        <v>Maquinaria Agrícola y Construcción</v>
      </c>
      <c r="H43" s="19" t="str">
        <f t="array" ref="H43">XLOOKUP($A43,Números_Asignados,Puesto_Asignado," *** OJO *** ",0)</f>
        <v>Auxiliar Administrativo</v>
      </c>
    </row>
    <row r="44" ht="15.75" customHeight="1">
      <c r="A44" s="5">
        <v>3.316142992E9</v>
      </c>
      <c r="B44" s="5">
        <v>1.0</v>
      </c>
      <c r="C44" s="17">
        <v>319.0</v>
      </c>
      <c r="D44" s="5">
        <v>9.0</v>
      </c>
      <c r="E44" s="5" t="str">
        <f t="array" ref="E44">XLOOKUP($A44,Números_Asignados,Nombres_Directorio," *** OJO *** ",0)</f>
        <v>David Villaseñor Núñez</v>
      </c>
      <c r="F44" s="5" t="str">
        <f t="array" ref="F44">XLOOKUP($A44,Números_Asignados,Sucursal_Asignada," *** OJO *** ",0)</f>
        <v>Corporativo</v>
      </c>
      <c r="G44" s="19" t="str">
        <f t="array" ref="G44">XLOOKUP($A44,Números_Asignados,Departamento_Asignado," *** OJO *** ",0)</f>
        <v>Maquinaria Agrícola</v>
      </c>
      <c r="H44" s="19" t="str">
        <f t="array" ref="H44">XLOOKUP($A44,Números_Asignados,Puesto_Asignado," *** OJO *** ",0)</f>
        <v>Analista Comercial</v>
      </c>
    </row>
    <row r="45" ht="15.75" customHeight="1">
      <c r="A45" s="5">
        <v>3.931073856E9</v>
      </c>
      <c r="B45" s="5">
        <v>4.0</v>
      </c>
      <c r="C45" s="17">
        <v>549.0</v>
      </c>
      <c r="D45" s="5">
        <v>22.5</v>
      </c>
      <c r="E45" s="5" t="str">
        <f t="array" ref="E45">XLOOKUP($A45,Números_Asignados,Nombres_Directorio," *** OJO *** ",0)</f>
        <v>Jesús Bernardo Navarro Estrada</v>
      </c>
      <c r="F45" s="5" t="str">
        <f t="array" ref="F45">XLOOKUP($A45,Números_Asignados,Sucursal_Asignada," *** OJO *** ",0)</f>
        <v>Corporativo</v>
      </c>
      <c r="G45" s="19" t="str">
        <f t="array" ref="G45">XLOOKUP($A45,Números_Asignados,Departamento_Asignado," *** OJO *** ",0)</f>
        <v>Maquinaria Agrícola y Construcción</v>
      </c>
      <c r="H45" s="19" t="str">
        <f t="array" ref="H45">XLOOKUP($A45,Números_Asignados,Puesto_Asignado," *** OJO *** ",0)</f>
        <v>Chofer</v>
      </c>
    </row>
    <row r="46" ht="15.75" customHeight="1">
      <c r="A46" s="5">
        <v>3.316160073E9</v>
      </c>
      <c r="B46" s="5">
        <v>4.0</v>
      </c>
      <c r="C46" s="17">
        <v>549.0</v>
      </c>
      <c r="D46" s="5">
        <v>22.5</v>
      </c>
      <c r="E46" s="5" t="str">
        <f t="array" ref="E46">XLOOKUP($A46,Números_Asignados,Nombres_Directorio," *** OJO *** ",0)</f>
        <v>Ricardo Covarruvias García</v>
      </c>
      <c r="F46" s="5" t="str">
        <f t="array" ref="F46">XLOOKUP($A46,Números_Asignados,Sucursal_Asignada," *** OJO *** ",0)</f>
        <v>Corporativo</v>
      </c>
      <c r="G46" s="19" t="str">
        <f t="array" ref="G46">XLOOKUP($A46,Números_Asignados,Departamento_Asignado," *** OJO *** ",0)</f>
        <v>Maquinaria Agrícola y Construcción</v>
      </c>
      <c r="H46" s="19" t="str">
        <f t="array" ref="H46">XLOOKUP($A46,Números_Asignados,Puesto_Asignado," *** OJO *** ",0)</f>
        <v>Chofer</v>
      </c>
    </row>
    <row r="47" ht="15.75" customHeight="1">
      <c r="A47" s="5">
        <v>3.339580163E9</v>
      </c>
      <c r="B47" s="5">
        <v>1.0</v>
      </c>
      <c r="C47" s="17">
        <v>319.0</v>
      </c>
      <c r="D47" s="5">
        <v>9.0</v>
      </c>
      <c r="E47" s="5" t="str">
        <f t="array" ref="E47">XLOOKUP($A47,Números_Asignados,Nombres_Directorio," *** OJO *** ",0)</f>
        <v>Eduardo Guadalupe Gutierrez Rodríguez</v>
      </c>
      <c r="F47" s="5" t="str">
        <f t="array" ref="F47">XLOOKUP($A47,Números_Asignados,Sucursal_Asignada," *** OJO *** ",0)</f>
        <v>Corporativo</v>
      </c>
      <c r="G47" s="19" t="str">
        <f t="array" ref="G47">XLOOKUP($A47,Números_Asignados,Departamento_Asignado," *** OJO *** ",0)</f>
        <v>Maquinaria Agrícola y Construcción</v>
      </c>
      <c r="H47" s="19" t="str">
        <f t="array" ref="H47">XLOOKUP($A47,Números_Asignados,Puesto_Asignado," *** OJO *** ",0)</f>
        <v>Implementero</v>
      </c>
    </row>
    <row r="48" ht="15.75" customHeight="1">
      <c r="A48" s="5">
        <v>3.316158093E9</v>
      </c>
      <c r="B48" s="5">
        <v>4.0</v>
      </c>
      <c r="C48" s="17">
        <v>549.0</v>
      </c>
      <c r="D48" s="5">
        <v>22.5</v>
      </c>
      <c r="E48" s="5" t="str">
        <f t="array" ref="E48">XLOOKUP($A48,Números_Asignados,Nombres_Directorio," *** OJO *** ",0)</f>
        <v>Daniel Gerardo Aviña Bravo</v>
      </c>
      <c r="F48" s="5" t="str">
        <f t="array" ref="F48">XLOOKUP($A48,Números_Asignados,Sucursal_Asignada," *** OJO *** ",0)</f>
        <v>Corporativo</v>
      </c>
      <c r="G48" s="5" t="str">
        <f t="array" ref="G48">XLOOKUP($A48,Números_Asignados,Departamento_Asignado," *** OJO *** ",0)</f>
        <v>Maquinaria Agrícola</v>
      </c>
      <c r="H48" s="5" t="str">
        <f t="array" ref="H48">XLOOKUP($A48,Números_Asignados,Puesto_Asignado," *** OJO *** ",0)</f>
        <v>Asesor de Ventas</v>
      </c>
    </row>
    <row r="49" ht="15.75" customHeight="1">
      <c r="A49" s="5">
        <v>3.318218012E9</v>
      </c>
      <c r="B49" s="5">
        <v>4.0</v>
      </c>
      <c r="C49" s="17">
        <v>549.0</v>
      </c>
      <c r="D49" s="5">
        <v>22.5</v>
      </c>
      <c r="E49" s="5" t="str">
        <f t="array" ref="E49">XLOOKUP($A49,Números_Asignados,Nombres_Directorio," *** OJO *** ",0)</f>
        <v>Luis Felipe Barboza Román</v>
      </c>
      <c r="F49" s="5" t="str">
        <f t="array" ref="F49">XLOOKUP($A49,Números_Asignados,Sucursal_Asignada," *** OJO *** ",0)</f>
        <v>Corporativo</v>
      </c>
      <c r="G49" s="5" t="str">
        <f t="array" ref="G49">XLOOKUP($A49,Números_Asignados,Departamento_Asignado," *** OJO *** ",0)</f>
        <v>Maquinaria Agrícola</v>
      </c>
      <c r="H49" s="5" t="str">
        <f t="array" ref="H49">XLOOKUP($A49,Números_Asignados,Puesto_Asignado," *** OJO *** ",0)</f>
        <v>Asesor de Ventas</v>
      </c>
    </row>
    <row r="50" ht="15.75" customHeight="1">
      <c r="A50" s="5">
        <v>3.318621158E9</v>
      </c>
      <c r="B50" s="5">
        <v>4.0</v>
      </c>
      <c r="C50" s="17">
        <v>549.0</v>
      </c>
      <c r="D50" s="5">
        <v>22.5</v>
      </c>
      <c r="E50" s="5" t="str">
        <f t="array" ref="E50">XLOOKUP($A50,Números_Asignados,Nombres_Directorio," *** OJO *** ",0)</f>
        <v>Guillermo Barboza Santiago</v>
      </c>
      <c r="F50" s="5" t="str">
        <f t="array" ref="F50">XLOOKUP($A50,Números_Asignados,Sucursal_Asignada," *** OJO *** ",0)</f>
        <v>Corporativo</v>
      </c>
      <c r="G50" s="5" t="str">
        <f t="array" ref="G50">XLOOKUP($A50,Números_Asignados,Departamento_Asignado," *** OJO *** ",0)</f>
        <v>Maquinaria Agrícola</v>
      </c>
      <c r="H50" s="5" t="str">
        <f t="array" ref="H50">XLOOKUP($A50,Números_Asignados,Puesto_Asignado," *** OJO *** ",0)</f>
        <v>Asesor de Ventas</v>
      </c>
    </row>
    <row r="51" ht="15.75" customHeight="1">
      <c r="A51" s="5">
        <v>3.51111143E9</v>
      </c>
      <c r="B51" s="5">
        <v>4.0</v>
      </c>
      <c r="C51" s="17">
        <v>549.0</v>
      </c>
      <c r="D51" s="5">
        <v>22.5</v>
      </c>
      <c r="E51" s="5" t="str">
        <f t="array" ref="E51">XLOOKUP($A51,Números_Asignados,Nombres_Directorio," *** OJO *** ",0)</f>
        <v>Jesús Pérez Pérez</v>
      </c>
      <c r="F51" s="5" t="str">
        <f t="array" ref="F51">XLOOKUP($A51,Números_Asignados,Sucursal_Asignada," *** OJO *** ",0)</f>
        <v>Corporativo</v>
      </c>
      <c r="G51" s="5" t="str">
        <f t="array" ref="G51">XLOOKUP($A51,Números_Asignados,Departamento_Asignado," *** OJO *** ",0)</f>
        <v>Maquinaria Agrícola</v>
      </c>
      <c r="H51" s="5" t="str">
        <f t="array" ref="H51">XLOOKUP($A51,Números_Asignados,Puesto_Asignado," *** OJO *** ",0)</f>
        <v>Asesor de Ventas</v>
      </c>
    </row>
    <row r="52" ht="15.75" customHeight="1">
      <c r="A52" s="5">
        <v>3.316091328E9</v>
      </c>
      <c r="B52" s="5">
        <v>4.0</v>
      </c>
      <c r="C52" s="17">
        <v>549.0</v>
      </c>
      <c r="D52" s="5">
        <v>22.5</v>
      </c>
      <c r="E52" s="5" t="str">
        <f t="array" ref="E52">XLOOKUP($A52,Números_Asignados,Nombres_Directorio," *** OJO *** ",0)</f>
        <v>Joaquín  de Jesús Hernández Rojas</v>
      </c>
      <c r="F52" s="5" t="str">
        <f t="array" ref="F52">XLOOKUP($A52,Números_Asignados,Sucursal_Asignada," *** OJO *** ",0)</f>
        <v>Corporativo</v>
      </c>
      <c r="G52" s="5" t="str">
        <f t="array" ref="G52">XLOOKUP($A52,Números_Asignados,Departamento_Asignado," *** OJO *** ",0)</f>
        <v>Maquinaria Agrícola</v>
      </c>
      <c r="H52" s="5" t="str">
        <f t="array" ref="H52">XLOOKUP($A52,Números_Asignados,Puesto_Asignado," *** OJO *** ",0)</f>
        <v>Asesor de Ventas</v>
      </c>
    </row>
    <row r="53" ht="15.75" customHeight="1">
      <c r="A53" s="5">
        <v>3.316106113E9</v>
      </c>
      <c r="B53" s="5">
        <v>4.0</v>
      </c>
      <c r="C53" s="17">
        <v>599.0</v>
      </c>
      <c r="D53" s="5">
        <v>22.5</v>
      </c>
      <c r="E53" s="5" t="str">
        <f t="array" ref="E53">XLOOKUP($A53,Números_Asignados,Nombres_Directorio," *** OJO *** ",0)</f>
        <v>Damián Zaragoza Hernández</v>
      </c>
      <c r="F53" s="5" t="str">
        <f t="array" ref="F53">XLOOKUP($A53,Números_Asignados,Sucursal_Asignada," *** OJO *** ",0)</f>
        <v>Corporativo</v>
      </c>
      <c r="G53" s="5" t="str">
        <f t="array" ref="G53">XLOOKUP($A53,Números_Asignados,Departamento_Asignado," *** OJO *** ",0)</f>
        <v>Refacciones</v>
      </c>
      <c r="H53" s="5" t="str">
        <f t="array" ref="H53">XLOOKUP($A53,Números_Asignados,Puesto_Asignado," *** OJO *** ",0)</f>
        <v>Asesor de Refacciones Mostrador</v>
      </c>
    </row>
    <row r="54" ht="15.75" customHeight="1">
      <c r="A54" s="5">
        <v>3.316135604E9</v>
      </c>
      <c r="B54" s="5">
        <v>4.0</v>
      </c>
      <c r="C54" s="17">
        <v>549.0</v>
      </c>
      <c r="D54" s="5">
        <v>22.5</v>
      </c>
      <c r="E54" s="5" t="str">
        <f t="array" ref="E54">XLOOKUP($A54,Números_Asignados,Nombres_Directorio," *** OJO *** ",0)</f>
        <v>Luis Ernesto Santiago González</v>
      </c>
      <c r="F54" s="5" t="str">
        <f t="array" ref="F54">XLOOKUP($A54,Números_Asignados,Sucursal_Asignada," *** OJO *** ",0)</f>
        <v>Corporativo</v>
      </c>
      <c r="G54" s="5" t="str">
        <f t="array" ref="G54">XLOOKUP($A54,Números_Asignados,Departamento_Asignado," *** OJO *** ",0)</f>
        <v>Maquinaria Agrícola</v>
      </c>
      <c r="H54" s="5" t="str">
        <f t="array" ref="H54">XLOOKUP($A54,Números_Asignados,Puesto_Asignado," *** OJO *** ",0)</f>
        <v>Asesor de Ventas</v>
      </c>
    </row>
    <row r="55" ht="15.75" customHeight="1">
      <c r="A55" s="5">
        <v>3.931047948E9</v>
      </c>
      <c r="B55" s="5">
        <v>4.0</v>
      </c>
      <c r="C55" s="17">
        <v>549.0</v>
      </c>
      <c r="D55" s="5">
        <v>22.5</v>
      </c>
      <c r="E55" s="5" t="str">
        <f t="array" ref="E55">XLOOKUP($A55,Números_Asignados,Nombres_Directorio," *** OJO *** ",0)</f>
        <v>María Guadalupe Aviña Cervantes</v>
      </c>
      <c r="F55" s="5" t="str">
        <f t="array" ref="F55">XLOOKUP($A55,Números_Asignados,Sucursal_Asignada," *** OJO *** ",0)</f>
        <v>Corporativo</v>
      </c>
      <c r="G55" s="5" t="str">
        <f t="array" ref="G55">XLOOKUP($A55,Números_Asignados,Departamento_Asignado," *** OJO *** ",0)</f>
        <v>Maquinaria Agrícola</v>
      </c>
      <c r="H55" s="5" t="str">
        <f t="array" ref="H55">XLOOKUP($A55,Números_Asignados,Puesto_Asignado," *** OJO *** ",0)</f>
        <v>Asesor de Ventas</v>
      </c>
    </row>
    <row r="56" ht="15.75" customHeight="1">
      <c r="A56" s="5">
        <v>3.481082366E9</v>
      </c>
      <c r="B56" s="5">
        <v>4.0</v>
      </c>
      <c r="C56" s="17">
        <v>549.0</v>
      </c>
      <c r="D56" s="5">
        <v>22.5</v>
      </c>
      <c r="E56" s="5" t="str">
        <f t="array" ref="E56">XLOOKUP($A56,Números_Asignados,Nombres_Directorio," *** OJO *** ",0)</f>
        <v>Francisco Valadez Gaona</v>
      </c>
      <c r="F56" s="5" t="str">
        <f t="array" ref="F56">XLOOKUP($A56,Números_Asignados,Sucursal_Asignada," *** OJO *** ",0)</f>
        <v>Corporativo</v>
      </c>
      <c r="G56" s="5" t="str">
        <f t="array" ref="G56">XLOOKUP($A56,Números_Asignados,Departamento_Asignado," *** OJO *** ",0)</f>
        <v>Maquinaria Construcción</v>
      </c>
      <c r="H56" s="5" t="str">
        <f t="array" ref="H56">XLOOKUP($A56,Números_Asignados,Puesto_Asignado," *** OJO *** ",0)</f>
        <v>Asesor de Ventas</v>
      </c>
    </row>
    <row r="57" ht="15.75" customHeight="1">
      <c r="A57" s="5">
        <v>3.781868861E9</v>
      </c>
      <c r="B57" s="5">
        <v>1.0</v>
      </c>
      <c r="C57" s="17">
        <v>269.0</v>
      </c>
      <c r="D57" s="5">
        <v>9.0</v>
      </c>
      <c r="E57" s="5" t="str">
        <f t="array" ref="E57">XLOOKUP($A57,Números_Asignados,Nombres_Directorio," *** OJO *** ",0)</f>
        <v>Andrea Guadalupe Cárdenas Cárdenas</v>
      </c>
      <c r="F57" s="5" t="str">
        <f t="array" ref="F57">XLOOKUP($A57,Números_Asignados,Sucursal_Asignada," *** OJO *** ",0)</f>
        <v>Corporativo</v>
      </c>
      <c r="G57" s="5" t="str">
        <f t="array" ref="G57">XLOOKUP($A57,Números_Asignados,Departamento_Asignado," *** OJO *** ",0)</f>
        <v>Marketing</v>
      </c>
      <c r="H57" s="5" t="str">
        <f t="array" ref="H57">XLOOKUP($A57,Números_Asignados,Puesto_Asignado," *** OJO *** ",0)</f>
        <v>Asesor de Ventas en Línea</v>
      </c>
    </row>
    <row r="58" ht="15.75" customHeight="1">
      <c r="A58" s="5">
        <v>3.313697838E9</v>
      </c>
      <c r="B58" s="5">
        <v>1.0</v>
      </c>
      <c r="C58" s="17">
        <v>319.0</v>
      </c>
      <c r="D58" s="5">
        <v>9.0</v>
      </c>
      <c r="E58" s="5" t="str">
        <f t="array" ref="E58">XLOOKUP($A58,Números_Asignados,Nombres_Directorio," *** OJO *** ",0)</f>
        <v>Paola Fernanda Paz Valdez</v>
      </c>
      <c r="F58" s="5" t="str">
        <f t="array" ref="F58">XLOOKUP($A58,Números_Asignados,Sucursal_Asignada," *** OJO *** ",0)</f>
        <v>Corporativo</v>
      </c>
      <c r="G58" s="5" t="str">
        <f t="array" ref="G58">XLOOKUP($A58,Números_Asignados,Departamento_Asignado," *** OJO *** ",0)</f>
        <v>Marketing</v>
      </c>
      <c r="H58" s="5" t="str">
        <f t="array" ref="H58">XLOOKUP($A58,Números_Asignados,Puesto_Asignado," *** OJO *** ",0)</f>
        <v>Marketing Digital</v>
      </c>
    </row>
    <row r="59" ht="15.75" customHeight="1">
      <c r="A59" s="5">
        <v>3.931042365E9</v>
      </c>
      <c r="B59" s="5">
        <v>4.0</v>
      </c>
      <c r="C59" s="17">
        <v>549.0</v>
      </c>
      <c r="D59" s="5">
        <v>22.5</v>
      </c>
      <c r="E59" s="5" t="str">
        <f t="array" ref="E59">XLOOKUP($A59,Números_Asignados,Nombres_Directorio," *** OJO *** ",0)</f>
        <v>Reclamos</v>
      </c>
      <c r="F59" s="5" t="str">
        <f t="array" ref="F59">XLOOKUP($A59,Números_Asignados,Sucursal_Asignada," *** OJO *** ",0)</f>
        <v>Corporativo</v>
      </c>
      <c r="G59" s="5" t="str">
        <f t="array" ref="G59">XLOOKUP($A59,Números_Asignados,Departamento_Asignado," *** OJO *** ",0)</f>
        <v>Marketing</v>
      </c>
      <c r="H59" s="5" t="str">
        <f t="array" ref="H59">XLOOKUP($A59,Números_Asignados,Puesto_Asignado," *** OJO *** ",0)</f>
        <v>Reclamos</v>
      </c>
    </row>
    <row r="60" ht="15.75" customHeight="1">
      <c r="A60" s="5">
        <v>3.911750242E9</v>
      </c>
      <c r="B60" s="5">
        <v>1.0</v>
      </c>
      <c r="C60" s="17">
        <v>269.0</v>
      </c>
      <c r="D60" s="5">
        <v>9.0</v>
      </c>
      <c r="E60" s="5" t="str">
        <f t="array" ref="E60">XLOOKUP($A60,Números_Asignados,Nombres_Directorio," *** OJO *** ",0)</f>
        <v>Francisco Javier Ornelas</v>
      </c>
      <c r="F60" s="5" t="str">
        <f t="array" ref="F60">XLOOKUP($A60,Números_Asignados,Sucursal_Asignada," *** OJO *** ",0)</f>
        <v>Corporativo</v>
      </c>
      <c r="G60" s="5" t="str">
        <f t="array" ref="G60">XLOOKUP($A60,Números_Asignados,Departamento_Asignado," *** OJO *** ",0)</f>
        <v>Parque Vehicular</v>
      </c>
      <c r="H60" s="5" t="str">
        <f t="array" ref="H60">XLOOKUP($A60,Números_Asignados,Puesto_Asignado," *** OJO *** ",0)</f>
        <v>Auxiliar Administrativo</v>
      </c>
    </row>
    <row r="61" ht="15.75" customHeight="1">
      <c r="A61" s="5">
        <v>3.931190277E9</v>
      </c>
      <c r="B61" s="5">
        <v>4.0</v>
      </c>
      <c r="C61" s="17">
        <v>549.0</v>
      </c>
      <c r="D61" s="5">
        <v>22.5</v>
      </c>
      <c r="E61" s="5" t="str">
        <f t="array" ref="E61">XLOOKUP($A61,Números_Asignados,Nombres_Directorio," *** OJO *** ",0)</f>
        <v>Michael Alberto Castro García</v>
      </c>
      <c r="F61" s="5" t="str">
        <f t="array" ref="F61">XLOOKUP($A61,Números_Asignados,Sucursal_Asignada," *** OJO *** ",0)</f>
        <v>Corporativo</v>
      </c>
      <c r="G61" s="5" t="str">
        <f t="array" ref="G61">XLOOKUP($A61,Números_Asignados,Departamento_Asignado," *** OJO *** ",0)</f>
        <v>Parque Vehicular</v>
      </c>
      <c r="H61" s="5" t="str">
        <f t="array" ref="H61">XLOOKUP($A61,Números_Asignados,Puesto_Asignado," *** OJO *** ",0)</f>
        <v>Logística</v>
      </c>
    </row>
    <row r="62" ht="15.75" customHeight="1">
      <c r="A62" s="5">
        <v>3.316096709E9</v>
      </c>
      <c r="B62" s="5">
        <v>1.0</v>
      </c>
      <c r="C62" s="17">
        <v>269.0</v>
      </c>
      <c r="D62" s="5">
        <v>9.0</v>
      </c>
      <c r="E62" s="5" t="str">
        <f t="array" ref="E62">XLOOKUP($A62,Números_Asignados,Nombres_Directorio," *** OJO *** ",0)</f>
        <v>Diana Alejandrina Mendoza Flores</v>
      </c>
      <c r="F62" s="5" t="str">
        <f t="array" ref="F62">XLOOKUP($A62,Números_Asignados,Sucursal_Asignada," *** OJO *** ",0)</f>
        <v>Corporativo</v>
      </c>
      <c r="G62" s="5" t="str">
        <f t="array" ref="G62">XLOOKUP($A62,Números_Asignados,Departamento_Asignado," *** OJO *** ",0)</f>
        <v>Refacciones</v>
      </c>
      <c r="H62" s="5" t="str">
        <f t="array" ref="H62">XLOOKUP($A62,Números_Asignados,Puesto_Asignado," *** OJO *** ",0)</f>
        <v>Analista de Refacciones y Servicio</v>
      </c>
    </row>
    <row r="63" ht="15.75" customHeight="1">
      <c r="A63" s="5">
        <v>3.316092672E9</v>
      </c>
      <c r="B63" s="5">
        <v>4.0</v>
      </c>
      <c r="C63" s="17">
        <v>549.0</v>
      </c>
      <c r="D63" s="5">
        <v>22.5</v>
      </c>
      <c r="E63" s="5" t="str">
        <f t="array" ref="E63">XLOOKUP($A63,Números_Asignados,Nombres_Directorio," *** OJO *** ",0)</f>
        <v>Pedro Garcia Lara</v>
      </c>
      <c r="F63" s="5" t="str">
        <f t="array" ref="F63">XLOOKUP($A63,Números_Asignados,Sucursal_Asignada," *** OJO *** ",0)</f>
        <v>Corporativo</v>
      </c>
      <c r="G63" s="5" t="str">
        <f t="array" ref="G63">XLOOKUP($A63,Números_Asignados,Departamento_Asignado," *** OJO *** ",0)</f>
        <v>Refacciones</v>
      </c>
      <c r="H63" s="5" t="str">
        <f t="array" ref="H63">XLOOKUP($A63,Números_Asignados,Puesto_Asignado," *** OJO *** ",0)</f>
        <v>Asesor de Refacciones Campo</v>
      </c>
    </row>
    <row r="64" ht="15.75" customHeight="1">
      <c r="A64" s="5">
        <v>3.93100141E9</v>
      </c>
      <c r="B64" s="5">
        <v>4.0</v>
      </c>
      <c r="C64" s="17">
        <v>549.0</v>
      </c>
      <c r="D64" s="5">
        <v>22.5</v>
      </c>
      <c r="E64" s="5" t="str">
        <f t="array" ref="E64">XLOOKUP($A64,Números_Asignados,Nombres_Directorio," *** OJO *** ",0)</f>
        <v>Raúl Arzate Ortíz</v>
      </c>
      <c r="F64" s="5" t="str">
        <f t="array" ref="F64">XLOOKUP($A64,Números_Asignados,Sucursal_Asignada," *** OJO *** ",0)</f>
        <v>Corporativo</v>
      </c>
      <c r="G64" s="5" t="str">
        <f t="array" ref="G64">XLOOKUP($A64,Números_Asignados,Departamento_Asignado," *** OJO *** ",0)</f>
        <v>Refacciones</v>
      </c>
      <c r="H64" s="5" t="str">
        <f t="array" ref="H64">XLOOKUP($A64,Números_Asignados,Puesto_Asignado," *** OJO *** ",0)</f>
        <v>Asesor de Refacciones Campo</v>
      </c>
    </row>
    <row r="65" ht="15.75" customHeight="1">
      <c r="A65" s="5">
        <v>3.316117782E9</v>
      </c>
      <c r="B65" s="5">
        <v>4.0</v>
      </c>
      <c r="C65" s="17">
        <v>549.0</v>
      </c>
      <c r="D65" s="5">
        <v>22.5</v>
      </c>
      <c r="E65" s="5" t="str">
        <f t="array" ref="E65">XLOOKUP($A65,Números_Asignados,Nombres_Directorio," *** OJO *** ",0)</f>
        <v>Carlos Eduardo Ortega Herrera</v>
      </c>
      <c r="F65" s="5" t="str">
        <f t="array" ref="F65">XLOOKUP($A65,Números_Asignados,Sucursal_Asignada," *** OJO *** ",0)</f>
        <v>Corporativo</v>
      </c>
      <c r="G65" s="5" t="str">
        <f t="array" ref="G65">XLOOKUP($A65,Números_Asignados,Departamento_Asignado," *** OJO *** ",0)</f>
        <v>Refacciones</v>
      </c>
      <c r="H65" s="5" t="str">
        <f t="array" ref="H65">XLOOKUP($A65,Números_Asignados,Puesto_Asignado," *** OJO *** ",0)</f>
        <v>Asesor de Refacciones Campo</v>
      </c>
    </row>
    <row r="66" ht="15.75" customHeight="1">
      <c r="A66" s="5">
        <v>7.531200508E9</v>
      </c>
      <c r="B66" s="5">
        <v>1.0</v>
      </c>
      <c r="C66" s="17">
        <v>269.0</v>
      </c>
      <c r="D66" s="5">
        <v>9.0</v>
      </c>
      <c r="E66" s="5" t="str">
        <f t="array" ref="E66">XLOOKUP($A66,Números_Asignados,Nombres_Directorio," *** OJO *** ",0)</f>
        <v>Félix Antonio Román Becerra</v>
      </c>
      <c r="F66" s="5" t="str">
        <f t="array" ref="F66">XLOOKUP($A66,Números_Asignados,Sucursal_Asignada," *** OJO *** ",0)</f>
        <v>Corporativo</v>
      </c>
      <c r="G66" s="5" t="str">
        <f t="array" ref="G66">XLOOKUP($A66,Números_Asignados,Departamento_Asignado," *** OJO *** ",0)</f>
        <v>Refacciones</v>
      </c>
      <c r="H66" s="5" t="str">
        <f t="array" ref="H66">XLOOKUP($A66,Números_Asignados,Puesto_Asignado," *** OJO *** ",0)</f>
        <v>Encargado de Refacciones Sucursal</v>
      </c>
    </row>
    <row r="67" ht="15.75" customHeight="1">
      <c r="A67" s="5">
        <v>3.316094471E9</v>
      </c>
      <c r="B67" s="5">
        <v>1.0</v>
      </c>
      <c r="C67" s="17">
        <v>319.0</v>
      </c>
      <c r="D67" s="5">
        <v>9.0</v>
      </c>
      <c r="E67" s="5" t="str">
        <f t="array" ref="E67">XLOOKUP($A67,Números_Asignados,Nombres_Directorio," *** OJO *** ",0)</f>
        <v>Andrea Becerra Cisneros</v>
      </c>
      <c r="F67" s="5" t="str">
        <f t="array" ref="F67">XLOOKUP($A67,Números_Asignados,Sucursal_Asignada," *** OJO *** ",0)</f>
        <v>Corporativo</v>
      </c>
      <c r="G67" s="5" t="str">
        <f t="array" ref="G67">XLOOKUP($A67,Números_Asignados,Departamento_Asignado," *** OJO *** ",0)</f>
        <v>Servicio</v>
      </c>
      <c r="H67" s="5" t="str">
        <f t="array" ref="H67">XLOOKUP($A67,Números_Asignados,Puesto_Asignado," *** OJO *** ",0)</f>
        <v>Auxiliar Administrativo</v>
      </c>
    </row>
    <row r="68" ht="15.75" customHeight="1">
      <c r="A68" s="5">
        <v>3.931078005E9</v>
      </c>
      <c r="B68" s="5">
        <v>4.0</v>
      </c>
      <c r="C68" s="17">
        <v>549.0</v>
      </c>
      <c r="D68" s="5">
        <v>22.5</v>
      </c>
      <c r="E68" s="5" t="str">
        <f t="array" ref="E68">XLOOKUP($A68,Números_Asignados,Nombres_Directorio," *** OJO *** ",0)</f>
        <v>Luis Enrique Nuñez Nuñez</v>
      </c>
      <c r="F68" s="5" t="str">
        <f t="array" ref="F68">XLOOKUP($A68,Números_Asignados,Sucursal_Asignada," *** OJO *** ",0)</f>
        <v>Corporativo</v>
      </c>
      <c r="G68" s="5" t="str">
        <f t="array" ref="G68">XLOOKUP($A68,Números_Asignados,Departamento_Asignado," *** OJO *** ",0)</f>
        <v>Servicio</v>
      </c>
      <c r="H68" s="5" t="str">
        <f t="array" ref="H68">XLOOKUP($A68,Números_Asignados,Puesto_Asignado," *** OJO *** ",0)</f>
        <v>Jefe de Taller</v>
      </c>
    </row>
    <row r="69" ht="15.75" customHeight="1">
      <c r="A69" s="5">
        <v>3.31609388E9</v>
      </c>
      <c r="B69" s="5">
        <v>4.0</v>
      </c>
      <c r="C69" s="17">
        <v>599.0</v>
      </c>
      <c r="D69" s="5">
        <v>22.5</v>
      </c>
      <c r="E69" s="5" t="str">
        <f t="array" ref="E69">XLOOKUP($A69,Números_Asignados,Nombres_Directorio," *** OJO *** ",0)</f>
        <v>Jaime García García</v>
      </c>
      <c r="F69" s="5" t="str">
        <f t="array" ref="F69">XLOOKUP($A69,Números_Asignados,Sucursal_Asignada," *** OJO *** ",0)</f>
        <v>Corporativo</v>
      </c>
      <c r="G69" s="5" t="str">
        <f t="array" ref="G69">XLOOKUP($A69,Números_Asignados,Departamento_Asignado," *** OJO *** ",0)</f>
        <v>Servicio</v>
      </c>
      <c r="H69" s="5" t="str">
        <f t="array" ref="H69">XLOOKUP($A69,Números_Asignados,Puesto_Asignado," *** OJO *** ",0)</f>
        <v>Jefe de Técnicos</v>
      </c>
    </row>
    <row r="70" ht="15.75" customHeight="1">
      <c r="A70" s="5">
        <v>3.337194504E9</v>
      </c>
      <c r="B70" s="5">
        <v>4.0</v>
      </c>
      <c r="C70" s="17">
        <v>549.0</v>
      </c>
      <c r="D70" s="5">
        <v>22.5</v>
      </c>
      <c r="E70" s="5" t="str">
        <f t="array" ref="E70">XLOOKUP($A70,Números_Asignados,Nombres_Directorio," *** OJO *** ",0)</f>
        <v>Antonio López Silva</v>
      </c>
      <c r="F70" s="5" t="str">
        <f t="array" ref="F70">XLOOKUP($A70,Números_Asignados,Sucursal_Asignada," *** OJO *** ",0)</f>
        <v>Corporativo</v>
      </c>
      <c r="G70" s="5" t="str">
        <f t="array" ref="G70">XLOOKUP($A70,Números_Asignados,Departamento_Asignado," *** OJO *** ",0)</f>
        <v>Servicio</v>
      </c>
      <c r="H70" s="5" t="str">
        <f t="array" ref="H70">XLOOKUP($A70,Números_Asignados,Puesto_Asignado," *** OJO *** ",0)</f>
        <v>Jefe Maquinaria Gama Alta</v>
      </c>
    </row>
    <row r="71" ht="15.75" customHeight="1">
      <c r="A71" s="20">
        <v>3.93100134E9</v>
      </c>
      <c r="B71" s="20">
        <v>4.0</v>
      </c>
      <c r="C71" s="21">
        <v>549.0</v>
      </c>
      <c r="D71" s="20">
        <v>22.5</v>
      </c>
      <c r="E71" s="20" t="str">
        <f t="array" ref="E71">XLOOKUP($A71,Números_Asignados,Nombres_Directorio," *** OJO *** ",0)</f>
        <v> *** OJO *** </v>
      </c>
      <c r="F71" s="20" t="str">
        <f t="array" ref="F71">XLOOKUP($A71,Números_Asignados,Sucursal_Asignada," *** OJO *** ",0)</f>
        <v> *** OJO *** </v>
      </c>
      <c r="G71" s="20" t="str">
        <f t="array" ref="G71">XLOOKUP($A71,Números_Asignados,Departamento_Asignado," *** OJO *** ",0)</f>
        <v> *** OJO *** </v>
      </c>
      <c r="H71" s="20" t="str">
        <f t="array" ref="H71">XLOOKUP($A71,Números_Asignados,Puesto_Asignado," *** OJO *** ",0)</f>
        <v> *** OJO *** </v>
      </c>
      <c r="I71" s="18" t="s">
        <v>50</v>
      </c>
    </row>
    <row r="72" ht="15.75" customHeight="1">
      <c r="A72" s="5">
        <v>3.931079811E9</v>
      </c>
      <c r="B72" s="5">
        <v>4.0</v>
      </c>
      <c r="C72" s="17">
        <v>549.0</v>
      </c>
      <c r="D72" s="5">
        <v>22.5</v>
      </c>
      <c r="E72" s="5" t="str">
        <f t="array" ref="E72">XLOOKUP($A72,Números_Asignados,Nombres_Directorio," *** OJO *** ",0)</f>
        <v>Andrés García García</v>
      </c>
      <c r="F72" s="5" t="str">
        <f t="array" ref="F72">XLOOKUP($A72,Números_Asignados,Sucursal_Asignada," *** OJO *** ",0)</f>
        <v>Corporativo</v>
      </c>
      <c r="G72" s="5" t="str">
        <f t="array" ref="G72">XLOOKUP($A72,Números_Asignados,Departamento_Asignado," *** OJO *** ",0)</f>
        <v>Servicio</v>
      </c>
      <c r="H72" s="5" t="str">
        <f t="array" ref="H72">XLOOKUP($A72,Números_Asignados,Puesto_Asignado," *** OJO *** ",0)</f>
        <v>Técnico</v>
      </c>
    </row>
    <row r="73" ht="15.75" customHeight="1">
      <c r="A73" s="5">
        <v>3.931073736E9</v>
      </c>
      <c r="B73" s="5">
        <v>4.0</v>
      </c>
      <c r="C73" s="17">
        <v>549.0</v>
      </c>
      <c r="D73" s="5">
        <v>22.5</v>
      </c>
      <c r="E73" s="5" t="str">
        <f t="array" ref="E73">XLOOKUP($A73,Números_Asignados,Nombres_Directorio," *** OJO *** ",0)</f>
        <v>Jesús Eduardo Guerrero Zuñiga</v>
      </c>
      <c r="F73" s="5" t="str">
        <f t="array" ref="F73">XLOOKUP($A73,Números_Asignados,Sucursal_Asignada," *** OJO *** ",0)</f>
        <v>Corporativo</v>
      </c>
      <c r="G73" s="5" t="str">
        <f t="array" ref="G73">XLOOKUP($A73,Números_Asignados,Departamento_Asignado," *** OJO *** ",0)</f>
        <v>Servicio</v>
      </c>
      <c r="H73" s="5" t="str">
        <f t="array" ref="H73">XLOOKUP($A73,Números_Asignados,Puesto_Asignado," *** OJO *** ",0)</f>
        <v>Técnico</v>
      </c>
    </row>
    <row r="74" ht="15.75" customHeight="1">
      <c r="A74" s="5">
        <v>3.931078067E9</v>
      </c>
      <c r="B74" s="5">
        <v>1.0</v>
      </c>
      <c r="C74" s="17">
        <v>269.0</v>
      </c>
      <c r="D74" s="5">
        <v>9.0</v>
      </c>
      <c r="E74" s="5" t="str">
        <f t="array" ref="E74">XLOOKUP($A74,Números_Asignados,Nombres_Directorio," *** OJO *** ",0)</f>
        <v>Félix Eugenio Ávalos Hernández</v>
      </c>
      <c r="F74" s="5" t="str">
        <f t="array" ref="F74">XLOOKUP($A74,Números_Asignados,Sucursal_Asignada," *** OJO *** ",0)</f>
        <v>Corporativo</v>
      </c>
      <c r="G74" s="5" t="str">
        <f t="array" ref="G74">XLOOKUP($A74,Números_Asignados,Departamento_Asignado," *** OJO *** ",0)</f>
        <v>Servicio</v>
      </c>
      <c r="H74" s="5" t="str">
        <f t="array" ref="H74">XLOOKUP($A74,Números_Asignados,Puesto_Asignado," *** OJO *** ",0)</f>
        <v>Telemetría</v>
      </c>
    </row>
    <row r="75" ht="15.75" customHeight="1">
      <c r="A75" s="5">
        <v>3.781868859E9</v>
      </c>
      <c r="B75" s="5">
        <v>4.0</v>
      </c>
      <c r="C75" s="17">
        <v>549.0</v>
      </c>
      <c r="D75" s="5">
        <v>22.5</v>
      </c>
      <c r="E75" s="5" t="str">
        <f t="array" ref="E75">XLOOKUP($A75,Números_Asignados,Nombres_Directorio," *** OJO *** ",0)</f>
        <v>Lucia Guadalupe Trujillo Rodríguez</v>
      </c>
      <c r="F75" s="5" t="str">
        <f t="array" ref="F75">XLOOKUP($A75,Números_Asignados,Sucursal_Asignada," *** OJO *** ",0)</f>
        <v>Corporativo</v>
      </c>
      <c r="G75" s="5" t="str">
        <f t="array" ref="G75">XLOOKUP($A75,Números_Asignados,Departamento_Asignado," *** OJO *** ",0)</f>
        <v>Sistemas</v>
      </c>
      <c r="H75" s="5" t="str">
        <f t="array" ref="H75">XLOOKUP($A75,Números_Asignados,Puesto_Asignado," *** OJO *** ",0)</f>
        <v>Auxiliar de Sistemas</v>
      </c>
    </row>
    <row r="76" ht="15.75" customHeight="1">
      <c r="A76" s="5">
        <v>3.911039008E9</v>
      </c>
      <c r="B76" s="5">
        <v>1.0</v>
      </c>
      <c r="C76" s="17">
        <v>269.0</v>
      </c>
      <c r="D76" s="5">
        <v>9.0</v>
      </c>
      <c r="E76" s="5" t="str">
        <f t="array" ref="E76">XLOOKUP($A76,Números_Asignados,Nombres_Directorio," *** OJO *** ",0)</f>
        <v>Juan Martín Campos Rodríguez</v>
      </c>
      <c r="F76" s="5" t="str">
        <f t="array" ref="F76">XLOOKUP($A76,Números_Asignados,Sucursal_Asignada," *** OJO *** ",0)</f>
        <v>Corporativo</v>
      </c>
      <c r="G76" s="5" t="str">
        <f t="array" ref="G76">XLOOKUP($A76,Números_Asignados,Departamento_Asignado," *** OJO *** ",0)</f>
        <v>Vigilancia</v>
      </c>
      <c r="H76" s="5" t="str">
        <f t="array" ref="H76">XLOOKUP($A76,Números_Asignados,Puesto_Asignado," *** OJO *** ",0)</f>
        <v>Guardia</v>
      </c>
    </row>
    <row r="77" ht="15.75" customHeight="1">
      <c r="A77" s="5">
        <v>3.931196104E9</v>
      </c>
      <c r="B77" s="5">
        <v>4.0</v>
      </c>
      <c r="C77" s="17">
        <v>549.0</v>
      </c>
      <c r="D77" s="5">
        <v>22.5</v>
      </c>
      <c r="E77" s="5" t="str">
        <f t="array" ref="E77">XLOOKUP($A77,Números_Asignados,Nombres_Directorio," *** OJO *** ",0)</f>
        <v>José Luis Flores Barragán </v>
      </c>
      <c r="F77" s="5" t="str">
        <f t="array" ref="F77">XLOOKUP($A77,Números_Asignados,Sucursal_Asignada," *** OJO *** ",0)</f>
        <v>Corporativo</v>
      </c>
      <c r="G77" s="5" t="str">
        <f t="array" ref="G77">XLOOKUP($A77,Números_Asignados,Departamento_Asignado," *** OJO *** ",0)</f>
        <v>Maquinaria Agrícola</v>
      </c>
      <c r="H77" s="5" t="str">
        <f t="array" ref="H77">XLOOKUP($A77,Números_Asignados,Puesto_Asignado," *** OJO *** ",0)</f>
        <v>Asesor de Ventas</v>
      </c>
    </row>
    <row r="78" ht="15.75" customHeight="1">
      <c r="A78" s="5">
        <v>3.52138702E9</v>
      </c>
      <c r="B78" s="5">
        <v>4.0</v>
      </c>
      <c r="C78" s="17">
        <v>549.0</v>
      </c>
      <c r="D78" s="5">
        <v>22.5</v>
      </c>
      <c r="E78" s="5" t="str">
        <f t="array" ref="E78">XLOOKUP($A78,Números_Asignados,Nombres_Directorio," *** OJO *** ",0)</f>
        <v>Diego Alejandro Núñez Flores</v>
      </c>
      <c r="F78" s="5" t="str">
        <f t="array" ref="F78">XLOOKUP($A78,Números_Asignados,Sucursal_Asignada," *** OJO *** ",0)</f>
        <v>La Piedad</v>
      </c>
      <c r="G78" s="5" t="str">
        <f t="array" ref="G78">XLOOKUP($A78,Números_Asignados,Departamento_Asignado," *** OJO *** ",0)</f>
        <v>Agricultura Inteligente</v>
      </c>
      <c r="H78" s="5" t="str">
        <f t="array" ref="H78">XLOOKUP($A78,Números_Asignados,Puesto_Asignado," *** OJO *** ",0)</f>
        <v>Asesor de Ventas</v>
      </c>
    </row>
    <row r="79" ht="15.75" customHeight="1">
      <c r="A79" s="5">
        <v>3.931190074E9</v>
      </c>
      <c r="B79" s="5">
        <v>4.0</v>
      </c>
      <c r="C79" s="17">
        <v>549.0</v>
      </c>
      <c r="D79" s="5">
        <v>22.5</v>
      </c>
      <c r="E79" s="5" t="str">
        <f t="array" ref="E79">XLOOKUP($A79,Números_Asignados,Nombres_Directorio," *** OJO *** ",0)</f>
        <v>Francisco Villalobos Sánchez</v>
      </c>
      <c r="F79" s="5" t="str">
        <f t="array" ref="F79">XLOOKUP($A79,Números_Asignados,Sucursal_Asignada," *** OJO *** ",0)</f>
        <v>La Piedad</v>
      </c>
      <c r="G79" s="5" t="str">
        <f t="array" ref="G79">XLOOKUP($A79,Números_Asignados,Departamento_Asignado," *** OJO *** ",0)</f>
        <v>Agricultura Inteligente</v>
      </c>
      <c r="H79" s="5" t="str">
        <f t="array" ref="H79">XLOOKUP($A79,Números_Asignados,Puesto_Asignado," *** OJO *** ",0)</f>
        <v>Asesor de Ventas</v>
      </c>
    </row>
    <row r="80" ht="15.75" customHeight="1">
      <c r="A80" s="5">
        <v>3.931001477E9</v>
      </c>
      <c r="B80" s="5">
        <v>1.0</v>
      </c>
      <c r="C80" s="17">
        <v>269.0</v>
      </c>
      <c r="D80" s="5">
        <v>9.0</v>
      </c>
      <c r="E80" s="5" t="str">
        <f t="array" ref="E80">XLOOKUP($A80,Números_Asignados,Nombres_Directorio," *** OJO *** ",0)</f>
        <v>Alicia Viridiana Rodríguez Paredes</v>
      </c>
      <c r="F80" s="5" t="str">
        <f t="array" ref="F80">XLOOKUP($A80,Números_Asignados,Sucursal_Asignada," *** OJO *** ",0)</f>
        <v>La Piedad</v>
      </c>
      <c r="G80" s="5" t="str">
        <f t="array" ref="G80">XLOOKUP($A80,Números_Asignados,Departamento_Asignado," *** OJO *** ",0)</f>
        <v>Maquinaria</v>
      </c>
      <c r="H80" s="5" t="str">
        <f t="array" ref="H80">XLOOKUP($A80,Números_Asignados,Puesto_Asignado," *** OJO *** ",0)</f>
        <v>Auxiliar Administrativo</v>
      </c>
    </row>
    <row r="81" ht="15.75" customHeight="1">
      <c r="A81" s="5">
        <v>3.316094916E9</v>
      </c>
      <c r="B81" s="5">
        <v>4.0</v>
      </c>
      <c r="C81" s="17">
        <v>549.0</v>
      </c>
      <c r="D81" s="5">
        <v>22.5</v>
      </c>
      <c r="E81" s="5" t="str">
        <f t="array" ref="E81">XLOOKUP($A81,Números_Asignados,Nombres_Directorio," *** OJO *** ",0)</f>
        <v>Juan Carlos Morales Hernández</v>
      </c>
      <c r="F81" s="5" t="str">
        <f t="array" ref="F81">XLOOKUP($A81,Números_Asignados,Sucursal_Asignada," *** OJO *** ",0)</f>
        <v>La Piedad</v>
      </c>
      <c r="G81" s="5" t="str">
        <f t="array" ref="G81">XLOOKUP($A81,Números_Asignados,Departamento_Asignado," *** OJO *** ",0)</f>
        <v>Maquinaria</v>
      </c>
      <c r="H81" s="5" t="str">
        <f t="array" ref="H81">XLOOKUP($A81,Números_Asignados,Puesto_Asignado," *** OJO *** ",0)</f>
        <v>Chofer</v>
      </c>
    </row>
    <row r="82" ht="15.75" customHeight="1">
      <c r="A82" s="5">
        <v>3.315684816E9</v>
      </c>
      <c r="B82" s="5">
        <v>4.0</v>
      </c>
      <c r="C82" s="17">
        <v>599.0</v>
      </c>
      <c r="D82" s="5">
        <v>22.5</v>
      </c>
      <c r="E82" s="5" t="str">
        <f t="array" ref="E82">XLOOKUP($A82,Números_Asignados,Nombres_Directorio," *** OJO *** ",0)</f>
        <v>Fernando Barboza Román</v>
      </c>
      <c r="F82" s="5" t="str">
        <f t="array" ref="F82">XLOOKUP($A82,Números_Asignados,Sucursal_Asignada," *** OJO *** ",0)</f>
        <v>La Piedad</v>
      </c>
      <c r="G82" s="5" t="str">
        <f t="array" ref="G82">XLOOKUP($A82,Números_Asignados,Departamento_Asignado," *** OJO *** ",0)</f>
        <v>Maquinaria</v>
      </c>
      <c r="H82" s="5" t="str">
        <f t="array" ref="H82">XLOOKUP($A82,Números_Asignados,Puesto_Asignado," *** OJO *** ",0)</f>
        <v>Gerente de Sucursal</v>
      </c>
    </row>
    <row r="83" ht="15.75" customHeight="1">
      <c r="A83" s="5">
        <v>3.316133712E9</v>
      </c>
      <c r="B83" s="5">
        <v>4.0</v>
      </c>
      <c r="C83" s="17">
        <v>549.0</v>
      </c>
      <c r="D83" s="5">
        <v>22.5</v>
      </c>
      <c r="E83" s="5" t="str">
        <f t="array" ref="E83">XLOOKUP($A83,Números_Asignados,Nombres_Directorio," *** OJO *** ",0)</f>
        <v>Guillermo Sahagún Cervantes</v>
      </c>
      <c r="F83" s="5" t="str">
        <f t="array" ref="F83">XLOOKUP($A83,Números_Asignados,Sucursal_Asignada," *** OJO *** ",0)</f>
        <v>La Piedad</v>
      </c>
      <c r="G83" s="5" t="str">
        <f t="array" ref="G83">XLOOKUP($A83,Números_Asignados,Departamento_Asignado," *** OJO *** ",0)</f>
        <v>Maquinaria Agrícola</v>
      </c>
      <c r="H83" s="5" t="str">
        <f t="array" ref="H83">XLOOKUP($A83,Números_Asignados,Puesto_Asignado," *** OJO *** ",0)</f>
        <v>Asesor de Ventas</v>
      </c>
    </row>
    <row r="84" ht="15.75" customHeight="1">
      <c r="A84" s="5">
        <v>3.338560241E9</v>
      </c>
      <c r="B84" s="5">
        <v>4.0</v>
      </c>
      <c r="C84" s="17">
        <v>549.0</v>
      </c>
      <c r="D84" s="5">
        <v>22.5</v>
      </c>
      <c r="E84" s="5" t="str">
        <f t="array" ref="E84">XLOOKUP($A84,Números_Asignados,Nombres_Directorio," *** OJO *** ",0)</f>
        <v>Marco Dario Martínez Álvarez</v>
      </c>
      <c r="F84" s="5" t="str">
        <f t="array" ref="F84">XLOOKUP($A84,Números_Asignados,Sucursal_Asignada," *** OJO *** ",0)</f>
        <v>La Piedad</v>
      </c>
      <c r="G84" s="5" t="str">
        <f t="array" ref="G84">XLOOKUP($A84,Números_Asignados,Departamento_Asignado," *** OJO *** ",0)</f>
        <v>Maquinaria Agrícola</v>
      </c>
      <c r="H84" s="5" t="str">
        <f t="array" ref="H84">XLOOKUP($A84,Números_Asignados,Puesto_Asignado," *** OJO *** ",0)</f>
        <v>Asesor de Ventas</v>
      </c>
    </row>
    <row r="85" ht="15.75" customHeight="1">
      <c r="A85" s="20">
        <v>3.931190275E9</v>
      </c>
      <c r="B85" s="20">
        <v>4.0</v>
      </c>
      <c r="C85" s="21">
        <v>549.0</v>
      </c>
      <c r="D85" s="20">
        <v>22.5</v>
      </c>
      <c r="E85" s="20" t="str">
        <f t="array" ref="E85">XLOOKUP($A85,Números_Asignados,Nombres_Directorio," *** OJO *** ",0)</f>
        <v> *** OJO *** </v>
      </c>
      <c r="F85" s="20" t="str">
        <f t="array" ref="F85">XLOOKUP($A85,Números_Asignados,Sucursal_Asignada," *** OJO *** ",0)</f>
        <v> *** OJO *** </v>
      </c>
      <c r="G85" s="20" t="str">
        <f t="array" ref="G85">XLOOKUP($A85,Números_Asignados,Departamento_Asignado," *** OJO *** ",0)</f>
        <v> *** OJO *** </v>
      </c>
      <c r="H85" s="20" t="str">
        <f t="array" ref="H85">XLOOKUP($A85,Números_Asignados,Puesto_Asignado," *** OJO *** ",0)</f>
        <v> *** OJO *** </v>
      </c>
      <c r="I85" s="18" t="s">
        <v>50</v>
      </c>
    </row>
    <row r="86" ht="15.75" customHeight="1">
      <c r="A86" s="5">
        <v>3.316129046E9</v>
      </c>
      <c r="B86" s="5">
        <v>4.0</v>
      </c>
      <c r="C86" s="17">
        <v>549.0</v>
      </c>
      <c r="D86" s="5">
        <v>22.5</v>
      </c>
      <c r="E86" s="5" t="str">
        <f t="array" ref="E86">XLOOKUP($A86,Números_Asignados,Nombres_Directorio," *** OJO *** ",0)</f>
        <v>Rafael Godínez Ramirez</v>
      </c>
      <c r="F86" s="5" t="str">
        <f t="array" ref="F86">XLOOKUP($A86,Números_Asignados,Sucursal_Asignada," *** OJO *** ",0)</f>
        <v>La Piedad</v>
      </c>
      <c r="G86" s="5" t="str">
        <f t="array" ref="G86">XLOOKUP($A86,Números_Asignados,Departamento_Asignado," *** OJO *** ",0)</f>
        <v>Maquinaria Agrícola</v>
      </c>
      <c r="H86" s="5" t="str">
        <f t="array" ref="H86">XLOOKUP($A86,Números_Asignados,Puesto_Asignado," *** OJO *** ",0)</f>
        <v>Asesor de Ventas</v>
      </c>
    </row>
    <row r="87" ht="15.75" customHeight="1">
      <c r="A87" s="5">
        <v>3.316147399E9</v>
      </c>
      <c r="B87" s="5">
        <v>4.0</v>
      </c>
      <c r="C87" s="17">
        <v>549.0</v>
      </c>
      <c r="D87" s="5">
        <v>22.5</v>
      </c>
      <c r="E87" s="5" t="str">
        <f t="array" ref="E87">XLOOKUP($A87,Números_Asignados,Nombres_Directorio," *** OJO *** ",0)</f>
        <v>Marco Antonio Falcón Ramirez</v>
      </c>
      <c r="F87" s="5" t="str">
        <f t="array" ref="F87">XLOOKUP($A87,Números_Asignados,Sucursal_Asignada," *** OJO *** ",0)</f>
        <v>La Piedad</v>
      </c>
      <c r="G87" s="5" t="str">
        <f t="array" ref="G87">XLOOKUP($A87,Números_Asignados,Departamento_Asignado," *** OJO *** ",0)</f>
        <v>Maquinaria Construcción</v>
      </c>
      <c r="H87" s="5" t="str">
        <f t="array" ref="H87">XLOOKUP($A87,Números_Asignados,Puesto_Asignado," *** OJO *** ",0)</f>
        <v>Asesor de Ventas</v>
      </c>
    </row>
    <row r="88" ht="15.75" customHeight="1">
      <c r="A88" s="5">
        <v>3.338560382E9</v>
      </c>
      <c r="B88" s="5">
        <v>4.0</v>
      </c>
      <c r="C88" s="17">
        <v>549.0</v>
      </c>
      <c r="D88" s="5">
        <v>22.5</v>
      </c>
      <c r="E88" s="5" t="str">
        <f t="array" ref="E88">XLOOKUP($A88,Números_Asignados,Nombres_Directorio," *** OJO *** ",0)</f>
        <v>Manuel Martínez Rizo</v>
      </c>
      <c r="F88" s="5" t="str">
        <f t="array" ref="F88">XLOOKUP($A88,Números_Asignados,Sucursal_Asignada," *** OJO *** ",0)</f>
        <v>La Piedad</v>
      </c>
      <c r="G88" s="5" t="str">
        <f t="array" ref="G88">XLOOKUP($A88,Números_Asignados,Departamento_Asignado," *** OJO *** ",0)</f>
        <v>Refacciones</v>
      </c>
      <c r="H88" s="5" t="str">
        <f t="array" ref="H88">XLOOKUP($A88,Números_Asignados,Puesto_Asignado," *** OJO *** ",0)</f>
        <v>Asesor de Refacciones Campo</v>
      </c>
    </row>
    <row r="89" ht="15.75" customHeight="1">
      <c r="A89" s="5">
        <v>3.521471232E9</v>
      </c>
      <c r="B89" s="5">
        <v>4.0</v>
      </c>
      <c r="C89" s="17">
        <v>549.0</v>
      </c>
      <c r="D89" s="5">
        <v>22.5</v>
      </c>
      <c r="E89" s="5" t="str">
        <f t="array" ref="E89">XLOOKUP($A89,Números_Asignados,Nombres_Directorio," *** OJO *** ",0)</f>
        <v>Uziel Sánchez Martínez</v>
      </c>
      <c r="F89" s="5" t="str">
        <f t="array" ref="F89">XLOOKUP($A89,Números_Asignados,Sucursal_Asignada," *** OJO *** ",0)</f>
        <v>La Piedad</v>
      </c>
      <c r="G89" s="5" t="str">
        <f t="array" ref="G89">XLOOKUP($A89,Números_Asignados,Departamento_Asignado," *** OJO *** ",0)</f>
        <v>Refacciones</v>
      </c>
      <c r="H89" s="5" t="str">
        <f t="array" ref="H89">XLOOKUP($A89,Números_Asignados,Puesto_Asignado," *** OJO *** ",0)</f>
        <v>Asesor de Refacciones Campo</v>
      </c>
    </row>
    <row r="90" ht="15.75" customHeight="1">
      <c r="A90" s="5">
        <v>3.31613378E9</v>
      </c>
      <c r="B90" s="5">
        <v>4.0</v>
      </c>
      <c r="C90" s="17">
        <v>599.0</v>
      </c>
      <c r="D90" s="5">
        <v>22.5</v>
      </c>
      <c r="E90" s="5" t="str">
        <f t="array" ref="E90">XLOOKUP($A90,Números_Asignados,Nombres_Directorio," *** OJO *** ",0)</f>
        <v>Elsa Guadalupe Ramírez López</v>
      </c>
      <c r="F90" s="5" t="str">
        <f t="array" ref="F90">XLOOKUP($A90,Números_Asignados,Sucursal_Asignada," *** OJO *** ",0)</f>
        <v>La Piedad</v>
      </c>
      <c r="G90" s="5" t="str">
        <f t="array" ref="G90">XLOOKUP($A90,Números_Asignados,Departamento_Asignado," *** OJO *** ",0)</f>
        <v>Refacciones</v>
      </c>
      <c r="H90" s="5" t="str">
        <f t="array" ref="H90">XLOOKUP($A90,Números_Asignados,Puesto_Asignado," *** OJO *** ",0)</f>
        <v>Encargado de Refacciones Sucursal</v>
      </c>
    </row>
    <row r="91" ht="15.75" customHeight="1">
      <c r="A91" s="5">
        <v>3.316114768E9</v>
      </c>
      <c r="B91" s="5">
        <v>1.0</v>
      </c>
      <c r="C91" s="17">
        <v>269.0</v>
      </c>
      <c r="D91" s="5">
        <v>9.0</v>
      </c>
      <c r="E91" s="5" t="str">
        <f t="array" ref="E91">XLOOKUP($A91,Números_Asignados,Nombres_Directorio," *** OJO *** ",0)</f>
        <v>Abraham Rodríguez Mendoza</v>
      </c>
      <c r="F91" s="5" t="str">
        <f t="array" ref="F91">XLOOKUP($A91,Números_Asignados,Sucursal_Asignada," *** OJO *** ",0)</f>
        <v>La Piedad</v>
      </c>
      <c r="G91" s="5" t="str">
        <f t="array" ref="G91">XLOOKUP($A91,Números_Asignados,Departamento_Asignado," *** OJO *** ",0)</f>
        <v>Servicio</v>
      </c>
      <c r="H91" s="5" t="str">
        <f t="array" ref="H91">XLOOKUP($A91,Números_Asignados,Puesto_Asignado," *** OJO *** ",0)</f>
        <v>Jefe de Taller</v>
      </c>
    </row>
    <row r="92" ht="15.75" customHeight="1">
      <c r="A92" s="5">
        <v>3.318629135E9</v>
      </c>
      <c r="B92" s="5">
        <v>4.0</v>
      </c>
      <c r="C92" s="17">
        <v>549.0</v>
      </c>
      <c r="D92" s="5">
        <v>22.5</v>
      </c>
      <c r="E92" s="5" t="str">
        <f t="array" ref="E92">XLOOKUP($A92,Números_Asignados,Nombres_Directorio," *** OJO *** ",0)</f>
        <v>María Fernanda Navarro Salazar</v>
      </c>
      <c r="F92" s="5" t="str">
        <f t="array" ref="F92">XLOOKUP($A92,Números_Asignados,Sucursal_Asignada," *** OJO *** ",0)</f>
        <v>La Piedad</v>
      </c>
      <c r="G92" s="5" t="str">
        <f t="array" ref="G92">XLOOKUP($A92,Números_Asignados,Departamento_Asignado," *** OJO *** ",0)</f>
        <v>Servicio</v>
      </c>
      <c r="H92" s="5" t="str">
        <f t="array" ref="H92">XLOOKUP($A92,Números_Asignados,Puesto_Asignado," *** OJO *** ",0)</f>
        <v>Auxiliar Administrativo</v>
      </c>
    </row>
    <row r="93" ht="15.75" customHeight="1">
      <c r="A93" s="5">
        <v>4.432078351E9</v>
      </c>
      <c r="B93" s="5">
        <v>1.0</v>
      </c>
      <c r="C93" s="17">
        <v>269.0</v>
      </c>
      <c r="D93" s="5">
        <v>9.0</v>
      </c>
      <c r="E93" s="5" t="str">
        <f t="array" ref="E93">XLOOKUP($A93,Números_Asignados,Nombres_Directorio," *** OJO *** ",0)</f>
        <v>Karla Edith Escalante Rodríguez</v>
      </c>
      <c r="F93" s="5" t="str">
        <f t="array" ref="F93">XLOOKUP($A93,Números_Asignados,Sucursal_Asignada," *** OJO *** ",0)</f>
        <v>Morelia</v>
      </c>
      <c r="G93" s="5" t="str">
        <f t="array" ref="G93">XLOOKUP($A93,Números_Asignados,Departamento_Asignado," *** OJO *** ",0)</f>
        <v>Maquinaria</v>
      </c>
      <c r="H93" s="5" t="str">
        <f t="array" ref="H93">XLOOKUP($A93,Números_Asignados,Puesto_Asignado," *** OJO *** ",0)</f>
        <v>Auxiliar Administrativo</v>
      </c>
    </row>
    <row r="94" ht="15.75" customHeight="1">
      <c r="A94" s="5">
        <v>3.321842313E9</v>
      </c>
      <c r="B94" s="5">
        <v>4.0</v>
      </c>
      <c r="C94" s="17">
        <v>549.0</v>
      </c>
      <c r="D94" s="5">
        <v>22.5</v>
      </c>
      <c r="E94" s="5" t="str">
        <f t="array" ref="E94">XLOOKUP($A94,Números_Asignados,Nombres_Directorio," *** OJO *** ",0)</f>
        <v>Silvia Janeth Meza Segura</v>
      </c>
      <c r="F94" s="5" t="str">
        <f t="array" ref="F94">XLOOKUP($A94,Números_Asignados,Sucursal_Asignada," *** OJO *** ",0)</f>
        <v>Morelia</v>
      </c>
      <c r="G94" s="5" t="str">
        <f t="array" ref="G94">XLOOKUP($A94,Números_Asignados,Departamento_Asignado," *** OJO *** ",0)</f>
        <v>Maquinaria</v>
      </c>
      <c r="H94" s="5" t="str">
        <f t="array" ref="H94">XLOOKUP($A94,Números_Asignados,Puesto_Asignado," *** OJO *** ",0)</f>
        <v>Gerente de Sucursal</v>
      </c>
    </row>
    <row r="95" ht="15.75" customHeight="1">
      <c r="A95" s="5">
        <v>4.434913907E9</v>
      </c>
      <c r="B95" s="5">
        <v>4.0</v>
      </c>
      <c r="C95" s="17">
        <v>549.0</v>
      </c>
      <c r="D95" s="5">
        <v>22.5</v>
      </c>
      <c r="E95" s="5" t="str">
        <f t="array" ref="E95">XLOOKUP($A95,Números_Asignados,Nombres_Directorio," *** OJO *** ",0)</f>
        <v>Ana Gabriela Trejo Loza</v>
      </c>
      <c r="F95" s="5" t="str">
        <f t="array" ref="F95">XLOOKUP($A95,Números_Asignados,Sucursal_Asignada," *** OJO *** ",0)</f>
        <v>Morelia</v>
      </c>
      <c r="G95" s="5" t="str">
        <f t="array" ref="G95">XLOOKUP($A95,Números_Asignados,Departamento_Asignado," *** OJO *** ",0)</f>
        <v>Maquinaria Agrícola</v>
      </c>
      <c r="H95" s="5" t="str">
        <f t="array" ref="H95">XLOOKUP($A95,Números_Asignados,Puesto_Asignado," *** OJO *** ",0)</f>
        <v>Asesor de Ventas</v>
      </c>
    </row>
    <row r="96" ht="15.75" customHeight="1">
      <c r="A96" s="5">
        <v>7.531153361E9</v>
      </c>
      <c r="B96" s="5">
        <v>4.0</v>
      </c>
      <c r="C96" s="17">
        <v>549.0</v>
      </c>
      <c r="D96" s="5">
        <v>22.5</v>
      </c>
      <c r="E96" s="5" t="str">
        <f t="array" ref="E96">XLOOKUP($A96,Números_Asignados,Nombres_Directorio," *** OJO *** ",0)</f>
        <v>Hugo César Bucio López</v>
      </c>
      <c r="F96" s="5" t="str">
        <f t="array" ref="F96">XLOOKUP($A96,Números_Asignados,Sucursal_Asignada," *** OJO *** ",0)</f>
        <v>Morelia</v>
      </c>
      <c r="G96" s="5" t="str">
        <f t="array" ref="G96">XLOOKUP($A96,Números_Asignados,Departamento_Asignado," *** OJO *** ",0)</f>
        <v>Maquinaria Agrícola</v>
      </c>
      <c r="H96" s="5" t="str">
        <f t="array" ref="H96">XLOOKUP($A96,Números_Asignados,Puesto_Asignado," *** OJO *** ",0)</f>
        <v>Asesor de Ventas</v>
      </c>
    </row>
    <row r="97" ht="15.75" customHeight="1">
      <c r="A97" s="5">
        <v>4.431415536E9</v>
      </c>
      <c r="B97" s="5">
        <v>4.0</v>
      </c>
      <c r="C97" s="17">
        <v>549.0</v>
      </c>
      <c r="D97" s="5">
        <v>22.5</v>
      </c>
      <c r="E97" s="5" t="str">
        <f t="array" ref="E97">XLOOKUP($A97,Números_Asignados,Nombres_Directorio," *** OJO *** ",0)</f>
        <v>Jaime Salazar Guzmán</v>
      </c>
      <c r="F97" s="5" t="str">
        <f t="array" ref="F97">XLOOKUP($A97,Números_Asignados,Sucursal_Asignada," *** OJO *** ",0)</f>
        <v>Morelia</v>
      </c>
      <c r="G97" s="5" t="str">
        <f t="array" ref="G97">XLOOKUP($A97,Números_Asignados,Departamento_Asignado," *** OJO *** ",0)</f>
        <v>Refacciones</v>
      </c>
      <c r="H97" s="5" t="str">
        <f t="array" ref="H97">XLOOKUP($A97,Números_Asignados,Puesto_Asignado," *** OJO *** ",0)</f>
        <v>Asesor de Refacciones Campo</v>
      </c>
    </row>
    <row r="98" ht="15.75" customHeight="1">
      <c r="A98" s="5">
        <v>4.432276388E9</v>
      </c>
      <c r="B98" s="5">
        <v>4.0</v>
      </c>
      <c r="C98" s="17">
        <v>549.0</v>
      </c>
      <c r="D98" s="5">
        <v>22.5</v>
      </c>
      <c r="E98" s="5" t="str">
        <f t="array" ref="E98">XLOOKUP($A98,Números_Asignados,Nombres_Directorio," *** OJO *** ",0)</f>
        <v>Juan Pablo Tapia García</v>
      </c>
      <c r="F98" s="5" t="str">
        <f t="array" ref="F98">XLOOKUP($A98,Números_Asignados,Sucursal_Asignada," *** OJO *** ",0)</f>
        <v>Morelia</v>
      </c>
      <c r="G98" s="5" t="str">
        <f t="array" ref="G98">XLOOKUP($A98,Números_Asignados,Departamento_Asignado," *** OJO *** ",0)</f>
        <v>Maquinaria Agrícola</v>
      </c>
      <c r="H98" s="5" t="str">
        <f t="array" ref="H98">XLOOKUP($A98,Números_Asignados,Puesto_Asignado," *** OJO *** ",0)</f>
        <v>Asesor de Ventas</v>
      </c>
    </row>
    <row r="99" ht="15.75" customHeight="1">
      <c r="A99" s="5">
        <v>4.431281396E9</v>
      </c>
      <c r="B99" s="5">
        <v>4.0</v>
      </c>
      <c r="C99" s="17">
        <v>549.0</v>
      </c>
      <c r="D99" s="5">
        <v>22.5</v>
      </c>
      <c r="E99" s="5" t="str">
        <f t="array" ref="E99">XLOOKUP($A99,Números_Asignados,Nombres_Directorio," *** OJO *** ",0)</f>
        <v> *** OJO *** </v>
      </c>
      <c r="F99" s="5" t="str">
        <f t="array" ref="F99">XLOOKUP($A99,Números_Asignados,Sucursal_Asignada," *** OJO *** ",0)</f>
        <v> *** OJO *** </v>
      </c>
      <c r="G99" s="5" t="str">
        <f t="array" ref="G99">XLOOKUP($A99,Números_Asignados,Departamento_Asignado," *** OJO *** ",0)</f>
        <v> *** OJO *** </v>
      </c>
      <c r="H99" s="5" t="str">
        <f t="array" ref="H99">XLOOKUP($A99,Números_Asignados,Puesto_Asignado," *** OJO *** ",0)</f>
        <v> *** OJO *** </v>
      </c>
    </row>
    <row r="100" ht="15.75" customHeight="1">
      <c r="A100" s="5">
        <v>3.316135271E9</v>
      </c>
      <c r="B100" s="5">
        <v>4.0</v>
      </c>
      <c r="C100" s="17">
        <v>549.0</v>
      </c>
      <c r="D100" s="5">
        <v>22.5</v>
      </c>
      <c r="E100" s="5" t="str">
        <f t="array" ref="E100">XLOOKUP($A100,Números_Asignados,Nombres_Directorio," *** OJO *** ",0)</f>
        <v>Roberto Adrián Ferreira Muñiz</v>
      </c>
      <c r="F100" s="5" t="str">
        <f t="array" ref="F100">XLOOKUP($A100,Números_Asignados,Sucursal_Asignada," *** OJO *** ",0)</f>
        <v>Morelia</v>
      </c>
      <c r="G100" s="5" t="str">
        <f t="array" ref="G100">XLOOKUP($A100,Números_Asignados,Departamento_Asignado," *** OJO *** ",0)</f>
        <v>Maquinaria Agrícola</v>
      </c>
      <c r="H100" s="5" t="str">
        <f t="array" ref="H100">XLOOKUP($A100,Números_Asignados,Puesto_Asignado," *** OJO *** ",0)</f>
        <v>Asesor de Ventas</v>
      </c>
    </row>
    <row r="101" ht="15.75" customHeight="1">
      <c r="A101" s="5">
        <v>4.434913915E9</v>
      </c>
      <c r="B101" s="5">
        <v>4.0</v>
      </c>
      <c r="C101" s="17">
        <v>549.0</v>
      </c>
      <c r="D101" s="5">
        <v>22.5</v>
      </c>
      <c r="E101" s="5" t="str">
        <f t="array" ref="E101">XLOOKUP($A101,Números_Asignados,Nombres_Directorio," *** OJO *** ",0)</f>
        <v>José Juan Hernández Zavala </v>
      </c>
      <c r="F101" s="5" t="str">
        <f t="array" ref="F101">XLOOKUP($A101,Números_Asignados,Sucursal_Asignada," *** OJO *** ",0)</f>
        <v>Morelia</v>
      </c>
      <c r="G101" s="5" t="str">
        <f t="array" ref="G101">XLOOKUP($A101,Números_Asignados,Departamento_Asignado," *** OJO *** ",0)</f>
        <v>Maquinaria Construcción</v>
      </c>
      <c r="H101" s="5" t="str">
        <f t="array" ref="H101">XLOOKUP($A101,Números_Asignados,Puesto_Asignado," *** OJO *** ",0)</f>
        <v>Asesor de Ventas</v>
      </c>
    </row>
    <row r="102" ht="15.75" customHeight="1">
      <c r="A102" s="5">
        <v>4.434108665E9</v>
      </c>
      <c r="B102" s="5">
        <v>1.0</v>
      </c>
      <c r="C102" s="17">
        <v>269.0</v>
      </c>
      <c r="D102" s="5">
        <v>9.0</v>
      </c>
      <c r="E102" s="5" t="str">
        <f t="array" ref="E102">XLOOKUP($A102,Números_Asignados,Nombres_Directorio," *** OJO *** ",0)</f>
        <v>Juan José Márquez Villanueva</v>
      </c>
      <c r="F102" s="5" t="str">
        <f t="array" ref="F102">XLOOKUP($A102,Números_Asignados,Sucursal_Asignada," *** OJO *** ",0)</f>
        <v>Morelia</v>
      </c>
      <c r="G102" s="5" t="str">
        <f t="array" ref="G102">XLOOKUP($A102,Números_Asignados,Departamento_Asignado," *** OJO *** ",0)</f>
        <v>Refacciones</v>
      </c>
      <c r="H102" s="5" t="str">
        <f t="array" ref="H102">XLOOKUP($A102,Números_Asignados,Puesto_Asignado," *** OJO *** ",0)</f>
        <v>Asesor de Refacciones Campo</v>
      </c>
    </row>
    <row r="103" ht="15.75" customHeight="1">
      <c r="A103" s="5">
        <v>4.434913911E9</v>
      </c>
      <c r="B103" s="5">
        <v>4.0</v>
      </c>
      <c r="C103" s="17">
        <v>549.0</v>
      </c>
      <c r="D103" s="5">
        <v>22.5</v>
      </c>
      <c r="E103" s="5" t="str">
        <f t="array" ref="E103">XLOOKUP($A103,Números_Asignados,Nombres_Directorio," *** OJO *** ",0)</f>
        <v>Sin Asignación</v>
      </c>
      <c r="F103" s="5" t="str">
        <f t="array" ref="F103">XLOOKUP($A103,Números_Asignados,Sucursal_Asignada," *** OJO *** ",0)</f>
        <v>Morelia</v>
      </c>
      <c r="G103" s="5" t="str">
        <f t="array" ref="G103">XLOOKUP($A103,Números_Asignados,Departamento_Asignado," *** OJO *** ",0)</f>
        <v>Sin Asignar</v>
      </c>
      <c r="H103" s="5" t="str">
        <f t="array" ref="H103">XLOOKUP($A103,Números_Asignados,Puesto_Asignado," *** OJO *** ",0)</f>
        <v>Sin Asignar</v>
      </c>
    </row>
    <row r="104" ht="15.75" customHeight="1">
      <c r="A104" s="5">
        <v>3.93104207E9</v>
      </c>
      <c r="B104" s="5">
        <v>4.0</v>
      </c>
      <c r="C104" s="17">
        <v>549.0</v>
      </c>
      <c r="D104" s="5">
        <v>22.5</v>
      </c>
      <c r="E104" s="22" t="s">
        <v>51</v>
      </c>
      <c r="F104" s="5" t="str">
        <f t="array" ref="F104">XLOOKUP($A104,Números_Asignados,Sucursal_Asignada," *** OJO *** ",0)</f>
        <v>Corporativo</v>
      </c>
      <c r="G104" s="5" t="str">
        <f t="array" ref="G104">XLOOKUP($A104,Números_Asignados,Departamento_Asignado," *** OJO *** ",0)</f>
        <v>Sin Asignar</v>
      </c>
      <c r="H104" s="5" t="str">
        <f t="array" ref="H104">XLOOKUP($A104,Números_Asignados,Puesto_Asignado," *** OJO *** ",0)</f>
        <v>Sin Asignar</v>
      </c>
    </row>
    <row r="105" ht="15.75" customHeight="1">
      <c r="A105" s="5">
        <v>4.431677121E9</v>
      </c>
      <c r="B105" s="5">
        <v>4.0</v>
      </c>
      <c r="C105" s="17">
        <v>549.0</v>
      </c>
      <c r="D105" s="5">
        <v>22.5</v>
      </c>
      <c r="E105" s="5" t="str">
        <f t="array" ref="E105">XLOOKUP($A105,Números_Asignados,Nombres_Directorio," *** OJO *** ",0)</f>
        <v>Yadira Torres Barajas</v>
      </c>
      <c r="F105" s="5" t="str">
        <f t="array" ref="F105">XLOOKUP($A105,Números_Asignados,Sucursal_Asignada," *** OJO *** ",0)</f>
        <v>Morelia</v>
      </c>
      <c r="G105" s="5" t="str">
        <f t="array" ref="G105">XLOOKUP($A105,Números_Asignados,Departamento_Asignado," *** OJO *** ",0)</f>
        <v>Refacciones</v>
      </c>
      <c r="H105" s="5" t="str">
        <f t="array" ref="H105">XLOOKUP($A105,Números_Asignados,Puesto_Asignado," *** OJO *** ",0)</f>
        <v>Encargado de Refacciones Sucursal</v>
      </c>
    </row>
    <row r="106" ht="15.75" customHeight="1">
      <c r="A106" s="5">
        <v>4.434913913E9</v>
      </c>
      <c r="B106" s="5">
        <v>1.0</v>
      </c>
      <c r="C106" s="17">
        <v>269.0</v>
      </c>
      <c r="D106" s="5">
        <v>9.0</v>
      </c>
      <c r="E106" s="5" t="str">
        <f t="array" ref="E106">XLOOKUP($A106,Números_Asignados,Nombres_Directorio," *** OJO *** ",0)</f>
        <v>Gabriela González Hinojosa</v>
      </c>
      <c r="F106" s="5" t="str">
        <f t="array" ref="F106">XLOOKUP($A106,Números_Asignados,Sucursal_Asignada," *** OJO *** ",0)</f>
        <v>Morelia</v>
      </c>
      <c r="G106" s="5" t="str">
        <f t="array" ref="G106">XLOOKUP($A106,Números_Asignados,Departamento_Asignado," *** OJO *** ",0)</f>
        <v>Servicio</v>
      </c>
      <c r="H106" s="5" t="str">
        <f t="array" ref="H106">XLOOKUP($A106,Números_Asignados,Puesto_Asignado," *** OJO *** ",0)</f>
        <v>Auxiliar Administrativo</v>
      </c>
    </row>
    <row r="107" ht="15.75" customHeight="1">
      <c r="A107" s="5">
        <v>4.434108329E9</v>
      </c>
      <c r="B107" s="5">
        <v>4.0</v>
      </c>
      <c r="C107" s="17">
        <v>549.0</v>
      </c>
      <c r="D107" s="5">
        <v>22.5</v>
      </c>
      <c r="E107" s="5" t="str">
        <f t="array" ref="E107">XLOOKUP($A107,Números_Asignados,Nombres_Directorio," *** OJO *** ",0)</f>
        <v>Vacante Jefe de Taller Morelia</v>
      </c>
      <c r="F107" s="5" t="str">
        <f t="array" ref="F107">XLOOKUP($A107,Números_Asignados,Sucursal_Asignada," *** OJO *** ",0)</f>
        <v>Morelia</v>
      </c>
      <c r="G107" s="5" t="str">
        <f t="array" ref="G107">XLOOKUP($A107,Números_Asignados,Departamento_Asignado," *** OJO *** ",0)</f>
        <v>Servicio</v>
      </c>
      <c r="H107" s="5" t="str">
        <f t="array" ref="H107">XLOOKUP($A107,Números_Asignados,Puesto_Asignado," *** OJO *** ",0)</f>
        <v>Jefe de Taller</v>
      </c>
    </row>
    <row r="108" ht="15.75" customHeight="1">
      <c r="A108" s="5">
        <v>3.931073664E9</v>
      </c>
      <c r="B108" s="5">
        <v>1.0</v>
      </c>
      <c r="C108" s="17">
        <v>269.0</v>
      </c>
      <c r="D108" s="5">
        <v>9.0</v>
      </c>
      <c r="E108" s="5" t="str">
        <f t="array" ref="E108">XLOOKUP($A108,Números_Asignados,Nombres_Directorio," *** OJO *** ",0)</f>
        <v>Nancy Yaneth Arroyo Cabello</v>
      </c>
      <c r="F108" s="5" t="str">
        <f t="array" ref="F108">XLOOKUP($A108,Números_Asignados,Sucursal_Asignada," *** OJO *** ",0)</f>
        <v>Pénjamo</v>
      </c>
      <c r="G108" s="5" t="str">
        <f t="array" ref="G108">XLOOKUP($A108,Números_Asignados,Departamento_Asignado," *** OJO *** ",0)</f>
        <v>Maquinaria</v>
      </c>
      <c r="H108" s="5" t="str">
        <f t="array" ref="H108">XLOOKUP($A108,Números_Asignados,Puesto_Asignado," *** OJO *** ",0)</f>
        <v>Auxiliar Administrativo</v>
      </c>
    </row>
    <row r="109" ht="15.75" customHeight="1">
      <c r="A109" s="5">
        <v>3.931196086E9</v>
      </c>
      <c r="B109" s="5">
        <v>4.0</v>
      </c>
      <c r="C109" s="17">
        <v>549.0</v>
      </c>
      <c r="D109" s="5">
        <v>22.5</v>
      </c>
      <c r="E109" s="5" t="str">
        <f t="array" ref="E109">XLOOKUP($A109,Números_Asignados,Nombres_Directorio," *** OJO *** ",0)</f>
        <v>Victor Hugo Avilez Gutiérrez</v>
      </c>
      <c r="F109" s="5" t="str">
        <f t="array" ref="F109">XLOOKUP($A109,Números_Asignados,Sucursal_Asignada," *** OJO *** ",0)</f>
        <v>Pénjamo</v>
      </c>
      <c r="G109" s="5" t="str">
        <f t="array" ref="G109">XLOOKUP($A109,Números_Asignados,Departamento_Asignado," *** OJO *** ",0)</f>
        <v>Maquinaria</v>
      </c>
      <c r="H109" s="5" t="str">
        <f t="array" ref="H109">XLOOKUP($A109,Números_Asignados,Puesto_Asignado," *** OJO *** ",0)</f>
        <v>Chofer</v>
      </c>
    </row>
    <row r="110" ht="15.75" customHeight="1">
      <c r="A110" s="5">
        <v>3.33152505E9</v>
      </c>
      <c r="B110" s="5">
        <v>4.0</v>
      </c>
      <c r="C110" s="17">
        <v>599.0</v>
      </c>
      <c r="D110" s="5">
        <v>22.5</v>
      </c>
      <c r="E110" s="5" t="str">
        <f t="array" ref="E110">XLOOKUP($A110,Números_Asignados,Nombres_Directorio," *** OJO *** ",0)</f>
        <v>Gerardo Damián Contreras Aguilar</v>
      </c>
      <c r="F110" s="5" t="str">
        <f t="array" ref="F110">XLOOKUP($A110,Números_Asignados,Sucursal_Asignada," *** OJO *** ",0)</f>
        <v>Pénjamo</v>
      </c>
      <c r="G110" s="5" t="str">
        <f t="array" ref="G110">XLOOKUP($A110,Números_Asignados,Departamento_Asignado," *** OJO *** ",0)</f>
        <v>Maquinaria</v>
      </c>
      <c r="H110" s="5" t="str">
        <f t="array" ref="H110">XLOOKUP($A110,Números_Asignados,Puesto_Asignado," *** OJO *** ",0)</f>
        <v>Gerente de Sucursal</v>
      </c>
    </row>
    <row r="111" ht="15.75" customHeight="1">
      <c r="A111" s="5">
        <v>3.931171122E9</v>
      </c>
      <c r="B111" s="5">
        <v>4.0</v>
      </c>
      <c r="C111" s="17">
        <v>549.0</v>
      </c>
      <c r="D111" s="5">
        <v>22.5</v>
      </c>
      <c r="E111" s="5" t="str">
        <f t="array" ref="E111">XLOOKUP($A111,Números_Asignados,Nombres_Directorio," *** OJO *** ",0)</f>
        <v>Isidro Navarro Ibarra</v>
      </c>
      <c r="F111" s="5" t="str">
        <f t="array" ref="F111">XLOOKUP($A111,Números_Asignados,Sucursal_Asignada," *** OJO *** ",0)</f>
        <v>Pénjamo</v>
      </c>
      <c r="G111" s="5" t="str">
        <f t="array" ref="G111">XLOOKUP($A111,Números_Asignados,Departamento_Asignado," *** OJO *** ",0)</f>
        <v>Maquinaria</v>
      </c>
      <c r="H111" s="5" t="str">
        <f t="array" ref="H111">XLOOKUP($A111,Números_Asignados,Puesto_Asignado," *** OJO *** ",0)</f>
        <v>Implementero</v>
      </c>
    </row>
    <row r="112" ht="15.75" customHeight="1">
      <c r="A112" s="5">
        <v>3.316097328E9</v>
      </c>
      <c r="B112" s="5">
        <v>4.0</v>
      </c>
      <c r="C112" s="17">
        <v>549.0</v>
      </c>
      <c r="D112" s="5">
        <v>22.5</v>
      </c>
      <c r="E112" s="5" t="str">
        <f t="array" ref="E112">XLOOKUP($A112,Números_Asignados,Nombres_Directorio," *** OJO *** ",0)</f>
        <v>Irving Josue Vega Ibarra</v>
      </c>
      <c r="F112" s="5" t="str">
        <f t="array" ref="F112">XLOOKUP($A112,Números_Asignados,Sucursal_Asignada," *** OJO *** ",0)</f>
        <v>Pénjamo</v>
      </c>
      <c r="G112" s="5" t="str">
        <f t="array" ref="G112">XLOOKUP($A112,Números_Asignados,Departamento_Asignado," *** OJO *** ",0)</f>
        <v>Maquinaria Agrícola</v>
      </c>
      <c r="H112" s="5" t="str">
        <f t="array" ref="H112">XLOOKUP($A112,Números_Asignados,Puesto_Asignado," *** OJO *** ",0)</f>
        <v>Asesor de Ventas</v>
      </c>
    </row>
    <row r="113" ht="15.75" customHeight="1">
      <c r="A113" s="5">
        <v>4.433031171E9</v>
      </c>
      <c r="B113" s="5">
        <v>4.0</v>
      </c>
      <c r="C113" s="17">
        <v>599.0</v>
      </c>
      <c r="D113" s="5">
        <v>22.5</v>
      </c>
      <c r="E113" s="5" t="str">
        <f t="array" ref="E113">XLOOKUP($A113,Números_Asignados,Nombres_Directorio," *** OJO *** ",0)</f>
        <v>Rodolfo Rico Uribe</v>
      </c>
      <c r="F113" s="5" t="str">
        <f t="array" ref="F113">XLOOKUP($A113,Números_Asignados,Sucursal_Asignada," *** OJO *** ",0)</f>
        <v>Pénjamo</v>
      </c>
      <c r="G113" s="5" t="str">
        <f t="array" ref="G113">XLOOKUP($A113,Números_Asignados,Departamento_Asignado," *** OJO *** ",0)</f>
        <v>Maquinaria Agrícola</v>
      </c>
      <c r="H113" s="5" t="str">
        <f t="array" ref="H113">XLOOKUP($A113,Números_Asignados,Puesto_Asignado," *** OJO *** ",0)</f>
        <v>Asesor de Ventas</v>
      </c>
    </row>
    <row r="114" ht="15.75" customHeight="1">
      <c r="A114" s="5">
        <v>3.316106051E9</v>
      </c>
      <c r="B114" s="5">
        <v>4.0</v>
      </c>
      <c r="C114" s="17">
        <v>549.0</v>
      </c>
      <c r="D114" s="5">
        <v>22.5</v>
      </c>
      <c r="E114" s="5" t="str">
        <f t="array" ref="E114">XLOOKUP($A114,Números_Asignados,Nombres_Directorio," *** OJO *** ",0)</f>
        <v>Santiago Cruz Elizarraraz</v>
      </c>
      <c r="F114" s="5" t="str">
        <f t="array" ref="F114">XLOOKUP($A114,Números_Asignados,Sucursal_Asignada," *** OJO *** ",0)</f>
        <v>Pénjamo</v>
      </c>
      <c r="G114" s="5" t="str">
        <f t="array" ref="G114">XLOOKUP($A114,Números_Asignados,Departamento_Asignado," *** OJO *** ",0)</f>
        <v>Maquinaria Agrícola</v>
      </c>
      <c r="H114" s="5" t="str">
        <f t="array" ref="H114">XLOOKUP($A114,Números_Asignados,Puesto_Asignado," *** OJO *** ",0)</f>
        <v>Asesor de Ventas</v>
      </c>
    </row>
    <row r="115" ht="15.75" customHeight="1">
      <c r="A115" s="5">
        <v>4.691215969E9</v>
      </c>
      <c r="B115" s="5">
        <v>4.0</v>
      </c>
      <c r="C115" s="17">
        <v>549.0</v>
      </c>
      <c r="D115" s="5">
        <v>22.5</v>
      </c>
      <c r="E115" s="5" t="str">
        <f t="array" ref="E115">XLOOKUP($A115,Números_Asignados,Nombres_Directorio," *** OJO *** ",0)</f>
        <v>Alan Ricardo Estrada Duarte</v>
      </c>
      <c r="F115" s="5" t="str">
        <f t="array" ref="F115">XLOOKUP($A115,Números_Asignados,Sucursal_Asignada," *** OJO *** ",0)</f>
        <v>Pénjamo</v>
      </c>
      <c r="G115" s="5" t="str">
        <f t="array" ref="G115">XLOOKUP($A115,Números_Asignados,Departamento_Asignado," *** OJO *** ",0)</f>
        <v>Maquinaria Construcción</v>
      </c>
      <c r="H115" s="5" t="str">
        <f t="array" ref="H115">XLOOKUP($A115,Números_Asignados,Puesto_Asignado," *** OJO *** ",0)</f>
        <v>Asesor de Ventas</v>
      </c>
    </row>
    <row r="116" ht="15.75" customHeight="1">
      <c r="A116" s="5">
        <v>3.921057608E9</v>
      </c>
      <c r="B116" s="5">
        <v>4.0</v>
      </c>
      <c r="C116" s="17">
        <v>549.0</v>
      </c>
      <c r="D116" s="5">
        <v>22.5</v>
      </c>
      <c r="E116" s="5" t="str">
        <f t="array" ref="E116">XLOOKUP($A116,Números_Asignados,Nombres_Directorio," *** OJO *** ",0)</f>
        <v>Juan Pablo Frausto Cervantes</v>
      </c>
      <c r="F116" s="5" t="str">
        <f t="array" ref="F116">XLOOKUP($A116,Números_Asignados,Sucursal_Asignada," *** OJO *** ",0)</f>
        <v>Pénjamo</v>
      </c>
      <c r="G116" s="5" t="str">
        <f t="array" ref="G116">XLOOKUP($A116,Números_Asignados,Departamento_Asignado," *** OJO *** ",0)</f>
        <v>Maquinaria Construcción</v>
      </c>
      <c r="H116" s="5" t="str">
        <f t="array" ref="H116">XLOOKUP($A116,Números_Asignados,Puesto_Asignado," *** OJO *** ",0)</f>
        <v>Asesor de Ventas</v>
      </c>
    </row>
    <row r="117" ht="15.75" customHeight="1">
      <c r="A117" s="5">
        <v>3.931245173E9</v>
      </c>
      <c r="B117" s="5">
        <v>4.0</v>
      </c>
      <c r="C117" s="17">
        <v>549.0</v>
      </c>
      <c r="D117" s="5">
        <v>22.5</v>
      </c>
      <c r="E117" s="5" t="str">
        <f t="array" ref="E117">XLOOKUP($A117,Números_Asignados,Nombres_Directorio," *** OJO *** ",0)</f>
        <v>Ángel Mauel Delgado Vázquez</v>
      </c>
      <c r="F117" s="5" t="str">
        <f t="array" ref="F117">XLOOKUP($A117,Números_Asignados,Sucursal_Asignada," *** OJO *** ",0)</f>
        <v>Pénjamo</v>
      </c>
      <c r="G117" s="5" t="str">
        <f t="array" ref="G117">XLOOKUP($A117,Números_Asignados,Departamento_Asignado," *** OJO *** ",0)</f>
        <v>Refacciones</v>
      </c>
      <c r="H117" s="5" t="str">
        <f t="array" ref="H117">XLOOKUP($A117,Números_Asignados,Puesto_Asignado," *** OJO *** ",0)</f>
        <v>Asesor de Refacciones Campo</v>
      </c>
    </row>
    <row r="118" ht="15.75" customHeight="1">
      <c r="A118" s="5">
        <v>3.331523332E9</v>
      </c>
      <c r="B118" s="5">
        <v>4.0</v>
      </c>
      <c r="C118" s="17">
        <v>549.0</v>
      </c>
      <c r="D118" s="5">
        <v>22.5</v>
      </c>
      <c r="E118" s="5" t="str">
        <f t="array" ref="E118">XLOOKUP($A118,Números_Asignados,Nombres_Directorio," *** OJO *** ",0)</f>
        <v>Uriel Martínez Martínez</v>
      </c>
      <c r="F118" s="5" t="str">
        <f t="array" ref="F118">XLOOKUP($A118,Números_Asignados,Sucursal_Asignada," *** OJO *** ",0)</f>
        <v>Pénjamo</v>
      </c>
      <c r="G118" s="5" t="str">
        <f t="array" ref="G118">XLOOKUP($A118,Números_Asignados,Departamento_Asignado," *** OJO *** ",0)</f>
        <v>Refacciones</v>
      </c>
      <c r="H118" s="5" t="str">
        <f t="array" ref="H118">XLOOKUP($A118,Números_Asignados,Puesto_Asignado," *** OJO *** ",0)</f>
        <v>Asesor de Refacciones Campo</v>
      </c>
    </row>
    <row r="119" ht="15.75" customHeight="1">
      <c r="A119" s="5">
        <v>3.328358335E9</v>
      </c>
      <c r="B119" s="5">
        <v>1.0</v>
      </c>
      <c r="C119" s="17">
        <v>269.0</v>
      </c>
      <c r="D119" s="5">
        <v>9.0</v>
      </c>
      <c r="E119" s="5" t="str">
        <f t="array" ref="E119">XLOOKUP($A119,Números_Asignados,Nombres_Directorio," *** OJO *** ",0)</f>
        <v>Brenda Alcocer Alcocer</v>
      </c>
      <c r="F119" s="5" t="str">
        <f t="array" ref="F119">XLOOKUP($A119,Números_Asignados,Sucursal_Asignada," *** OJO *** ",0)</f>
        <v>Pénjamo</v>
      </c>
      <c r="G119" s="5" t="str">
        <f t="array" ref="G119">XLOOKUP($A119,Números_Asignados,Departamento_Asignado," *** OJO *** ",0)</f>
        <v>Refacciones</v>
      </c>
      <c r="H119" s="5" t="str">
        <f t="array" ref="H119">XLOOKUP($A119,Números_Asignados,Puesto_Asignado," *** OJO *** ",0)</f>
        <v>Asesor de Refacciones Mostrador</v>
      </c>
    </row>
    <row r="120" ht="15.75" customHeight="1">
      <c r="A120" s="5">
        <v>3.337194517E9</v>
      </c>
      <c r="B120" s="5">
        <v>4.0</v>
      </c>
      <c r="C120" s="17">
        <v>599.0</v>
      </c>
      <c r="D120" s="5">
        <v>22.5</v>
      </c>
      <c r="E120" s="5" t="str">
        <f t="array" ref="E120">XLOOKUP($A120,Números_Asignados,Nombres_Directorio," *** OJO *** ",0)</f>
        <v>Pedro Castañeda Vázquez</v>
      </c>
      <c r="F120" s="5" t="str">
        <f t="array" ref="F120">XLOOKUP($A120,Números_Asignados,Sucursal_Asignada," *** OJO *** ",0)</f>
        <v>Pénjamo</v>
      </c>
      <c r="G120" s="5" t="str">
        <f t="array" ref="G120">XLOOKUP($A120,Números_Asignados,Departamento_Asignado," *** OJO *** ",0)</f>
        <v>Refacciones</v>
      </c>
      <c r="H120" s="5" t="str">
        <f t="array" ref="H120">XLOOKUP($A120,Números_Asignados,Puesto_Asignado," *** OJO *** ",0)</f>
        <v>Encargado de Refacciones Sucursal</v>
      </c>
    </row>
    <row r="121" ht="15.75" customHeight="1">
      <c r="A121" s="5">
        <v>3.316097918E9</v>
      </c>
      <c r="B121" s="5">
        <v>1.0</v>
      </c>
      <c r="C121" s="17">
        <v>319.0</v>
      </c>
      <c r="D121" s="5">
        <v>9.0</v>
      </c>
      <c r="E121" s="5" t="str">
        <f t="array" ref="E121">XLOOKUP($A121,Números_Asignados,Nombres_Directorio," *** OJO *** ",0)</f>
        <v>Lorena González Macías</v>
      </c>
      <c r="F121" s="5" t="str">
        <f t="array" ref="F121">XLOOKUP($A121,Números_Asignados,Sucursal_Asignada," *** OJO *** ",0)</f>
        <v>Pénjamo</v>
      </c>
      <c r="G121" s="5" t="str">
        <f t="array" ref="G121">XLOOKUP($A121,Números_Asignados,Departamento_Asignado," *** OJO *** ",0)</f>
        <v>Servicio</v>
      </c>
      <c r="H121" s="5" t="str">
        <f t="array" ref="H121">XLOOKUP($A121,Números_Asignados,Puesto_Asignado," *** OJO *** ",0)</f>
        <v>Auxiliar Administrativo</v>
      </c>
    </row>
    <row r="122" ht="15.75" customHeight="1">
      <c r="A122" s="5">
        <v>3.481044349E9</v>
      </c>
      <c r="B122" s="5">
        <v>4.0</v>
      </c>
      <c r="C122" s="17">
        <v>549.0</v>
      </c>
      <c r="D122" s="5">
        <v>22.5</v>
      </c>
      <c r="E122" s="5" t="str">
        <f t="array" ref="E122">XLOOKUP($A122,Números_Asignados,Nombres_Directorio," *** OJO *** ",0)</f>
        <v>Martín Ceballos Castillo</v>
      </c>
      <c r="F122" s="5" t="str">
        <f t="array" ref="F122">XLOOKUP($A122,Números_Asignados,Sucursal_Asignada," *** OJO *** ",0)</f>
        <v>Pénjamo</v>
      </c>
      <c r="G122" s="5" t="str">
        <f t="array" ref="G122">XLOOKUP($A122,Números_Asignados,Departamento_Asignado," *** OJO *** ",0)</f>
        <v>Servicio</v>
      </c>
      <c r="H122" s="5" t="str">
        <f t="array" ref="H122">XLOOKUP($A122,Números_Asignados,Puesto_Asignado," *** OJO *** ",0)</f>
        <v>Jefe de Taller</v>
      </c>
    </row>
    <row r="123" ht="15.75" customHeight="1">
      <c r="A123" s="5">
        <v>3.316092786E9</v>
      </c>
      <c r="B123" s="5">
        <v>4.0</v>
      </c>
      <c r="C123" s="17">
        <v>599.0</v>
      </c>
      <c r="D123" s="5">
        <v>22.5</v>
      </c>
      <c r="E123" s="5" t="str">
        <f t="array" ref="E123">XLOOKUP($A123,Números_Asignados,Nombres_Directorio," *** OJO *** ",0)</f>
        <v>Natanael Bravo Gallardo</v>
      </c>
      <c r="F123" s="5" t="str">
        <f t="array" ref="F123">XLOOKUP($A123,Números_Asignados,Sucursal_Asignada," *** OJO *** ",0)</f>
        <v>Pénjamo</v>
      </c>
      <c r="G123" s="5" t="str">
        <f t="array" ref="G123">XLOOKUP($A123,Números_Asignados,Departamento_Asignado," *** OJO *** ",0)</f>
        <v>Servicio</v>
      </c>
      <c r="H123" s="5" t="str">
        <f t="array" ref="H123">XLOOKUP($A123,Números_Asignados,Puesto_Asignado," *** OJO *** ",0)</f>
        <v>Promotor de Servicio</v>
      </c>
    </row>
    <row r="124" ht="15.75" customHeight="1">
      <c r="A124" s="5">
        <v>3.931196103E9</v>
      </c>
      <c r="B124" s="5">
        <v>1.0</v>
      </c>
      <c r="C124" s="17">
        <v>269.0</v>
      </c>
      <c r="D124" s="5">
        <v>9.0</v>
      </c>
      <c r="E124" s="5" t="str">
        <f t="array" ref="E124">XLOOKUP($A124,Números_Asignados,Nombres_Directorio," *** OJO *** ",0)</f>
        <v>Airam Monserrat Vázquez Segura</v>
      </c>
      <c r="F124" s="5" t="str">
        <f t="array" ref="F124">XLOOKUP($A124,Números_Asignados,Sucursal_Asignada," *** OJO *** ",0)</f>
        <v>Poncitlán</v>
      </c>
      <c r="G124" s="5" t="str">
        <f t="array" ref="G124">XLOOKUP($A124,Números_Asignados,Departamento_Asignado," *** OJO *** ",0)</f>
        <v>Maquinaria</v>
      </c>
      <c r="H124" s="5" t="str">
        <f t="array" ref="H124">XLOOKUP($A124,Números_Asignados,Puesto_Asignado," *** OJO *** ",0)</f>
        <v>Auxiliar Administrativo</v>
      </c>
    </row>
    <row r="125" ht="15.75" customHeight="1">
      <c r="A125" s="5">
        <v>3.931073857E9</v>
      </c>
      <c r="B125" s="5">
        <v>4.0</v>
      </c>
      <c r="C125" s="17">
        <v>549.0</v>
      </c>
      <c r="D125" s="5">
        <v>22.5</v>
      </c>
      <c r="E125" s="5" t="str">
        <f t="array" ref="E125">XLOOKUP($A125,Números_Asignados,Nombres_Directorio," *** OJO *** ",0)</f>
        <v>Moisés Alberto González Mendoza</v>
      </c>
      <c r="F125" s="5" t="str">
        <f t="array" ref="F125">XLOOKUP($A125,Números_Asignados,Sucursal_Asignada," *** OJO *** ",0)</f>
        <v>Poncitlán</v>
      </c>
      <c r="G125" s="5" t="str">
        <f t="array" ref="G125">XLOOKUP($A125,Números_Asignados,Departamento_Asignado," *** OJO *** ",0)</f>
        <v>Maquinaria</v>
      </c>
      <c r="H125" s="5" t="str">
        <f t="array" ref="H125">XLOOKUP($A125,Números_Asignados,Puesto_Asignado," *** OJO *** ",0)</f>
        <v>Gerente de Sucursal</v>
      </c>
    </row>
    <row r="126" ht="15.75" customHeight="1">
      <c r="A126" s="5">
        <v>3.316098052E9</v>
      </c>
      <c r="B126" s="5">
        <v>4.0</v>
      </c>
      <c r="C126" s="17">
        <v>549.0</v>
      </c>
      <c r="D126" s="5">
        <v>22.5</v>
      </c>
      <c r="E126" s="5" t="str">
        <f t="array" ref="E126">XLOOKUP($A126,Números_Asignados,Nombres_Directorio," *** OJO *** ",0)</f>
        <v>José Alfredo Macías Plascencia</v>
      </c>
      <c r="F126" s="5" t="str">
        <f t="array" ref="F126">XLOOKUP($A126,Números_Asignados,Sucursal_Asignada," *** OJO *** ",0)</f>
        <v>Poncitlán</v>
      </c>
      <c r="G126" s="5" t="str">
        <f t="array" ref="G126">XLOOKUP($A126,Números_Asignados,Departamento_Asignado," *** OJO *** ",0)</f>
        <v>Maquinaria Agrícola</v>
      </c>
      <c r="H126" s="5" t="str">
        <f t="array" ref="H126">XLOOKUP($A126,Números_Asignados,Puesto_Asignado," *** OJO *** ",0)</f>
        <v>Asesor de Ventas</v>
      </c>
    </row>
    <row r="127" ht="15.75" customHeight="1">
      <c r="A127" s="5">
        <v>3.316097179E9</v>
      </c>
      <c r="B127" s="5">
        <v>4.0</v>
      </c>
      <c r="C127" s="17">
        <v>549.0</v>
      </c>
      <c r="D127" s="5">
        <v>22.5</v>
      </c>
      <c r="E127" s="5" t="str">
        <f t="array" ref="E127">XLOOKUP($A127,Números_Asignados,Nombres_Directorio," *** OJO *** ",0)</f>
        <v>Luis Felipe Tinoco Solorzano</v>
      </c>
      <c r="F127" s="5" t="str">
        <f t="array" ref="F127">XLOOKUP($A127,Números_Asignados,Sucursal_Asignada," *** OJO *** ",0)</f>
        <v>Poncitlán</v>
      </c>
      <c r="G127" s="5" t="str">
        <f t="array" ref="G127">XLOOKUP($A127,Números_Asignados,Departamento_Asignado," *** OJO *** ",0)</f>
        <v>Maquinaria Agrícola</v>
      </c>
      <c r="H127" s="5" t="str">
        <f t="array" ref="H127">XLOOKUP($A127,Números_Asignados,Puesto_Asignado," *** OJO *** ",0)</f>
        <v>Asesor de Ventas</v>
      </c>
    </row>
    <row r="128" ht="15.75" customHeight="1">
      <c r="A128" s="5">
        <v>3.318934914E9</v>
      </c>
      <c r="B128" s="5">
        <v>4.0</v>
      </c>
      <c r="C128" s="17">
        <v>549.0</v>
      </c>
      <c r="D128" s="5">
        <v>22.5</v>
      </c>
      <c r="E128" s="5" t="str">
        <f t="array" ref="E128">XLOOKUP($A128,Números_Asignados,Nombres_Directorio," *** OJO *** ",0)</f>
        <v>Luis Gustavo Soto Ibarra</v>
      </c>
      <c r="F128" s="5" t="str">
        <f t="array" ref="F128">XLOOKUP($A128,Números_Asignados,Sucursal_Asignada," *** OJO *** ",0)</f>
        <v>Poncitlán</v>
      </c>
      <c r="G128" s="5" t="str">
        <f t="array" ref="G128">XLOOKUP($A128,Números_Asignados,Departamento_Asignado," *** OJO *** ",0)</f>
        <v>Maquinaria Construcción</v>
      </c>
      <c r="H128" s="5" t="str">
        <f t="array" ref="H128">XLOOKUP($A128,Números_Asignados,Puesto_Asignado," *** OJO *** ",0)</f>
        <v>Asesor de Ventas</v>
      </c>
    </row>
    <row r="129" ht="15.75" customHeight="1">
      <c r="A129" s="5">
        <v>3.931196087E9</v>
      </c>
      <c r="B129" s="5">
        <v>4.0</v>
      </c>
      <c r="C129" s="17">
        <v>549.0</v>
      </c>
      <c r="D129" s="5">
        <v>22.5</v>
      </c>
      <c r="E129" s="5" t="str">
        <f t="array" ref="E129">XLOOKUP($A129,Números_Asignados,Nombres_Directorio," *** OJO *** ",0)</f>
        <v>Gerardo Isaac Godínez Ramírez</v>
      </c>
      <c r="F129" s="5" t="str">
        <f t="array" ref="F129">XLOOKUP($A129,Números_Asignados,Sucursal_Asignada," *** OJO *** ",0)</f>
        <v>Poncitlán</v>
      </c>
      <c r="G129" s="5" t="str">
        <f t="array" ref="G129">XLOOKUP($A129,Números_Asignados,Departamento_Asignado," *** OJO *** ",0)</f>
        <v>Maquinaria Agrícola</v>
      </c>
      <c r="H129" s="5" t="str">
        <f t="array" ref="H129">XLOOKUP($A129,Números_Asignados,Puesto_Asignado," *** OJO *** ",0)</f>
        <v>Asesor de Ventas</v>
      </c>
    </row>
    <row r="130" ht="15.75" customHeight="1">
      <c r="A130" s="5">
        <v>3.931245176E9</v>
      </c>
      <c r="B130" s="5">
        <v>4.0</v>
      </c>
      <c r="C130" s="17">
        <v>549.0</v>
      </c>
      <c r="D130" s="5">
        <v>22.5</v>
      </c>
      <c r="E130" s="5" t="str">
        <f t="array" ref="E130">XLOOKUP($A130,Números_Asignados,Nombres_Directorio," *** OJO *** ",0)</f>
        <v>Bryan Arturo Ramírez Alonso</v>
      </c>
      <c r="F130" s="5" t="str">
        <f t="array" ref="F130">XLOOKUP($A130,Números_Asignados,Sucursal_Asignada," *** OJO *** ",0)</f>
        <v>Poncitlán</v>
      </c>
      <c r="G130" s="5" t="str">
        <f t="array" ref="G130">XLOOKUP($A130,Números_Asignados,Departamento_Asignado," *** OJO *** ",0)</f>
        <v>Refacciones</v>
      </c>
      <c r="H130" s="5" t="str">
        <f t="array" ref="H130">XLOOKUP($A130,Números_Asignados,Puesto_Asignado," *** OJO *** ",0)</f>
        <v>Asesor de Refacciones Campo</v>
      </c>
    </row>
    <row r="131" ht="15.75" customHeight="1">
      <c r="A131" s="5">
        <v>3.781868864E9</v>
      </c>
      <c r="B131" s="5">
        <v>4.0</v>
      </c>
      <c r="C131" s="17">
        <v>549.0</v>
      </c>
      <c r="D131" s="5">
        <v>22.5</v>
      </c>
      <c r="E131" s="5" t="str">
        <f t="array" ref="E131">XLOOKUP($A131,Números_Asignados,Nombres_Directorio," *** OJO *** ",0)</f>
        <v>Orlando Yael Ceja Briseño</v>
      </c>
      <c r="F131" s="5" t="str">
        <f t="array" ref="F131">XLOOKUP($A131,Números_Asignados,Sucursal_Asignada," *** OJO *** ",0)</f>
        <v>Poncitlán</v>
      </c>
      <c r="G131" s="5" t="str">
        <f t="array" ref="G131">XLOOKUP($A131,Números_Asignados,Departamento_Asignado," *** OJO *** ",0)</f>
        <v>Refacciones</v>
      </c>
      <c r="H131" s="5" t="str">
        <f t="array" ref="H131">XLOOKUP($A131,Números_Asignados,Puesto_Asignado," *** OJO *** ",0)</f>
        <v>Encargado de Refacciones Sucursal</v>
      </c>
    </row>
    <row r="132" ht="15.75" customHeight="1">
      <c r="A132" s="5">
        <v>3.316091879E9</v>
      </c>
      <c r="B132" s="5">
        <v>1.0</v>
      </c>
      <c r="C132" s="17">
        <v>319.0</v>
      </c>
      <c r="D132" s="5">
        <v>9.0</v>
      </c>
      <c r="E132" s="5" t="str">
        <f t="array" ref="E132">XLOOKUP($A132,Números_Asignados,Nombres_Directorio," *** OJO *** ",0)</f>
        <v>Patricia Yunuen Vázquez Villa </v>
      </c>
      <c r="F132" s="5" t="str">
        <f t="array" ref="F132">XLOOKUP($A132,Números_Asignados,Sucursal_Asignada," *** OJO *** ",0)</f>
        <v>Poncitlán</v>
      </c>
      <c r="G132" s="5" t="str">
        <f t="array" ref="G132">XLOOKUP($A132,Números_Asignados,Departamento_Asignado," *** OJO *** ",0)</f>
        <v>Servicio</v>
      </c>
      <c r="H132" s="5" t="str">
        <f t="array" ref="H132">XLOOKUP($A132,Números_Asignados,Puesto_Asignado," *** OJO *** ",0)</f>
        <v>Auxiliar Administrativo</v>
      </c>
    </row>
    <row r="133" ht="15.75" customHeight="1">
      <c r="A133" s="5">
        <v>3.931001479E9</v>
      </c>
      <c r="B133" s="5">
        <v>4.0</v>
      </c>
      <c r="C133" s="17">
        <v>549.0</v>
      </c>
      <c r="D133" s="5">
        <v>22.5</v>
      </c>
      <c r="E133" s="5" t="str">
        <f t="array" ref="E133">XLOOKUP($A133,Números_Asignados,Nombres_Directorio," *** OJO *** ",0)</f>
        <v>César Enrique Flores Franco</v>
      </c>
      <c r="F133" s="5" t="str">
        <f t="array" ref="F133">XLOOKUP($A133,Números_Asignados,Sucursal_Asignada," *** OJO *** ",0)</f>
        <v>Poncitlán</v>
      </c>
      <c r="G133" s="5" t="str">
        <f t="array" ref="G133">XLOOKUP($A133,Números_Asignados,Departamento_Asignado," *** OJO *** ",0)</f>
        <v>Servicio</v>
      </c>
      <c r="H133" s="5" t="str">
        <f t="array" ref="H133">XLOOKUP($A133,Números_Asignados,Puesto_Asignado," *** OJO *** ",0)</f>
        <v>Jefe de Taller</v>
      </c>
    </row>
    <row r="134" ht="15.75" customHeight="1">
      <c r="A134" s="5">
        <v>3.316132351E9</v>
      </c>
      <c r="B134" s="5">
        <v>4.0</v>
      </c>
      <c r="C134" s="17">
        <v>599.0</v>
      </c>
      <c r="D134" s="5">
        <v>22.5</v>
      </c>
      <c r="E134" s="5" t="str">
        <f t="array" ref="E134">XLOOKUP($A134,Números_Asignados,Nombres_Directorio," *** OJO *** ",0)</f>
        <v>Martín Salcedo Vargas</v>
      </c>
      <c r="F134" s="5" t="str">
        <f t="array" ref="F134">XLOOKUP($A134,Números_Asignados,Sucursal_Asignada," *** OJO *** ",0)</f>
        <v>Zona Altos</v>
      </c>
      <c r="G134" s="5" t="str">
        <f t="array" ref="G134">XLOOKUP($A134,Números_Asignados,Departamento_Asignado," *** OJO *** ",0)</f>
        <v>Maquinaria</v>
      </c>
      <c r="H134" s="5" t="str">
        <f t="array" ref="H134">XLOOKUP($A134,Números_Asignados,Puesto_Asignado," *** OJO *** ",0)</f>
        <v>Gerente de Sucursal</v>
      </c>
    </row>
    <row r="135" ht="15.75" customHeight="1">
      <c r="A135" s="5">
        <v>3.78186886E9</v>
      </c>
      <c r="B135" s="5">
        <v>4.0</v>
      </c>
      <c r="C135" s="17">
        <v>549.0</v>
      </c>
      <c r="D135" s="5">
        <v>22.5</v>
      </c>
      <c r="E135" s="5" t="str">
        <f t="array" ref="E135">XLOOKUP($A135,Números_Asignados,Nombres_Directorio," *** OJO *** ",0)</f>
        <v>María Guadalupe Díaz Hernández</v>
      </c>
      <c r="F135" s="5" t="str">
        <f t="array" ref="F135">XLOOKUP($A135,Números_Asignados,Sucursal_Asignada," *** OJO *** ",0)</f>
        <v>Zona Altos</v>
      </c>
      <c r="G135" s="5" t="str">
        <f t="array" ref="G135">XLOOKUP($A135,Números_Asignados,Departamento_Asignado," *** OJO *** ",0)</f>
        <v>Maquinaria Agrícola y Construcción</v>
      </c>
      <c r="H135" s="5" t="str">
        <f t="array" ref="H135">XLOOKUP($A135,Números_Asignados,Puesto_Asignado," *** OJO *** ",0)</f>
        <v>Asesor de Ventas</v>
      </c>
    </row>
    <row r="136" ht="15.75" customHeight="1">
      <c r="A136" s="5">
        <v>3.952680842E9</v>
      </c>
      <c r="B136" s="5">
        <v>4.0</v>
      </c>
      <c r="C136" s="17">
        <v>549.0</v>
      </c>
      <c r="D136" s="5">
        <v>22.5</v>
      </c>
      <c r="E136" s="5" t="str">
        <f t="array" ref="E136">XLOOKUP($A136,Números_Asignados,Nombres_Directorio," *** OJO *** ",0)</f>
        <v>Pablo Arturo Maldonado Ponce</v>
      </c>
      <c r="F136" s="5" t="str">
        <f t="array" ref="F136">XLOOKUP($A136,Números_Asignados,Sucursal_Asignada," *** OJO *** ",0)</f>
        <v>Zona Altos</v>
      </c>
      <c r="G136" s="5" t="str">
        <f t="array" ref="G136">XLOOKUP($A136,Números_Asignados,Departamento_Asignado," *** OJO *** ",0)</f>
        <v>Maquinaria Agrícola y Construcción</v>
      </c>
      <c r="H136" s="5" t="str">
        <f t="array" ref="H136">XLOOKUP($A136,Números_Asignados,Puesto_Asignado," *** OJO *** ",0)</f>
        <v>Asesor de Ventas</v>
      </c>
    </row>
    <row r="137" ht="15.75" customHeight="1">
      <c r="A137" s="5">
        <v>3.9315832E9</v>
      </c>
      <c r="B137" s="5" t="s">
        <v>52</v>
      </c>
      <c r="C137" s="17">
        <v>229.0</v>
      </c>
      <c r="D137" s="5">
        <v>4.5</v>
      </c>
      <c r="E137" s="5" t="str">
        <f t="array" ref="E137">XLOOKUP($A137,Números_Asignados,Nombres_Directorio," *** OJO *** ",0)</f>
        <v>Sin Asignación</v>
      </c>
      <c r="F137" s="5" t="str">
        <f t="array" ref="F137">XLOOKUP($A137,Números_Asignados,Sucursal_Asignada," *** OJO *** ",0)</f>
        <v>Corporativo</v>
      </c>
      <c r="G137" s="5" t="str">
        <f t="array" ref="G137">XLOOKUP($A137,Números_Asignados,Departamento_Asignado," *** OJO *** ",0)</f>
        <v>Sin Asignar</v>
      </c>
      <c r="H137" s="5" t="str">
        <f t="array" ref="H137">XLOOKUP($A137,Números_Asignados,Puesto_Asignado," *** OJO *** ",0)</f>
        <v>Sin Asignar</v>
      </c>
    </row>
    <row r="138" ht="15.75" customHeight="1">
      <c r="A138" s="5">
        <v>3.521421218E9</v>
      </c>
      <c r="B138" s="5">
        <v>1.0</v>
      </c>
      <c r="C138" s="17">
        <v>269.0</v>
      </c>
      <c r="D138" s="5">
        <v>6.0</v>
      </c>
      <c r="E138" s="5" t="str">
        <f t="array" ref="E138">XLOOKUP($A138,Números_Asignados,Nombres_Directorio," *** OJO *** ",0)</f>
        <v>Juan Pablo Mendez Guzmán</v>
      </c>
      <c r="F138" s="5" t="str">
        <f t="array" ref="F138">XLOOKUP($A138,Números_Asignados,Sucursal_Asignada," *** OJO *** ",0)</f>
        <v>La Piedad</v>
      </c>
      <c r="G138" s="5" t="str">
        <f t="array" ref="G138">XLOOKUP($A138,Números_Asignados,Departamento_Asignado," *** OJO *** ",0)</f>
        <v>Servicio</v>
      </c>
      <c r="H138" s="5" t="str">
        <f t="array" ref="H138">XLOOKUP($A138,Números_Asignados,Puesto_Asignado," *** OJO *** ",0)</f>
        <v>Promotor de Servicio</v>
      </c>
    </row>
    <row r="139" ht="15.75" customHeight="1">
      <c r="A139" s="23">
        <v>3.921369057E9</v>
      </c>
      <c r="B139" s="23">
        <v>1.0</v>
      </c>
      <c r="C139" s="17">
        <v>269.0</v>
      </c>
      <c r="D139" s="23">
        <v>6.0</v>
      </c>
      <c r="E139" s="5" t="str">
        <f t="array" ref="E139">XLOOKUP($A139,Números_Asignados,Nombres_Directorio," *** OJO *** ",0)</f>
        <v>Ricardo Emmanuel Chávez Lumbreras</v>
      </c>
      <c r="F139" s="5" t="str">
        <f t="array" ref="F139">XLOOKUP($A139,Números_Asignados,Sucursal_Asignada," *** OJO *** ",0)</f>
        <v>Poncitlán</v>
      </c>
      <c r="G139" s="5" t="str">
        <f t="array" ref="G139">XLOOKUP($A139,Números_Asignados,Departamento_Asignado," *** OJO *** ",0)</f>
        <v>Refacciones</v>
      </c>
      <c r="H139" s="5" t="str">
        <f t="array" ref="H139">XLOOKUP($A139,Números_Asignados,Puesto_Asignado," *** OJO *** ",0)</f>
        <v>Asesor de Refacciones Campo</v>
      </c>
    </row>
    <row r="140" ht="15.75" customHeight="1">
      <c r="A140" s="5">
        <v>3.921580546E9</v>
      </c>
      <c r="B140" s="5">
        <v>1.0</v>
      </c>
      <c r="C140" s="17">
        <v>269.0</v>
      </c>
      <c r="D140" s="5">
        <v>6.0</v>
      </c>
      <c r="E140" s="5" t="str">
        <f t="array" ref="E140">XLOOKUP($A140,Números_Asignados,Nombres_Directorio," *** OJO *** ",0)</f>
        <v>Sin Asignación</v>
      </c>
      <c r="F140" s="5" t="str">
        <f t="array" ref="F140">XLOOKUP($A140,Números_Asignados,Sucursal_Asignada," *** OJO *** ",0)</f>
        <v>Poncitlán</v>
      </c>
      <c r="G140" s="5" t="str">
        <f t="array" ref="G140">XLOOKUP($A140,Números_Asignados,Departamento_Asignado," *** OJO *** ",0)</f>
        <v>Sin Asignar</v>
      </c>
      <c r="H140" s="5" t="str">
        <f t="array" ref="H140">XLOOKUP($A140,Números_Asignados,Puesto_Asignado," *** OJO *** ",0)</f>
        <v>Sin Asignar</v>
      </c>
    </row>
    <row r="141" ht="15.75" customHeight="1">
      <c r="A141" s="5">
        <v>3.911035841E9</v>
      </c>
      <c r="B141" s="5">
        <v>1.0</v>
      </c>
      <c r="C141" s="17">
        <v>269.0</v>
      </c>
      <c r="D141" s="5">
        <v>6.0</v>
      </c>
      <c r="E141" s="5" t="str">
        <f t="array" ref="E141">XLOOKUP($A141,Números_Asignados,Nombres_Directorio," *** OJO *** ",0)</f>
        <v>Sin Asignación</v>
      </c>
      <c r="F141" s="5" t="str">
        <f t="array" ref="F141">XLOOKUP($A141,Números_Asignados,Sucursal_Asignada," *** OJO *** ",0)</f>
        <v>Zona Altos</v>
      </c>
      <c r="G141" s="5" t="str">
        <f t="array" ref="G141">XLOOKUP($A141,Números_Asignados,Departamento_Asignado," *** OJO *** ",0)</f>
        <v>Sin Asignar</v>
      </c>
      <c r="H141" s="5" t="str">
        <f t="array" ref="H141">XLOOKUP($A141,Números_Asignados,Puesto_Asignado," *** OJO *** ",0)</f>
        <v>Sin Asignar</v>
      </c>
    </row>
    <row r="142" ht="15.75" customHeight="1">
      <c r="A142" s="5">
        <v>4.691214431E9</v>
      </c>
      <c r="B142" s="5">
        <v>1.0</v>
      </c>
      <c r="C142" s="17">
        <v>269.0</v>
      </c>
      <c r="D142" s="5">
        <v>6.0</v>
      </c>
      <c r="E142" s="5" t="str">
        <f t="array" ref="E142">XLOOKUP($A142,Números_Asignados,Nombres_Directorio," *** OJO *** ",0)</f>
        <v>Sin Asignación</v>
      </c>
      <c r="F142" s="5" t="str">
        <f t="array" ref="F142">XLOOKUP($A142,Números_Asignados,Sucursal_Asignada," *** OJO *** ",0)</f>
        <v>Pénjamo</v>
      </c>
      <c r="G142" s="5" t="str">
        <f t="array" ref="G142">XLOOKUP($A142,Números_Asignados,Departamento_Asignado," *** OJO *** ",0)</f>
        <v>Sin Asignar</v>
      </c>
      <c r="H142" s="5" t="str">
        <f t="array" ref="H142">XLOOKUP($A142,Números_Asignados,Puesto_Asignado," *** OJO *** ",0)</f>
        <v>Sin Asignar</v>
      </c>
    </row>
    <row r="143" ht="15.75" customHeight="1">
      <c r="A143" s="5">
        <v>3.931583367E9</v>
      </c>
      <c r="B143" s="5" t="s">
        <v>52</v>
      </c>
      <c r="C143" s="17">
        <v>229.0</v>
      </c>
      <c r="D143" s="5">
        <v>4.5</v>
      </c>
      <c r="E143" s="5" t="str">
        <f t="array" ref="E143">XLOOKUP($A143,Números_Asignados,Nombres_Directorio," *** OJO *** ",0)</f>
        <v>Sin Asignación</v>
      </c>
      <c r="F143" s="5" t="str">
        <f t="array" ref="F143">XLOOKUP($A143,Números_Asignados,Sucursal_Asignada," *** OJO *** ",0)</f>
        <v>Corporativo</v>
      </c>
      <c r="G143" s="5" t="str">
        <f t="array" ref="G143">XLOOKUP($A143,Números_Asignados,Departamento_Asignado," *** OJO *** ",0)</f>
        <v>Sin Asignar</v>
      </c>
      <c r="H143" s="5" t="str">
        <f t="array" ref="H143">XLOOKUP($A143,Números_Asignados,Puesto_Asignado," *** OJO *** ",0)</f>
        <v>Sin Asignar</v>
      </c>
    </row>
    <row r="144" ht="15.75" customHeight="1">
      <c r="A144" s="5">
        <v>4.691215361E9</v>
      </c>
      <c r="B144" s="5">
        <v>1.0</v>
      </c>
      <c r="C144" s="17">
        <v>269.0</v>
      </c>
      <c r="D144" s="5">
        <v>6.0</v>
      </c>
      <c r="E144" s="5" t="str">
        <f t="array" ref="E144">XLOOKUP($A144,Números_Asignados,Nombres_Directorio," *** OJO *** ",0)</f>
        <v>Sin Asignación</v>
      </c>
      <c r="F144" s="5" t="str">
        <f t="array" ref="F144">XLOOKUP($A144,Números_Asignados,Sucursal_Asignada," *** OJO *** ",0)</f>
        <v>Pénjamo</v>
      </c>
      <c r="G144" s="5" t="str">
        <f t="array" ref="G144">XLOOKUP($A144,Números_Asignados,Departamento_Asignado," *** OJO *** ",0)</f>
        <v>Sin Asignar</v>
      </c>
      <c r="H144" s="5" t="str">
        <f t="array" ref="H144">XLOOKUP($A144,Números_Asignados,Puesto_Asignado," *** OJO *** ",0)</f>
        <v>Sin Asignar</v>
      </c>
    </row>
    <row r="145" ht="15.75" customHeight="1">
      <c r="A145" s="5">
        <v>4.691214464E9</v>
      </c>
      <c r="B145" s="5">
        <v>1.0</v>
      </c>
      <c r="C145" s="17">
        <v>269.0</v>
      </c>
      <c r="D145" s="5">
        <v>6.0</v>
      </c>
      <c r="E145" s="5" t="str">
        <f t="array" ref="E145">XLOOKUP($A145,Números_Asignados,Nombres_Directorio," *** OJO *** ",0)</f>
        <v>Sin Asignación</v>
      </c>
      <c r="F145" s="5" t="str">
        <f t="array" ref="F145">XLOOKUP($A145,Números_Asignados,Sucursal_Asignada," *** OJO *** ",0)</f>
        <v>Pénjamo</v>
      </c>
      <c r="G145" s="5" t="str">
        <f t="array" ref="G145">XLOOKUP($A145,Números_Asignados,Departamento_Asignado," *** OJO *** ",0)</f>
        <v>Sin Asignar</v>
      </c>
      <c r="H145" s="5" t="str">
        <f t="array" ref="H145">XLOOKUP($A145,Números_Asignados,Puesto_Asignado," *** OJO *** ",0)</f>
        <v>Sin Asignar</v>
      </c>
    </row>
    <row r="146" ht="15.75" customHeight="1">
      <c r="A146" s="5">
        <v>3.921368749E9</v>
      </c>
      <c r="B146" s="5">
        <v>2.0</v>
      </c>
      <c r="C146" s="17">
        <v>329.0</v>
      </c>
      <c r="D146" s="5">
        <v>7.5</v>
      </c>
      <c r="E146" s="5" t="str">
        <f t="array" ref="E146">XLOOKUP($A146,Números_Asignados,Nombres_Directorio," *** OJO *** ",0)</f>
        <v>Luis Eduardo Gutierrez Infante</v>
      </c>
      <c r="F146" s="5" t="str">
        <f t="array" ref="F146">XLOOKUP($A146,Números_Asignados,Sucursal_Asignada," *** OJO *** ",0)</f>
        <v>Corporativo</v>
      </c>
      <c r="G146" s="5" t="str">
        <f t="array" ref="G146">XLOOKUP($A146,Números_Asignados,Departamento_Asignado," *** OJO *** ",0)</f>
        <v>Servicio</v>
      </c>
      <c r="H146" s="5" t="str">
        <f t="array" ref="H146">XLOOKUP($A146,Números_Asignados,Puesto_Asignado," *** OJO *** ",0)</f>
        <v>Promotor de Servicio</v>
      </c>
    </row>
    <row r="147" ht="15.75" customHeight="1">
      <c r="A147" s="5">
        <v>3.921368208E9</v>
      </c>
      <c r="B147" s="5">
        <v>2.0</v>
      </c>
      <c r="C147" s="17">
        <v>329.0</v>
      </c>
      <c r="D147" s="5">
        <v>7.5</v>
      </c>
      <c r="E147" s="5" t="str">
        <f t="array" ref="E147">XLOOKUP($A147,Números_Asignados,Nombres_Directorio," *** OJO *** ",0)</f>
        <v>Sin Asignación</v>
      </c>
      <c r="F147" s="5" t="str">
        <f t="array" ref="F147">XLOOKUP($A147,Números_Asignados,Sucursal_Asignada," *** OJO *** ",0)</f>
        <v>Poncitlán</v>
      </c>
      <c r="G147" s="5" t="str">
        <f t="array" ref="G147">XLOOKUP($A147,Números_Asignados,Departamento_Asignado," *** OJO *** ",0)</f>
        <v>Sin Asignar</v>
      </c>
      <c r="H147" s="5" t="str">
        <f t="array" ref="H147">XLOOKUP($A147,Números_Asignados,Puesto_Asignado," *** OJO *** ",0)</f>
        <v>Sin Asignar</v>
      </c>
    </row>
    <row r="148" ht="15.75" customHeight="1">
      <c r="A148" s="5">
        <v>3.781155312E9</v>
      </c>
      <c r="B148" s="5">
        <v>2.0</v>
      </c>
      <c r="C148" s="17">
        <v>329.0</v>
      </c>
      <c r="D148" s="5">
        <v>7.5</v>
      </c>
      <c r="E148" s="5" t="str">
        <f t="array" ref="E148">XLOOKUP($A148,Números_Asignados,Nombres_Directorio," *** OJO *** ",0)</f>
        <v>Sin Asignación</v>
      </c>
      <c r="F148" s="5" t="str">
        <f t="array" ref="F148">XLOOKUP($A148,Números_Asignados,Sucursal_Asignada," *** OJO *** ",0)</f>
        <v>Zona Altos</v>
      </c>
      <c r="G148" s="5" t="str">
        <f t="array" ref="G148">XLOOKUP($A148,Números_Asignados,Departamento_Asignado," *** OJO *** ",0)</f>
        <v>Sin Asignar</v>
      </c>
      <c r="H148" s="5" t="str">
        <f t="array" ref="H148">XLOOKUP($A148,Números_Asignados,Puesto_Asignado," *** OJO *** ",0)</f>
        <v>Sin Asignar</v>
      </c>
    </row>
    <row r="149" ht="15.75" customHeight="1">
      <c r="A149" s="5">
        <v>3.951198072E9</v>
      </c>
      <c r="B149" s="5">
        <v>2.0</v>
      </c>
      <c r="C149" s="17">
        <v>329.0</v>
      </c>
      <c r="D149" s="5">
        <v>7.5</v>
      </c>
      <c r="E149" s="5" t="str">
        <f t="array" ref="E149">XLOOKUP($A149,Números_Asignados,Nombres_Directorio," *** OJO *** ",0)</f>
        <v>Sin Asignación</v>
      </c>
      <c r="F149" s="5" t="str">
        <f t="array" ref="F149">XLOOKUP($A149,Números_Asignados,Sucursal_Asignada," *** OJO *** ",0)</f>
        <v>Zona Altos</v>
      </c>
      <c r="G149" s="5" t="str">
        <f t="array" ref="G149">XLOOKUP($A149,Números_Asignados,Departamento_Asignado," *** OJO *** ",0)</f>
        <v>Sin Asignar</v>
      </c>
      <c r="H149" s="5" t="str">
        <f t="array" ref="H149">XLOOKUP($A149,Números_Asignados,Puesto_Asignado," *** OJO *** ",0)</f>
        <v>Sin Asignar</v>
      </c>
    </row>
    <row r="150" ht="15.75" customHeight="1">
      <c r="A150" s="5">
        <v>3.521423189E9</v>
      </c>
      <c r="B150" s="5">
        <v>1.0</v>
      </c>
      <c r="C150" s="17">
        <v>269.0</v>
      </c>
      <c r="D150" s="5">
        <v>6.0</v>
      </c>
      <c r="E150" s="5" t="str">
        <f t="array" ref="E150">XLOOKUP($A150,Números_Asignados,Nombres_Directorio," *** OJO *** ",0)</f>
        <v>Sin Asignación</v>
      </c>
      <c r="F150" s="5" t="str">
        <f t="array" ref="F150">XLOOKUP($A150,Números_Asignados,Sucursal_Asignada," *** OJO *** ",0)</f>
        <v>La Piedad</v>
      </c>
      <c r="G150" s="5" t="str">
        <f t="array" ref="G150">XLOOKUP($A150,Números_Asignados,Departamento_Asignado," *** OJO *** ",0)</f>
        <v>Sin Asignar</v>
      </c>
      <c r="H150" s="5" t="str">
        <f t="array" ref="H150">XLOOKUP($A150,Números_Asignados,Puesto_Asignado," *** OJO *** ",0)</f>
        <v>Sin Asignar</v>
      </c>
    </row>
    <row r="151" ht="15.75" customHeight="1">
      <c r="A151" s="5">
        <v>3.521949987E9</v>
      </c>
      <c r="B151" s="5">
        <v>1.0</v>
      </c>
      <c r="C151" s="17">
        <v>269.0</v>
      </c>
      <c r="D151" s="5">
        <v>6.0</v>
      </c>
      <c r="E151" s="5" t="str">
        <f t="array" ref="E151">XLOOKUP($A151,Números_Asignados,Nombres_Directorio," *** OJO *** ",0)</f>
        <v>Sin Asignación</v>
      </c>
      <c r="F151" s="5" t="str">
        <f t="array" ref="F151">XLOOKUP($A151,Números_Asignados,Sucursal_Asignada," *** OJO *** ",0)</f>
        <v>La Piedad</v>
      </c>
      <c r="G151" s="5" t="str">
        <f t="array" ref="G151">XLOOKUP($A151,Números_Asignados,Departamento_Asignado," *** OJO *** ",0)</f>
        <v>Sin Asignar</v>
      </c>
      <c r="H151" s="5" t="str">
        <f t="array" ref="H151">XLOOKUP($A151,Números_Asignados,Puesto_Asignado," *** OJO *** ",0)</f>
        <v>Sin Asignar</v>
      </c>
    </row>
    <row r="152" ht="15.75" customHeight="1">
      <c r="A152" s="5">
        <v>3.931583234E9</v>
      </c>
      <c r="B152" s="5">
        <v>1.0</v>
      </c>
      <c r="C152" s="17">
        <v>269.0</v>
      </c>
      <c r="D152" s="5">
        <v>6.0</v>
      </c>
      <c r="E152" s="5" t="str">
        <f t="array" ref="E152">XLOOKUP($A152,Números_Asignados,Nombres_Directorio," *** OJO *** ",0)</f>
        <v>Sin Asignación</v>
      </c>
      <c r="F152" s="5" t="str">
        <f t="array" ref="F152">XLOOKUP($A152,Números_Asignados,Sucursal_Asignada," *** OJO *** ",0)</f>
        <v>Corporativo</v>
      </c>
      <c r="G152" s="5" t="str">
        <f t="array" ref="G152">XLOOKUP($A152,Números_Asignados,Departamento_Asignado," *** OJO *** ",0)</f>
        <v>Sin Asignar</v>
      </c>
      <c r="H152" s="5" t="str">
        <f t="array" ref="H152">XLOOKUP($A152,Números_Asignados,Puesto_Asignado," *** OJO *** ",0)</f>
        <v>Sin Asignar</v>
      </c>
    </row>
    <row r="153" ht="15.75" customHeight="1">
      <c r="A153" s="5">
        <v>3.931583046E9</v>
      </c>
      <c r="B153" s="5">
        <v>1.0</v>
      </c>
      <c r="C153" s="17">
        <v>269.0</v>
      </c>
      <c r="D153" s="5">
        <v>6.0</v>
      </c>
      <c r="E153" s="5" t="str">
        <f t="array" ref="E153">XLOOKUP($A153,Números_Asignados,Nombres_Directorio," *** OJO *** ",0)</f>
        <v>Sin Asignación</v>
      </c>
      <c r="F153" s="5" t="str">
        <f t="array" ref="F153">XLOOKUP($A153,Números_Asignados,Sucursal_Asignada," *** OJO *** ",0)</f>
        <v>Corporativo</v>
      </c>
      <c r="G153" s="5" t="str">
        <f t="array" ref="G153">XLOOKUP($A153,Números_Asignados,Departamento_Asignado," *** OJO *** ",0)</f>
        <v>Sin Asignar</v>
      </c>
      <c r="H153" s="5" t="str">
        <f t="array" ref="H153">XLOOKUP($A153,Números_Asignados,Puesto_Asignado," *** OJO *** ",0)</f>
        <v>Sin Asignar</v>
      </c>
    </row>
    <row r="154" ht="15.75" customHeight="1">
      <c r="A154" s="5">
        <v>3.931583232E9</v>
      </c>
      <c r="B154" s="5">
        <v>1.0</v>
      </c>
      <c r="C154" s="17">
        <v>269.0</v>
      </c>
      <c r="D154" s="5">
        <v>6.0</v>
      </c>
      <c r="E154" s="5" t="str">
        <f t="array" ref="E154">XLOOKUP($A154,Números_Asignados,Nombres_Directorio," *** OJO *** ",0)</f>
        <v>Sin Asignación</v>
      </c>
      <c r="F154" s="5" t="str">
        <f t="array" ref="F154">XLOOKUP($A154,Números_Asignados,Sucursal_Asignada," *** OJO *** ",0)</f>
        <v>Corporativo</v>
      </c>
      <c r="G154" s="5" t="str">
        <f t="array" ref="G154">XLOOKUP($A154,Números_Asignados,Departamento_Asignado," *** OJO *** ",0)</f>
        <v>Sin Asignar</v>
      </c>
      <c r="H154" s="5" t="str">
        <f t="array" ref="H154">XLOOKUP($A154,Números_Asignados,Puesto_Asignado," *** OJO *** ",0)</f>
        <v>Sin Asignar</v>
      </c>
    </row>
    <row r="155" ht="15.75" customHeight="1">
      <c r="A155" s="5">
        <v>3.91125726E9</v>
      </c>
      <c r="B155" s="5">
        <v>1.0</v>
      </c>
      <c r="C155" s="17">
        <v>269.0</v>
      </c>
      <c r="D155" s="5">
        <v>6.0</v>
      </c>
      <c r="E155" s="5" t="str">
        <f t="array" ref="E155">XLOOKUP($A155,Números_Asignados,Nombres_Directorio," *** OJO *** ",0)</f>
        <v>Sin Asignación</v>
      </c>
      <c r="F155" s="5" t="str">
        <f t="array" ref="F155">XLOOKUP($A155,Números_Asignados,Sucursal_Asignada," *** OJO *** ",0)</f>
        <v>Zona Altos</v>
      </c>
      <c r="G155" s="5" t="str">
        <f t="array" ref="G155">XLOOKUP($A155,Números_Asignados,Departamento_Asignado," *** OJO *** ",0)</f>
        <v>Sin Asignar</v>
      </c>
      <c r="H155" s="5" t="str">
        <f t="array" ref="H155">XLOOKUP($A155,Números_Asignados,Puesto_Asignado," *** OJO *** ",0)</f>
        <v>Sin Asignar</v>
      </c>
    </row>
    <row r="156" ht="15.75" customHeight="1">
      <c r="A156" s="5">
        <v>3.911257736E9</v>
      </c>
      <c r="B156" s="5">
        <v>1.0</v>
      </c>
      <c r="C156" s="17">
        <v>269.0</v>
      </c>
      <c r="D156" s="5">
        <v>6.0</v>
      </c>
      <c r="E156" s="5" t="str">
        <f t="array" ref="E156">XLOOKUP($A156,Números_Asignados,Nombres_Directorio," *** OJO *** ",0)</f>
        <v> *** OJO *** </v>
      </c>
      <c r="F156" s="5" t="str">
        <f t="array" ref="F156">XLOOKUP($A156,Números_Asignados,Sucursal_Asignada," *** OJO *** ",0)</f>
        <v> *** OJO *** </v>
      </c>
      <c r="G156" s="5" t="str">
        <f t="array" ref="G156">XLOOKUP($A156,Números_Asignados,Departamento_Asignado," *** OJO *** ",0)</f>
        <v> *** OJO *** </v>
      </c>
      <c r="H156" s="5" t="str">
        <f t="array" ref="H156">XLOOKUP($A156,Números_Asignados,Puesto_Asignado," *** OJO *** ",0)</f>
        <v> *** OJO *** </v>
      </c>
    </row>
    <row r="157" ht="15.75" customHeight="1">
      <c r="A157" s="5">
        <v>3.522060309E9</v>
      </c>
      <c r="B157" s="5">
        <v>2.0</v>
      </c>
      <c r="C157" s="17">
        <v>329.0</v>
      </c>
      <c r="D157" s="5">
        <v>7.5</v>
      </c>
      <c r="E157" s="5" t="str">
        <f t="array" ref="E157">XLOOKUP($A157,Números_Asignados,Nombres_Directorio," *** OJO *** ",0)</f>
        <v> *** OJO *** </v>
      </c>
      <c r="F157" s="5" t="str">
        <f t="array" ref="F157">XLOOKUP($A157,Números_Asignados,Sucursal_Asignada," *** OJO *** ",0)</f>
        <v> *** OJO *** </v>
      </c>
      <c r="G157" s="5" t="str">
        <f t="array" ref="G157">XLOOKUP($A157,Números_Asignados,Departamento_Asignado," *** OJO *** ",0)</f>
        <v> *** OJO *** </v>
      </c>
      <c r="H157" s="5" t="str">
        <f t="array" ref="H157">XLOOKUP($A157,Números_Asignados,Puesto_Asignado," *** OJO *** ",0)</f>
        <v> *** OJO *** </v>
      </c>
    </row>
    <row r="158" ht="15.75" customHeight="1">
      <c r="A158" s="5">
        <v>3.521420398E9</v>
      </c>
      <c r="B158" s="5">
        <v>2.0</v>
      </c>
      <c r="C158" s="17">
        <v>329.0</v>
      </c>
      <c r="D158" s="5">
        <v>7.5</v>
      </c>
      <c r="E158" s="5" t="str">
        <f t="array" ref="E158">XLOOKUP($A158,Números_Asignados,Nombres_Directorio," *** OJO *** ",0)</f>
        <v>Sin Asignación</v>
      </c>
      <c r="F158" s="5" t="str">
        <f t="array" ref="F158">XLOOKUP($A158,Números_Asignados,Sucursal_Asignada," *** OJO *** ",0)</f>
        <v>La Piedad</v>
      </c>
      <c r="G158" s="5" t="str">
        <f t="array" ref="G158">XLOOKUP($A158,Números_Asignados,Departamento_Asignado," *** OJO *** ",0)</f>
        <v>Sin Asignar</v>
      </c>
      <c r="H158" s="5" t="str">
        <f t="array" ref="H158">XLOOKUP($A158,Números_Asignados,Puesto_Asignado," *** OJO *** ",0)</f>
        <v>Sin Asignar</v>
      </c>
    </row>
    <row r="159" ht="15.75" customHeight="1">
      <c r="A159" s="5">
        <v>3.521399533E9</v>
      </c>
      <c r="B159" s="5">
        <v>2.0</v>
      </c>
      <c r="C159" s="17">
        <v>329.0</v>
      </c>
      <c r="D159" s="5">
        <v>7.5</v>
      </c>
      <c r="E159" s="5" t="str">
        <f t="array" ref="E159">XLOOKUP($A159,Números_Asignados,Nombres_Directorio," *** OJO *** ",0)</f>
        <v>Sin Asignación</v>
      </c>
      <c r="F159" s="5" t="str">
        <f t="array" ref="F159">XLOOKUP($A159,Números_Asignados,Sucursal_Asignada," *** OJO *** ",0)</f>
        <v>La Piedad</v>
      </c>
      <c r="G159" s="5" t="str">
        <f t="array" ref="G159">XLOOKUP($A159,Números_Asignados,Departamento_Asignado," *** OJO *** ",0)</f>
        <v>Sin Asignar</v>
      </c>
      <c r="H159" s="5" t="str">
        <f t="array" ref="H159">XLOOKUP($A159,Números_Asignados,Puesto_Asignado," *** OJO *** ",0)</f>
        <v>Sin Asignar</v>
      </c>
    </row>
    <row r="160" ht="15.75" customHeight="1">
      <c r="A160" s="5">
        <v>4.43264681E9</v>
      </c>
      <c r="B160" s="5">
        <v>2.0</v>
      </c>
      <c r="C160" s="17">
        <v>329.0</v>
      </c>
      <c r="D160" s="5">
        <v>7.5</v>
      </c>
      <c r="E160" s="5" t="str">
        <f t="array" ref="E160">XLOOKUP($A160,Números_Asignados,Nombres_Directorio," *** OJO *** ",0)</f>
        <v>Juan José Aviña</v>
      </c>
      <c r="F160" s="5" t="str">
        <f t="array" ref="F160">XLOOKUP($A160,Números_Asignados,Sucursal_Asignada," *** OJO *** ",0)</f>
        <v>Morelia</v>
      </c>
      <c r="G160" s="5" t="str">
        <f t="array" ref="G160">XLOOKUP($A160,Números_Asignados,Departamento_Asignado," *** OJO *** ",0)</f>
        <v>Maquinaria Construcción</v>
      </c>
      <c r="H160" s="5" t="str">
        <f t="array" ref="H160">XLOOKUP($A160,Números_Asignados,Puesto_Asignado," *** OJO *** ",0)</f>
        <v>Asesor de Ventas</v>
      </c>
    </row>
    <row r="161" ht="15.75" customHeight="1">
      <c r="A161" s="5">
        <v>4.432725034E9</v>
      </c>
      <c r="B161" s="5">
        <v>2.0</v>
      </c>
      <c r="C161" s="17">
        <v>329.0</v>
      </c>
      <c r="D161" s="5">
        <v>7.5</v>
      </c>
      <c r="E161" s="5" t="str">
        <f t="array" ref="E161">XLOOKUP($A161,Números_Asignados,Nombres_Directorio," *** OJO *** ",0)</f>
        <v>Joel Velázquez Jaime</v>
      </c>
      <c r="F161" s="5" t="str">
        <f t="array" ref="F161">XLOOKUP($A161,Números_Asignados,Sucursal_Asignada," *** OJO *** ",0)</f>
        <v>Morelia</v>
      </c>
      <c r="G161" s="5" t="str">
        <f t="array" ref="G161">XLOOKUP($A161,Números_Asignados,Departamento_Asignado," *** OJO *** ",0)</f>
        <v>Maquinaria Agrícola</v>
      </c>
      <c r="H161" s="5" t="str">
        <f t="array" ref="H161">XLOOKUP($A161,Números_Asignados,Puesto_Asignado," *** OJO *** ",0)</f>
        <v>Asesor de Ventas</v>
      </c>
    </row>
    <row r="162" ht="15.75" customHeight="1">
      <c r="A162" s="5">
        <v>3.521250804E9</v>
      </c>
      <c r="B162" s="5">
        <v>2.0</v>
      </c>
      <c r="C162" s="17">
        <v>329.0</v>
      </c>
      <c r="D162" s="5">
        <v>7.5</v>
      </c>
      <c r="E162" s="5" t="str">
        <f t="array" ref="E162">XLOOKUP($A162,Números_Asignados,Nombres_Directorio," *** OJO *** ",0)</f>
        <v> *** OJO *** </v>
      </c>
      <c r="F162" s="5" t="str">
        <f t="array" ref="F162">XLOOKUP($A162,Números_Asignados,Sucursal_Asignada," *** OJO *** ",0)</f>
        <v> *** OJO *** </v>
      </c>
      <c r="G162" s="5" t="str">
        <f t="array" ref="G162">XLOOKUP($A162,Números_Asignados,Departamento_Asignado," *** OJO *** ",0)</f>
        <v> *** OJO *** </v>
      </c>
      <c r="H162" s="5" t="str">
        <f t="array" ref="H162">XLOOKUP($A162,Números_Asignados,Puesto_Asignado," *** OJO *** ",0)</f>
        <v> *** OJO *** </v>
      </c>
    </row>
    <row r="163" ht="15.75" customHeight="1">
      <c r="A163" s="5">
        <v>3.93119711E9</v>
      </c>
      <c r="B163" s="5" t="s">
        <v>52</v>
      </c>
      <c r="C163" s="17">
        <v>229.0</v>
      </c>
      <c r="D163" s="5">
        <v>4.5</v>
      </c>
      <c r="E163" s="5" t="str">
        <f t="array" ref="E163">XLOOKUP($A163,Números_Asignados,Nombres_Directorio," *** OJO *** ",0)</f>
        <v> *** OJO *** </v>
      </c>
      <c r="F163" s="5" t="str">
        <f t="array" ref="F163">XLOOKUP($A163,Números_Asignados,Sucursal_Asignada," *** OJO *** ",0)</f>
        <v> *** OJO *** </v>
      </c>
      <c r="G163" s="5" t="str">
        <f t="array" ref="G163">XLOOKUP($A163,Números_Asignados,Departamento_Asignado," *** OJO *** ",0)</f>
        <v> *** OJO *** </v>
      </c>
      <c r="H163" s="5" t="str">
        <f t="array" ref="H163">XLOOKUP($A163,Números_Asignados,Puesto_Asignado," *** OJO *** ",0)</f>
        <v> *** OJO *** </v>
      </c>
    </row>
    <row r="164" ht="15.75" customHeight="1">
      <c r="A164" s="5">
        <v>4.696211513E9</v>
      </c>
      <c r="B164" s="5" t="s">
        <v>52</v>
      </c>
      <c r="C164" s="17">
        <v>229.0</v>
      </c>
      <c r="D164" s="5">
        <v>4.5</v>
      </c>
      <c r="E164" s="5" t="str">
        <f t="array" ref="E164">XLOOKUP($A164,Números_Asignados,Nombres_Directorio," *** OJO *** ",0)</f>
        <v>Sin Asignación</v>
      </c>
      <c r="F164" s="5" t="str">
        <f t="array" ref="F164">XLOOKUP($A164,Números_Asignados,Sucursal_Asignada," *** OJO *** ",0)</f>
        <v>Pénjamo</v>
      </c>
      <c r="G164" s="5" t="str">
        <f t="array" ref="G164">XLOOKUP($A164,Números_Asignados,Departamento_Asignado," *** OJO *** ",0)</f>
        <v>Sin Asignar</v>
      </c>
      <c r="H164" s="5" t="str">
        <f t="array" ref="H164">XLOOKUP($A164,Números_Asignados,Puesto_Asignado," *** OJO *** ",0)</f>
        <v>Sin Asignar</v>
      </c>
    </row>
    <row r="165" ht="15.75" customHeight="1">
      <c r="A165" s="5">
        <v>3.921237762E9</v>
      </c>
      <c r="B165" s="5" t="s">
        <v>52</v>
      </c>
      <c r="C165" s="17">
        <v>229.0</v>
      </c>
      <c r="D165" s="5">
        <v>4.5</v>
      </c>
      <c r="E165" s="5" t="str">
        <f t="array" ref="E165">XLOOKUP($A165,Números_Asignados,Nombres_Directorio," *** OJO *** ",0)</f>
        <v>Sin Asignación</v>
      </c>
      <c r="F165" s="5" t="str">
        <f t="array" ref="F165">XLOOKUP($A165,Números_Asignados,Sucursal_Asignada," *** OJO *** ",0)</f>
        <v>Poncitlán</v>
      </c>
      <c r="G165" s="5" t="str">
        <f t="array" ref="G165">XLOOKUP($A165,Números_Asignados,Departamento_Asignado," *** OJO *** ",0)</f>
        <v>Sin Asignar</v>
      </c>
      <c r="H165" s="5" t="str">
        <f t="array" ref="H165">XLOOKUP($A165,Números_Asignados,Puesto_Asignado," *** OJO *** ",0)</f>
        <v>Sin Asignar</v>
      </c>
    </row>
    <row r="166" ht="15.75" customHeight="1">
      <c r="A166" s="5">
        <v>4.431358405E9</v>
      </c>
      <c r="B166" s="5" t="s">
        <v>52</v>
      </c>
      <c r="C166" s="17">
        <v>229.0</v>
      </c>
      <c r="D166" s="5">
        <v>4.5</v>
      </c>
      <c r="E166" s="5" t="str">
        <f t="array" ref="E166">XLOOKUP($A166,Números_Asignados,Nombres_Directorio," *** OJO *** ",0)</f>
        <v>Sin Asignación</v>
      </c>
      <c r="F166" s="5" t="str">
        <f t="array" ref="F166">XLOOKUP($A166,Números_Asignados,Sucursal_Asignada," *** OJO *** ",0)</f>
        <v>Morelia</v>
      </c>
      <c r="G166" s="5" t="str">
        <f t="array" ref="G166">XLOOKUP($A166,Números_Asignados,Departamento_Asignado," *** OJO *** ",0)</f>
        <v>Sin Asignar</v>
      </c>
      <c r="H166" s="5" t="str">
        <f t="array" ref="H166">XLOOKUP($A166,Números_Asignados,Puesto_Asignado," *** OJO *** ",0)</f>
        <v>Sin Asignar</v>
      </c>
    </row>
    <row r="167" ht="15.75" customHeight="1">
      <c r="A167" s="5">
        <v>3.939385641E9</v>
      </c>
      <c r="B167" s="5">
        <v>2.0</v>
      </c>
      <c r="C167" s="17">
        <v>329.0</v>
      </c>
      <c r="D167" s="5">
        <v>105.0</v>
      </c>
      <c r="E167" s="5" t="s">
        <v>53</v>
      </c>
      <c r="F167" s="5" t="s">
        <v>54</v>
      </c>
      <c r="G167" s="5" t="s">
        <v>55</v>
      </c>
      <c r="H167" s="5" t="s">
        <v>55</v>
      </c>
    </row>
    <row r="168" ht="15.75" customHeight="1">
      <c r="A168" s="5">
        <v>3.931091335E9</v>
      </c>
      <c r="B168" s="5">
        <v>2.0</v>
      </c>
      <c r="C168" s="17">
        <v>329.0</v>
      </c>
      <c r="D168" s="5">
        <v>105.0</v>
      </c>
      <c r="E168" s="5" t="s">
        <v>53</v>
      </c>
      <c r="F168" s="5" t="s">
        <v>54</v>
      </c>
      <c r="G168" s="5" t="s">
        <v>55</v>
      </c>
      <c r="H168" s="5" t="s">
        <v>55</v>
      </c>
    </row>
    <row r="169" ht="15.75" customHeight="1">
      <c r="A169" s="5">
        <v>3.931090656E9</v>
      </c>
      <c r="B169" s="5">
        <v>2.0</v>
      </c>
      <c r="C169" s="17">
        <v>329.0</v>
      </c>
      <c r="D169" s="5">
        <v>105.0</v>
      </c>
      <c r="E169" s="5" t="s">
        <v>56</v>
      </c>
      <c r="F169" s="5" t="s">
        <v>54</v>
      </c>
      <c r="G169" s="5" t="s">
        <v>55</v>
      </c>
      <c r="H169" s="5" t="s">
        <v>55</v>
      </c>
    </row>
    <row r="170" ht="15.75" customHeight="1">
      <c r="A170" s="5">
        <v>3.931245288E9</v>
      </c>
      <c r="B170" s="5">
        <v>2.0</v>
      </c>
      <c r="C170" s="17">
        <v>329.0</v>
      </c>
      <c r="D170" s="5">
        <v>105.0</v>
      </c>
      <c r="E170" s="5" t="s">
        <v>57</v>
      </c>
      <c r="F170" s="5" t="s">
        <v>54</v>
      </c>
      <c r="G170" s="5" t="s">
        <v>55</v>
      </c>
      <c r="H170" s="5" t="s">
        <v>55</v>
      </c>
    </row>
    <row r="171" ht="15.75" customHeight="1">
      <c r="A171" s="5">
        <v>3.93117983E9</v>
      </c>
      <c r="B171" s="5">
        <v>2.0</v>
      </c>
      <c r="C171" s="17">
        <v>329.0</v>
      </c>
      <c r="D171" s="5">
        <v>105.0</v>
      </c>
      <c r="E171" s="5" t="s">
        <v>58</v>
      </c>
      <c r="F171" s="5" t="s">
        <v>54</v>
      </c>
      <c r="G171" s="5" t="s">
        <v>55</v>
      </c>
      <c r="H171" s="5" t="s">
        <v>55</v>
      </c>
    </row>
    <row r="172" ht="15.75" customHeight="1">
      <c r="A172" s="5">
        <v>3.939336334E9</v>
      </c>
      <c r="B172" s="5">
        <v>2.0</v>
      </c>
      <c r="C172" s="17">
        <v>329.0</v>
      </c>
      <c r="D172" s="5">
        <v>105.0</v>
      </c>
      <c r="E172" s="5" t="s">
        <v>59</v>
      </c>
      <c r="F172" s="5" t="s">
        <v>54</v>
      </c>
      <c r="G172" s="5" t="s">
        <v>55</v>
      </c>
      <c r="H172" s="5" t="s">
        <v>55</v>
      </c>
    </row>
    <row r="173" ht="15.75" customHeight="1">
      <c r="A173" s="24"/>
      <c r="B173" s="24"/>
      <c r="C173" s="24"/>
      <c r="D173" s="24"/>
      <c r="E173" s="24"/>
      <c r="F173" s="24"/>
      <c r="G173" s="24"/>
      <c r="H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</row>
    <row r="1000">
      <c r="A1000" s="24"/>
      <c r="B1000" s="24"/>
      <c r="C1000" s="24"/>
      <c r="D1000" s="24"/>
      <c r="E1000" s="24"/>
      <c r="F1000" s="24"/>
      <c r="G1000" s="24"/>
      <c r="H1000" s="24"/>
    </row>
  </sheetData>
  <autoFilter ref="$A$1:$H$172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14.29"/>
    <col customWidth="1" min="3" max="3" width="34.71"/>
    <col customWidth="1" min="4" max="4" width="33.57"/>
    <col customWidth="1" min="5" max="5" width="36.86"/>
    <col customWidth="1" min="6" max="6" width="20.71"/>
    <col customWidth="1" min="7" max="7" width="36.86"/>
    <col customWidth="1" min="8" max="8" width="21.29"/>
    <col customWidth="1" min="9" max="9" width="13.57"/>
    <col customWidth="1" min="10" max="10" width="26.29"/>
    <col customWidth="1" min="11" max="11" width="23.71"/>
    <col customWidth="1" min="12" max="12" width="22.57"/>
    <col customWidth="1" min="13" max="13" width="9.57"/>
    <col customWidth="1" min="14" max="15" width="27.71"/>
  </cols>
  <sheetData>
    <row r="1">
      <c r="A1" s="25" t="s">
        <v>27</v>
      </c>
      <c r="B1" s="15" t="s">
        <v>11</v>
      </c>
      <c r="C1" s="15" t="s">
        <v>28</v>
      </c>
      <c r="D1" s="15" t="s">
        <v>29</v>
      </c>
      <c r="E1" s="15" t="s">
        <v>60</v>
      </c>
      <c r="F1" s="15" t="s">
        <v>8</v>
      </c>
      <c r="G1" s="15" t="s">
        <v>61</v>
      </c>
      <c r="H1" s="15" t="s">
        <v>8</v>
      </c>
      <c r="I1" s="15" t="s">
        <v>62</v>
      </c>
      <c r="J1" s="15" t="s">
        <v>63</v>
      </c>
      <c r="K1" s="15" t="s">
        <v>64</v>
      </c>
      <c r="L1" s="15" t="s">
        <v>65</v>
      </c>
      <c r="M1" s="15" t="s">
        <v>66</v>
      </c>
      <c r="N1" s="15" t="s">
        <v>67</v>
      </c>
      <c r="O1" s="26" t="s">
        <v>68</v>
      </c>
    </row>
    <row r="2">
      <c r="A2" s="5" t="s">
        <v>69</v>
      </c>
      <c r="B2" s="5" t="s">
        <v>31</v>
      </c>
      <c r="C2" s="5" t="s">
        <v>70</v>
      </c>
      <c r="D2" s="5" t="s">
        <v>71</v>
      </c>
      <c r="E2" s="5" t="s">
        <v>72</v>
      </c>
      <c r="F2" s="5" t="s">
        <v>73</v>
      </c>
      <c r="G2" s="5" t="s">
        <v>72</v>
      </c>
      <c r="H2" s="23" t="s">
        <v>74</v>
      </c>
      <c r="I2" s="23">
        <v>3.931245174E9</v>
      </c>
      <c r="J2" s="5" t="s">
        <v>75</v>
      </c>
      <c r="K2" s="5"/>
      <c r="L2" s="5"/>
      <c r="M2" s="5"/>
      <c r="N2" s="5"/>
      <c r="O2" s="5"/>
    </row>
    <row r="3">
      <c r="A3" s="5" t="s">
        <v>76</v>
      </c>
      <c r="B3" s="5" t="s">
        <v>31</v>
      </c>
      <c r="C3" s="5" t="s">
        <v>70</v>
      </c>
      <c r="D3" s="5" t="s">
        <v>71</v>
      </c>
      <c r="E3" s="5" t="s">
        <v>77</v>
      </c>
      <c r="F3" s="5" t="s">
        <v>78</v>
      </c>
      <c r="G3" s="5" t="s">
        <v>77</v>
      </c>
      <c r="H3" s="23" t="s">
        <v>78</v>
      </c>
      <c r="I3" s="23">
        <v>3.931099049E9</v>
      </c>
      <c r="J3" s="5"/>
      <c r="K3" s="5"/>
      <c r="L3" s="5"/>
      <c r="M3" s="5"/>
      <c r="N3" s="5"/>
      <c r="O3" s="5"/>
    </row>
    <row r="4">
      <c r="A4" s="5" t="s">
        <v>79</v>
      </c>
      <c r="B4" s="5" t="s">
        <v>31</v>
      </c>
      <c r="C4" s="5" t="s">
        <v>70</v>
      </c>
      <c r="D4" s="5" t="s">
        <v>71</v>
      </c>
      <c r="E4" s="27" t="s">
        <v>80</v>
      </c>
      <c r="F4" s="5" t="s">
        <v>81</v>
      </c>
      <c r="G4" s="5" t="s">
        <v>82</v>
      </c>
      <c r="H4" s="23" t="s">
        <v>81</v>
      </c>
      <c r="I4" s="23">
        <v>3.931190252E9</v>
      </c>
      <c r="J4" s="5" t="s">
        <v>83</v>
      </c>
      <c r="K4" s="5"/>
      <c r="L4" s="5"/>
      <c r="M4" s="5"/>
      <c r="N4" s="5" t="s">
        <v>84</v>
      </c>
      <c r="O4" s="5"/>
    </row>
    <row r="5">
      <c r="A5" s="22" t="s">
        <v>85</v>
      </c>
      <c r="B5" s="5" t="s">
        <v>31</v>
      </c>
      <c r="C5" s="5" t="s">
        <v>70</v>
      </c>
      <c r="D5" s="5" t="s">
        <v>71</v>
      </c>
      <c r="E5" s="5" t="s">
        <v>86</v>
      </c>
      <c r="F5" s="5" t="s">
        <v>73</v>
      </c>
      <c r="G5" s="5" t="s">
        <v>86</v>
      </c>
      <c r="H5" s="23" t="s">
        <v>73</v>
      </c>
      <c r="I5" s="28">
        <v>3.931079956E9</v>
      </c>
      <c r="J5" s="5" t="s">
        <v>87</v>
      </c>
      <c r="K5" s="5"/>
      <c r="L5" s="5"/>
      <c r="M5" s="5"/>
      <c r="N5" s="5"/>
      <c r="O5" s="5"/>
    </row>
    <row r="6">
      <c r="A6" s="5" t="s">
        <v>88</v>
      </c>
      <c r="B6" s="5" t="s">
        <v>31</v>
      </c>
      <c r="C6" s="5" t="s">
        <v>70</v>
      </c>
      <c r="D6" s="5" t="s">
        <v>89</v>
      </c>
      <c r="E6" s="5" t="s">
        <v>90</v>
      </c>
      <c r="F6" s="5" t="s">
        <v>73</v>
      </c>
      <c r="G6" s="5" t="s">
        <v>90</v>
      </c>
      <c r="H6" s="23" t="s">
        <v>73</v>
      </c>
      <c r="I6" s="23">
        <v>3.316135759E9</v>
      </c>
      <c r="J6" s="5"/>
      <c r="K6" s="5" t="s">
        <v>91</v>
      </c>
      <c r="L6" s="5"/>
      <c r="M6" s="5"/>
      <c r="N6" s="5"/>
      <c r="O6" s="5"/>
    </row>
    <row r="7">
      <c r="A7" s="5" t="s">
        <v>92</v>
      </c>
      <c r="B7" s="5" t="s">
        <v>31</v>
      </c>
      <c r="C7" s="5" t="s">
        <v>70</v>
      </c>
      <c r="D7" s="22" t="s">
        <v>93</v>
      </c>
      <c r="E7" s="5" t="s">
        <v>94</v>
      </c>
      <c r="F7" s="5" t="s">
        <v>78</v>
      </c>
      <c r="G7" s="5" t="s">
        <v>94</v>
      </c>
      <c r="H7" s="23" t="s">
        <v>74</v>
      </c>
      <c r="I7" s="23">
        <v>3.93107996E9</v>
      </c>
      <c r="J7" s="5" t="s">
        <v>95</v>
      </c>
      <c r="K7" s="5"/>
      <c r="L7" s="5"/>
      <c r="M7" s="5"/>
      <c r="N7" s="5"/>
      <c r="O7" s="5"/>
    </row>
    <row r="8">
      <c r="A8" s="5" t="s">
        <v>96</v>
      </c>
      <c r="B8" s="5" t="s">
        <v>31</v>
      </c>
      <c r="C8" s="5" t="s">
        <v>70</v>
      </c>
      <c r="D8" s="5" t="s">
        <v>97</v>
      </c>
      <c r="E8" s="5" t="s">
        <v>98</v>
      </c>
      <c r="F8" s="5" t="s">
        <v>73</v>
      </c>
      <c r="G8" s="5" t="s">
        <v>98</v>
      </c>
      <c r="H8" s="23" t="s">
        <v>73</v>
      </c>
      <c r="I8" s="23">
        <v>3.781868862E9</v>
      </c>
      <c r="J8" s="5" t="s">
        <v>99</v>
      </c>
      <c r="K8" s="5"/>
      <c r="L8" s="5"/>
      <c r="M8" s="5">
        <v>16.0</v>
      </c>
      <c r="N8" s="5"/>
      <c r="O8" s="5"/>
    </row>
    <row r="9">
      <c r="A9" s="5" t="s">
        <v>100</v>
      </c>
      <c r="B9" s="5" t="s">
        <v>31</v>
      </c>
      <c r="C9" s="5" t="s">
        <v>101</v>
      </c>
      <c r="D9" s="5" t="s">
        <v>89</v>
      </c>
      <c r="E9" s="27" t="s">
        <v>102</v>
      </c>
      <c r="F9" s="5" t="s">
        <v>103</v>
      </c>
      <c r="G9" s="5" t="s">
        <v>104</v>
      </c>
      <c r="H9" s="23" t="s">
        <v>74</v>
      </c>
      <c r="I9" s="23">
        <v>3.931001237E9</v>
      </c>
      <c r="J9" s="5"/>
      <c r="K9" s="5" t="s">
        <v>105</v>
      </c>
      <c r="L9" s="5" t="s">
        <v>105</v>
      </c>
      <c r="M9" s="5"/>
      <c r="N9" s="5"/>
      <c r="O9" s="5"/>
    </row>
    <row r="10">
      <c r="A10" s="5" t="s">
        <v>106</v>
      </c>
      <c r="B10" s="5" t="s">
        <v>31</v>
      </c>
      <c r="C10" s="5" t="s">
        <v>101</v>
      </c>
      <c r="D10" s="5" t="s">
        <v>107</v>
      </c>
      <c r="E10" s="27" t="s">
        <v>108</v>
      </c>
      <c r="F10" s="5" t="s">
        <v>78</v>
      </c>
      <c r="G10" s="5" t="s">
        <v>109</v>
      </c>
      <c r="H10" s="23" t="s">
        <v>110</v>
      </c>
      <c r="I10" s="23">
        <v>3.931245167E9</v>
      </c>
      <c r="J10" s="5" t="s">
        <v>111</v>
      </c>
      <c r="K10" s="5"/>
      <c r="L10" s="5"/>
      <c r="M10" s="5"/>
      <c r="N10" s="5"/>
      <c r="O10" s="5"/>
    </row>
    <row r="11">
      <c r="A11" s="5" t="s">
        <v>112</v>
      </c>
      <c r="B11" s="5" t="s">
        <v>31</v>
      </c>
      <c r="C11" s="5" t="s">
        <v>101</v>
      </c>
      <c r="D11" s="5" t="s">
        <v>113</v>
      </c>
      <c r="E11" s="5" t="s">
        <v>114</v>
      </c>
      <c r="F11" s="5" t="s">
        <v>78</v>
      </c>
      <c r="G11" s="5" t="s">
        <v>114</v>
      </c>
      <c r="H11" s="23" t="s">
        <v>78</v>
      </c>
      <c r="I11" s="23"/>
      <c r="J11" s="5" t="s">
        <v>115</v>
      </c>
      <c r="K11" s="5"/>
      <c r="L11" s="5"/>
      <c r="M11" s="5"/>
      <c r="N11" s="5"/>
      <c r="O11" s="5"/>
    </row>
    <row r="12">
      <c r="A12" s="22" t="s">
        <v>116</v>
      </c>
      <c r="B12" s="5" t="s">
        <v>31</v>
      </c>
      <c r="C12" s="5" t="s">
        <v>117</v>
      </c>
      <c r="D12" s="5" t="s">
        <v>89</v>
      </c>
      <c r="E12" s="22" t="s">
        <v>118</v>
      </c>
      <c r="F12" s="5" t="s">
        <v>119</v>
      </c>
      <c r="G12" s="22" t="s">
        <v>120</v>
      </c>
      <c r="H12" s="23" t="s">
        <v>119</v>
      </c>
      <c r="I12" s="23"/>
      <c r="J12" s="22" t="s">
        <v>121</v>
      </c>
      <c r="K12" s="5"/>
      <c r="L12" s="5"/>
      <c r="M12" s="5"/>
      <c r="N12" s="5"/>
      <c r="O12" s="5"/>
    </row>
    <row r="13">
      <c r="A13" s="5" t="s">
        <v>122</v>
      </c>
      <c r="B13" s="5" t="s">
        <v>31</v>
      </c>
      <c r="C13" s="5" t="s">
        <v>117</v>
      </c>
      <c r="D13" s="5" t="s">
        <v>89</v>
      </c>
      <c r="E13" s="27" t="s">
        <v>123</v>
      </c>
      <c r="F13" s="5" t="s">
        <v>119</v>
      </c>
      <c r="G13" s="5" t="s">
        <v>124</v>
      </c>
      <c r="H13" s="23" t="s">
        <v>119</v>
      </c>
      <c r="I13" s="23">
        <v>3.931205198E9</v>
      </c>
      <c r="J13" s="5" t="s">
        <v>125</v>
      </c>
      <c r="K13" s="5"/>
      <c r="L13" s="5"/>
      <c r="M13" s="5"/>
      <c r="N13" s="5"/>
      <c r="O13" s="5"/>
    </row>
    <row r="14">
      <c r="A14" s="5" t="s">
        <v>126</v>
      </c>
      <c r="B14" s="5" t="s">
        <v>31</v>
      </c>
      <c r="C14" s="5" t="s">
        <v>117</v>
      </c>
      <c r="D14" s="5" t="s">
        <v>127</v>
      </c>
      <c r="E14" s="5" t="s">
        <v>128</v>
      </c>
      <c r="F14" s="5" t="s">
        <v>119</v>
      </c>
      <c r="G14" s="5" t="s">
        <v>128</v>
      </c>
      <c r="H14" s="23" t="s">
        <v>119</v>
      </c>
      <c r="I14" s="23">
        <v>3.931245254E9</v>
      </c>
      <c r="J14" s="5"/>
      <c r="K14" s="5"/>
      <c r="L14" s="5"/>
      <c r="M14" s="5"/>
      <c r="N14" s="5"/>
      <c r="O14" s="5"/>
    </row>
    <row r="15">
      <c r="A15" s="5" t="s">
        <v>129</v>
      </c>
      <c r="B15" s="5" t="s">
        <v>31</v>
      </c>
      <c r="C15" s="5" t="s">
        <v>130</v>
      </c>
      <c r="D15" s="5" t="s">
        <v>89</v>
      </c>
      <c r="E15" s="5" t="s">
        <v>131</v>
      </c>
      <c r="F15" s="5" t="s">
        <v>78</v>
      </c>
      <c r="G15" s="5" t="s">
        <v>131</v>
      </c>
      <c r="H15" s="23" t="s">
        <v>119</v>
      </c>
      <c r="I15" s="23">
        <v>3.313254527E9</v>
      </c>
      <c r="J15" s="5" t="s">
        <v>132</v>
      </c>
      <c r="K15" s="5"/>
      <c r="L15" s="5"/>
      <c r="M15" s="5"/>
      <c r="N15" s="5"/>
      <c r="O15" s="5"/>
    </row>
    <row r="16">
      <c r="A16" s="5" t="s">
        <v>133</v>
      </c>
      <c r="B16" s="5" t="s">
        <v>31</v>
      </c>
      <c r="C16" s="5" t="s">
        <v>134</v>
      </c>
      <c r="D16" s="5" t="s">
        <v>89</v>
      </c>
      <c r="E16" s="5" t="s">
        <v>135</v>
      </c>
      <c r="F16" s="5" t="s">
        <v>136</v>
      </c>
      <c r="G16" s="5" t="s">
        <v>137</v>
      </c>
      <c r="H16" s="23" t="s">
        <v>136</v>
      </c>
      <c r="I16" s="23"/>
      <c r="J16" s="5"/>
      <c r="K16" s="5" t="s">
        <v>138</v>
      </c>
      <c r="L16" s="5" t="s">
        <v>138</v>
      </c>
      <c r="M16" s="5"/>
      <c r="N16" s="5"/>
      <c r="O16" s="5"/>
    </row>
    <row r="17">
      <c r="A17" s="5" t="s">
        <v>139</v>
      </c>
      <c r="B17" s="5" t="s">
        <v>31</v>
      </c>
      <c r="C17" s="5" t="s">
        <v>134</v>
      </c>
      <c r="D17" s="5" t="s">
        <v>89</v>
      </c>
      <c r="E17" s="27" t="s">
        <v>140</v>
      </c>
      <c r="F17" s="5" t="s">
        <v>136</v>
      </c>
      <c r="G17" s="5" t="s">
        <v>141</v>
      </c>
      <c r="H17" s="23" t="s">
        <v>136</v>
      </c>
      <c r="I17" s="23"/>
      <c r="J17" s="5"/>
      <c r="K17" s="5" t="s">
        <v>142</v>
      </c>
      <c r="L17" s="5" t="s">
        <v>142</v>
      </c>
      <c r="M17" s="5"/>
      <c r="N17" s="5"/>
      <c r="O17" s="5"/>
    </row>
    <row r="18">
      <c r="A18" s="5" t="s">
        <v>143</v>
      </c>
      <c r="B18" s="5" t="s">
        <v>31</v>
      </c>
      <c r="C18" s="5" t="s">
        <v>134</v>
      </c>
      <c r="D18" s="5" t="s">
        <v>89</v>
      </c>
      <c r="E18" s="27" t="s">
        <v>144</v>
      </c>
      <c r="F18" s="5" t="s">
        <v>145</v>
      </c>
      <c r="G18" s="5" t="s">
        <v>146</v>
      </c>
      <c r="H18" s="23" t="s">
        <v>74</v>
      </c>
      <c r="I18" s="23"/>
      <c r="J18" s="5"/>
      <c r="K18" s="5" t="s">
        <v>147</v>
      </c>
      <c r="L18" s="5" t="s">
        <v>147</v>
      </c>
      <c r="M18" s="5"/>
      <c r="N18" s="5"/>
      <c r="O18" s="5"/>
    </row>
    <row r="19">
      <c r="A19" s="5" t="s">
        <v>148</v>
      </c>
      <c r="B19" s="5" t="s">
        <v>31</v>
      </c>
      <c r="C19" s="5" t="s">
        <v>134</v>
      </c>
      <c r="D19" s="5" t="s">
        <v>89</v>
      </c>
      <c r="E19" s="27" t="s">
        <v>149</v>
      </c>
      <c r="F19" s="5" t="s">
        <v>150</v>
      </c>
      <c r="G19" s="5" t="s">
        <v>151</v>
      </c>
      <c r="H19" s="23" t="s">
        <v>74</v>
      </c>
      <c r="I19" s="23"/>
      <c r="J19" s="5"/>
      <c r="K19" s="5" t="s">
        <v>152</v>
      </c>
      <c r="L19" s="5" t="s">
        <v>152</v>
      </c>
      <c r="M19" s="5"/>
      <c r="N19" s="5"/>
      <c r="O19" s="5"/>
    </row>
    <row r="20">
      <c r="A20" s="5" t="s">
        <v>153</v>
      </c>
      <c r="B20" s="5" t="s">
        <v>31</v>
      </c>
      <c r="C20" s="5" t="s">
        <v>134</v>
      </c>
      <c r="D20" s="5" t="s">
        <v>154</v>
      </c>
      <c r="E20" s="5" t="s">
        <v>155</v>
      </c>
      <c r="F20" s="5" t="s">
        <v>156</v>
      </c>
      <c r="G20" s="5" t="s">
        <v>157</v>
      </c>
      <c r="H20" s="23" t="s">
        <v>136</v>
      </c>
      <c r="I20" s="23">
        <v>3.931042392E9</v>
      </c>
      <c r="J20" s="5"/>
      <c r="K20" s="5" t="s">
        <v>158</v>
      </c>
      <c r="L20" s="5" t="s">
        <v>158</v>
      </c>
      <c r="M20" s="5"/>
      <c r="N20" s="5"/>
      <c r="O20" s="5"/>
    </row>
    <row r="21" ht="15.75" customHeight="1">
      <c r="A21" s="5" t="s">
        <v>159</v>
      </c>
      <c r="B21" s="5" t="s">
        <v>31</v>
      </c>
      <c r="C21" s="5" t="s">
        <v>160</v>
      </c>
      <c r="D21" s="5" t="s">
        <v>89</v>
      </c>
      <c r="E21" s="5" t="s">
        <v>161</v>
      </c>
      <c r="F21" s="5" t="s">
        <v>162</v>
      </c>
      <c r="G21" s="5" t="s">
        <v>161</v>
      </c>
      <c r="H21" s="23" t="s">
        <v>162</v>
      </c>
      <c r="I21" s="23"/>
      <c r="J21" s="5"/>
      <c r="K21" s="5" t="s">
        <v>163</v>
      </c>
      <c r="L21" s="5" t="s">
        <v>163</v>
      </c>
      <c r="M21" s="5"/>
      <c r="N21" s="5"/>
      <c r="O21" s="5"/>
    </row>
    <row r="22" ht="15.75" customHeight="1">
      <c r="A22" s="5" t="s">
        <v>164</v>
      </c>
      <c r="B22" s="5" t="s">
        <v>31</v>
      </c>
      <c r="C22" s="5" t="s">
        <v>160</v>
      </c>
      <c r="D22" s="5" t="s">
        <v>89</v>
      </c>
      <c r="E22" s="27" t="s">
        <v>165</v>
      </c>
      <c r="F22" s="5" t="s">
        <v>166</v>
      </c>
      <c r="G22" s="5" t="s">
        <v>167</v>
      </c>
      <c r="H22" s="23" t="s">
        <v>166</v>
      </c>
      <c r="I22" s="23"/>
      <c r="J22" s="5"/>
      <c r="K22" s="5" t="s">
        <v>168</v>
      </c>
      <c r="L22" s="5" t="s">
        <v>168</v>
      </c>
      <c r="M22" s="5"/>
      <c r="N22" s="5"/>
      <c r="O22" s="5"/>
    </row>
    <row r="23" ht="15.75" customHeight="1">
      <c r="A23" s="5" t="s">
        <v>169</v>
      </c>
      <c r="B23" s="5" t="s">
        <v>31</v>
      </c>
      <c r="C23" s="5" t="s">
        <v>160</v>
      </c>
      <c r="D23" s="5" t="s">
        <v>89</v>
      </c>
      <c r="E23" s="27" t="s">
        <v>170</v>
      </c>
      <c r="F23" s="5" t="s">
        <v>78</v>
      </c>
      <c r="G23" s="5" t="s">
        <v>171</v>
      </c>
      <c r="H23" s="23" t="s">
        <v>78</v>
      </c>
      <c r="I23" s="23">
        <v>3.781868857E9</v>
      </c>
      <c r="J23" s="5"/>
      <c r="K23" s="5" t="s">
        <v>172</v>
      </c>
      <c r="L23" s="5" t="s">
        <v>172</v>
      </c>
      <c r="M23" s="5"/>
      <c r="N23" s="5"/>
      <c r="O23" s="5"/>
    </row>
    <row r="24" ht="15.75" customHeight="1">
      <c r="A24" s="5" t="s">
        <v>173</v>
      </c>
      <c r="B24" s="5" t="s">
        <v>31</v>
      </c>
      <c r="C24" s="5" t="s">
        <v>160</v>
      </c>
      <c r="D24" s="5" t="s">
        <v>174</v>
      </c>
      <c r="E24" s="27" t="s">
        <v>175</v>
      </c>
      <c r="F24" s="5" t="s">
        <v>176</v>
      </c>
      <c r="G24" s="5" t="s">
        <v>177</v>
      </c>
      <c r="H24" s="23" t="s">
        <v>78</v>
      </c>
      <c r="I24" s="23"/>
      <c r="J24" s="5"/>
      <c r="K24" s="5" t="s">
        <v>178</v>
      </c>
      <c r="L24" s="5" t="s">
        <v>178</v>
      </c>
      <c r="M24" s="5"/>
      <c r="N24" s="5"/>
      <c r="O24" s="5"/>
    </row>
    <row r="25" ht="15.75" customHeight="1">
      <c r="A25" s="5" t="s">
        <v>179</v>
      </c>
      <c r="B25" s="5" t="s">
        <v>31</v>
      </c>
      <c r="C25" s="5" t="s">
        <v>160</v>
      </c>
      <c r="D25" s="5" t="s">
        <v>180</v>
      </c>
      <c r="E25" s="5" t="s">
        <v>181</v>
      </c>
      <c r="F25" s="5" t="s">
        <v>182</v>
      </c>
      <c r="G25" s="5" t="s">
        <v>183</v>
      </c>
      <c r="H25" s="23" t="s">
        <v>74</v>
      </c>
      <c r="I25" s="23">
        <v>3.316099062E9</v>
      </c>
      <c r="J25" s="5" t="s">
        <v>184</v>
      </c>
      <c r="K25" s="5"/>
      <c r="L25" s="5"/>
      <c r="M25" s="5"/>
      <c r="N25" s="5"/>
      <c r="O25" s="5"/>
    </row>
    <row r="26" ht="15.75" customHeight="1">
      <c r="A26" s="22" t="s">
        <v>185</v>
      </c>
      <c r="B26" s="5" t="s">
        <v>31</v>
      </c>
      <c r="C26" s="5" t="s">
        <v>186</v>
      </c>
      <c r="D26" s="5" t="s">
        <v>187</v>
      </c>
      <c r="E26" s="5" t="s">
        <v>188</v>
      </c>
      <c r="F26" s="5" t="s">
        <v>189</v>
      </c>
      <c r="G26" s="5" t="s">
        <v>188</v>
      </c>
      <c r="H26" s="23" t="s">
        <v>189</v>
      </c>
      <c r="I26" s="23"/>
      <c r="J26" s="5"/>
      <c r="K26" s="5"/>
      <c r="L26" s="5"/>
      <c r="M26" s="5"/>
      <c r="N26" s="5"/>
      <c r="O26" s="5"/>
    </row>
    <row r="27" ht="15.75" customHeight="1">
      <c r="A27" s="5" t="s">
        <v>30</v>
      </c>
      <c r="B27" s="5" t="s">
        <v>31</v>
      </c>
      <c r="C27" s="5" t="s">
        <v>32</v>
      </c>
      <c r="D27" s="5" t="s">
        <v>33</v>
      </c>
      <c r="E27" s="5" t="s">
        <v>190</v>
      </c>
      <c r="F27" s="5"/>
      <c r="G27" s="5" t="s">
        <v>191</v>
      </c>
      <c r="H27" s="23" t="s">
        <v>192</v>
      </c>
      <c r="I27" s="23">
        <v>3.338561078E9</v>
      </c>
      <c r="J27" s="5"/>
      <c r="K27" s="5"/>
      <c r="L27" s="5"/>
      <c r="M27" s="5"/>
      <c r="N27" s="5"/>
      <c r="O27" s="5"/>
    </row>
    <row r="28" ht="15.75" customHeight="1">
      <c r="A28" s="5" t="s">
        <v>35</v>
      </c>
      <c r="B28" s="5" t="s">
        <v>31</v>
      </c>
      <c r="C28" s="5" t="s">
        <v>32</v>
      </c>
      <c r="D28" s="5" t="s">
        <v>33</v>
      </c>
      <c r="E28" s="5"/>
      <c r="F28" s="5"/>
      <c r="G28" s="5" t="s">
        <v>193</v>
      </c>
      <c r="H28" s="23" t="s">
        <v>192</v>
      </c>
      <c r="I28" s="23">
        <v>3.931190222E9</v>
      </c>
      <c r="J28" s="5"/>
      <c r="K28" s="5"/>
      <c r="L28" s="5"/>
      <c r="M28" s="5"/>
      <c r="N28" s="5"/>
      <c r="O28" s="5"/>
    </row>
    <row r="29" ht="15.75" customHeight="1">
      <c r="A29" s="5" t="s">
        <v>194</v>
      </c>
      <c r="B29" s="5" t="s">
        <v>31</v>
      </c>
      <c r="C29" s="5" t="s">
        <v>195</v>
      </c>
      <c r="D29" s="5" t="s">
        <v>89</v>
      </c>
      <c r="E29" s="27" t="s">
        <v>196</v>
      </c>
      <c r="F29" s="5" t="s">
        <v>197</v>
      </c>
      <c r="G29" s="5" t="s">
        <v>198</v>
      </c>
      <c r="H29" s="23" t="s">
        <v>74</v>
      </c>
      <c r="I29" s="23">
        <v>3.939382471E9</v>
      </c>
      <c r="J29" s="5" t="s">
        <v>199</v>
      </c>
      <c r="K29" s="5"/>
      <c r="L29" s="5"/>
      <c r="M29" s="5"/>
      <c r="N29" s="5"/>
      <c r="O29" s="5"/>
    </row>
    <row r="30" ht="15.75" customHeight="1">
      <c r="A30" s="5" t="s">
        <v>200</v>
      </c>
      <c r="B30" s="5" t="s">
        <v>31</v>
      </c>
      <c r="C30" s="5" t="s">
        <v>195</v>
      </c>
      <c r="D30" s="5" t="s">
        <v>89</v>
      </c>
      <c r="E30" s="27" t="s">
        <v>201</v>
      </c>
      <c r="F30" s="5" t="s">
        <v>202</v>
      </c>
      <c r="G30" s="5" t="s">
        <v>203</v>
      </c>
      <c r="H30" s="23" t="s">
        <v>74</v>
      </c>
      <c r="I30" s="23">
        <v>3.316172428E9</v>
      </c>
      <c r="J30" s="5"/>
      <c r="K30" s="5"/>
      <c r="L30" s="5"/>
      <c r="M30" s="5"/>
      <c r="N30" s="5"/>
      <c r="O30" s="5"/>
    </row>
    <row r="31" ht="15.75" customHeight="1">
      <c r="A31" s="5" t="s">
        <v>204</v>
      </c>
      <c r="B31" s="5" t="s">
        <v>31</v>
      </c>
      <c r="C31" s="5" t="s">
        <v>195</v>
      </c>
      <c r="D31" s="5" t="s">
        <v>205</v>
      </c>
      <c r="E31" s="5" t="s">
        <v>206</v>
      </c>
      <c r="F31" s="5" t="s">
        <v>207</v>
      </c>
      <c r="G31" s="5" t="s">
        <v>208</v>
      </c>
      <c r="H31" s="23" t="s">
        <v>209</v>
      </c>
      <c r="I31" s="23">
        <v>3.316118572E9</v>
      </c>
      <c r="J31" s="5"/>
      <c r="K31" s="5" t="s">
        <v>210</v>
      </c>
      <c r="L31" s="5" t="s">
        <v>210</v>
      </c>
      <c r="M31" s="5"/>
      <c r="N31" s="5"/>
      <c r="O31" s="5"/>
    </row>
    <row r="32" ht="15.75" customHeight="1">
      <c r="A32" s="5" t="s">
        <v>211</v>
      </c>
      <c r="B32" s="5" t="s">
        <v>31</v>
      </c>
      <c r="C32" s="5" t="s">
        <v>212</v>
      </c>
      <c r="D32" s="5" t="s">
        <v>213</v>
      </c>
      <c r="E32" s="27" t="s">
        <v>214</v>
      </c>
      <c r="F32" s="5" t="s">
        <v>215</v>
      </c>
      <c r="G32" s="5" t="s">
        <v>216</v>
      </c>
      <c r="H32" s="23" t="s">
        <v>74</v>
      </c>
      <c r="I32" s="23">
        <v>3.316156385E9</v>
      </c>
      <c r="J32" s="5" t="s">
        <v>217</v>
      </c>
      <c r="K32" s="5"/>
      <c r="L32" s="5"/>
      <c r="M32" s="5"/>
      <c r="N32" s="5"/>
      <c r="O32" s="5"/>
    </row>
    <row r="33" ht="15.75" customHeight="1">
      <c r="A33" s="5" t="s">
        <v>218</v>
      </c>
      <c r="B33" s="5" t="s">
        <v>31</v>
      </c>
      <c r="C33" s="5" t="s">
        <v>219</v>
      </c>
      <c r="D33" s="5" t="s">
        <v>220</v>
      </c>
      <c r="E33" s="27" t="s">
        <v>221</v>
      </c>
      <c r="F33" s="5" t="s">
        <v>202</v>
      </c>
      <c r="G33" s="5" t="s">
        <v>222</v>
      </c>
      <c r="H33" s="23" t="s">
        <v>78</v>
      </c>
      <c r="I33" s="23">
        <v>3.316098501E9</v>
      </c>
      <c r="J33" s="5"/>
      <c r="K33" s="5"/>
      <c r="L33" s="5"/>
      <c r="M33" s="5"/>
      <c r="N33" s="5"/>
      <c r="O33" s="22" t="s">
        <v>223</v>
      </c>
    </row>
    <row r="34" ht="15.75" customHeight="1">
      <c r="A34" s="5" t="s">
        <v>224</v>
      </c>
      <c r="B34" s="5" t="s">
        <v>31</v>
      </c>
      <c r="C34" s="5" t="s">
        <v>225</v>
      </c>
      <c r="D34" s="5" t="s">
        <v>226</v>
      </c>
      <c r="E34" s="5" t="s">
        <v>227</v>
      </c>
      <c r="F34" s="5" t="s">
        <v>78</v>
      </c>
      <c r="G34" s="5" t="s">
        <v>228</v>
      </c>
      <c r="H34" s="23" t="s">
        <v>78</v>
      </c>
      <c r="I34" s="23">
        <v>3.316142992E9</v>
      </c>
      <c r="J34" s="5" t="s">
        <v>229</v>
      </c>
      <c r="K34" s="5"/>
      <c r="L34" s="5"/>
      <c r="M34" s="5"/>
      <c r="N34" s="5"/>
      <c r="O34" s="5"/>
    </row>
    <row r="35" ht="15.75" customHeight="1">
      <c r="A35" s="5" t="s">
        <v>230</v>
      </c>
      <c r="B35" s="5" t="s">
        <v>31</v>
      </c>
      <c r="C35" s="5" t="s">
        <v>225</v>
      </c>
      <c r="D35" s="5" t="s">
        <v>71</v>
      </c>
      <c r="E35" s="5" t="s">
        <v>231</v>
      </c>
      <c r="F35" s="5" t="s">
        <v>78</v>
      </c>
      <c r="G35" s="5" t="s">
        <v>231</v>
      </c>
      <c r="H35" s="23" t="s">
        <v>74</v>
      </c>
      <c r="I35" s="23">
        <v>3.316158093E9</v>
      </c>
      <c r="J35" s="5" t="s">
        <v>232</v>
      </c>
      <c r="K35" s="5"/>
      <c r="L35" s="5"/>
      <c r="M35" s="5"/>
      <c r="N35" s="5" t="s">
        <v>233</v>
      </c>
      <c r="O35" s="5"/>
    </row>
    <row r="36" ht="15.75" customHeight="1">
      <c r="A36" s="5" t="s">
        <v>234</v>
      </c>
      <c r="B36" s="5" t="s">
        <v>31</v>
      </c>
      <c r="C36" s="5" t="s">
        <v>225</v>
      </c>
      <c r="D36" s="5" t="s">
        <v>71</v>
      </c>
      <c r="E36" s="27" t="s">
        <v>235</v>
      </c>
      <c r="F36" s="5" t="s">
        <v>236</v>
      </c>
      <c r="G36" s="5" t="s">
        <v>237</v>
      </c>
      <c r="H36" s="23" t="s">
        <v>74</v>
      </c>
      <c r="I36" s="23">
        <v>3.318621158E9</v>
      </c>
      <c r="J36" s="5"/>
      <c r="K36" s="5"/>
      <c r="L36" s="5"/>
      <c r="M36" s="5"/>
      <c r="N36" s="5" t="s">
        <v>238</v>
      </c>
      <c r="O36" s="5"/>
    </row>
    <row r="37" ht="15.75" customHeight="1">
      <c r="A37" s="5" t="s">
        <v>239</v>
      </c>
      <c r="B37" s="5" t="s">
        <v>31</v>
      </c>
      <c r="C37" s="5" t="s">
        <v>225</v>
      </c>
      <c r="D37" s="5" t="s">
        <v>71</v>
      </c>
      <c r="E37" s="27" t="s">
        <v>240</v>
      </c>
      <c r="F37" s="5" t="s">
        <v>74</v>
      </c>
      <c r="G37" s="5" t="s">
        <v>241</v>
      </c>
      <c r="H37" s="23" t="s">
        <v>74</v>
      </c>
      <c r="I37" s="23">
        <v>3.51111143E9</v>
      </c>
      <c r="J37" s="5" t="s">
        <v>242</v>
      </c>
      <c r="K37" s="5"/>
      <c r="L37" s="5"/>
      <c r="M37" s="5"/>
      <c r="N37" s="5" t="s">
        <v>243</v>
      </c>
      <c r="O37" s="5"/>
    </row>
    <row r="38" ht="15.75" customHeight="1">
      <c r="A38" s="5" t="s">
        <v>244</v>
      </c>
      <c r="B38" s="5" t="s">
        <v>31</v>
      </c>
      <c r="C38" s="5" t="s">
        <v>225</v>
      </c>
      <c r="D38" s="5" t="s">
        <v>71</v>
      </c>
      <c r="E38" s="27" t="s">
        <v>245</v>
      </c>
      <c r="F38" s="5" t="s">
        <v>246</v>
      </c>
      <c r="G38" s="5" t="s">
        <v>247</v>
      </c>
      <c r="H38" s="23" t="s">
        <v>202</v>
      </c>
      <c r="I38" s="23">
        <v>3.316091328E9</v>
      </c>
      <c r="J38" s="5"/>
      <c r="K38" s="5"/>
      <c r="L38" s="5"/>
      <c r="M38" s="5"/>
      <c r="N38" s="5" t="s">
        <v>248</v>
      </c>
      <c r="O38" s="22" t="s">
        <v>223</v>
      </c>
    </row>
    <row r="39" ht="15.75" customHeight="1">
      <c r="A39" s="5" t="s">
        <v>249</v>
      </c>
      <c r="B39" s="5" t="s">
        <v>31</v>
      </c>
      <c r="C39" s="5" t="s">
        <v>225</v>
      </c>
      <c r="D39" s="5" t="s">
        <v>71</v>
      </c>
      <c r="E39" s="27" t="s">
        <v>250</v>
      </c>
      <c r="F39" s="5" t="s">
        <v>78</v>
      </c>
      <c r="G39" s="5" t="s">
        <v>251</v>
      </c>
      <c r="H39" s="23" t="s">
        <v>78</v>
      </c>
      <c r="I39" s="23">
        <v>3.931196104E9</v>
      </c>
      <c r="J39" s="5" t="s">
        <v>252</v>
      </c>
      <c r="K39" s="5"/>
      <c r="L39" s="5"/>
      <c r="M39" s="5"/>
      <c r="N39" s="5"/>
      <c r="O39" s="5"/>
    </row>
    <row r="40" ht="15.75" customHeight="1">
      <c r="A40" s="5" t="s">
        <v>253</v>
      </c>
      <c r="B40" s="5" t="s">
        <v>31</v>
      </c>
      <c r="C40" s="5" t="s">
        <v>225</v>
      </c>
      <c r="D40" s="5" t="s">
        <v>71</v>
      </c>
      <c r="E40" s="27" t="s">
        <v>254</v>
      </c>
      <c r="F40" s="5" t="s">
        <v>255</v>
      </c>
      <c r="G40" s="5" t="s">
        <v>256</v>
      </c>
      <c r="H40" s="23" t="s">
        <v>74</v>
      </c>
      <c r="I40" s="23">
        <v>3.316135604E9</v>
      </c>
      <c r="J40" s="5" t="s">
        <v>257</v>
      </c>
      <c r="K40" s="5"/>
      <c r="L40" s="5"/>
      <c r="M40" s="5"/>
      <c r="N40" s="5" t="s">
        <v>258</v>
      </c>
      <c r="O40" s="5"/>
    </row>
    <row r="41" ht="15.75" customHeight="1">
      <c r="A41" s="5" t="s">
        <v>259</v>
      </c>
      <c r="B41" s="5" t="s">
        <v>31</v>
      </c>
      <c r="C41" s="5" t="s">
        <v>225</v>
      </c>
      <c r="D41" s="5" t="s">
        <v>71</v>
      </c>
      <c r="E41" s="5" t="s">
        <v>260</v>
      </c>
      <c r="F41" s="5" t="s">
        <v>78</v>
      </c>
      <c r="G41" s="5" t="s">
        <v>260</v>
      </c>
      <c r="H41" s="23" t="s">
        <v>78</v>
      </c>
      <c r="I41" s="23">
        <v>3.318218012E9</v>
      </c>
      <c r="J41" s="5"/>
      <c r="K41" s="5"/>
      <c r="L41" s="5"/>
      <c r="M41" s="5"/>
      <c r="N41" s="5" t="s">
        <v>261</v>
      </c>
      <c r="O41" s="5"/>
    </row>
    <row r="42" ht="15.75" customHeight="1">
      <c r="A42" s="5" t="s">
        <v>262</v>
      </c>
      <c r="B42" s="5" t="s">
        <v>31</v>
      </c>
      <c r="C42" s="5" t="s">
        <v>225</v>
      </c>
      <c r="D42" s="5" t="s">
        <v>71</v>
      </c>
      <c r="E42" s="27" t="s">
        <v>263</v>
      </c>
      <c r="F42" s="5" t="s">
        <v>264</v>
      </c>
      <c r="G42" s="5" t="s">
        <v>265</v>
      </c>
      <c r="H42" s="23" t="s">
        <v>78</v>
      </c>
      <c r="I42" s="23">
        <v>3.931047948E9</v>
      </c>
      <c r="J42" s="5" t="s">
        <v>266</v>
      </c>
      <c r="K42" s="5"/>
      <c r="L42" s="5"/>
      <c r="M42" s="5"/>
      <c r="N42" s="5" t="s">
        <v>261</v>
      </c>
      <c r="O42" s="5"/>
    </row>
    <row r="43" ht="15.75" customHeight="1">
      <c r="A43" s="5" t="s">
        <v>267</v>
      </c>
      <c r="B43" s="5" t="s">
        <v>31</v>
      </c>
      <c r="C43" s="5" t="s">
        <v>225</v>
      </c>
      <c r="D43" s="5" t="s">
        <v>268</v>
      </c>
      <c r="E43" s="27" t="s">
        <v>269</v>
      </c>
      <c r="F43" s="5" t="s">
        <v>270</v>
      </c>
      <c r="G43" s="5" t="s">
        <v>271</v>
      </c>
      <c r="H43" s="23" t="s">
        <v>74</v>
      </c>
      <c r="I43" s="23">
        <v>3.312846765E9</v>
      </c>
      <c r="J43" s="5" t="s">
        <v>272</v>
      </c>
      <c r="K43" s="5"/>
      <c r="L43" s="5"/>
      <c r="M43" s="5">
        <v>15.0</v>
      </c>
      <c r="N43" s="5"/>
      <c r="O43" s="22" t="s">
        <v>223</v>
      </c>
    </row>
    <row r="44" ht="15.75" customHeight="1">
      <c r="A44" s="5" t="s">
        <v>273</v>
      </c>
      <c r="B44" s="5" t="s">
        <v>31</v>
      </c>
      <c r="C44" s="5" t="s">
        <v>274</v>
      </c>
      <c r="D44" s="5" t="s">
        <v>71</v>
      </c>
      <c r="E44" s="5" t="s">
        <v>275</v>
      </c>
      <c r="F44" s="5" t="s">
        <v>74</v>
      </c>
      <c r="G44" s="5" t="s">
        <v>276</v>
      </c>
      <c r="H44" s="23" t="s">
        <v>74</v>
      </c>
      <c r="I44" s="23"/>
      <c r="J44" s="5"/>
      <c r="K44" s="5"/>
      <c r="L44" s="5"/>
      <c r="M44" s="5"/>
      <c r="N44" s="5"/>
      <c r="O44" s="5"/>
    </row>
    <row r="45" ht="15.75" customHeight="1">
      <c r="A45" s="5" t="s">
        <v>277</v>
      </c>
      <c r="B45" s="5" t="s">
        <v>31</v>
      </c>
      <c r="C45" s="5" t="s">
        <v>274</v>
      </c>
      <c r="D45" s="5" t="s">
        <v>89</v>
      </c>
      <c r="E45" s="5" t="s">
        <v>278</v>
      </c>
      <c r="F45" s="5" t="s">
        <v>78</v>
      </c>
      <c r="G45" s="5" t="s">
        <v>278</v>
      </c>
      <c r="H45" s="23" t="s">
        <v>78</v>
      </c>
      <c r="I45" s="23">
        <v>3.93119008E9</v>
      </c>
      <c r="J45" s="5"/>
      <c r="K45" s="5" t="s">
        <v>279</v>
      </c>
      <c r="L45" s="5" t="s">
        <v>279</v>
      </c>
      <c r="M45" s="5"/>
      <c r="N45" s="5"/>
      <c r="O45" s="5"/>
    </row>
    <row r="46" ht="15.75" customHeight="1">
      <c r="A46" s="22" t="s">
        <v>280</v>
      </c>
      <c r="B46" s="5" t="s">
        <v>31</v>
      </c>
      <c r="C46" s="5" t="s">
        <v>274</v>
      </c>
      <c r="D46" s="5" t="s">
        <v>89</v>
      </c>
      <c r="E46" s="5" t="s">
        <v>281</v>
      </c>
      <c r="F46" s="5" t="s">
        <v>78</v>
      </c>
      <c r="G46" s="5" t="s">
        <v>281</v>
      </c>
      <c r="H46" s="23" t="s">
        <v>78</v>
      </c>
      <c r="I46" s="23"/>
      <c r="J46" s="5"/>
      <c r="K46" s="5" t="s">
        <v>282</v>
      </c>
      <c r="L46" s="5"/>
      <c r="M46" s="5"/>
      <c r="N46" s="5"/>
      <c r="O46" s="5"/>
    </row>
    <row r="47" ht="15.75" customHeight="1">
      <c r="A47" s="5" t="s">
        <v>283</v>
      </c>
      <c r="B47" s="5" t="s">
        <v>31</v>
      </c>
      <c r="C47" s="5" t="s">
        <v>274</v>
      </c>
      <c r="D47" s="5" t="s">
        <v>127</v>
      </c>
      <c r="E47" s="27" t="s">
        <v>284</v>
      </c>
      <c r="F47" s="5" t="s">
        <v>202</v>
      </c>
      <c r="G47" s="5" t="s">
        <v>285</v>
      </c>
      <c r="H47" s="23" t="s">
        <v>78</v>
      </c>
      <c r="I47" s="23">
        <v>3.931073856E9</v>
      </c>
      <c r="J47" s="5"/>
      <c r="K47" s="5"/>
      <c r="L47" s="5"/>
      <c r="M47" s="5"/>
      <c r="N47" s="5"/>
      <c r="O47" s="5"/>
    </row>
    <row r="48" ht="15.75" customHeight="1">
      <c r="A48" s="5" t="s">
        <v>286</v>
      </c>
      <c r="B48" s="5" t="s">
        <v>31</v>
      </c>
      <c r="C48" s="5" t="s">
        <v>274</v>
      </c>
      <c r="D48" s="5" t="s">
        <v>127</v>
      </c>
      <c r="E48" s="27" t="s">
        <v>287</v>
      </c>
      <c r="F48" s="5"/>
      <c r="G48" s="5" t="s">
        <v>288</v>
      </c>
      <c r="H48" s="23" t="s">
        <v>78</v>
      </c>
      <c r="I48" s="23">
        <v>3.316160073E9</v>
      </c>
      <c r="J48" s="5"/>
      <c r="K48" s="5"/>
      <c r="L48" s="5"/>
      <c r="M48" s="5"/>
      <c r="N48" s="5"/>
      <c r="O48" s="5"/>
    </row>
    <row r="49" ht="15.75" customHeight="1">
      <c r="A49" s="5" t="s">
        <v>289</v>
      </c>
      <c r="B49" s="5" t="s">
        <v>31</v>
      </c>
      <c r="C49" s="5" t="s">
        <v>274</v>
      </c>
      <c r="D49" s="5" t="s">
        <v>290</v>
      </c>
      <c r="E49" s="27" t="s">
        <v>291</v>
      </c>
      <c r="F49" s="5" t="s">
        <v>292</v>
      </c>
      <c r="G49" s="5" t="s">
        <v>293</v>
      </c>
      <c r="H49" s="23" t="s">
        <v>74</v>
      </c>
      <c r="I49" s="23">
        <v>3.339580163E9</v>
      </c>
      <c r="J49" s="5"/>
      <c r="K49" s="5"/>
      <c r="L49" s="5"/>
      <c r="M49" s="5"/>
      <c r="N49" s="5"/>
      <c r="O49" s="5"/>
    </row>
    <row r="50" ht="15.75" customHeight="1">
      <c r="A50" s="5" t="s">
        <v>294</v>
      </c>
      <c r="B50" s="5" t="s">
        <v>31</v>
      </c>
      <c r="C50" s="5" t="s">
        <v>295</v>
      </c>
      <c r="D50" s="5" t="s">
        <v>71</v>
      </c>
      <c r="E50" s="5" t="s">
        <v>296</v>
      </c>
      <c r="F50" s="5" t="s">
        <v>162</v>
      </c>
      <c r="G50" s="5" t="s">
        <v>296</v>
      </c>
      <c r="H50" s="23" t="s">
        <v>78</v>
      </c>
      <c r="I50" s="23">
        <v>3.481082366E9</v>
      </c>
      <c r="J50" s="5" t="s">
        <v>297</v>
      </c>
      <c r="K50" s="5"/>
      <c r="L50" s="5"/>
      <c r="M50" s="5"/>
      <c r="N50" s="5" t="s">
        <v>298</v>
      </c>
      <c r="O50" s="5"/>
    </row>
    <row r="51" ht="15.75" customHeight="1">
      <c r="A51" s="5" t="s">
        <v>299</v>
      </c>
      <c r="B51" s="5" t="s">
        <v>31</v>
      </c>
      <c r="C51" s="5" t="s">
        <v>295</v>
      </c>
      <c r="D51" s="5" t="s">
        <v>300</v>
      </c>
      <c r="E51" s="5" t="s">
        <v>301</v>
      </c>
      <c r="F51" s="5" t="s">
        <v>78</v>
      </c>
      <c r="G51" s="5" t="s">
        <v>301</v>
      </c>
      <c r="H51" s="23" t="s">
        <v>74</v>
      </c>
      <c r="I51" s="23">
        <v>3.337194505E9</v>
      </c>
      <c r="J51" s="5" t="s">
        <v>302</v>
      </c>
      <c r="K51" s="5"/>
      <c r="L51" s="5"/>
      <c r="M51" s="5">
        <v>14.0</v>
      </c>
      <c r="N51" s="5"/>
      <c r="O51" s="5"/>
    </row>
    <row r="52" ht="15.75" customHeight="1">
      <c r="A52" s="22" t="s">
        <v>280</v>
      </c>
      <c r="B52" s="5" t="s">
        <v>31</v>
      </c>
      <c r="C52" s="5" t="s">
        <v>303</v>
      </c>
      <c r="D52" s="5" t="s">
        <v>304</v>
      </c>
      <c r="E52" s="5" t="s">
        <v>305</v>
      </c>
      <c r="F52" s="5" t="s">
        <v>78</v>
      </c>
      <c r="G52" s="5" t="s">
        <v>305</v>
      </c>
      <c r="H52" s="23" t="s">
        <v>306</v>
      </c>
      <c r="I52" s="23">
        <v>3.781868861E9</v>
      </c>
      <c r="J52" s="5"/>
      <c r="K52" s="5"/>
      <c r="L52" s="5"/>
      <c r="M52" s="5"/>
      <c r="N52" s="5"/>
      <c r="O52" s="5"/>
    </row>
    <row r="53" ht="15.75" customHeight="1">
      <c r="A53" s="5" t="s">
        <v>307</v>
      </c>
      <c r="B53" s="5" t="s">
        <v>31</v>
      </c>
      <c r="C53" s="5" t="s">
        <v>303</v>
      </c>
      <c r="D53" s="5" t="s">
        <v>308</v>
      </c>
      <c r="E53" s="5" t="s">
        <v>309</v>
      </c>
      <c r="F53" s="5" t="s">
        <v>310</v>
      </c>
      <c r="G53" s="22" t="s">
        <v>311</v>
      </c>
      <c r="H53" s="23" t="s">
        <v>306</v>
      </c>
      <c r="I53" s="28">
        <v>3.781868863E9</v>
      </c>
      <c r="J53" s="5" t="s">
        <v>312</v>
      </c>
      <c r="K53" s="5"/>
      <c r="L53" s="5" t="s">
        <v>312</v>
      </c>
      <c r="M53" s="5"/>
      <c r="N53" s="5"/>
      <c r="O53" s="5"/>
    </row>
    <row r="54" ht="15.75" customHeight="1">
      <c r="A54" s="5" t="s">
        <v>313</v>
      </c>
      <c r="B54" s="5" t="s">
        <v>31</v>
      </c>
      <c r="C54" s="5" t="s">
        <v>303</v>
      </c>
      <c r="D54" s="5" t="s">
        <v>314</v>
      </c>
      <c r="E54" s="5" t="s">
        <v>315</v>
      </c>
      <c r="F54" s="5" t="s">
        <v>316</v>
      </c>
      <c r="G54" s="5" t="s">
        <v>309</v>
      </c>
      <c r="H54" s="23" t="s">
        <v>317</v>
      </c>
      <c r="I54" s="28">
        <v>3.313697838E9</v>
      </c>
      <c r="J54" s="5"/>
      <c r="K54" s="5"/>
      <c r="L54" s="5"/>
      <c r="M54" s="5"/>
      <c r="N54" s="5"/>
      <c r="O54" s="5"/>
    </row>
    <row r="55" ht="15.75" customHeight="1">
      <c r="A55" s="22" t="s">
        <v>318</v>
      </c>
      <c r="B55" s="5" t="s">
        <v>31</v>
      </c>
      <c r="C55" s="5" t="s">
        <v>303</v>
      </c>
      <c r="D55" s="22" t="s">
        <v>318</v>
      </c>
      <c r="E55" s="20"/>
      <c r="F55" s="5"/>
      <c r="G55" s="20"/>
      <c r="H55" s="23"/>
      <c r="I55" s="28">
        <v>3.931042365E9</v>
      </c>
      <c r="J55" s="5"/>
      <c r="K55" s="5"/>
      <c r="L55" s="5"/>
      <c r="M55" s="5"/>
      <c r="N55" s="5"/>
      <c r="O55" s="5"/>
    </row>
    <row r="56" ht="15.75" customHeight="1">
      <c r="A56" s="22" t="s">
        <v>319</v>
      </c>
      <c r="B56" s="22" t="s">
        <v>31</v>
      </c>
      <c r="C56" s="22" t="s">
        <v>303</v>
      </c>
      <c r="D56" s="22" t="s">
        <v>320</v>
      </c>
      <c r="E56" s="5"/>
      <c r="F56" s="5"/>
      <c r="G56" s="22" t="s">
        <v>321</v>
      </c>
      <c r="H56" s="28" t="s">
        <v>78</v>
      </c>
      <c r="I56" s="23"/>
      <c r="J56" s="5"/>
      <c r="K56" s="5"/>
      <c r="L56" s="5"/>
      <c r="M56" s="5"/>
      <c r="N56" s="5"/>
      <c r="O56" s="5"/>
    </row>
    <row r="57" ht="15.75" customHeight="1">
      <c r="A57" s="5" t="s">
        <v>322</v>
      </c>
      <c r="B57" s="5" t="s">
        <v>31</v>
      </c>
      <c r="C57" s="5" t="s">
        <v>323</v>
      </c>
      <c r="D57" s="5" t="s">
        <v>89</v>
      </c>
      <c r="E57" s="27" t="s">
        <v>324</v>
      </c>
      <c r="F57" s="5" t="s">
        <v>78</v>
      </c>
      <c r="G57" s="5" t="s">
        <v>325</v>
      </c>
      <c r="H57" s="23" t="s">
        <v>78</v>
      </c>
      <c r="I57" s="23">
        <v>3.911750242E9</v>
      </c>
      <c r="J57" s="5" t="s">
        <v>326</v>
      </c>
      <c r="K57" s="5"/>
      <c r="L57" s="5"/>
      <c r="M57" s="5"/>
      <c r="N57" s="5"/>
      <c r="O57" s="5"/>
    </row>
    <row r="58" ht="15.75" customHeight="1">
      <c r="A58" s="5" t="s">
        <v>327</v>
      </c>
      <c r="B58" s="5" t="s">
        <v>31</v>
      </c>
      <c r="C58" s="5" t="s">
        <v>323</v>
      </c>
      <c r="D58" s="5" t="s">
        <v>328</v>
      </c>
      <c r="E58" s="27" t="s">
        <v>329</v>
      </c>
      <c r="F58" s="5" t="s">
        <v>330</v>
      </c>
      <c r="G58" s="5" t="s">
        <v>331</v>
      </c>
      <c r="H58" s="23" t="s">
        <v>74</v>
      </c>
      <c r="I58" s="23">
        <v>3.951428204E9</v>
      </c>
      <c r="J58" s="5" t="s">
        <v>332</v>
      </c>
      <c r="K58" s="5"/>
      <c r="L58" s="5"/>
      <c r="M58" s="5"/>
      <c r="N58" s="5"/>
      <c r="O58" s="5"/>
    </row>
    <row r="59" ht="15.75" customHeight="1">
      <c r="A59" s="5" t="s">
        <v>333</v>
      </c>
      <c r="B59" s="5" t="s">
        <v>31</v>
      </c>
      <c r="C59" s="5" t="s">
        <v>323</v>
      </c>
      <c r="D59" s="5" t="s">
        <v>334</v>
      </c>
      <c r="E59" s="29" t="s">
        <v>335</v>
      </c>
      <c r="F59" s="5" t="s">
        <v>78</v>
      </c>
      <c r="G59" s="5" t="s">
        <v>335</v>
      </c>
      <c r="H59" s="23" t="s">
        <v>78</v>
      </c>
      <c r="I59" s="23">
        <v>3.931190277E9</v>
      </c>
      <c r="J59" s="5" t="s">
        <v>336</v>
      </c>
      <c r="K59" s="5"/>
      <c r="L59" s="5"/>
      <c r="M59" s="5"/>
      <c r="N59" s="5"/>
      <c r="O59" s="5"/>
    </row>
    <row r="60" ht="15.75" customHeight="1">
      <c r="A60" s="5" t="s">
        <v>337</v>
      </c>
      <c r="B60" s="5" t="s">
        <v>31</v>
      </c>
      <c r="C60" s="5" t="s">
        <v>338</v>
      </c>
      <c r="D60" s="5" t="s">
        <v>339</v>
      </c>
      <c r="E60" s="27" t="s">
        <v>340</v>
      </c>
      <c r="F60" s="5" t="s">
        <v>74</v>
      </c>
      <c r="G60" s="5" t="s">
        <v>341</v>
      </c>
      <c r="H60" s="23" t="s">
        <v>78</v>
      </c>
      <c r="I60" s="23">
        <v>3.316098529E9</v>
      </c>
      <c r="J60" s="5" t="s">
        <v>342</v>
      </c>
      <c r="K60" s="5"/>
      <c r="L60" s="5"/>
      <c r="M60" s="5"/>
      <c r="N60" s="5"/>
      <c r="O60" s="22" t="s">
        <v>223</v>
      </c>
    </row>
    <row r="61" ht="15.75" customHeight="1">
      <c r="A61" s="5" t="s">
        <v>343</v>
      </c>
      <c r="B61" s="5" t="s">
        <v>31</v>
      </c>
      <c r="C61" s="5" t="s">
        <v>344</v>
      </c>
      <c r="D61" s="5" t="s">
        <v>345</v>
      </c>
      <c r="E61" s="5" t="s">
        <v>346</v>
      </c>
      <c r="F61" s="5" t="s">
        <v>78</v>
      </c>
      <c r="G61" s="5" t="s">
        <v>346</v>
      </c>
      <c r="H61" s="23" t="s">
        <v>78</v>
      </c>
      <c r="I61" s="23"/>
      <c r="J61" s="5"/>
      <c r="K61" s="5"/>
      <c r="L61" s="5"/>
      <c r="M61" s="5"/>
      <c r="N61" s="5"/>
      <c r="O61" s="5"/>
    </row>
    <row r="62" ht="15.75" customHeight="1">
      <c r="A62" s="22" t="s">
        <v>347</v>
      </c>
      <c r="B62" s="22" t="s">
        <v>31</v>
      </c>
      <c r="C62" s="22" t="s">
        <v>344</v>
      </c>
      <c r="D62" s="5"/>
      <c r="E62" s="5"/>
      <c r="F62" s="5"/>
      <c r="G62" s="22" t="s">
        <v>348</v>
      </c>
      <c r="H62" s="23" t="s">
        <v>78</v>
      </c>
      <c r="I62" s="23"/>
      <c r="J62" s="5"/>
      <c r="K62" s="5"/>
      <c r="L62" s="5"/>
      <c r="M62" s="5"/>
      <c r="N62" s="5"/>
      <c r="O62" s="22"/>
    </row>
    <row r="63" ht="15.75" customHeight="1">
      <c r="A63" s="5" t="s">
        <v>349</v>
      </c>
      <c r="B63" s="5" t="s">
        <v>31</v>
      </c>
      <c r="C63" s="5" t="s">
        <v>344</v>
      </c>
      <c r="D63" s="5" t="s">
        <v>350</v>
      </c>
      <c r="E63" s="27" t="s">
        <v>351</v>
      </c>
      <c r="F63" s="5" t="s">
        <v>78</v>
      </c>
      <c r="G63" s="5" t="s">
        <v>352</v>
      </c>
      <c r="H63" s="23" t="s">
        <v>78</v>
      </c>
      <c r="I63" s="23">
        <v>3.316096709E9</v>
      </c>
      <c r="J63" s="5" t="s">
        <v>353</v>
      </c>
      <c r="K63" s="5"/>
      <c r="L63" s="5"/>
      <c r="M63" s="5"/>
      <c r="N63" s="5"/>
      <c r="O63" s="22" t="s">
        <v>223</v>
      </c>
    </row>
    <row r="64" ht="15.75" customHeight="1">
      <c r="A64" s="5" t="s">
        <v>354</v>
      </c>
      <c r="B64" s="5" t="s">
        <v>31</v>
      </c>
      <c r="C64" s="5" t="s">
        <v>344</v>
      </c>
      <c r="D64" s="5" t="s">
        <v>355</v>
      </c>
      <c r="E64" s="5" t="s">
        <v>356</v>
      </c>
      <c r="F64" s="5" t="s">
        <v>78</v>
      </c>
      <c r="G64" s="5" t="s">
        <v>357</v>
      </c>
      <c r="H64" s="23" t="s">
        <v>78</v>
      </c>
      <c r="I64" s="23">
        <v>3.316117782E9</v>
      </c>
      <c r="J64" s="5"/>
      <c r="K64" s="5"/>
      <c r="L64" s="5"/>
      <c r="M64" s="5"/>
      <c r="N64" s="5" t="s">
        <v>358</v>
      </c>
      <c r="O64" s="5"/>
    </row>
    <row r="65" ht="15.75" customHeight="1">
      <c r="A65" s="5" t="s">
        <v>359</v>
      </c>
      <c r="B65" s="5" t="s">
        <v>31</v>
      </c>
      <c r="C65" s="5" t="s">
        <v>344</v>
      </c>
      <c r="D65" s="5" t="s">
        <v>355</v>
      </c>
      <c r="E65" s="27" t="s">
        <v>360</v>
      </c>
      <c r="F65" s="5" t="s">
        <v>361</v>
      </c>
      <c r="G65" s="5" t="s">
        <v>362</v>
      </c>
      <c r="H65" s="23" t="s">
        <v>74</v>
      </c>
      <c r="I65" s="23">
        <v>3.316092672E9</v>
      </c>
      <c r="J65" s="5"/>
      <c r="K65" s="5"/>
      <c r="L65" s="5"/>
      <c r="M65" s="5"/>
      <c r="N65" s="5" t="s">
        <v>363</v>
      </c>
      <c r="O65" s="22" t="s">
        <v>223</v>
      </c>
    </row>
    <row r="66" ht="15.75" customHeight="1">
      <c r="A66" s="5" t="s">
        <v>364</v>
      </c>
      <c r="B66" s="5" t="s">
        <v>31</v>
      </c>
      <c r="C66" s="5" t="s">
        <v>344</v>
      </c>
      <c r="D66" s="5" t="s">
        <v>355</v>
      </c>
      <c r="E66" s="27" t="s">
        <v>365</v>
      </c>
      <c r="F66" s="5" t="s">
        <v>366</v>
      </c>
      <c r="G66" s="5" t="s">
        <v>367</v>
      </c>
      <c r="H66" s="23" t="s">
        <v>74</v>
      </c>
      <c r="I66" s="23">
        <v>3.93100141E9</v>
      </c>
      <c r="J66" s="5"/>
      <c r="K66" s="5"/>
      <c r="L66" s="5"/>
      <c r="M66" s="5"/>
      <c r="N66" s="5" t="s">
        <v>368</v>
      </c>
      <c r="O66" s="5"/>
    </row>
    <row r="67" ht="15.75" customHeight="1">
      <c r="A67" s="5" t="s">
        <v>369</v>
      </c>
      <c r="B67" s="5" t="s">
        <v>31</v>
      </c>
      <c r="C67" s="5" t="s">
        <v>344</v>
      </c>
      <c r="D67" s="5" t="s">
        <v>370</v>
      </c>
      <c r="E67" s="27" t="s">
        <v>371</v>
      </c>
      <c r="F67" s="5" t="s">
        <v>78</v>
      </c>
      <c r="G67" s="5" t="s">
        <v>371</v>
      </c>
      <c r="H67" s="23" t="s">
        <v>372</v>
      </c>
      <c r="I67" s="22">
        <v>3.316106113E9</v>
      </c>
      <c r="J67" s="5"/>
      <c r="K67" s="5" t="s">
        <v>373</v>
      </c>
      <c r="L67" s="5" t="s">
        <v>373</v>
      </c>
      <c r="M67" s="5"/>
      <c r="N67" s="5"/>
      <c r="O67" s="5"/>
    </row>
    <row r="68" ht="15.75" customHeight="1">
      <c r="A68" s="5" t="s">
        <v>374</v>
      </c>
      <c r="B68" s="5" t="s">
        <v>31</v>
      </c>
      <c r="C68" s="5" t="s">
        <v>344</v>
      </c>
      <c r="D68" s="5" t="s">
        <v>375</v>
      </c>
      <c r="E68" s="5" t="s">
        <v>376</v>
      </c>
      <c r="F68" s="5" t="s">
        <v>78</v>
      </c>
      <c r="G68" s="5" t="s">
        <v>376</v>
      </c>
      <c r="H68" s="23" t="s">
        <v>74</v>
      </c>
      <c r="I68" s="23">
        <v>7.531200508E9</v>
      </c>
      <c r="J68" s="5"/>
      <c r="K68" s="5" t="s">
        <v>377</v>
      </c>
      <c r="L68" s="5" t="s">
        <v>377</v>
      </c>
      <c r="M68" s="5"/>
      <c r="N68" s="5"/>
      <c r="O68" s="5"/>
    </row>
    <row r="69" ht="15.75" customHeight="1">
      <c r="A69" s="5" t="s">
        <v>378</v>
      </c>
      <c r="B69" s="5" t="s">
        <v>31</v>
      </c>
      <c r="C69" s="5" t="s">
        <v>344</v>
      </c>
      <c r="D69" s="5" t="s">
        <v>379</v>
      </c>
      <c r="E69" s="27" t="s">
        <v>380</v>
      </c>
      <c r="F69" s="5" t="s">
        <v>381</v>
      </c>
      <c r="G69" s="5" t="s">
        <v>382</v>
      </c>
      <c r="H69" s="23" t="s">
        <v>74</v>
      </c>
      <c r="I69" s="23">
        <v>3.93119646E9</v>
      </c>
      <c r="J69" s="5" t="s">
        <v>383</v>
      </c>
      <c r="K69" s="5"/>
      <c r="L69" s="5"/>
      <c r="M69" s="5"/>
      <c r="N69" s="5"/>
      <c r="O69" s="5"/>
    </row>
    <row r="70" ht="15.75" customHeight="1">
      <c r="A70" s="5" t="s">
        <v>384</v>
      </c>
      <c r="B70" s="5" t="s">
        <v>31</v>
      </c>
      <c r="C70" s="5" t="s">
        <v>385</v>
      </c>
      <c r="D70" s="5" t="s">
        <v>89</v>
      </c>
      <c r="E70" s="5" t="s">
        <v>386</v>
      </c>
      <c r="F70" s="5" t="s">
        <v>387</v>
      </c>
      <c r="G70" s="5" t="s">
        <v>386</v>
      </c>
      <c r="H70" s="23" t="s">
        <v>387</v>
      </c>
      <c r="I70" s="23">
        <v>3.316094471E9</v>
      </c>
      <c r="J70" s="5"/>
      <c r="K70" s="5" t="s">
        <v>388</v>
      </c>
      <c r="L70" s="5" t="s">
        <v>388</v>
      </c>
      <c r="M70" s="5"/>
      <c r="N70" s="5"/>
      <c r="O70" s="22" t="s">
        <v>223</v>
      </c>
    </row>
    <row r="71" ht="15.75" customHeight="1">
      <c r="A71" s="5" t="s">
        <v>389</v>
      </c>
      <c r="B71" s="5" t="s">
        <v>31</v>
      </c>
      <c r="C71" s="5" t="s">
        <v>385</v>
      </c>
      <c r="D71" s="5" t="s">
        <v>89</v>
      </c>
      <c r="E71" s="5" t="s">
        <v>390</v>
      </c>
      <c r="F71" s="5" t="s">
        <v>387</v>
      </c>
      <c r="G71" s="5" t="s">
        <v>391</v>
      </c>
      <c r="H71" s="23" t="s">
        <v>392</v>
      </c>
      <c r="I71" s="23"/>
      <c r="J71" s="5"/>
      <c r="K71" s="5" t="s">
        <v>393</v>
      </c>
      <c r="L71" s="5" t="s">
        <v>393</v>
      </c>
      <c r="M71" s="5"/>
      <c r="N71" s="5"/>
      <c r="O71" s="5"/>
    </row>
    <row r="72" ht="15.75" customHeight="1">
      <c r="A72" s="5" t="s">
        <v>394</v>
      </c>
      <c r="B72" s="5" t="s">
        <v>31</v>
      </c>
      <c r="C72" s="5" t="s">
        <v>385</v>
      </c>
      <c r="D72" s="5" t="s">
        <v>395</v>
      </c>
      <c r="E72" s="5" t="s">
        <v>396</v>
      </c>
      <c r="F72" s="5" t="s">
        <v>397</v>
      </c>
      <c r="G72" s="5" t="s">
        <v>396</v>
      </c>
      <c r="H72" s="23" t="s">
        <v>397</v>
      </c>
      <c r="I72" s="23"/>
      <c r="J72" s="5" t="s">
        <v>398</v>
      </c>
      <c r="K72" s="5"/>
      <c r="L72" s="5"/>
      <c r="M72" s="5"/>
      <c r="N72" s="5"/>
      <c r="O72" s="5"/>
    </row>
    <row r="73" ht="15.75" customHeight="1">
      <c r="A73" s="5" t="s">
        <v>399</v>
      </c>
      <c r="B73" s="5" t="s">
        <v>31</v>
      </c>
      <c r="C73" s="5" t="s">
        <v>385</v>
      </c>
      <c r="D73" s="5" t="s">
        <v>400</v>
      </c>
      <c r="E73" s="27" t="s">
        <v>401</v>
      </c>
      <c r="F73" s="5" t="s">
        <v>78</v>
      </c>
      <c r="G73" s="5" t="s">
        <v>402</v>
      </c>
      <c r="H73" s="23" t="s">
        <v>387</v>
      </c>
      <c r="I73" s="23">
        <v>3.931078005E9</v>
      </c>
      <c r="J73" s="5"/>
      <c r="K73" s="5"/>
      <c r="L73" s="5"/>
      <c r="M73" s="5"/>
      <c r="N73" s="5"/>
      <c r="O73" s="5"/>
    </row>
    <row r="74" ht="15.75" customHeight="1">
      <c r="A74" s="5" t="s">
        <v>403</v>
      </c>
      <c r="B74" s="5" t="s">
        <v>31</v>
      </c>
      <c r="C74" s="5" t="s">
        <v>385</v>
      </c>
      <c r="D74" s="5" t="s">
        <v>404</v>
      </c>
      <c r="E74" s="27" t="s">
        <v>405</v>
      </c>
      <c r="F74" s="5" t="s">
        <v>406</v>
      </c>
      <c r="G74" s="5"/>
      <c r="H74" s="23"/>
      <c r="I74" s="23">
        <v>3.31609388E9</v>
      </c>
      <c r="J74" s="5"/>
      <c r="K74" s="5"/>
      <c r="L74" s="5"/>
      <c r="M74" s="5"/>
      <c r="N74" s="5"/>
      <c r="O74" s="22" t="s">
        <v>223</v>
      </c>
    </row>
    <row r="75" ht="15.75" customHeight="1">
      <c r="A75" s="5" t="s">
        <v>407</v>
      </c>
      <c r="B75" s="5" t="s">
        <v>31</v>
      </c>
      <c r="C75" s="5" t="s">
        <v>385</v>
      </c>
      <c r="D75" s="5" t="s">
        <v>408</v>
      </c>
      <c r="E75" s="27" t="s">
        <v>409</v>
      </c>
      <c r="F75" s="5" t="s">
        <v>410</v>
      </c>
      <c r="G75" s="5" t="s">
        <v>411</v>
      </c>
      <c r="H75" s="23" t="s">
        <v>78</v>
      </c>
      <c r="I75" s="23">
        <v>3.337194504E9</v>
      </c>
      <c r="J75" s="5"/>
      <c r="K75" s="5"/>
      <c r="L75" s="5"/>
      <c r="M75" s="5"/>
      <c r="N75" s="5"/>
      <c r="O75" s="5"/>
    </row>
    <row r="76" ht="15.75" customHeight="1">
      <c r="A76" s="5" t="s">
        <v>412</v>
      </c>
      <c r="B76" s="5" t="s">
        <v>31</v>
      </c>
      <c r="C76" s="5" t="s">
        <v>385</v>
      </c>
      <c r="D76" s="5" t="s">
        <v>413</v>
      </c>
      <c r="E76" s="27" t="s">
        <v>414</v>
      </c>
      <c r="F76" s="5" t="s">
        <v>78</v>
      </c>
      <c r="G76" s="5" t="s">
        <v>415</v>
      </c>
      <c r="H76" s="23" t="s">
        <v>78</v>
      </c>
      <c r="I76" s="23">
        <v>3.93106444E9</v>
      </c>
      <c r="J76" s="5" t="s">
        <v>416</v>
      </c>
      <c r="K76" s="5"/>
      <c r="L76" s="5"/>
      <c r="M76" s="5"/>
      <c r="N76" s="5"/>
      <c r="O76" s="5"/>
    </row>
    <row r="77" ht="15.75" customHeight="1">
      <c r="A77" s="22" t="s">
        <v>417</v>
      </c>
      <c r="B77" s="5" t="s">
        <v>31</v>
      </c>
      <c r="C77" s="5" t="s">
        <v>385</v>
      </c>
      <c r="D77" s="5" t="s">
        <v>418</v>
      </c>
      <c r="E77" s="5" t="s">
        <v>419</v>
      </c>
      <c r="F77" s="5" t="s">
        <v>78</v>
      </c>
      <c r="G77" s="22" t="s">
        <v>420</v>
      </c>
      <c r="H77" s="23" t="s">
        <v>78</v>
      </c>
      <c r="I77" s="28">
        <v>3.921368749E9</v>
      </c>
      <c r="J77" s="5" t="s">
        <v>421</v>
      </c>
      <c r="K77" s="5"/>
      <c r="L77" s="5"/>
      <c r="M77" s="5"/>
      <c r="N77" s="5"/>
      <c r="O77" s="5"/>
    </row>
    <row r="78" ht="15.75" customHeight="1">
      <c r="A78" s="5" t="s">
        <v>422</v>
      </c>
      <c r="B78" s="5" t="s">
        <v>31</v>
      </c>
      <c r="C78" s="5" t="s">
        <v>385</v>
      </c>
      <c r="D78" s="5" t="s">
        <v>97</v>
      </c>
      <c r="E78" s="30" t="s">
        <v>423</v>
      </c>
      <c r="F78" s="5" t="s">
        <v>78</v>
      </c>
      <c r="G78" s="5" t="s">
        <v>424</v>
      </c>
      <c r="H78" s="23" t="s">
        <v>387</v>
      </c>
      <c r="I78" s="23">
        <v>3.931079811E9</v>
      </c>
      <c r="J78" s="5" t="s">
        <v>425</v>
      </c>
      <c r="K78" s="5"/>
      <c r="L78" s="5"/>
      <c r="M78" s="5"/>
      <c r="N78" s="5"/>
      <c r="O78" s="5"/>
    </row>
    <row r="79" ht="15.75" customHeight="1">
      <c r="A79" s="5" t="s">
        <v>426</v>
      </c>
      <c r="B79" s="5" t="s">
        <v>31</v>
      </c>
      <c r="C79" s="5" t="s">
        <v>385</v>
      </c>
      <c r="D79" s="5" t="s">
        <v>97</v>
      </c>
      <c r="E79" s="27" t="s">
        <v>427</v>
      </c>
      <c r="F79" s="5" t="s">
        <v>78</v>
      </c>
      <c r="G79" s="5" t="s">
        <v>428</v>
      </c>
      <c r="H79" s="23" t="s">
        <v>78</v>
      </c>
      <c r="I79" s="23">
        <v>3.931073736E9</v>
      </c>
      <c r="J79" s="5"/>
      <c r="K79" s="5"/>
      <c r="L79" s="5"/>
      <c r="M79" s="5"/>
      <c r="N79" s="5"/>
      <c r="O79" s="5"/>
    </row>
    <row r="80" ht="15.75" customHeight="1">
      <c r="A80" s="5" t="s">
        <v>429</v>
      </c>
      <c r="B80" s="5" t="s">
        <v>31</v>
      </c>
      <c r="C80" s="5" t="s">
        <v>385</v>
      </c>
      <c r="D80" s="5" t="s">
        <v>430</v>
      </c>
      <c r="E80" s="27" t="s">
        <v>431</v>
      </c>
      <c r="F80" s="5" t="s">
        <v>387</v>
      </c>
      <c r="G80" s="5" t="s">
        <v>432</v>
      </c>
      <c r="H80" s="23" t="s">
        <v>387</v>
      </c>
      <c r="I80" s="23">
        <v>3.931078067E9</v>
      </c>
      <c r="J80" s="5"/>
      <c r="K80" s="5" t="s">
        <v>433</v>
      </c>
      <c r="L80" s="5" t="s">
        <v>434</v>
      </c>
      <c r="M80" s="5"/>
      <c r="N80" s="5"/>
      <c r="O80" s="5"/>
    </row>
    <row r="81" ht="15.75" customHeight="1">
      <c r="A81" s="22" t="s">
        <v>435</v>
      </c>
      <c r="B81" s="22" t="s">
        <v>31</v>
      </c>
      <c r="C81" s="22" t="s">
        <v>385</v>
      </c>
      <c r="D81" s="22" t="s">
        <v>436</v>
      </c>
      <c r="E81" s="22" t="s">
        <v>437</v>
      </c>
      <c r="F81" s="5" t="s">
        <v>387</v>
      </c>
      <c r="G81" s="22" t="s">
        <v>438</v>
      </c>
      <c r="H81" s="22" t="s">
        <v>78</v>
      </c>
      <c r="I81" s="23">
        <v>3.781868858E9</v>
      </c>
      <c r="J81" s="22" t="s">
        <v>439</v>
      </c>
      <c r="K81" s="5"/>
      <c r="L81" s="5"/>
      <c r="M81" s="5"/>
      <c r="N81" s="5"/>
      <c r="O81" s="5"/>
    </row>
    <row r="82" ht="15.75" customHeight="1">
      <c r="A82" s="5" t="s">
        <v>440</v>
      </c>
      <c r="B82" s="5" t="s">
        <v>31</v>
      </c>
      <c r="C82" s="5" t="s">
        <v>441</v>
      </c>
      <c r="D82" s="5" t="s">
        <v>442</v>
      </c>
      <c r="E82" s="5" t="s">
        <v>443</v>
      </c>
      <c r="F82" s="5" t="s">
        <v>444</v>
      </c>
      <c r="G82" s="5" t="s">
        <v>445</v>
      </c>
      <c r="H82" s="23" t="s">
        <v>446</v>
      </c>
      <c r="I82" s="23">
        <v>3.781868859E9</v>
      </c>
      <c r="J82" s="5" t="s">
        <v>447</v>
      </c>
      <c r="K82" s="5"/>
      <c r="L82" s="5"/>
      <c r="M82" s="5"/>
      <c r="N82" s="5"/>
      <c r="O82" s="5"/>
    </row>
    <row r="83" ht="15.75" customHeight="1">
      <c r="A83" s="5" t="s">
        <v>448</v>
      </c>
      <c r="B83" s="5" t="s">
        <v>31</v>
      </c>
      <c r="C83" s="5" t="s">
        <v>441</v>
      </c>
      <c r="D83" s="5" t="s">
        <v>449</v>
      </c>
      <c r="E83" s="5" t="s">
        <v>443</v>
      </c>
      <c r="F83" s="5" t="s">
        <v>444</v>
      </c>
      <c r="G83" s="5" t="s">
        <v>445</v>
      </c>
      <c r="H83" s="23" t="s">
        <v>446</v>
      </c>
      <c r="I83" s="23">
        <v>3.939332335E9</v>
      </c>
      <c r="J83" s="5" t="s">
        <v>450</v>
      </c>
      <c r="K83" s="5"/>
      <c r="L83" s="5"/>
      <c r="M83" s="5"/>
      <c r="N83" s="5"/>
      <c r="O83" s="5"/>
    </row>
    <row r="84" ht="15.75" customHeight="1">
      <c r="A84" s="5" t="s">
        <v>451</v>
      </c>
      <c r="B84" s="5" t="s">
        <v>31</v>
      </c>
      <c r="C84" s="5" t="s">
        <v>452</v>
      </c>
      <c r="D84" s="5" t="s">
        <v>453</v>
      </c>
      <c r="E84" s="27" t="s">
        <v>454</v>
      </c>
      <c r="F84" s="5" t="s">
        <v>455</v>
      </c>
      <c r="G84" s="5" t="s">
        <v>456</v>
      </c>
      <c r="H84" s="23" t="s">
        <v>74</v>
      </c>
      <c r="I84" s="23">
        <v>3.931079959E9</v>
      </c>
      <c r="J84" s="5" t="s">
        <v>457</v>
      </c>
      <c r="K84" s="5"/>
      <c r="L84" s="5"/>
      <c r="M84" s="5"/>
      <c r="N84" s="5"/>
      <c r="O84" s="5"/>
    </row>
    <row r="85" ht="15.75" customHeight="1">
      <c r="A85" s="5" t="s">
        <v>458</v>
      </c>
      <c r="B85" s="5" t="s">
        <v>31</v>
      </c>
      <c r="C85" s="5" t="s">
        <v>459</v>
      </c>
      <c r="D85" s="5" t="s">
        <v>460</v>
      </c>
      <c r="E85" s="27" t="s">
        <v>461</v>
      </c>
      <c r="F85" s="5" t="s">
        <v>78</v>
      </c>
      <c r="G85" s="5" t="s">
        <v>462</v>
      </c>
      <c r="H85" s="23" t="s">
        <v>78</v>
      </c>
      <c r="I85" s="23">
        <v>3.911039008E9</v>
      </c>
      <c r="J85" s="5"/>
      <c r="K85" s="5"/>
      <c r="L85" s="5"/>
      <c r="M85" s="5"/>
      <c r="N85" s="5"/>
      <c r="O85" s="5"/>
    </row>
    <row r="86" ht="15.75" customHeight="1">
      <c r="A86" s="5" t="s">
        <v>463</v>
      </c>
      <c r="B86" s="5" t="s">
        <v>31</v>
      </c>
      <c r="C86" s="5"/>
      <c r="D86" s="5" t="s">
        <v>464</v>
      </c>
      <c r="E86" s="5" t="s">
        <v>465</v>
      </c>
      <c r="F86" s="5" t="s">
        <v>78</v>
      </c>
      <c r="G86" s="5"/>
      <c r="H86" s="23"/>
      <c r="I86" s="23"/>
      <c r="J86" s="5"/>
      <c r="K86" s="5"/>
      <c r="L86" s="5"/>
      <c r="M86" s="5"/>
      <c r="N86" s="5"/>
      <c r="O86" s="5"/>
    </row>
    <row r="87" ht="15.75" customHeight="1">
      <c r="A87" s="5" t="s">
        <v>466</v>
      </c>
      <c r="B87" s="5" t="s">
        <v>15</v>
      </c>
      <c r="C87" s="5" t="s">
        <v>70</v>
      </c>
      <c r="D87" s="5" t="s">
        <v>71</v>
      </c>
      <c r="E87" s="5" t="s">
        <v>467</v>
      </c>
      <c r="F87" s="5" t="s">
        <v>468</v>
      </c>
      <c r="G87" s="5" t="s">
        <v>467</v>
      </c>
      <c r="H87" s="23" t="s">
        <v>469</v>
      </c>
      <c r="I87" s="23">
        <v>3.52138702E9</v>
      </c>
      <c r="J87" s="5" t="s">
        <v>470</v>
      </c>
      <c r="K87" s="5"/>
      <c r="L87" s="5"/>
      <c r="M87" s="5"/>
      <c r="N87" s="5" t="s">
        <v>471</v>
      </c>
      <c r="O87" s="5"/>
    </row>
    <row r="88" ht="15.75" customHeight="1">
      <c r="A88" s="5" t="s">
        <v>472</v>
      </c>
      <c r="B88" s="5" t="s">
        <v>15</v>
      </c>
      <c r="C88" s="5" t="s">
        <v>70</v>
      </c>
      <c r="D88" s="5" t="s">
        <v>71</v>
      </c>
      <c r="E88" s="5" t="s">
        <v>473</v>
      </c>
      <c r="F88" s="5" t="s">
        <v>469</v>
      </c>
      <c r="G88" s="5" t="s">
        <v>474</v>
      </c>
      <c r="H88" s="23" t="s">
        <v>469</v>
      </c>
      <c r="I88" s="23">
        <v>3.931190074E9</v>
      </c>
      <c r="J88" s="5" t="s">
        <v>475</v>
      </c>
      <c r="K88" s="5"/>
      <c r="L88" s="5"/>
      <c r="M88" s="5"/>
      <c r="N88" s="5"/>
      <c r="O88" s="5"/>
    </row>
    <row r="89" ht="15.75" customHeight="1">
      <c r="A89" s="5" t="s">
        <v>476</v>
      </c>
      <c r="B89" s="5" t="s">
        <v>15</v>
      </c>
      <c r="C89" s="5" t="s">
        <v>70</v>
      </c>
      <c r="D89" s="5" t="s">
        <v>97</v>
      </c>
      <c r="E89" s="27" t="s">
        <v>477</v>
      </c>
      <c r="F89" s="5" t="s">
        <v>469</v>
      </c>
      <c r="G89" s="5"/>
      <c r="H89" s="23"/>
      <c r="I89" s="23"/>
      <c r="J89" s="5"/>
      <c r="K89" s="5"/>
      <c r="L89" s="5"/>
      <c r="M89" s="5"/>
      <c r="N89" s="5"/>
      <c r="O89" s="5"/>
    </row>
    <row r="90" ht="15.75" customHeight="1">
      <c r="A90" s="5" t="s">
        <v>478</v>
      </c>
      <c r="B90" s="5" t="s">
        <v>15</v>
      </c>
      <c r="C90" s="5" t="s">
        <v>160</v>
      </c>
      <c r="D90" s="5" t="s">
        <v>174</v>
      </c>
      <c r="E90" s="22" t="s">
        <v>479</v>
      </c>
      <c r="F90" s="5"/>
      <c r="G90" s="5" t="s">
        <v>480</v>
      </c>
      <c r="H90" s="23" t="s">
        <v>469</v>
      </c>
      <c r="I90" s="23"/>
      <c r="J90" s="5"/>
      <c r="K90" s="5" t="s">
        <v>481</v>
      </c>
      <c r="L90" s="5" t="s">
        <v>481</v>
      </c>
      <c r="M90" s="5"/>
      <c r="N90" s="5"/>
      <c r="O90" s="5"/>
    </row>
    <row r="91" ht="15.75" customHeight="1">
      <c r="A91" s="5" t="s">
        <v>482</v>
      </c>
      <c r="B91" s="5" t="s">
        <v>15</v>
      </c>
      <c r="C91" s="5" t="s">
        <v>483</v>
      </c>
      <c r="D91" s="5" t="s">
        <v>89</v>
      </c>
      <c r="E91" s="27" t="s">
        <v>484</v>
      </c>
      <c r="F91" s="5" t="s">
        <v>469</v>
      </c>
      <c r="G91" s="5" t="s">
        <v>485</v>
      </c>
      <c r="H91" s="23" t="s">
        <v>469</v>
      </c>
      <c r="I91" s="23">
        <v>3.931001477E9</v>
      </c>
      <c r="J91" s="5"/>
      <c r="K91" s="5" t="s">
        <v>486</v>
      </c>
      <c r="L91" s="5" t="s">
        <v>486</v>
      </c>
      <c r="M91" s="5"/>
      <c r="N91" s="5"/>
      <c r="O91" s="5"/>
    </row>
    <row r="92" ht="15.75" customHeight="1">
      <c r="A92" s="5" t="s">
        <v>487</v>
      </c>
      <c r="B92" s="5" t="s">
        <v>15</v>
      </c>
      <c r="C92" s="5" t="s">
        <v>483</v>
      </c>
      <c r="D92" s="5" t="s">
        <v>127</v>
      </c>
      <c r="E92" s="27" t="s">
        <v>488</v>
      </c>
      <c r="F92" s="5" t="s">
        <v>469</v>
      </c>
      <c r="G92" s="5" t="s">
        <v>489</v>
      </c>
      <c r="H92" s="23" t="s">
        <v>469</v>
      </c>
      <c r="I92" s="23">
        <v>3.316094916E9</v>
      </c>
      <c r="J92" s="5"/>
      <c r="K92" s="5"/>
      <c r="L92" s="5"/>
      <c r="M92" s="5"/>
      <c r="N92" s="5"/>
      <c r="O92" s="22" t="s">
        <v>223</v>
      </c>
    </row>
    <row r="93" ht="15.75" customHeight="1">
      <c r="A93" s="5" t="s">
        <v>490</v>
      </c>
      <c r="B93" s="5" t="s">
        <v>15</v>
      </c>
      <c r="C93" s="5" t="s">
        <v>483</v>
      </c>
      <c r="D93" s="5" t="s">
        <v>491</v>
      </c>
      <c r="E93" s="27" t="s">
        <v>492</v>
      </c>
      <c r="F93" s="5" t="s">
        <v>493</v>
      </c>
      <c r="G93" s="5" t="s">
        <v>494</v>
      </c>
      <c r="H93" s="23" t="s">
        <v>74</v>
      </c>
      <c r="I93" s="23">
        <v>3.315684816E9</v>
      </c>
      <c r="J93" s="5" t="s">
        <v>495</v>
      </c>
      <c r="K93" s="5"/>
      <c r="L93" s="5"/>
      <c r="M93" s="5"/>
      <c r="N93" s="5"/>
      <c r="O93" s="22" t="s">
        <v>223</v>
      </c>
    </row>
    <row r="94" ht="15.75" customHeight="1">
      <c r="A94" s="5" t="s">
        <v>496</v>
      </c>
      <c r="B94" s="5" t="s">
        <v>15</v>
      </c>
      <c r="C94" s="5" t="s">
        <v>225</v>
      </c>
      <c r="D94" s="5" t="s">
        <v>71</v>
      </c>
      <c r="E94" s="27" t="s">
        <v>497</v>
      </c>
      <c r="F94" s="5" t="s">
        <v>498</v>
      </c>
      <c r="G94" s="5" t="s">
        <v>499</v>
      </c>
      <c r="H94" s="23" t="s">
        <v>498</v>
      </c>
      <c r="I94" s="23">
        <v>3.316133712E9</v>
      </c>
      <c r="J94" s="5"/>
      <c r="K94" s="5"/>
      <c r="L94" s="5"/>
      <c r="M94" s="5"/>
      <c r="N94" s="5" t="s">
        <v>500</v>
      </c>
      <c r="O94" s="5"/>
    </row>
    <row r="95" ht="15.75" customHeight="1">
      <c r="A95" s="5" t="s">
        <v>501</v>
      </c>
      <c r="B95" s="5" t="s">
        <v>15</v>
      </c>
      <c r="C95" s="5" t="s">
        <v>225</v>
      </c>
      <c r="D95" s="5" t="s">
        <v>71</v>
      </c>
      <c r="E95" s="27" t="s">
        <v>502</v>
      </c>
      <c r="F95" s="5" t="s">
        <v>503</v>
      </c>
      <c r="G95" s="5" t="s">
        <v>504</v>
      </c>
      <c r="H95" s="23" t="s">
        <v>74</v>
      </c>
      <c r="I95" s="23">
        <v>3.338560241E9</v>
      </c>
      <c r="J95" s="5"/>
      <c r="K95" s="5"/>
      <c r="L95" s="5"/>
      <c r="M95" s="5"/>
      <c r="N95" s="5" t="s">
        <v>505</v>
      </c>
      <c r="O95" s="5"/>
    </row>
    <row r="96" ht="15.75" customHeight="1">
      <c r="A96" s="22" t="s">
        <v>506</v>
      </c>
      <c r="B96" s="5" t="s">
        <v>15</v>
      </c>
      <c r="C96" s="5" t="s">
        <v>225</v>
      </c>
      <c r="D96" s="5" t="s">
        <v>71</v>
      </c>
      <c r="E96" s="27" t="s">
        <v>507</v>
      </c>
      <c r="F96" s="5" t="s">
        <v>74</v>
      </c>
      <c r="G96" s="5" t="s">
        <v>508</v>
      </c>
      <c r="H96" s="23" t="s">
        <v>74</v>
      </c>
      <c r="I96" s="23"/>
      <c r="J96" s="5"/>
      <c r="K96" s="5" t="s">
        <v>509</v>
      </c>
      <c r="L96" s="5" t="s">
        <v>509</v>
      </c>
      <c r="M96" s="5"/>
      <c r="N96" s="5" t="s">
        <v>510</v>
      </c>
      <c r="O96" s="5"/>
    </row>
    <row r="97" ht="15.75" customHeight="1">
      <c r="A97" s="5" t="s">
        <v>511</v>
      </c>
      <c r="B97" s="5" t="s">
        <v>15</v>
      </c>
      <c r="C97" s="5" t="s">
        <v>225</v>
      </c>
      <c r="D97" s="5" t="s">
        <v>71</v>
      </c>
      <c r="E97" s="5" t="s">
        <v>512</v>
      </c>
      <c r="F97" s="5" t="s">
        <v>469</v>
      </c>
      <c r="G97" s="5" t="s">
        <v>512</v>
      </c>
      <c r="H97" s="23" t="s">
        <v>469</v>
      </c>
      <c r="I97" s="23">
        <v>3.316129046E9</v>
      </c>
      <c r="J97" s="5"/>
      <c r="K97" s="5" t="s">
        <v>513</v>
      </c>
      <c r="L97" s="5" t="s">
        <v>513</v>
      </c>
      <c r="M97" s="5"/>
      <c r="N97" s="5" t="s">
        <v>514</v>
      </c>
      <c r="O97" s="5"/>
    </row>
    <row r="98" ht="15.75" customHeight="1">
      <c r="A98" s="5" t="s">
        <v>515</v>
      </c>
      <c r="B98" s="5" t="s">
        <v>15</v>
      </c>
      <c r="C98" s="5" t="s">
        <v>295</v>
      </c>
      <c r="D98" s="5" t="s">
        <v>71</v>
      </c>
      <c r="E98" s="5" t="s">
        <v>516</v>
      </c>
      <c r="F98" s="5" t="s">
        <v>469</v>
      </c>
      <c r="G98" s="5" t="s">
        <v>516</v>
      </c>
      <c r="H98" s="23" t="s">
        <v>469</v>
      </c>
      <c r="I98" s="23">
        <v>3.316147399E9</v>
      </c>
      <c r="J98" s="5"/>
      <c r="K98" s="5" t="s">
        <v>517</v>
      </c>
      <c r="L98" s="5" t="s">
        <v>517</v>
      </c>
      <c r="M98" s="5"/>
      <c r="N98" s="5" t="s">
        <v>518</v>
      </c>
      <c r="O98" s="5"/>
    </row>
    <row r="99" ht="15.75" customHeight="1">
      <c r="A99" s="5" t="s">
        <v>519</v>
      </c>
      <c r="B99" s="5" t="s">
        <v>15</v>
      </c>
      <c r="C99" s="5" t="s">
        <v>344</v>
      </c>
      <c r="D99" s="5" t="s">
        <v>355</v>
      </c>
      <c r="E99" s="27" t="s">
        <v>520</v>
      </c>
      <c r="F99" s="5" t="s">
        <v>521</v>
      </c>
      <c r="G99" s="5" t="s">
        <v>522</v>
      </c>
      <c r="H99" s="23" t="s">
        <v>74</v>
      </c>
      <c r="I99" s="23">
        <v>3.521471232E9</v>
      </c>
      <c r="J99" s="5"/>
      <c r="K99" s="5" t="s">
        <v>523</v>
      </c>
      <c r="L99" s="5" t="s">
        <v>523</v>
      </c>
      <c r="M99" s="5"/>
      <c r="N99" s="5" t="s">
        <v>524</v>
      </c>
      <c r="O99" s="5"/>
    </row>
    <row r="100" ht="15.75" customHeight="1">
      <c r="A100" s="22" t="s">
        <v>525</v>
      </c>
      <c r="B100" s="5" t="s">
        <v>15</v>
      </c>
      <c r="C100" s="5" t="s">
        <v>344</v>
      </c>
      <c r="D100" s="5" t="s">
        <v>355</v>
      </c>
      <c r="E100" s="22" t="s">
        <v>526</v>
      </c>
      <c r="F100" s="22" t="s">
        <v>469</v>
      </c>
      <c r="G100" s="22" t="s">
        <v>527</v>
      </c>
      <c r="H100" s="28" t="s">
        <v>469</v>
      </c>
      <c r="I100" s="23">
        <v>3.338560382E9</v>
      </c>
      <c r="J100" s="5"/>
      <c r="K100" s="5" t="s">
        <v>528</v>
      </c>
      <c r="L100" s="5" t="s">
        <v>528</v>
      </c>
      <c r="M100" s="5"/>
      <c r="N100" s="5" t="s">
        <v>529</v>
      </c>
      <c r="O100" s="5"/>
    </row>
    <row r="101" ht="15.75" customHeight="1">
      <c r="A101" s="5" t="s">
        <v>530</v>
      </c>
      <c r="B101" s="5" t="s">
        <v>15</v>
      </c>
      <c r="C101" s="5" t="s">
        <v>344</v>
      </c>
      <c r="D101" s="5" t="s">
        <v>375</v>
      </c>
      <c r="E101" s="5" t="s">
        <v>531</v>
      </c>
      <c r="F101" s="5" t="s">
        <v>469</v>
      </c>
      <c r="G101" s="5" t="s">
        <v>532</v>
      </c>
      <c r="H101" s="23" t="s">
        <v>533</v>
      </c>
      <c r="I101" s="23">
        <v>3.31613378E9</v>
      </c>
      <c r="J101" s="5"/>
      <c r="K101" s="5" t="s">
        <v>534</v>
      </c>
      <c r="L101" s="5" t="s">
        <v>534</v>
      </c>
      <c r="M101" s="5"/>
      <c r="N101" s="5"/>
      <c r="O101" s="5"/>
    </row>
    <row r="102" ht="15.75" customHeight="1">
      <c r="A102" s="5" t="s">
        <v>535</v>
      </c>
      <c r="B102" s="5" t="s">
        <v>15</v>
      </c>
      <c r="C102" s="5" t="s">
        <v>385</v>
      </c>
      <c r="D102" s="5" t="s">
        <v>89</v>
      </c>
      <c r="E102" s="27" t="s">
        <v>536</v>
      </c>
      <c r="F102" s="5" t="s">
        <v>74</v>
      </c>
      <c r="G102" s="5" t="s">
        <v>537</v>
      </c>
      <c r="H102" s="23" t="s">
        <v>538</v>
      </c>
      <c r="I102" s="23">
        <v>3.318629135E9</v>
      </c>
      <c r="J102" s="5"/>
      <c r="K102" s="5" t="s">
        <v>539</v>
      </c>
      <c r="L102" s="5" t="s">
        <v>539</v>
      </c>
      <c r="M102" s="5"/>
      <c r="N102" s="5"/>
      <c r="O102" s="5"/>
    </row>
    <row r="103" ht="15.75" customHeight="1">
      <c r="A103" s="5" t="s">
        <v>540</v>
      </c>
      <c r="B103" s="5" t="s">
        <v>15</v>
      </c>
      <c r="C103" s="5" t="s">
        <v>385</v>
      </c>
      <c r="D103" s="5" t="s">
        <v>89</v>
      </c>
      <c r="E103" s="5" t="s">
        <v>541</v>
      </c>
      <c r="F103" s="5" t="s">
        <v>469</v>
      </c>
      <c r="G103" s="5" t="s">
        <v>541</v>
      </c>
      <c r="H103" s="23" t="s">
        <v>469</v>
      </c>
      <c r="I103" s="23"/>
      <c r="J103" s="5"/>
      <c r="K103" s="5" t="s">
        <v>542</v>
      </c>
      <c r="L103" s="5" t="s">
        <v>542</v>
      </c>
      <c r="M103" s="5"/>
      <c r="N103" s="5"/>
      <c r="O103" s="5"/>
    </row>
    <row r="104" ht="15.75" customHeight="1">
      <c r="A104" s="5" t="s">
        <v>543</v>
      </c>
      <c r="B104" s="5" t="s">
        <v>15</v>
      </c>
      <c r="C104" s="5" t="s">
        <v>385</v>
      </c>
      <c r="D104" s="5" t="s">
        <v>400</v>
      </c>
      <c r="E104" s="5" t="s">
        <v>544</v>
      </c>
      <c r="F104" s="5" t="s">
        <v>545</v>
      </c>
      <c r="G104" s="5" t="s">
        <v>544</v>
      </c>
      <c r="H104" s="23" t="s">
        <v>469</v>
      </c>
      <c r="I104" s="5">
        <v>3.316114768E9</v>
      </c>
      <c r="J104" s="5"/>
      <c r="K104" s="5" t="s">
        <v>546</v>
      </c>
      <c r="L104" s="5" t="s">
        <v>546</v>
      </c>
      <c r="M104" s="5"/>
      <c r="N104" s="5"/>
      <c r="O104" s="5"/>
    </row>
    <row r="105" ht="15.75" customHeight="1">
      <c r="A105" s="5" t="s">
        <v>547</v>
      </c>
      <c r="B105" s="5" t="s">
        <v>15</v>
      </c>
      <c r="C105" s="5" t="s">
        <v>385</v>
      </c>
      <c r="D105" s="5" t="s">
        <v>418</v>
      </c>
      <c r="E105" s="31" t="s">
        <v>548</v>
      </c>
      <c r="F105" s="22" t="s">
        <v>469</v>
      </c>
      <c r="G105" s="31" t="s">
        <v>549</v>
      </c>
      <c r="H105" s="23" t="s">
        <v>469</v>
      </c>
      <c r="I105" s="5">
        <v>3.521421218E9</v>
      </c>
      <c r="J105" s="5"/>
      <c r="K105" s="5"/>
      <c r="L105" s="5"/>
      <c r="M105" s="5"/>
      <c r="N105" s="5"/>
      <c r="O105" s="5"/>
    </row>
    <row r="106" ht="15.75" customHeight="1">
      <c r="A106" s="5" t="s">
        <v>550</v>
      </c>
      <c r="B106" s="5" t="s">
        <v>551</v>
      </c>
      <c r="C106" s="5" t="s">
        <v>160</v>
      </c>
      <c r="D106" s="5" t="s">
        <v>174</v>
      </c>
      <c r="E106" s="5" t="s">
        <v>552</v>
      </c>
      <c r="F106" s="5" t="s">
        <v>74</v>
      </c>
      <c r="G106" s="5" t="s">
        <v>552</v>
      </c>
      <c r="H106" s="23" t="s">
        <v>553</v>
      </c>
      <c r="I106" s="23"/>
      <c r="J106" s="5"/>
      <c r="K106" s="5" t="s">
        <v>554</v>
      </c>
      <c r="L106" s="5" t="s">
        <v>554</v>
      </c>
      <c r="M106" s="5"/>
      <c r="N106" s="5"/>
      <c r="O106" s="5"/>
    </row>
    <row r="107" ht="15.75" customHeight="1">
      <c r="A107" s="5" t="s">
        <v>555</v>
      </c>
      <c r="B107" s="5" t="s">
        <v>551</v>
      </c>
      <c r="C107" s="5" t="s">
        <v>483</v>
      </c>
      <c r="D107" s="5" t="s">
        <v>89</v>
      </c>
      <c r="E107" s="27" t="s">
        <v>556</v>
      </c>
      <c r="F107" s="5" t="s">
        <v>557</v>
      </c>
      <c r="G107" s="5" t="s">
        <v>558</v>
      </c>
      <c r="H107" s="23" t="s">
        <v>559</v>
      </c>
      <c r="I107" s="23">
        <v>4.432078351E9</v>
      </c>
      <c r="J107" s="5"/>
      <c r="K107" s="5" t="s">
        <v>560</v>
      </c>
      <c r="L107" s="5" t="s">
        <v>560</v>
      </c>
      <c r="M107" s="5"/>
      <c r="N107" s="5"/>
      <c r="O107" s="5"/>
    </row>
    <row r="108" ht="15.75" customHeight="1">
      <c r="A108" s="5" t="s">
        <v>561</v>
      </c>
      <c r="B108" s="5" t="s">
        <v>551</v>
      </c>
      <c r="C108" s="5" t="s">
        <v>483</v>
      </c>
      <c r="D108" s="5" t="s">
        <v>491</v>
      </c>
      <c r="E108" s="27" t="s">
        <v>562</v>
      </c>
      <c r="F108" s="5" t="s">
        <v>553</v>
      </c>
      <c r="G108" s="5" t="s">
        <v>563</v>
      </c>
      <c r="H108" s="23" t="s">
        <v>564</v>
      </c>
      <c r="I108" s="23">
        <v>3.321842313E9</v>
      </c>
      <c r="J108" s="5" t="s">
        <v>565</v>
      </c>
      <c r="K108" s="5"/>
      <c r="L108" s="5"/>
      <c r="M108" s="5"/>
      <c r="N108" s="5"/>
      <c r="O108" s="5"/>
    </row>
    <row r="109" ht="15.75" customHeight="1">
      <c r="A109" s="5" t="s">
        <v>566</v>
      </c>
      <c r="B109" s="5" t="s">
        <v>551</v>
      </c>
      <c r="C109" s="5" t="s">
        <v>225</v>
      </c>
      <c r="D109" s="5" t="s">
        <v>71</v>
      </c>
      <c r="E109" s="27" t="s">
        <v>567</v>
      </c>
      <c r="F109" s="22" t="s">
        <v>553</v>
      </c>
      <c r="G109" s="5" t="s">
        <v>568</v>
      </c>
      <c r="H109" s="23" t="s">
        <v>74</v>
      </c>
      <c r="I109" s="23">
        <v>4.434913907E9</v>
      </c>
      <c r="J109" s="5" t="s">
        <v>569</v>
      </c>
      <c r="K109" s="5"/>
      <c r="L109" s="5"/>
      <c r="M109" s="5"/>
      <c r="N109" s="5" t="s">
        <v>570</v>
      </c>
      <c r="O109" s="5"/>
    </row>
    <row r="110" ht="15.75" customHeight="1">
      <c r="A110" s="5" t="s">
        <v>571</v>
      </c>
      <c r="B110" s="5" t="s">
        <v>551</v>
      </c>
      <c r="C110" s="5" t="s">
        <v>225</v>
      </c>
      <c r="D110" s="5" t="s">
        <v>71</v>
      </c>
      <c r="E110" s="27" t="s">
        <v>572</v>
      </c>
      <c r="F110" s="5" t="s">
        <v>553</v>
      </c>
      <c r="G110" s="5" t="s">
        <v>573</v>
      </c>
      <c r="H110" s="23" t="s">
        <v>553</v>
      </c>
      <c r="I110" s="23">
        <v>7.531153361E9</v>
      </c>
      <c r="J110" s="5"/>
      <c r="K110" s="5"/>
      <c r="L110" s="5"/>
      <c r="M110" s="5"/>
      <c r="N110" s="5" t="s">
        <v>574</v>
      </c>
      <c r="O110" s="5"/>
    </row>
    <row r="111" ht="15.75" customHeight="1">
      <c r="A111" s="5" t="s">
        <v>575</v>
      </c>
      <c r="B111" s="5" t="s">
        <v>551</v>
      </c>
      <c r="C111" s="5" t="s">
        <v>225</v>
      </c>
      <c r="D111" s="5" t="s">
        <v>71</v>
      </c>
      <c r="E111" s="5" t="s">
        <v>576</v>
      </c>
      <c r="F111" s="5" t="s">
        <v>553</v>
      </c>
      <c r="G111" s="5" t="s">
        <v>576</v>
      </c>
      <c r="H111" s="23" t="s">
        <v>553</v>
      </c>
      <c r="I111" s="22">
        <v>4.432725034E9</v>
      </c>
      <c r="J111" s="5" t="s">
        <v>577</v>
      </c>
      <c r="K111" s="5"/>
      <c r="L111" s="5"/>
      <c r="M111" s="5"/>
      <c r="N111" s="5"/>
      <c r="O111" s="5"/>
      <c r="P111" s="23">
        <v>4.431281396E9</v>
      </c>
    </row>
    <row r="112" ht="15.75" customHeight="1">
      <c r="A112" s="5" t="s">
        <v>578</v>
      </c>
      <c r="B112" s="5" t="s">
        <v>551</v>
      </c>
      <c r="C112" s="5" t="s">
        <v>225</v>
      </c>
      <c r="D112" s="5" t="s">
        <v>71</v>
      </c>
      <c r="E112" s="27" t="s">
        <v>579</v>
      </c>
      <c r="F112" s="5" t="s">
        <v>553</v>
      </c>
      <c r="G112" s="5" t="s">
        <v>580</v>
      </c>
      <c r="H112" s="23" t="s">
        <v>553</v>
      </c>
      <c r="I112" s="23">
        <v>4.432276388E9</v>
      </c>
      <c r="J112" s="5"/>
      <c r="K112" s="5"/>
      <c r="L112" s="5"/>
      <c r="M112" s="5"/>
      <c r="N112" s="5" t="s">
        <v>581</v>
      </c>
      <c r="O112" s="5"/>
    </row>
    <row r="113" ht="15.75" customHeight="1">
      <c r="A113" s="5" t="s">
        <v>582</v>
      </c>
      <c r="B113" s="5" t="s">
        <v>551</v>
      </c>
      <c r="C113" s="5" t="s">
        <v>225</v>
      </c>
      <c r="D113" s="5" t="s">
        <v>71</v>
      </c>
      <c r="E113" s="27" t="s">
        <v>583</v>
      </c>
      <c r="F113" s="5" t="s">
        <v>553</v>
      </c>
      <c r="G113" s="5" t="s">
        <v>584</v>
      </c>
      <c r="H113" s="23" t="s">
        <v>553</v>
      </c>
      <c r="I113" s="23">
        <v>3.316135271E9</v>
      </c>
      <c r="J113" s="5" t="s">
        <v>585</v>
      </c>
      <c r="K113" s="5"/>
      <c r="L113" s="5"/>
      <c r="M113" s="5"/>
      <c r="N113" s="5" t="s">
        <v>586</v>
      </c>
      <c r="O113" s="5"/>
    </row>
    <row r="114" ht="15.75" customHeight="1">
      <c r="A114" s="22" t="s">
        <v>587</v>
      </c>
      <c r="B114" s="5" t="s">
        <v>551</v>
      </c>
      <c r="C114" s="22" t="s">
        <v>295</v>
      </c>
      <c r="D114" s="5" t="s">
        <v>71</v>
      </c>
      <c r="E114" s="32" t="s">
        <v>588</v>
      </c>
      <c r="F114" s="33" t="s">
        <v>553</v>
      </c>
      <c r="G114" s="22" t="s">
        <v>589</v>
      </c>
      <c r="H114" s="23" t="s">
        <v>553</v>
      </c>
      <c r="I114" s="28">
        <v>4.432725034E9</v>
      </c>
      <c r="J114" s="5"/>
      <c r="K114" s="5"/>
      <c r="L114" s="5"/>
      <c r="M114" s="5"/>
      <c r="N114" s="5" t="s">
        <v>590</v>
      </c>
      <c r="O114" s="5"/>
    </row>
    <row r="115" ht="15.75" customHeight="1">
      <c r="A115" s="22" t="s">
        <v>591</v>
      </c>
      <c r="B115" s="5" t="s">
        <v>551</v>
      </c>
      <c r="C115" s="5" t="s">
        <v>295</v>
      </c>
      <c r="D115" s="5" t="s">
        <v>71</v>
      </c>
      <c r="E115" s="27" t="s">
        <v>592</v>
      </c>
      <c r="F115" s="5" t="s">
        <v>593</v>
      </c>
      <c r="G115" s="5" t="s">
        <v>594</v>
      </c>
      <c r="H115" s="23" t="s">
        <v>593</v>
      </c>
      <c r="I115" s="23">
        <v>4.434913915E9</v>
      </c>
      <c r="J115" s="5"/>
      <c r="K115" s="5"/>
      <c r="L115" s="5"/>
      <c r="M115" s="5"/>
      <c r="N115" s="5" t="s">
        <v>595</v>
      </c>
      <c r="O115" s="5"/>
    </row>
    <row r="116" ht="15.75" customHeight="1">
      <c r="A116" s="22" t="s">
        <v>596</v>
      </c>
      <c r="B116" s="22" t="s">
        <v>551</v>
      </c>
      <c r="C116" s="22" t="s">
        <v>295</v>
      </c>
      <c r="D116" s="22" t="s">
        <v>71</v>
      </c>
      <c r="E116" s="22" t="s">
        <v>597</v>
      </c>
      <c r="F116" s="22" t="s">
        <v>553</v>
      </c>
      <c r="G116" s="22" t="s">
        <v>598</v>
      </c>
      <c r="H116" s="23" t="s">
        <v>553</v>
      </c>
      <c r="I116" s="28">
        <v>4.43264681E9</v>
      </c>
      <c r="J116" s="5"/>
      <c r="K116" s="5"/>
      <c r="L116" s="5"/>
      <c r="M116" s="5"/>
      <c r="N116" s="5"/>
      <c r="O116" s="5"/>
    </row>
    <row r="117" ht="15.75" customHeight="1">
      <c r="A117" s="5" t="s">
        <v>599</v>
      </c>
      <c r="B117" s="5" t="s">
        <v>551</v>
      </c>
      <c r="C117" s="5" t="s">
        <v>344</v>
      </c>
      <c r="D117" s="5" t="s">
        <v>345</v>
      </c>
      <c r="E117" s="5" t="s">
        <v>600</v>
      </c>
      <c r="F117" s="5" t="s">
        <v>553</v>
      </c>
      <c r="G117" s="5" t="s">
        <v>600</v>
      </c>
      <c r="H117" s="23" t="s">
        <v>553</v>
      </c>
      <c r="I117" s="23"/>
      <c r="J117" s="5"/>
      <c r="K117" s="5" t="s">
        <v>601</v>
      </c>
      <c r="L117" s="5" t="s">
        <v>602</v>
      </c>
      <c r="M117" s="5"/>
      <c r="N117" s="5"/>
      <c r="O117" s="5"/>
    </row>
    <row r="118" ht="15.75" customHeight="1">
      <c r="A118" s="5" t="s">
        <v>603</v>
      </c>
      <c r="B118" s="5" t="s">
        <v>551</v>
      </c>
      <c r="C118" s="5" t="s">
        <v>344</v>
      </c>
      <c r="D118" s="5" t="s">
        <v>355</v>
      </c>
      <c r="E118" s="5" t="s">
        <v>604</v>
      </c>
      <c r="F118" s="5" t="s">
        <v>553</v>
      </c>
      <c r="G118" s="5" t="s">
        <v>605</v>
      </c>
      <c r="H118" s="23" t="s">
        <v>553</v>
      </c>
      <c r="I118" s="23">
        <v>4.431415536E9</v>
      </c>
      <c r="J118" s="5"/>
      <c r="K118" s="5" t="s">
        <v>606</v>
      </c>
      <c r="L118" s="5" t="s">
        <v>606</v>
      </c>
      <c r="M118" s="5"/>
      <c r="N118" s="5" t="s">
        <v>607</v>
      </c>
      <c r="O118" s="5"/>
    </row>
    <row r="119" ht="15.75" customHeight="1">
      <c r="A119" s="5" t="s">
        <v>608</v>
      </c>
      <c r="B119" s="5" t="s">
        <v>551</v>
      </c>
      <c r="C119" s="5" t="s">
        <v>344</v>
      </c>
      <c r="D119" s="5" t="s">
        <v>355</v>
      </c>
      <c r="E119" s="5" t="s">
        <v>609</v>
      </c>
      <c r="F119" s="5" t="s">
        <v>553</v>
      </c>
      <c r="G119" s="5" t="s">
        <v>610</v>
      </c>
      <c r="H119" s="23" t="s">
        <v>553</v>
      </c>
      <c r="I119" s="23">
        <v>4.434108665E9</v>
      </c>
      <c r="J119" s="5"/>
      <c r="K119" s="5" t="s">
        <v>611</v>
      </c>
      <c r="L119" s="5" t="s">
        <v>611</v>
      </c>
      <c r="M119" s="5"/>
      <c r="N119" s="5" t="s">
        <v>612</v>
      </c>
      <c r="O119" s="5"/>
    </row>
    <row r="120" ht="15.75" customHeight="1">
      <c r="A120" s="5" t="s">
        <v>613</v>
      </c>
      <c r="B120" s="5" t="s">
        <v>551</v>
      </c>
      <c r="C120" s="5" t="s">
        <v>344</v>
      </c>
      <c r="D120" s="5" t="s">
        <v>375</v>
      </c>
      <c r="E120" s="27" t="s">
        <v>614</v>
      </c>
      <c r="F120" s="5" t="s">
        <v>553</v>
      </c>
      <c r="G120" s="5" t="s">
        <v>615</v>
      </c>
      <c r="H120" s="23" t="s">
        <v>553</v>
      </c>
      <c r="I120" s="23">
        <v>4.431677121E9</v>
      </c>
      <c r="J120" s="5"/>
      <c r="K120" s="5" t="s">
        <v>616</v>
      </c>
      <c r="L120" s="5" t="s">
        <v>616</v>
      </c>
      <c r="M120" s="5"/>
      <c r="N120" s="5"/>
      <c r="O120" s="5"/>
    </row>
    <row r="121" ht="15.75" customHeight="1">
      <c r="A121" s="5" t="s">
        <v>617</v>
      </c>
      <c r="B121" s="5" t="s">
        <v>551</v>
      </c>
      <c r="C121" s="5" t="s">
        <v>385</v>
      </c>
      <c r="D121" s="5" t="s">
        <v>89</v>
      </c>
      <c r="E121" s="27" t="s">
        <v>618</v>
      </c>
      <c r="F121" s="5" t="s">
        <v>553</v>
      </c>
      <c r="G121" s="5" t="s">
        <v>619</v>
      </c>
      <c r="H121" s="23" t="s">
        <v>553</v>
      </c>
      <c r="I121" s="23">
        <v>4.434913913E9</v>
      </c>
      <c r="J121" s="5"/>
      <c r="K121" s="5" t="s">
        <v>620</v>
      </c>
      <c r="L121" s="5" t="s">
        <v>620</v>
      </c>
      <c r="M121" s="5"/>
      <c r="N121" s="5"/>
      <c r="O121" s="5"/>
    </row>
    <row r="122" ht="15.75" customHeight="1">
      <c r="A122" s="5" t="s">
        <v>621</v>
      </c>
      <c r="B122" s="5" t="s">
        <v>551</v>
      </c>
      <c r="C122" s="5" t="s">
        <v>385</v>
      </c>
      <c r="D122" s="5" t="s">
        <v>400</v>
      </c>
      <c r="E122" s="27" t="s">
        <v>622</v>
      </c>
      <c r="F122" s="5" t="s">
        <v>623</v>
      </c>
      <c r="G122" s="5" t="s">
        <v>624</v>
      </c>
      <c r="H122" s="23" t="s">
        <v>553</v>
      </c>
      <c r="I122" s="23">
        <v>4.434108329E9</v>
      </c>
      <c r="J122" s="5"/>
      <c r="K122" s="5" t="s">
        <v>625</v>
      </c>
      <c r="L122" s="5" t="s">
        <v>625</v>
      </c>
      <c r="M122" s="5"/>
      <c r="N122" s="5"/>
      <c r="O122" s="5"/>
    </row>
    <row r="123" ht="15.75" customHeight="1">
      <c r="A123" s="5" t="s">
        <v>626</v>
      </c>
      <c r="B123" s="5" t="s">
        <v>14</v>
      </c>
      <c r="C123" s="5" t="s">
        <v>70</v>
      </c>
      <c r="D123" s="5" t="s">
        <v>97</v>
      </c>
      <c r="E123" s="27" t="s">
        <v>627</v>
      </c>
      <c r="F123" s="5" t="s">
        <v>628</v>
      </c>
      <c r="G123" s="5"/>
      <c r="H123" s="23"/>
      <c r="I123" s="23"/>
      <c r="J123" s="5"/>
      <c r="K123" s="5"/>
      <c r="L123" s="5"/>
      <c r="M123" s="5"/>
      <c r="N123" s="5"/>
      <c r="O123" s="5"/>
    </row>
    <row r="124" ht="15.75" customHeight="1">
      <c r="A124" s="5" t="s">
        <v>629</v>
      </c>
      <c r="B124" s="5" t="s">
        <v>14</v>
      </c>
      <c r="C124" s="5" t="s">
        <v>160</v>
      </c>
      <c r="D124" s="5" t="s">
        <v>174</v>
      </c>
      <c r="E124" s="27" t="s">
        <v>630</v>
      </c>
      <c r="F124" s="5" t="s">
        <v>631</v>
      </c>
      <c r="G124" s="5" t="s">
        <v>632</v>
      </c>
      <c r="H124" s="23" t="s">
        <v>623</v>
      </c>
      <c r="I124" s="23"/>
      <c r="J124" s="5"/>
      <c r="K124" s="5" t="s">
        <v>633</v>
      </c>
      <c r="L124" s="5" t="s">
        <v>633</v>
      </c>
      <c r="M124" s="5"/>
      <c r="N124" s="5"/>
      <c r="O124" s="5"/>
    </row>
    <row r="125" ht="15.75" customHeight="1">
      <c r="A125" s="22" t="s">
        <v>634</v>
      </c>
      <c r="B125" s="5" t="s">
        <v>14</v>
      </c>
      <c r="C125" s="5" t="s">
        <v>483</v>
      </c>
      <c r="D125" s="5" t="s">
        <v>89</v>
      </c>
      <c r="E125" s="5" t="s">
        <v>635</v>
      </c>
      <c r="F125" s="5" t="s">
        <v>628</v>
      </c>
      <c r="G125" s="5" t="s">
        <v>635</v>
      </c>
      <c r="H125" s="23" t="s">
        <v>628</v>
      </c>
      <c r="I125" s="23">
        <v>3.931073664E9</v>
      </c>
      <c r="J125" s="5"/>
      <c r="K125" s="5" t="s">
        <v>636</v>
      </c>
      <c r="L125" s="5" t="s">
        <v>636</v>
      </c>
      <c r="M125" s="5"/>
      <c r="N125" s="5"/>
      <c r="O125" s="5"/>
    </row>
    <row r="126" ht="15.75" customHeight="1">
      <c r="A126" s="5" t="s">
        <v>637</v>
      </c>
      <c r="B126" s="5" t="s">
        <v>14</v>
      </c>
      <c r="C126" s="5" t="s">
        <v>483</v>
      </c>
      <c r="D126" s="5" t="s">
        <v>127</v>
      </c>
      <c r="E126" s="5" t="s">
        <v>638</v>
      </c>
      <c r="F126" s="5" t="s">
        <v>628</v>
      </c>
      <c r="G126" s="5" t="s">
        <v>638</v>
      </c>
      <c r="H126" s="23" t="s">
        <v>628</v>
      </c>
      <c r="I126" s="23">
        <v>3.931196086E9</v>
      </c>
      <c r="J126" s="5"/>
      <c r="K126" s="5"/>
      <c r="L126" s="5"/>
      <c r="M126" s="5"/>
      <c r="N126" s="5"/>
      <c r="O126" s="5"/>
    </row>
    <row r="127" ht="15.75" customHeight="1">
      <c r="A127" s="5" t="s">
        <v>639</v>
      </c>
      <c r="B127" s="5" t="s">
        <v>14</v>
      </c>
      <c r="C127" s="5" t="s">
        <v>483</v>
      </c>
      <c r="D127" s="5" t="s">
        <v>491</v>
      </c>
      <c r="E127" s="27" t="s">
        <v>640</v>
      </c>
      <c r="F127" s="5" t="s">
        <v>641</v>
      </c>
      <c r="G127" s="5" t="s">
        <v>642</v>
      </c>
      <c r="H127" s="23" t="s">
        <v>74</v>
      </c>
      <c r="I127" s="23">
        <v>3.33152505E9</v>
      </c>
      <c r="J127" s="5" t="s">
        <v>643</v>
      </c>
      <c r="K127" s="5"/>
      <c r="L127" s="5"/>
      <c r="M127" s="5"/>
      <c r="N127" s="5"/>
      <c r="O127" s="5"/>
    </row>
    <row r="128" ht="15.75" customHeight="1">
      <c r="A128" s="5" t="s">
        <v>644</v>
      </c>
      <c r="B128" s="5" t="s">
        <v>14</v>
      </c>
      <c r="C128" s="5" t="s">
        <v>483</v>
      </c>
      <c r="D128" s="5" t="s">
        <v>290</v>
      </c>
      <c r="E128" s="27" t="s">
        <v>645</v>
      </c>
      <c r="F128" s="5" t="s">
        <v>628</v>
      </c>
      <c r="G128" s="5"/>
      <c r="H128" s="23"/>
      <c r="I128" s="23">
        <v>3.931171122E9</v>
      </c>
      <c r="J128" s="5"/>
      <c r="K128" s="5"/>
      <c r="L128" s="5"/>
      <c r="M128" s="5"/>
      <c r="N128" s="5"/>
      <c r="O128" s="5"/>
    </row>
    <row r="129" ht="15.75" customHeight="1">
      <c r="A129" s="5" t="s">
        <v>646</v>
      </c>
      <c r="B129" s="5" t="s">
        <v>14</v>
      </c>
      <c r="C129" s="5" t="s">
        <v>225</v>
      </c>
      <c r="D129" s="5" t="s">
        <v>71</v>
      </c>
      <c r="E129" s="5" t="s">
        <v>647</v>
      </c>
      <c r="F129" s="5" t="s">
        <v>628</v>
      </c>
      <c r="G129" s="5" t="s">
        <v>647</v>
      </c>
      <c r="H129" s="23" t="s">
        <v>628</v>
      </c>
      <c r="I129" s="23">
        <v>3.316097328E9</v>
      </c>
      <c r="J129" s="5"/>
      <c r="K129" s="5"/>
      <c r="L129" s="5"/>
      <c r="M129" s="5"/>
      <c r="N129" s="5" t="s">
        <v>648</v>
      </c>
      <c r="O129" s="22" t="s">
        <v>223</v>
      </c>
    </row>
    <row r="130" ht="15.75" customHeight="1">
      <c r="A130" s="5" t="s">
        <v>649</v>
      </c>
      <c r="B130" s="5" t="s">
        <v>14</v>
      </c>
      <c r="C130" s="5" t="s">
        <v>225</v>
      </c>
      <c r="D130" s="5" t="s">
        <v>71</v>
      </c>
      <c r="E130" s="5" t="s">
        <v>650</v>
      </c>
      <c r="F130" s="5" t="s">
        <v>628</v>
      </c>
      <c r="G130" s="5" t="s">
        <v>651</v>
      </c>
      <c r="H130" s="23" t="s">
        <v>628</v>
      </c>
      <c r="I130" s="23">
        <v>4.433031171E9</v>
      </c>
      <c r="J130" s="5"/>
      <c r="K130" s="5"/>
      <c r="L130" s="5"/>
      <c r="M130" s="5"/>
      <c r="N130" s="5" t="s">
        <v>652</v>
      </c>
      <c r="O130" s="5"/>
    </row>
    <row r="131" ht="15.75" customHeight="1">
      <c r="A131" s="5" t="s">
        <v>653</v>
      </c>
      <c r="B131" s="5" t="s">
        <v>14</v>
      </c>
      <c r="C131" s="5" t="s">
        <v>225</v>
      </c>
      <c r="D131" s="5" t="s">
        <v>71</v>
      </c>
      <c r="E131" s="27" t="s">
        <v>654</v>
      </c>
      <c r="F131" s="5" t="s">
        <v>655</v>
      </c>
      <c r="G131" s="5" t="s">
        <v>656</v>
      </c>
      <c r="H131" s="23" t="s">
        <v>74</v>
      </c>
      <c r="I131" s="23">
        <v>3.316106051E9</v>
      </c>
      <c r="J131" s="5"/>
      <c r="K131" s="5"/>
      <c r="L131" s="5"/>
      <c r="M131" s="5"/>
      <c r="N131" s="5" t="s">
        <v>657</v>
      </c>
      <c r="O131" s="22" t="s">
        <v>223</v>
      </c>
    </row>
    <row r="132" ht="15.75" customHeight="1">
      <c r="A132" s="5" t="s">
        <v>658</v>
      </c>
      <c r="B132" s="5" t="s">
        <v>14</v>
      </c>
      <c r="C132" s="5" t="s">
        <v>295</v>
      </c>
      <c r="D132" s="5" t="s">
        <v>71</v>
      </c>
      <c r="E132" s="27" t="s">
        <v>659</v>
      </c>
      <c r="F132" s="5" t="s">
        <v>628</v>
      </c>
      <c r="G132" s="5" t="s">
        <v>660</v>
      </c>
      <c r="H132" s="23" t="s">
        <v>628</v>
      </c>
      <c r="I132" s="23">
        <v>4.691215969E9</v>
      </c>
      <c r="J132" s="5"/>
      <c r="K132" s="5"/>
      <c r="L132" s="5"/>
      <c r="M132" s="5"/>
      <c r="N132" s="5" t="s">
        <v>661</v>
      </c>
      <c r="O132" s="5"/>
    </row>
    <row r="133" ht="15.75" customHeight="1">
      <c r="A133" s="5" t="s">
        <v>662</v>
      </c>
      <c r="B133" s="5" t="s">
        <v>14</v>
      </c>
      <c r="C133" s="5" t="s">
        <v>295</v>
      </c>
      <c r="D133" s="5" t="s">
        <v>71</v>
      </c>
      <c r="E133" s="5" t="s">
        <v>663</v>
      </c>
      <c r="F133" s="5" t="s">
        <v>628</v>
      </c>
      <c r="G133" s="5" t="s">
        <v>663</v>
      </c>
      <c r="H133" s="23" t="s">
        <v>628</v>
      </c>
      <c r="I133" s="23">
        <v>3.921057608E9</v>
      </c>
      <c r="J133" s="5"/>
      <c r="K133" s="5"/>
      <c r="L133" s="5"/>
      <c r="M133" s="5"/>
      <c r="N133" s="5"/>
      <c r="O133" s="5"/>
    </row>
    <row r="134" ht="15.75" customHeight="1">
      <c r="A134" s="5" t="s">
        <v>664</v>
      </c>
      <c r="B134" s="5" t="s">
        <v>14</v>
      </c>
      <c r="C134" s="5" t="s">
        <v>344</v>
      </c>
      <c r="D134" s="5" t="s">
        <v>355</v>
      </c>
      <c r="E134" s="27" t="s">
        <v>665</v>
      </c>
      <c r="F134" s="5" t="s">
        <v>628</v>
      </c>
      <c r="G134" s="5" t="s">
        <v>666</v>
      </c>
      <c r="H134" s="23" t="s">
        <v>74</v>
      </c>
      <c r="I134" s="23">
        <v>3.931245173E9</v>
      </c>
      <c r="J134" s="5"/>
      <c r="K134" s="5"/>
      <c r="L134" s="5"/>
      <c r="M134" s="5"/>
      <c r="N134" s="5" t="s">
        <v>667</v>
      </c>
      <c r="O134" s="5"/>
    </row>
    <row r="135" ht="15.75" customHeight="1">
      <c r="A135" s="5" t="s">
        <v>668</v>
      </c>
      <c r="B135" s="5" t="s">
        <v>14</v>
      </c>
      <c r="C135" s="5" t="s">
        <v>344</v>
      </c>
      <c r="D135" s="5" t="s">
        <v>355</v>
      </c>
      <c r="E135" s="5" t="s">
        <v>669</v>
      </c>
      <c r="F135" s="5" t="s">
        <v>628</v>
      </c>
      <c r="G135" s="5" t="s">
        <v>669</v>
      </c>
      <c r="H135" s="23" t="s">
        <v>628</v>
      </c>
      <c r="I135" s="23">
        <v>3.331523332E9</v>
      </c>
      <c r="J135" s="5"/>
      <c r="K135" s="5" t="s">
        <v>670</v>
      </c>
      <c r="L135" s="5" t="s">
        <v>670</v>
      </c>
      <c r="M135" s="5"/>
      <c r="N135" s="5" t="s">
        <v>671</v>
      </c>
      <c r="O135" s="5"/>
    </row>
    <row r="136" ht="15.75" customHeight="1">
      <c r="A136" s="5" t="s">
        <v>672</v>
      </c>
      <c r="B136" s="5" t="s">
        <v>14</v>
      </c>
      <c r="C136" s="5" t="s">
        <v>344</v>
      </c>
      <c r="D136" s="5" t="s">
        <v>370</v>
      </c>
      <c r="E136" s="27" t="s">
        <v>673</v>
      </c>
      <c r="F136" s="5" t="s">
        <v>628</v>
      </c>
      <c r="G136" s="5" t="s">
        <v>674</v>
      </c>
      <c r="H136" s="23" t="s">
        <v>74</v>
      </c>
      <c r="I136" s="23">
        <v>3.328358335E9</v>
      </c>
      <c r="J136" s="5"/>
      <c r="K136" s="5" t="s">
        <v>675</v>
      </c>
      <c r="L136" s="5" t="s">
        <v>675</v>
      </c>
      <c r="M136" s="5"/>
      <c r="N136" s="5"/>
      <c r="O136" s="5"/>
    </row>
    <row r="137" ht="15.75" customHeight="1">
      <c r="A137" s="5" t="s">
        <v>676</v>
      </c>
      <c r="B137" s="5" t="s">
        <v>14</v>
      </c>
      <c r="C137" s="5" t="s">
        <v>344</v>
      </c>
      <c r="D137" s="5" t="s">
        <v>375</v>
      </c>
      <c r="E137" s="27" t="s">
        <v>677</v>
      </c>
      <c r="F137" s="5" t="s">
        <v>74</v>
      </c>
      <c r="G137" s="5" t="s">
        <v>678</v>
      </c>
      <c r="H137" s="23" t="s">
        <v>74</v>
      </c>
      <c r="I137" s="23">
        <v>3.337194517E9</v>
      </c>
      <c r="J137" s="5"/>
      <c r="K137" s="5" t="s">
        <v>679</v>
      </c>
      <c r="L137" s="5" t="s">
        <v>679</v>
      </c>
      <c r="M137" s="5"/>
      <c r="N137" s="5"/>
      <c r="O137" s="5"/>
    </row>
    <row r="138" ht="15.75" customHeight="1">
      <c r="A138" s="5" t="s">
        <v>680</v>
      </c>
      <c r="B138" s="5" t="s">
        <v>14</v>
      </c>
      <c r="C138" s="5" t="s">
        <v>385</v>
      </c>
      <c r="D138" s="5" t="s">
        <v>89</v>
      </c>
      <c r="E138" s="27" t="s">
        <v>681</v>
      </c>
      <c r="F138" s="5" t="s">
        <v>628</v>
      </c>
      <c r="G138" s="5" t="s">
        <v>682</v>
      </c>
      <c r="H138" s="23" t="s">
        <v>628</v>
      </c>
      <c r="I138" s="23">
        <v>3.316097918E9</v>
      </c>
      <c r="J138" s="5"/>
      <c r="K138" s="5" t="s">
        <v>683</v>
      </c>
      <c r="L138" s="5" t="s">
        <v>683</v>
      </c>
      <c r="M138" s="5"/>
      <c r="N138" s="5"/>
      <c r="O138" s="5"/>
    </row>
    <row r="139" ht="15.75" customHeight="1">
      <c r="A139" s="5" t="s">
        <v>684</v>
      </c>
      <c r="B139" s="5" t="s">
        <v>14</v>
      </c>
      <c r="C139" s="5" t="s">
        <v>385</v>
      </c>
      <c r="D139" s="5" t="s">
        <v>400</v>
      </c>
      <c r="E139" s="27" t="s">
        <v>685</v>
      </c>
      <c r="F139" s="5" t="s">
        <v>628</v>
      </c>
      <c r="G139" s="5" t="s">
        <v>686</v>
      </c>
      <c r="H139" s="23" t="s">
        <v>628</v>
      </c>
      <c r="I139" s="23">
        <v>3.481044349E9</v>
      </c>
      <c r="J139" s="5" t="s">
        <v>687</v>
      </c>
      <c r="K139" s="5"/>
      <c r="L139" s="5"/>
      <c r="M139" s="5"/>
      <c r="N139" s="5"/>
      <c r="O139" s="5"/>
    </row>
    <row r="140" ht="15.75" customHeight="1">
      <c r="A140" s="5" t="s">
        <v>688</v>
      </c>
      <c r="B140" s="5" t="s">
        <v>14</v>
      </c>
      <c r="C140" s="5" t="s">
        <v>385</v>
      </c>
      <c r="D140" s="5" t="s">
        <v>418</v>
      </c>
      <c r="E140" s="5" t="s">
        <v>689</v>
      </c>
      <c r="F140" s="5" t="s">
        <v>628</v>
      </c>
      <c r="G140" s="5" t="s">
        <v>689</v>
      </c>
      <c r="H140" s="23" t="s">
        <v>628</v>
      </c>
      <c r="I140" s="23">
        <v>3.316092786E9</v>
      </c>
      <c r="J140" s="5"/>
      <c r="K140" s="5"/>
      <c r="L140" s="5"/>
      <c r="M140" s="5"/>
      <c r="N140" s="5"/>
      <c r="O140" s="22" t="s">
        <v>223</v>
      </c>
    </row>
    <row r="141" ht="15.75" customHeight="1">
      <c r="A141" s="5" t="s">
        <v>690</v>
      </c>
      <c r="B141" s="5" t="s">
        <v>691</v>
      </c>
      <c r="C141" s="5" t="s">
        <v>70</v>
      </c>
      <c r="D141" s="5" t="s">
        <v>97</v>
      </c>
      <c r="E141" s="27" t="s">
        <v>692</v>
      </c>
      <c r="F141" s="5" t="s">
        <v>693</v>
      </c>
      <c r="G141" s="5"/>
      <c r="H141" s="23"/>
      <c r="I141" s="23"/>
      <c r="J141" s="5"/>
      <c r="K141" s="5"/>
      <c r="L141" s="5"/>
      <c r="M141" s="5"/>
      <c r="N141" s="5"/>
      <c r="O141" s="5"/>
    </row>
    <row r="142" ht="15.75" customHeight="1">
      <c r="A142" s="5" t="s">
        <v>694</v>
      </c>
      <c r="B142" s="5" t="s">
        <v>691</v>
      </c>
      <c r="C142" s="5" t="s">
        <v>160</v>
      </c>
      <c r="D142" s="5" t="s">
        <v>174</v>
      </c>
      <c r="E142" s="30" t="s">
        <v>695</v>
      </c>
      <c r="F142" s="5" t="s">
        <v>202</v>
      </c>
      <c r="G142" s="5" t="s">
        <v>695</v>
      </c>
      <c r="H142" s="23" t="s">
        <v>696</v>
      </c>
      <c r="I142" s="23"/>
      <c r="J142" s="5"/>
      <c r="K142" s="5" t="s">
        <v>697</v>
      </c>
      <c r="L142" s="5" t="s">
        <v>697</v>
      </c>
      <c r="M142" s="5"/>
      <c r="N142" s="5"/>
      <c r="O142" s="5"/>
    </row>
    <row r="143" ht="15.75" customHeight="1">
      <c r="A143" s="5" t="s">
        <v>698</v>
      </c>
      <c r="B143" s="5" t="s">
        <v>691</v>
      </c>
      <c r="C143" s="5" t="s">
        <v>483</v>
      </c>
      <c r="D143" s="5" t="s">
        <v>89</v>
      </c>
      <c r="E143" s="5" t="s">
        <v>699</v>
      </c>
      <c r="F143" s="5" t="s">
        <v>700</v>
      </c>
      <c r="G143" s="5" t="s">
        <v>701</v>
      </c>
      <c r="H143" s="23" t="s">
        <v>702</v>
      </c>
      <c r="I143" s="23">
        <v>3.931196103E9</v>
      </c>
      <c r="J143" s="5"/>
      <c r="K143" s="5" t="s">
        <v>703</v>
      </c>
      <c r="L143" s="5" t="s">
        <v>703</v>
      </c>
      <c r="M143" s="5"/>
      <c r="N143" s="5"/>
      <c r="O143" s="5"/>
    </row>
    <row r="144" ht="15.75" customHeight="1">
      <c r="A144" s="5" t="s">
        <v>704</v>
      </c>
      <c r="B144" s="5" t="s">
        <v>691</v>
      </c>
      <c r="C144" s="5" t="s">
        <v>483</v>
      </c>
      <c r="D144" s="5" t="s">
        <v>491</v>
      </c>
      <c r="E144" s="27" t="s">
        <v>705</v>
      </c>
      <c r="F144" s="5" t="s">
        <v>693</v>
      </c>
      <c r="G144" s="5" t="s">
        <v>706</v>
      </c>
      <c r="H144" s="23" t="s">
        <v>707</v>
      </c>
      <c r="I144" s="23">
        <v>3.931073857E9</v>
      </c>
      <c r="J144" s="5" t="s">
        <v>708</v>
      </c>
      <c r="K144" s="5"/>
      <c r="L144" s="5"/>
      <c r="M144" s="5"/>
      <c r="N144" s="5"/>
      <c r="O144" s="5"/>
    </row>
    <row r="145" ht="15.75" customHeight="1">
      <c r="A145" s="5" t="s">
        <v>709</v>
      </c>
      <c r="B145" s="5" t="s">
        <v>691</v>
      </c>
      <c r="C145" s="5" t="s">
        <v>225</v>
      </c>
      <c r="D145" s="5" t="s">
        <v>71</v>
      </c>
      <c r="E145" s="27" t="s">
        <v>710</v>
      </c>
      <c r="F145" s="5" t="s">
        <v>700</v>
      </c>
      <c r="G145" s="5" t="s">
        <v>711</v>
      </c>
      <c r="H145" s="23" t="s">
        <v>700</v>
      </c>
      <c r="I145" s="23">
        <v>3.931196087E9</v>
      </c>
      <c r="J145" s="5"/>
      <c r="K145" s="5"/>
      <c r="L145" s="5"/>
      <c r="M145" s="5"/>
      <c r="N145" s="5" t="s">
        <v>712</v>
      </c>
      <c r="O145" s="5"/>
    </row>
    <row r="146" ht="15.75" customHeight="1">
      <c r="A146" s="5" t="s">
        <v>713</v>
      </c>
      <c r="B146" s="5" t="s">
        <v>691</v>
      </c>
      <c r="C146" s="5" t="s">
        <v>225</v>
      </c>
      <c r="D146" s="5" t="s">
        <v>71</v>
      </c>
      <c r="E146" s="27" t="s">
        <v>714</v>
      </c>
      <c r="F146" s="5" t="s">
        <v>74</v>
      </c>
      <c r="G146" s="5" t="s">
        <v>715</v>
      </c>
      <c r="H146" s="23" t="s">
        <v>74</v>
      </c>
      <c r="I146" s="23">
        <v>3.316098052E9</v>
      </c>
      <c r="J146" s="5"/>
      <c r="K146" s="5"/>
      <c r="L146" s="5"/>
      <c r="M146" s="5"/>
      <c r="N146" s="5" t="s">
        <v>712</v>
      </c>
      <c r="O146" s="22" t="s">
        <v>223</v>
      </c>
    </row>
    <row r="147" ht="15.75" customHeight="1">
      <c r="A147" s="22" t="s">
        <v>716</v>
      </c>
      <c r="B147" s="5" t="s">
        <v>691</v>
      </c>
      <c r="C147" s="5" t="s">
        <v>225</v>
      </c>
      <c r="D147" s="5" t="s">
        <v>71</v>
      </c>
      <c r="E147" s="27" t="s">
        <v>717</v>
      </c>
      <c r="F147" s="5" t="s">
        <v>693</v>
      </c>
      <c r="G147" s="5" t="s">
        <v>718</v>
      </c>
      <c r="H147" s="23" t="s">
        <v>693</v>
      </c>
      <c r="I147" s="23">
        <v>3.316097179E9</v>
      </c>
      <c r="J147" s="5"/>
      <c r="K147" s="5"/>
      <c r="L147" s="5"/>
      <c r="M147" s="5"/>
      <c r="N147" s="5" t="s">
        <v>719</v>
      </c>
      <c r="O147" s="22" t="s">
        <v>223</v>
      </c>
    </row>
    <row r="148" ht="15.75" customHeight="1">
      <c r="A148" s="5" t="s">
        <v>720</v>
      </c>
      <c r="B148" s="5" t="s">
        <v>691</v>
      </c>
      <c r="C148" s="5" t="s">
        <v>295</v>
      </c>
      <c r="D148" s="5" t="s">
        <v>71</v>
      </c>
      <c r="E148" s="27" t="s">
        <v>721</v>
      </c>
      <c r="F148" s="5" t="s">
        <v>693</v>
      </c>
      <c r="G148" s="5" t="s">
        <v>722</v>
      </c>
      <c r="H148" s="23" t="s">
        <v>700</v>
      </c>
      <c r="I148" s="23">
        <v>3.318934914E9</v>
      </c>
      <c r="J148" s="5"/>
      <c r="K148" s="5"/>
      <c r="L148" s="5"/>
      <c r="M148" s="5"/>
      <c r="N148" s="5" t="s">
        <v>723</v>
      </c>
      <c r="O148" s="5"/>
    </row>
    <row r="149" ht="15.75" customHeight="1">
      <c r="A149" s="5" t="s">
        <v>724</v>
      </c>
      <c r="B149" s="5" t="s">
        <v>691</v>
      </c>
      <c r="C149" s="5" t="s">
        <v>344</v>
      </c>
      <c r="D149" s="5" t="s">
        <v>355</v>
      </c>
      <c r="E149" s="5" t="s">
        <v>725</v>
      </c>
      <c r="F149" s="5" t="s">
        <v>693</v>
      </c>
      <c r="G149" s="5" t="s">
        <v>725</v>
      </c>
      <c r="H149" s="23" t="s">
        <v>693</v>
      </c>
      <c r="I149" s="23">
        <v>3.931245176E9</v>
      </c>
      <c r="J149" s="5"/>
      <c r="K149" s="5"/>
      <c r="L149" s="5"/>
      <c r="M149" s="5"/>
      <c r="N149" s="5"/>
      <c r="O149" s="5"/>
    </row>
    <row r="150" ht="15.75" customHeight="1">
      <c r="A150" s="5" t="s">
        <v>726</v>
      </c>
      <c r="B150" s="5" t="s">
        <v>691</v>
      </c>
      <c r="C150" s="5" t="s">
        <v>344</v>
      </c>
      <c r="D150" s="5" t="s">
        <v>355</v>
      </c>
      <c r="E150" s="5"/>
      <c r="F150" s="5"/>
      <c r="G150" s="5" t="s">
        <v>727</v>
      </c>
      <c r="H150" s="23" t="s">
        <v>693</v>
      </c>
      <c r="I150" s="28">
        <v>3.921369057E9</v>
      </c>
      <c r="J150" s="5"/>
      <c r="K150" s="5"/>
      <c r="L150" s="5"/>
      <c r="M150" s="5"/>
      <c r="N150" s="5" t="s">
        <v>728</v>
      </c>
      <c r="O150" s="5"/>
    </row>
    <row r="151" ht="15.75" customHeight="1">
      <c r="A151" s="5" t="s">
        <v>729</v>
      </c>
      <c r="B151" s="5" t="s">
        <v>691</v>
      </c>
      <c r="C151" s="5" t="s">
        <v>344</v>
      </c>
      <c r="D151" s="5" t="s">
        <v>375</v>
      </c>
      <c r="E151" s="5" t="s">
        <v>730</v>
      </c>
      <c r="F151" s="5" t="s">
        <v>693</v>
      </c>
      <c r="G151" s="5" t="s">
        <v>730</v>
      </c>
      <c r="H151" s="23" t="s">
        <v>74</v>
      </c>
      <c r="I151" s="23">
        <v>3.781868864E9</v>
      </c>
      <c r="J151" s="5"/>
      <c r="K151" s="5"/>
      <c r="L151" s="5"/>
      <c r="M151" s="5"/>
      <c r="N151" s="5"/>
      <c r="O151" s="5"/>
    </row>
    <row r="152" ht="15.75" customHeight="1">
      <c r="A152" s="5" t="s">
        <v>731</v>
      </c>
      <c r="B152" s="5" t="s">
        <v>691</v>
      </c>
      <c r="C152" s="5" t="s">
        <v>385</v>
      </c>
      <c r="D152" s="5" t="s">
        <v>89</v>
      </c>
      <c r="E152" s="27" t="s">
        <v>732</v>
      </c>
      <c r="F152" s="5" t="s">
        <v>733</v>
      </c>
      <c r="G152" s="5" t="s">
        <v>734</v>
      </c>
      <c r="H152" s="23" t="s">
        <v>74</v>
      </c>
      <c r="I152" s="23">
        <v>3.316091879E9</v>
      </c>
      <c r="J152" s="5"/>
      <c r="K152" s="5" t="s">
        <v>735</v>
      </c>
      <c r="L152" s="5" t="s">
        <v>735</v>
      </c>
      <c r="M152" s="5"/>
      <c r="N152" s="5"/>
      <c r="O152" s="5"/>
    </row>
    <row r="153" ht="15.75" customHeight="1">
      <c r="A153" s="5" t="s">
        <v>736</v>
      </c>
      <c r="B153" s="5" t="s">
        <v>691</v>
      </c>
      <c r="C153" s="5" t="s">
        <v>385</v>
      </c>
      <c r="D153" s="5" t="s">
        <v>400</v>
      </c>
      <c r="E153" s="5" t="s">
        <v>737</v>
      </c>
      <c r="F153" s="5" t="s">
        <v>693</v>
      </c>
      <c r="G153" s="5" t="s">
        <v>737</v>
      </c>
      <c r="H153" s="23" t="s">
        <v>693</v>
      </c>
      <c r="I153" s="23">
        <v>3.931001479E9</v>
      </c>
      <c r="J153" s="5"/>
      <c r="K153" s="5" t="s">
        <v>738</v>
      </c>
      <c r="L153" s="5" t="s">
        <v>738</v>
      </c>
      <c r="M153" s="5"/>
      <c r="N153" s="5"/>
      <c r="O153" s="5"/>
    </row>
    <row r="154" ht="15.75" customHeight="1">
      <c r="A154" s="22" t="s">
        <v>739</v>
      </c>
      <c r="B154" s="5" t="s">
        <v>691</v>
      </c>
      <c r="C154" s="5" t="s">
        <v>385</v>
      </c>
      <c r="D154" s="5" t="s">
        <v>418</v>
      </c>
      <c r="E154" s="24" t="s">
        <v>740</v>
      </c>
      <c r="F154" s="5" t="s">
        <v>700</v>
      </c>
      <c r="G154" s="24"/>
      <c r="H154" s="23"/>
      <c r="I154" s="28"/>
      <c r="J154" s="5"/>
      <c r="K154" s="5"/>
      <c r="L154" s="5"/>
      <c r="M154" s="5"/>
      <c r="N154" s="5"/>
      <c r="O154" s="5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5" t="s">
        <v>741</v>
      </c>
      <c r="B155" s="5" t="s">
        <v>742</v>
      </c>
      <c r="C155" s="5" t="s">
        <v>483</v>
      </c>
      <c r="D155" s="5" t="s">
        <v>491</v>
      </c>
      <c r="E155" s="5" t="s">
        <v>743</v>
      </c>
      <c r="F155" s="5" t="s">
        <v>744</v>
      </c>
      <c r="G155" s="5" t="s">
        <v>743</v>
      </c>
      <c r="H155" s="23" t="s">
        <v>74</v>
      </c>
      <c r="I155" s="23">
        <v>3.316132351E9</v>
      </c>
      <c r="J155" s="5" t="s">
        <v>745</v>
      </c>
      <c r="K155" s="5"/>
      <c r="L155" s="5"/>
      <c r="M155" s="5"/>
      <c r="N155" s="5"/>
      <c r="O155" s="5"/>
    </row>
    <row r="156" ht="15.75" customHeight="1">
      <c r="A156" s="5" t="s">
        <v>746</v>
      </c>
      <c r="B156" s="5" t="s">
        <v>742</v>
      </c>
      <c r="C156" s="5" t="s">
        <v>274</v>
      </c>
      <c r="D156" s="5" t="s">
        <v>71</v>
      </c>
      <c r="E156" s="5" t="s">
        <v>747</v>
      </c>
      <c r="F156" s="5" t="s">
        <v>744</v>
      </c>
      <c r="G156" s="5" t="s">
        <v>747</v>
      </c>
      <c r="H156" s="23" t="s">
        <v>744</v>
      </c>
      <c r="I156" s="23">
        <v>3.952680842E9</v>
      </c>
      <c r="J156" s="5" t="s">
        <v>748</v>
      </c>
      <c r="K156" s="5"/>
      <c r="L156" s="5"/>
      <c r="M156" s="5"/>
      <c r="N156" s="5" t="s">
        <v>749</v>
      </c>
      <c r="O156" s="5"/>
    </row>
    <row r="157" ht="15.75" customHeight="1">
      <c r="A157" s="22" t="s">
        <v>750</v>
      </c>
      <c r="B157" s="22" t="s">
        <v>742</v>
      </c>
      <c r="C157" s="22" t="s">
        <v>274</v>
      </c>
      <c r="D157" s="22" t="s">
        <v>71</v>
      </c>
      <c r="E157" s="5" t="s">
        <v>751</v>
      </c>
      <c r="F157" s="5" t="s">
        <v>744</v>
      </c>
      <c r="G157" s="22" t="s">
        <v>752</v>
      </c>
      <c r="H157" s="23" t="s">
        <v>744</v>
      </c>
      <c r="I157" s="23">
        <v>3.78186886E9</v>
      </c>
      <c r="J157" s="5" t="s">
        <v>753</v>
      </c>
      <c r="K157" s="5"/>
      <c r="L157" s="5"/>
      <c r="M157" s="5"/>
      <c r="N157" s="5"/>
      <c r="O157" s="5"/>
    </row>
    <row r="158" ht="15.75" customHeight="1">
      <c r="A158" s="22" t="s">
        <v>754</v>
      </c>
      <c r="B158" s="22" t="s">
        <v>31</v>
      </c>
      <c r="C158" s="22" t="s">
        <v>225</v>
      </c>
      <c r="D158" s="22" t="s">
        <v>71</v>
      </c>
      <c r="E158" s="5"/>
      <c r="F158" s="5"/>
      <c r="G158" s="5"/>
      <c r="H158" s="5"/>
      <c r="I158" s="22">
        <v>3.316106113E9</v>
      </c>
      <c r="J158" s="5"/>
      <c r="K158" s="5"/>
      <c r="L158" s="5"/>
      <c r="M158" s="5"/>
      <c r="N158" s="5"/>
      <c r="O158" s="5"/>
    </row>
    <row r="159" ht="15.75" customHeight="1">
      <c r="A159" s="5" t="s">
        <v>755</v>
      </c>
      <c r="B159" s="5" t="s">
        <v>551</v>
      </c>
      <c r="C159" s="5" t="s">
        <v>756</v>
      </c>
      <c r="D159" s="5" t="s">
        <v>756</v>
      </c>
      <c r="E159" s="5"/>
      <c r="F159" s="5"/>
      <c r="G159" s="5"/>
      <c r="H159" s="5"/>
      <c r="I159" s="5">
        <v>4.434913911E9</v>
      </c>
      <c r="J159" s="5"/>
      <c r="K159" s="5"/>
      <c r="L159" s="5"/>
      <c r="M159" s="5"/>
      <c r="N159" s="5"/>
      <c r="O159" s="5"/>
    </row>
    <row r="160" ht="15.75" customHeight="1">
      <c r="A160" s="5" t="s">
        <v>755</v>
      </c>
      <c r="B160" s="22" t="s">
        <v>31</v>
      </c>
      <c r="C160" s="5" t="s">
        <v>756</v>
      </c>
      <c r="D160" s="5" t="s">
        <v>756</v>
      </c>
      <c r="E160" s="5"/>
      <c r="F160" s="5"/>
      <c r="G160" s="5"/>
      <c r="H160" s="5"/>
      <c r="I160" s="5">
        <v>3.93104207E9</v>
      </c>
      <c r="J160" s="5"/>
      <c r="K160" s="5"/>
      <c r="L160" s="5"/>
      <c r="M160" s="5"/>
      <c r="N160" s="5"/>
      <c r="O160" s="5"/>
    </row>
    <row r="161" ht="15.75" customHeight="1">
      <c r="A161" s="5" t="s">
        <v>755</v>
      </c>
      <c r="B161" s="22" t="s">
        <v>31</v>
      </c>
      <c r="C161" s="5" t="s">
        <v>756</v>
      </c>
      <c r="D161" s="5" t="s">
        <v>756</v>
      </c>
      <c r="E161" s="5"/>
      <c r="F161" s="5"/>
      <c r="G161" s="5"/>
      <c r="H161" s="5"/>
      <c r="I161" s="5">
        <v>3.9315832E9</v>
      </c>
      <c r="J161" s="5"/>
      <c r="K161" s="5"/>
      <c r="L161" s="5"/>
      <c r="M161" s="5"/>
      <c r="N161" s="5"/>
      <c r="O161" s="5"/>
    </row>
    <row r="162" ht="15.75" customHeight="1">
      <c r="A162" s="5" t="s">
        <v>755</v>
      </c>
      <c r="B162" s="5" t="s">
        <v>15</v>
      </c>
      <c r="C162" s="5" t="s">
        <v>756</v>
      </c>
      <c r="D162" s="5" t="s">
        <v>756</v>
      </c>
      <c r="E162" s="5"/>
      <c r="F162" s="5"/>
      <c r="G162" s="5"/>
      <c r="H162" s="5"/>
      <c r="I162" s="5">
        <v>3.521421218E9</v>
      </c>
      <c r="J162" s="5"/>
      <c r="K162" s="5"/>
      <c r="L162" s="5"/>
      <c r="M162" s="5"/>
      <c r="N162" s="5"/>
      <c r="O162" s="5"/>
    </row>
    <row r="163" ht="15.75" customHeight="1">
      <c r="A163" s="5" t="s">
        <v>755</v>
      </c>
      <c r="B163" s="5" t="s">
        <v>691</v>
      </c>
      <c r="C163" s="5" t="s">
        <v>756</v>
      </c>
      <c r="D163" s="5" t="s">
        <v>756</v>
      </c>
      <c r="E163" s="5"/>
      <c r="F163" s="5"/>
      <c r="G163" s="5"/>
      <c r="H163" s="5"/>
      <c r="I163" s="23">
        <v>3.921369057E9</v>
      </c>
      <c r="J163" s="5"/>
      <c r="K163" s="5"/>
      <c r="L163" s="5"/>
      <c r="M163" s="5"/>
      <c r="N163" s="5"/>
      <c r="O163" s="5"/>
    </row>
    <row r="164" ht="15.75" customHeight="1">
      <c r="A164" s="5" t="s">
        <v>755</v>
      </c>
      <c r="B164" s="5" t="s">
        <v>691</v>
      </c>
      <c r="C164" s="5" t="s">
        <v>756</v>
      </c>
      <c r="D164" s="5" t="s">
        <v>756</v>
      </c>
      <c r="E164" s="5"/>
      <c r="F164" s="5"/>
      <c r="G164" s="5"/>
      <c r="H164" s="5"/>
      <c r="I164" s="5">
        <v>3.921580546E9</v>
      </c>
      <c r="J164" s="5"/>
      <c r="K164" s="5"/>
      <c r="L164" s="5"/>
      <c r="M164" s="5"/>
      <c r="N164" s="5"/>
      <c r="O164" s="5"/>
    </row>
    <row r="165" ht="15.75" customHeight="1">
      <c r="A165" s="5" t="s">
        <v>755</v>
      </c>
      <c r="B165" s="5" t="s">
        <v>742</v>
      </c>
      <c r="C165" s="5" t="s">
        <v>756</v>
      </c>
      <c r="D165" s="5" t="s">
        <v>756</v>
      </c>
      <c r="E165" s="5"/>
      <c r="F165" s="5"/>
      <c r="G165" s="5"/>
      <c r="H165" s="5"/>
      <c r="I165" s="5">
        <v>3.911035841E9</v>
      </c>
      <c r="J165" s="5"/>
      <c r="K165" s="5"/>
      <c r="L165" s="5"/>
      <c r="M165" s="5"/>
      <c r="N165" s="5"/>
      <c r="O165" s="5"/>
    </row>
    <row r="166" ht="15.75" customHeight="1">
      <c r="A166" s="5" t="s">
        <v>755</v>
      </c>
      <c r="B166" s="5" t="s">
        <v>14</v>
      </c>
      <c r="C166" s="5" t="s">
        <v>756</v>
      </c>
      <c r="D166" s="5" t="s">
        <v>756</v>
      </c>
      <c r="E166" s="5"/>
      <c r="F166" s="5"/>
      <c r="G166" s="5"/>
      <c r="H166" s="5"/>
      <c r="I166" s="5">
        <v>4.691214431E9</v>
      </c>
      <c r="J166" s="5"/>
      <c r="K166" s="5"/>
      <c r="L166" s="5"/>
      <c r="M166" s="5"/>
      <c r="N166" s="5"/>
      <c r="O166" s="5"/>
    </row>
    <row r="167" ht="15.75" customHeight="1">
      <c r="A167" s="5" t="s">
        <v>755</v>
      </c>
      <c r="B167" s="22" t="s">
        <v>31</v>
      </c>
      <c r="C167" s="5" t="s">
        <v>756</v>
      </c>
      <c r="D167" s="5" t="s">
        <v>756</v>
      </c>
      <c r="E167" s="5"/>
      <c r="F167" s="5"/>
      <c r="G167" s="5"/>
      <c r="H167" s="5"/>
      <c r="I167" s="5">
        <v>3.931583367E9</v>
      </c>
      <c r="J167" s="5"/>
      <c r="K167" s="5"/>
      <c r="L167" s="5"/>
      <c r="M167" s="5"/>
      <c r="N167" s="5"/>
      <c r="O167" s="5"/>
    </row>
    <row r="168" ht="15.75" customHeight="1">
      <c r="A168" s="5" t="s">
        <v>755</v>
      </c>
      <c r="B168" s="5" t="s">
        <v>14</v>
      </c>
      <c r="C168" s="5" t="s">
        <v>756</v>
      </c>
      <c r="D168" s="5" t="s">
        <v>756</v>
      </c>
      <c r="E168" s="5"/>
      <c r="F168" s="5"/>
      <c r="G168" s="5"/>
      <c r="H168" s="5"/>
      <c r="I168" s="5">
        <v>4.691215361E9</v>
      </c>
      <c r="J168" s="5"/>
      <c r="K168" s="5"/>
      <c r="L168" s="5"/>
      <c r="M168" s="5"/>
      <c r="N168" s="5"/>
      <c r="O168" s="5"/>
    </row>
    <row r="169" ht="15.75" customHeight="1">
      <c r="A169" s="5" t="s">
        <v>755</v>
      </c>
      <c r="B169" s="5" t="s">
        <v>14</v>
      </c>
      <c r="C169" s="5" t="s">
        <v>756</v>
      </c>
      <c r="D169" s="5" t="s">
        <v>756</v>
      </c>
      <c r="E169" s="5"/>
      <c r="F169" s="5"/>
      <c r="G169" s="5"/>
      <c r="H169" s="5"/>
      <c r="I169" s="5">
        <v>4.691214464E9</v>
      </c>
      <c r="J169" s="5"/>
      <c r="K169" s="5"/>
      <c r="L169" s="5"/>
      <c r="M169" s="5"/>
      <c r="N169" s="5"/>
      <c r="O169" s="5"/>
    </row>
    <row r="170" ht="15.75" customHeight="1">
      <c r="A170" s="5" t="s">
        <v>755</v>
      </c>
      <c r="B170" s="5" t="s">
        <v>691</v>
      </c>
      <c r="C170" s="5" t="s">
        <v>756</v>
      </c>
      <c r="D170" s="5" t="s">
        <v>756</v>
      </c>
      <c r="E170" s="5"/>
      <c r="F170" s="5"/>
      <c r="G170" s="5"/>
      <c r="H170" s="5"/>
      <c r="I170" s="5">
        <v>3.921368208E9</v>
      </c>
      <c r="J170" s="5"/>
      <c r="K170" s="5"/>
      <c r="L170" s="5"/>
      <c r="M170" s="5"/>
      <c r="N170" s="5"/>
      <c r="O170" s="5"/>
    </row>
    <row r="171" ht="15.75" customHeight="1">
      <c r="A171" s="5" t="s">
        <v>755</v>
      </c>
      <c r="B171" s="5" t="s">
        <v>742</v>
      </c>
      <c r="C171" s="5" t="s">
        <v>756</v>
      </c>
      <c r="D171" s="5" t="s">
        <v>756</v>
      </c>
      <c r="E171" s="5"/>
      <c r="F171" s="5"/>
      <c r="G171" s="5"/>
      <c r="H171" s="5"/>
      <c r="I171" s="5">
        <v>3.781155312E9</v>
      </c>
      <c r="J171" s="5"/>
      <c r="K171" s="5"/>
      <c r="L171" s="5"/>
      <c r="M171" s="5"/>
      <c r="N171" s="5"/>
      <c r="O171" s="5"/>
    </row>
    <row r="172" ht="15.75" customHeight="1">
      <c r="A172" s="5" t="s">
        <v>755</v>
      </c>
      <c r="B172" s="5" t="s">
        <v>742</v>
      </c>
      <c r="C172" s="5" t="s">
        <v>756</v>
      </c>
      <c r="D172" s="5" t="s">
        <v>756</v>
      </c>
      <c r="E172" s="5"/>
      <c r="F172" s="5"/>
      <c r="G172" s="5"/>
      <c r="H172" s="5"/>
      <c r="I172" s="5">
        <v>3.951198072E9</v>
      </c>
      <c r="J172" s="5"/>
      <c r="K172" s="5"/>
      <c r="L172" s="5"/>
      <c r="M172" s="5"/>
      <c r="N172" s="5"/>
      <c r="O172" s="5"/>
    </row>
    <row r="173" ht="15.75" customHeight="1">
      <c r="A173" s="5" t="s">
        <v>755</v>
      </c>
      <c r="B173" s="5" t="s">
        <v>15</v>
      </c>
      <c r="C173" s="5" t="s">
        <v>756</v>
      </c>
      <c r="D173" s="5" t="s">
        <v>756</v>
      </c>
      <c r="E173" s="5"/>
      <c r="F173" s="5"/>
      <c r="G173" s="5"/>
      <c r="H173" s="5"/>
      <c r="I173" s="5">
        <v>3.521423189E9</v>
      </c>
      <c r="J173" s="5"/>
      <c r="K173" s="5"/>
      <c r="L173" s="5"/>
      <c r="M173" s="5"/>
      <c r="N173" s="5"/>
      <c r="O173" s="5"/>
    </row>
    <row r="174" ht="15.75" customHeight="1">
      <c r="A174" s="5" t="s">
        <v>755</v>
      </c>
      <c r="B174" s="5" t="s">
        <v>15</v>
      </c>
      <c r="C174" s="5" t="s">
        <v>756</v>
      </c>
      <c r="D174" s="5" t="s">
        <v>756</v>
      </c>
      <c r="E174" s="5"/>
      <c r="F174" s="5"/>
      <c r="G174" s="5"/>
      <c r="H174" s="5"/>
      <c r="I174" s="5">
        <v>3.521949987E9</v>
      </c>
      <c r="J174" s="5"/>
      <c r="K174" s="5"/>
      <c r="L174" s="5"/>
      <c r="M174" s="5"/>
      <c r="N174" s="5"/>
      <c r="O174" s="5"/>
    </row>
    <row r="175" ht="15.75" customHeight="1">
      <c r="A175" s="5" t="s">
        <v>755</v>
      </c>
      <c r="B175" s="22" t="s">
        <v>31</v>
      </c>
      <c r="C175" s="5" t="s">
        <v>756</v>
      </c>
      <c r="D175" s="5" t="s">
        <v>756</v>
      </c>
      <c r="E175" s="5"/>
      <c r="F175" s="5"/>
      <c r="G175" s="5"/>
      <c r="H175" s="5"/>
      <c r="I175" s="5">
        <v>3.931583234E9</v>
      </c>
      <c r="J175" s="5"/>
      <c r="K175" s="5"/>
      <c r="L175" s="5"/>
      <c r="M175" s="5"/>
      <c r="N175" s="5"/>
      <c r="O175" s="5"/>
    </row>
    <row r="176" ht="15.75" customHeight="1">
      <c r="A176" s="5" t="s">
        <v>755</v>
      </c>
      <c r="B176" s="22" t="s">
        <v>31</v>
      </c>
      <c r="C176" s="5" t="s">
        <v>756</v>
      </c>
      <c r="D176" s="5" t="s">
        <v>756</v>
      </c>
      <c r="E176" s="5"/>
      <c r="F176" s="5"/>
      <c r="G176" s="5"/>
      <c r="H176" s="5"/>
      <c r="I176" s="5">
        <v>3.931583046E9</v>
      </c>
      <c r="J176" s="5"/>
      <c r="K176" s="5"/>
      <c r="L176" s="5"/>
      <c r="M176" s="5"/>
      <c r="N176" s="5"/>
      <c r="O176" s="5"/>
    </row>
    <row r="177" ht="15.75" customHeight="1">
      <c r="A177" s="5" t="s">
        <v>755</v>
      </c>
      <c r="B177" s="22" t="s">
        <v>31</v>
      </c>
      <c r="C177" s="5" t="s">
        <v>756</v>
      </c>
      <c r="D177" s="5" t="s">
        <v>756</v>
      </c>
      <c r="E177" s="5"/>
      <c r="F177" s="5"/>
      <c r="G177" s="5"/>
      <c r="H177" s="5"/>
      <c r="I177" s="5">
        <v>3.931583232E9</v>
      </c>
      <c r="J177" s="5"/>
      <c r="K177" s="5"/>
      <c r="L177" s="5"/>
      <c r="M177" s="5"/>
      <c r="N177" s="5"/>
      <c r="O177" s="5"/>
    </row>
    <row r="178" ht="15.75" customHeight="1">
      <c r="A178" s="5" t="s">
        <v>755</v>
      </c>
      <c r="B178" s="5" t="s">
        <v>742</v>
      </c>
      <c r="C178" s="5" t="s">
        <v>756</v>
      </c>
      <c r="D178" s="5" t="s">
        <v>756</v>
      </c>
      <c r="E178" s="5"/>
      <c r="F178" s="5"/>
      <c r="G178" s="5"/>
      <c r="H178" s="5"/>
      <c r="I178" s="5">
        <v>3.91125726E9</v>
      </c>
      <c r="J178" s="5"/>
      <c r="K178" s="5"/>
      <c r="L178" s="5"/>
      <c r="M178" s="5"/>
      <c r="N178" s="5"/>
      <c r="O178" s="5"/>
    </row>
    <row r="179" ht="15.75" customHeight="1">
      <c r="A179" s="5" t="s">
        <v>755</v>
      </c>
      <c r="B179" s="5" t="s">
        <v>15</v>
      </c>
      <c r="C179" s="5" t="s">
        <v>756</v>
      </c>
      <c r="D179" s="5" t="s">
        <v>756</v>
      </c>
      <c r="E179" s="5"/>
      <c r="F179" s="5"/>
      <c r="G179" s="5"/>
      <c r="H179" s="5"/>
      <c r="I179" s="5">
        <v>3.521420398E9</v>
      </c>
      <c r="J179" s="5"/>
      <c r="K179" s="5"/>
      <c r="L179" s="5"/>
      <c r="M179" s="5"/>
      <c r="N179" s="5"/>
      <c r="O179" s="5"/>
    </row>
    <row r="180" ht="15.75" customHeight="1">
      <c r="A180" s="5" t="s">
        <v>755</v>
      </c>
      <c r="B180" s="5" t="s">
        <v>15</v>
      </c>
      <c r="C180" s="5" t="s">
        <v>756</v>
      </c>
      <c r="D180" s="5" t="s">
        <v>756</v>
      </c>
      <c r="E180" s="5"/>
      <c r="F180" s="5"/>
      <c r="G180" s="5"/>
      <c r="H180" s="5"/>
      <c r="I180" s="5">
        <v>3.521399533E9</v>
      </c>
      <c r="J180" s="5"/>
      <c r="K180" s="5"/>
      <c r="L180" s="5"/>
      <c r="M180" s="5"/>
      <c r="N180" s="5"/>
      <c r="O180" s="5"/>
    </row>
    <row r="181" ht="15.75" customHeight="1">
      <c r="A181" s="22" t="s">
        <v>561</v>
      </c>
      <c r="B181" s="22" t="s">
        <v>551</v>
      </c>
      <c r="C181" s="22" t="s">
        <v>303</v>
      </c>
      <c r="D181" s="22" t="s">
        <v>757</v>
      </c>
      <c r="E181" s="5" t="s">
        <v>758</v>
      </c>
      <c r="F181" s="5" t="s">
        <v>759</v>
      </c>
      <c r="G181" s="5"/>
      <c r="H181" s="5"/>
      <c r="I181" s="5"/>
      <c r="J181" s="5"/>
      <c r="K181" s="5"/>
      <c r="L181" s="5"/>
      <c r="M181" s="5"/>
      <c r="N181" s="5"/>
      <c r="O181" s="5"/>
    </row>
    <row r="182" ht="15.75" customHeight="1">
      <c r="A182" s="5" t="s">
        <v>307</v>
      </c>
      <c r="B182" s="22" t="s">
        <v>31</v>
      </c>
      <c r="C182" s="22" t="s">
        <v>303</v>
      </c>
      <c r="D182" s="22" t="s">
        <v>757</v>
      </c>
      <c r="E182" s="5" t="s">
        <v>758</v>
      </c>
      <c r="F182" s="5" t="s">
        <v>759</v>
      </c>
      <c r="G182" s="5"/>
      <c r="H182" s="5"/>
      <c r="I182" s="5"/>
      <c r="J182" s="5"/>
      <c r="K182" s="5"/>
      <c r="L182" s="5"/>
      <c r="M182" s="5"/>
      <c r="N182" s="5"/>
      <c r="O182" s="5"/>
    </row>
    <row r="183" ht="15.75" customHeight="1">
      <c r="A183" s="5" t="s">
        <v>755</v>
      </c>
      <c r="B183" s="5" t="s">
        <v>14</v>
      </c>
      <c r="C183" s="5" t="s">
        <v>756</v>
      </c>
      <c r="D183" s="5" t="s">
        <v>756</v>
      </c>
      <c r="E183" s="5"/>
      <c r="F183" s="5"/>
      <c r="G183" s="5"/>
      <c r="H183" s="5"/>
      <c r="I183" s="5">
        <v>4.696211513E9</v>
      </c>
      <c r="J183" s="5"/>
      <c r="K183" s="5"/>
      <c r="L183" s="5"/>
      <c r="M183" s="5"/>
      <c r="N183" s="5"/>
      <c r="O183" s="5"/>
    </row>
    <row r="184" ht="15.75" customHeight="1">
      <c r="A184" s="5" t="s">
        <v>755</v>
      </c>
      <c r="B184" s="5" t="s">
        <v>691</v>
      </c>
      <c r="C184" s="5" t="s">
        <v>756</v>
      </c>
      <c r="D184" s="5" t="s">
        <v>756</v>
      </c>
      <c r="E184" s="5"/>
      <c r="F184" s="5"/>
      <c r="G184" s="5"/>
      <c r="H184" s="5"/>
      <c r="I184" s="5">
        <v>3.921237762E9</v>
      </c>
      <c r="J184" s="5"/>
      <c r="K184" s="5"/>
      <c r="L184" s="5"/>
      <c r="M184" s="5"/>
      <c r="N184" s="5"/>
      <c r="O184" s="5"/>
    </row>
    <row r="185" ht="15.75" customHeight="1">
      <c r="A185" s="5" t="s">
        <v>755</v>
      </c>
      <c r="B185" s="5" t="s">
        <v>551</v>
      </c>
      <c r="C185" s="5" t="s">
        <v>756</v>
      </c>
      <c r="D185" s="5" t="s">
        <v>756</v>
      </c>
      <c r="E185" s="5"/>
      <c r="F185" s="5"/>
      <c r="G185" s="5"/>
      <c r="H185" s="5"/>
      <c r="I185" s="5">
        <v>4.431358405E9</v>
      </c>
      <c r="J185" s="5"/>
      <c r="K185" s="5"/>
      <c r="L185" s="5"/>
      <c r="M185" s="5"/>
      <c r="N185" s="5"/>
      <c r="O185" s="5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</row>
    <row r="189" ht="15.75" customHeight="1">
      <c r="A189" s="24"/>
      <c r="B189" s="24"/>
      <c r="C189" s="24"/>
      <c r="D189" s="24"/>
      <c r="E189" s="24"/>
      <c r="F189" s="24"/>
      <c r="G189" s="24"/>
      <c r="I189" s="24"/>
      <c r="J189" s="24"/>
      <c r="K189" s="24"/>
      <c r="L189" s="24"/>
      <c r="M189" s="24"/>
      <c r="N189" s="24"/>
      <c r="O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86"/>
  <dataValidations>
    <dataValidation type="list" allowBlank="1" showErrorMessage="1" sqref="C2:C185">
      <formula1>Departamentos</formula1>
    </dataValidation>
    <dataValidation type="list" allowBlank="1" showErrorMessage="1" sqref="D2:D185">
      <formula1>Puestos</formula1>
    </dataValidation>
    <dataValidation type="list" allowBlank="1" showErrorMessage="1" sqref="J2:J156">
      <formula1>Lista_Laptop</formula1>
    </dataValidation>
    <dataValidation type="list" allowBlank="1" showErrorMessage="1" sqref="L2:L156">
      <formula1>Lista_Monitores</formula1>
    </dataValidation>
    <dataValidation type="list" allowBlank="1" showErrorMessage="1" sqref="M2:M156">
      <formula1>Lista_Tablets</formula1>
    </dataValidation>
    <dataValidation type="list" allowBlank="1" showErrorMessage="1" sqref="B2:B185">
      <formula1>Sucursales</formula1>
    </dataValidation>
    <dataValidation type="list" allowBlank="1" showErrorMessage="1" sqref="K2:K156">
      <formula1>Lista_CPU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14.29"/>
    <col customWidth="1" min="2" max="2" width="13.57"/>
    <col customWidth="1" min="3" max="3" width="7.86"/>
    <col customWidth="1" min="4" max="4" width="15.57"/>
    <col customWidth="1" min="5" max="5" width="11.29"/>
    <col customWidth="1" min="6" max="6" width="23.0"/>
    <col customWidth="1" min="7" max="7" width="15.43"/>
    <col customWidth="1" min="8" max="8" width="18.71"/>
    <col customWidth="1" min="9" max="9" width="17.71"/>
    <col customWidth="1" hidden="1" min="10" max="10" width="13.14"/>
    <col customWidth="1" hidden="1" min="11" max="11" width="24.57"/>
    <col customWidth="1" hidden="1" min="12" max="12" width="11.14"/>
    <col customWidth="1" min="13" max="13" width="26.71"/>
    <col customWidth="1" hidden="1" min="14" max="14" width="36.86"/>
    <col customWidth="1" hidden="1" min="15" max="15" width="36.29"/>
    <col customWidth="1" min="16" max="16" width="11.14"/>
    <col customWidth="1" min="17" max="17" width="36.57"/>
    <col customWidth="1" min="18" max="18" width="11.57"/>
    <col customWidth="1" min="19" max="19" width="31.86"/>
    <col customWidth="1" min="20" max="20" width="30.71"/>
    <col customWidth="1" min="21" max="22" width="36.86"/>
  </cols>
  <sheetData>
    <row r="1">
      <c r="A1" s="34" t="s">
        <v>760</v>
      </c>
      <c r="B1" s="34" t="s">
        <v>23</v>
      </c>
      <c r="C1" s="34" t="s">
        <v>24</v>
      </c>
      <c r="D1" s="34" t="s">
        <v>25</v>
      </c>
      <c r="E1" s="34" t="s">
        <v>761</v>
      </c>
      <c r="F1" s="35" t="s">
        <v>762</v>
      </c>
      <c r="G1" s="34" t="s">
        <v>763</v>
      </c>
      <c r="H1" s="34" t="s">
        <v>764</v>
      </c>
      <c r="I1" s="34" t="s">
        <v>765</v>
      </c>
      <c r="J1" s="34" t="s">
        <v>766</v>
      </c>
      <c r="K1" s="34" t="s">
        <v>767</v>
      </c>
      <c r="L1" s="34" t="s">
        <v>768</v>
      </c>
      <c r="M1" s="34" t="s">
        <v>769</v>
      </c>
      <c r="N1" s="34" t="s">
        <v>770</v>
      </c>
      <c r="O1" s="34" t="s">
        <v>771</v>
      </c>
      <c r="P1" s="36" t="s">
        <v>772</v>
      </c>
      <c r="Q1" s="34" t="s">
        <v>6</v>
      </c>
      <c r="R1" s="34" t="s">
        <v>11</v>
      </c>
      <c r="S1" s="34" t="s">
        <v>28</v>
      </c>
      <c r="T1" s="34" t="s">
        <v>29</v>
      </c>
      <c r="U1" s="34" t="s">
        <v>60</v>
      </c>
      <c r="V1" s="34" t="s">
        <v>61</v>
      </c>
    </row>
    <row r="2" ht="15.75" customHeight="1">
      <c r="A2" s="5">
        <v>3.931583046E9</v>
      </c>
      <c r="B2" s="22"/>
      <c r="C2" s="5">
        <v>1.0</v>
      </c>
      <c r="D2" s="17">
        <v>269.0</v>
      </c>
      <c r="E2" s="5">
        <v>9.0</v>
      </c>
      <c r="F2" s="17" t="s">
        <v>773</v>
      </c>
      <c r="G2" s="23">
        <v>3.55174187714922E14</v>
      </c>
      <c r="H2" s="5" t="s">
        <v>774</v>
      </c>
      <c r="I2" s="5" t="s">
        <v>775</v>
      </c>
      <c r="J2" s="5" t="s">
        <v>776</v>
      </c>
      <c r="K2" s="5" t="s">
        <v>777</v>
      </c>
      <c r="L2" s="22" t="s">
        <v>778</v>
      </c>
      <c r="M2" s="37"/>
      <c r="N2" s="22" t="s">
        <v>779</v>
      </c>
      <c r="O2" s="5"/>
      <c r="P2" s="38">
        <f t="array" ref="P2">XLOOKUP(F2,Lista_Equipos_2026,Precio_Equipos_2026," *** OJO *** ",0)</f>
        <v>7499</v>
      </c>
      <c r="Q2" s="5" t="str">
        <f t="array" ref="Q2">IF(OR($B2="",ISBLANK(XLOOKUP($B2,Números_Asignados,Nombres_Directorio,"",0))),"",XLOOKUP($B2,Números_Asignados,Nombres_Directorio,"",0))</f>
        <v/>
      </c>
      <c r="R2" s="5" t="str">
        <f t="array" ref="R2">IF(OR($B2="",ISBLANK(XLOOKUP($B2,Números_Asignados,Sucursal_Asignada,"",0))),"",XLOOKUP($B2,Números_Asignados,Sucursal_Asignada,"",0))</f>
        <v/>
      </c>
      <c r="S2" s="5" t="str">
        <f t="array" ref="S2">IF(OR($B2="",ISBLANK(XLOOKUP($B2,Números_Asignados,Departamento_Asignado,"",0))),"",XLOOKUP($B2,Números_Asignados,Departamento_Asignado,"",0))</f>
        <v/>
      </c>
      <c r="T2" s="5" t="str">
        <f t="array" ref="T2">IF(OR($B2="",ISBLANK(XLOOKUP($B2,Números_Asignados,Puesto_Asignado,"",0))),"",XLOOKUP($B2,Números_Asignados,Puesto_Asignado,"",0))</f>
        <v/>
      </c>
      <c r="U2" s="5" t="str">
        <f t="array" ref="U2">IF(OR($B2="",ISBLANK(XLOOKUP($B2,Números_Asignados,Correos_Gmail,"",0))),"",XLOOKUP($B2,Números_Asignados,Correos_Gmail,"",0))</f>
        <v/>
      </c>
      <c r="V2" s="5" t="str">
        <f t="array" ref="V2">IF(OR($B2="",ISBLANK(XLOOKUP($B2,Números_Asignados,Correos_Institucionales,"",0))),"",XLOOKUP($B2,Números_Asignados,Correos_Institucionales,"",0))</f>
        <v/>
      </c>
    </row>
    <row r="3" ht="15.75" customHeight="1">
      <c r="A3" s="5">
        <v>3.522060309E9</v>
      </c>
      <c r="B3" s="5"/>
      <c r="C3" s="5">
        <v>2.0</v>
      </c>
      <c r="D3" s="17">
        <v>329.0</v>
      </c>
      <c r="E3" s="5">
        <v>7.5</v>
      </c>
      <c r="F3" s="5" t="s">
        <v>780</v>
      </c>
      <c r="G3" s="23">
        <v>3.57369477238784E14</v>
      </c>
      <c r="H3" s="5" t="s">
        <v>781</v>
      </c>
      <c r="I3" s="5" t="s">
        <v>782</v>
      </c>
      <c r="J3" s="5" t="s">
        <v>776</v>
      </c>
      <c r="K3" s="5" t="s">
        <v>777</v>
      </c>
      <c r="L3" s="22" t="s">
        <v>778</v>
      </c>
      <c r="M3" s="37"/>
      <c r="N3" s="22" t="s">
        <v>779</v>
      </c>
      <c r="O3" s="5"/>
      <c r="P3" s="38">
        <f t="array" ref="P3">XLOOKUP(F3,Lista_Equipos_2026,Precio_Equipos_2026," *** OJO *** ",0)</f>
        <v>10999</v>
      </c>
      <c r="Q3" s="5" t="str">
        <f t="array" ref="Q3">IF(OR($B3="",ISBLANK(XLOOKUP($B3,Números_Asignados,Nombres_Directorio,"",0))),"",XLOOKUP($B3,Números_Asignados,Nombres_Directorio,"",0))</f>
        <v/>
      </c>
      <c r="R3" s="5" t="str">
        <f t="array" ref="R3">IF(OR($B3="",ISBLANK(XLOOKUP($B3,Números_Asignados,Sucursal_Asignada,"",0))),"",XLOOKUP($B3,Números_Asignados,Sucursal_Asignada,"",0))</f>
        <v/>
      </c>
      <c r="S3" s="5" t="str">
        <f t="array" ref="S3">IF(OR($B3="",ISBLANK(XLOOKUP($B3,Números_Asignados,Departamento_Asignado,"",0))),"",XLOOKUP($B3,Números_Asignados,Departamento_Asignado,"",0))</f>
        <v/>
      </c>
      <c r="T3" s="5" t="str">
        <f t="array" ref="T3">IF(OR($B3="",ISBLANK(XLOOKUP($B3,Números_Asignados,Puesto_Asignado,"",0))),"",XLOOKUP($B3,Números_Asignados,Puesto_Asignado,"",0))</f>
        <v/>
      </c>
      <c r="U3" s="5" t="str">
        <f t="array" ref="U3">IF(OR($B3="",ISBLANK(XLOOKUP($B3,Números_Asignados,Correos_Gmail,"",0))),"",XLOOKUP($B3,Números_Asignados,Correos_Gmail,"",0))</f>
        <v/>
      </c>
      <c r="V3" s="5" t="str">
        <f t="array" ref="V3">IF(OR($B3="",ISBLANK(XLOOKUP($B3,Números_Asignados,Correos_Institucionales,"",0))),"",XLOOKUP($B3,Números_Asignados,Correos_Institucionales,"",0))</f>
        <v/>
      </c>
    </row>
    <row r="4" ht="15.75" customHeight="1">
      <c r="A4" s="5">
        <v>3.521399533E9</v>
      </c>
      <c r="B4" s="5"/>
      <c r="C4" s="5">
        <v>2.0</v>
      </c>
      <c r="D4" s="17">
        <v>329.0</v>
      </c>
      <c r="E4" s="5">
        <v>7.5</v>
      </c>
      <c r="F4" s="5" t="s">
        <v>780</v>
      </c>
      <c r="G4" s="23">
        <v>3.57369477238867E14</v>
      </c>
      <c r="H4" s="5" t="s">
        <v>783</v>
      </c>
      <c r="I4" s="5" t="s">
        <v>784</v>
      </c>
      <c r="J4" s="5" t="s">
        <v>776</v>
      </c>
      <c r="K4" s="5" t="s">
        <v>777</v>
      </c>
      <c r="L4" s="22" t="s">
        <v>778</v>
      </c>
      <c r="M4" s="37"/>
      <c r="N4" s="22" t="s">
        <v>779</v>
      </c>
      <c r="O4" s="5"/>
      <c r="P4" s="38">
        <f t="array" ref="P4">XLOOKUP(F4,Lista_Equipos_2026,Precio_Equipos_2026," *** OJO *** ",0)</f>
        <v>10999</v>
      </c>
      <c r="Q4" s="5" t="str">
        <f t="array" ref="Q4">IF(OR($B4="",ISBLANK(XLOOKUP($B4,Números_Asignados,Nombres_Directorio,"",0))),"",XLOOKUP($B4,Números_Asignados,Nombres_Directorio,"",0))</f>
        <v/>
      </c>
      <c r="R4" s="5" t="str">
        <f t="array" ref="R4">IF(OR($B4="",ISBLANK(XLOOKUP($B4,Números_Asignados,Sucursal_Asignada,"",0))),"",XLOOKUP($B4,Números_Asignados,Sucursal_Asignada,"",0))</f>
        <v/>
      </c>
      <c r="S4" s="5" t="str">
        <f t="array" ref="S4">IF(OR($B4="",ISBLANK(XLOOKUP($B4,Números_Asignados,Departamento_Asignado,"",0))),"",XLOOKUP($B4,Números_Asignados,Departamento_Asignado,"",0))</f>
        <v/>
      </c>
      <c r="T4" s="5" t="str">
        <f t="array" ref="T4">IF(OR($B4="",ISBLANK(XLOOKUP($B4,Números_Asignados,Puesto_Asignado,"",0))),"",XLOOKUP($B4,Números_Asignados,Puesto_Asignado,"",0))</f>
        <v/>
      </c>
      <c r="U4" s="5" t="str">
        <f t="array" ref="U4">IF(OR($B4="",ISBLANK(XLOOKUP($B4,Números_Asignados,Correos_Gmail,"",0))),"",XLOOKUP($B4,Números_Asignados,Correos_Gmail,"",0))</f>
        <v/>
      </c>
      <c r="V4" s="5" t="str">
        <f t="array" ref="V4">IF(OR($B4="",ISBLANK(XLOOKUP($B4,Números_Asignados,Correos_Institucionales,"",0))),"",XLOOKUP($B4,Números_Asignados,Correos_Institucionales,"",0))</f>
        <v/>
      </c>
    </row>
    <row r="5" ht="15.75" customHeight="1">
      <c r="A5" s="5">
        <v>3.521949987E9</v>
      </c>
      <c r="B5" s="5"/>
      <c r="C5" s="5">
        <v>1.0</v>
      </c>
      <c r="D5" s="17">
        <v>269.0</v>
      </c>
      <c r="E5" s="5">
        <v>9.0</v>
      </c>
      <c r="F5" s="17" t="s">
        <v>785</v>
      </c>
      <c r="G5" s="23">
        <v>3.52242801089741E14</v>
      </c>
      <c r="H5" s="5" t="s">
        <v>786</v>
      </c>
      <c r="I5" s="5" t="s">
        <v>787</v>
      </c>
      <c r="J5" s="5" t="s">
        <v>776</v>
      </c>
      <c r="K5" s="5" t="s">
        <v>777</v>
      </c>
      <c r="L5" s="22" t="s">
        <v>778</v>
      </c>
      <c r="M5" s="37"/>
      <c r="N5" s="22" t="s">
        <v>779</v>
      </c>
      <c r="O5" s="5"/>
      <c r="P5" s="38">
        <f t="array" ref="P5">XLOOKUP(F5,Lista_Equipos_2026,Precio_Equipos_2026," *** OJO *** ",0)</f>
        <v>15499</v>
      </c>
      <c r="Q5" s="5" t="str">
        <f t="array" ref="Q5">IF(OR($B5="",ISBLANK(XLOOKUP($B5,Números_Asignados,Nombres_Directorio,"",0))),"",XLOOKUP($B5,Números_Asignados,Nombres_Directorio,"",0))</f>
        <v/>
      </c>
      <c r="R5" s="5" t="str">
        <f t="array" ref="R5">IF(OR($B5="",ISBLANK(XLOOKUP($B5,Números_Asignados,Sucursal_Asignada,"",0))),"",XLOOKUP($B5,Números_Asignados,Sucursal_Asignada,"",0))</f>
        <v/>
      </c>
      <c r="S5" s="5" t="str">
        <f t="array" ref="S5">IF(OR($B5="",ISBLANK(XLOOKUP($B5,Números_Asignados,Departamento_Asignado,"",0))),"",XLOOKUP($B5,Números_Asignados,Departamento_Asignado,"",0))</f>
        <v/>
      </c>
      <c r="T5" s="5" t="str">
        <f t="array" ref="T5">IF(OR($B5="",ISBLANK(XLOOKUP($B5,Números_Asignados,Puesto_Asignado,"",0))),"",XLOOKUP($B5,Números_Asignados,Puesto_Asignado,"",0))</f>
        <v/>
      </c>
      <c r="U5" s="5" t="str">
        <f t="array" ref="U5">IF(OR($B5="",ISBLANK(XLOOKUP($B5,Números_Asignados,Correos_Gmail,"",0))),"",XLOOKUP($B5,Números_Asignados,Correos_Gmail,"",0))</f>
        <v/>
      </c>
      <c r="V5" s="5" t="str">
        <f t="array" ref="V5">IF(OR($B5="",ISBLANK(XLOOKUP($B5,Números_Asignados,Correos_Institucionales,"",0))),"",XLOOKUP($B5,Números_Asignados,Correos_Institucionales,"",0))</f>
        <v/>
      </c>
    </row>
    <row r="6" ht="15.75" customHeight="1">
      <c r="A6" s="5">
        <v>4.434913911E9</v>
      </c>
      <c r="B6" s="5"/>
      <c r="C6" s="5">
        <v>4.0</v>
      </c>
      <c r="D6" s="17">
        <v>599.0</v>
      </c>
      <c r="E6" s="5">
        <v>22.5</v>
      </c>
      <c r="F6" s="17" t="s">
        <v>780</v>
      </c>
      <c r="G6" s="23">
        <v>3.57369477232605E14</v>
      </c>
      <c r="H6" s="5" t="s">
        <v>788</v>
      </c>
      <c r="I6" s="5" t="s">
        <v>789</v>
      </c>
      <c r="J6" s="5" t="s">
        <v>776</v>
      </c>
      <c r="K6" s="5" t="s">
        <v>777</v>
      </c>
      <c r="L6" s="22" t="s">
        <v>778</v>
      </c>
      <c r="M6" s="37"/>
      <c r="N6" s="22" t="s">
        <v>779</v>
      </c>
      <c r="O6" s="5"/>
      <c r="P6" s="38">
        <f t="array" ref="P6">XLOOKUP(F6,Lista_Equipos_2026,Precio_Equipos_2026," *** OJO *** ",0)</f>
        <v>10999</v>
      </c>
      <c r="Q6" s="5" t="str">
        <f t="array" ref="Q6">IF(OR($B6="",ISBLANK(XLOOKUP($B6,Números_Asignados,Nombres_Directorio,"",0))),"",XLOOKUP($B6,Números_Asignados,Nombres_Directorio,"",0))</f>
        <v/>
      </c>
      <c r="R6" s="5" t="str">
        <f t="array" ref="R6">IF(OR($B6="",ISBLANK(XLOOKUP($B6,Números_Asignados,Sucursal_Asignada,"",0))),"",XLOOKUP($B6,Números_Asignados,Sucursal_Asignada,"",0))</f>
        <v/>
      </c>
      <c r="S6" s="5" t="str">
        <f t="array" ref="S6">IF(OR($B6="",ISBLANK(XLOOKUP($B6,Números_Asignados,Departamento_Asignado,"",0))),"",XLOOKUP($B6,Números_Asignados,Departamento_Asignado,"",0))</f>
        <v/>
      </c>
      <c r="T6" s="5" t="str">
        <f t="array" ref="T6">IF(OR($B6="",ISBLANK(XLOOKUP($B6,Números_Asignados,Puesto_Asignado,"",0))),"",XLOOKUP($B6,Números_Asignados,Puesto_Asignado,"",0))</f>
        <v/>
      </c>
      <c r="U6" s="5" t="str">
        <f t="array" ref="U6">IF(OR($B6="",ISBLANK(XLOOKUP($B6,Números_Asignados,Correos_Gmail,"",0))),"",XLOOKUP($B6,Números_Asignados,Correos_Gmail,"",0))</f>
        <v/>
      </c>
      <c r="V6" s="5" t="str">
        <f t="array" ref="V6">IF(OR($B6="",ISBLANK(XLOOKUP($B6,Números_Asignados,Correos_Institucionales,"",0))),"",XLOOKUP($B6,Números_Asignados,Correos_Institucionales,"",0))</f>
        <v/>
      </c>
    </row>
    <row r="7" ht="15.75" customHeight="1">
      <c r="A7" s="5">
        <v>3.921580546E9</v>
      </c>
      <c r="B7" s="5"/>
      <c r="C7" s="5">
        <v>1.0</v>
      </c>
      <c r="D7" s="17">
        <v>269.0</v>
      </c>
      <c r="E7" s="5">
        <v>9.0</v>
      </c>
      <c r="F7" s="17" t="s">
        <v>785</v>
      </c>
      <c r="G7" s="23">
        <v>3.52242800786214E14</v>
      </c>
      <c r="H7" s="5" t="s">
        <v>790</v>
      </c>
      <c r="I7" s="5" t="s">
        <v>791</v>
      </c>
      <c r="J7" s="5" t="s">
        <v>776</v>
      </c>
      <c r="K7" s="5" t="s">
        <v>777</v>
      </c>
      <c r="L7" s="22" t="s">
        <v>778</v>
      </c>
      <c r="M7" s="37"/>
      <c r="N7" s="22" t="s">
        <v>779</v>
      </c>
      <c r="O7" s="5"/>
      <c r="P7" s="38">
        <f t="array" ref="P7">XLOOKUP(F7,Lista_Equipos_2026,Precio_Equipos_2026," *** OJO *** ",0)</f>
        <v>15499</v>
      </c>
      <c r="Q7" s="5" t="str">
        <f t="array" ref="Q7">IF(OR($B7="",ISBLANK(XLOOKUP($B7,Números_Asignados,Nombres_Directorio,"",0))),"",XLOOKUP($B7,Números_Asignados,Nombres_Directorio,"",0))</f>
        <v/>
      </c>
      <c r="R7" s="5" t="str">
        <f t="array" ref="R7">IF(OR($B7="",ISBLANK(XLOOKUP($B7,Números_Asignados,Sucursal_Asignada,"",0))),"",XLOOKUP($B7,Números_Asignados,Sucursal_Asignada,"",0))</f>
        <v/>
      </c>
      <c r="S7" s="5" t="str">
        <f t="array" ref="S7">IF(OR($B7="",ISBLANK(XLOOKUP($B7,Números_Asignados,Departamento_Asignado,"",0))),"",XLOOKUP($B7,Números_Asignados,Departamento_Asignado,"",0))</f>
        <v/>
      </c>
      <c r="T7" s="5" t="str">
        <f t="array" ref="T7">IF(OR($B7="",ISBLANK(XLOOKUP($B7,Números_Asignados,Puesto_Asignado,"",0))),"",XLOOKUP($B7,Números_Asignados,Puesto_Asignado,"",0))</f>
        <v/>
      </c>
      <c r="U7" s="5" t="str">
        <f t="array" ref="U7">IF(OR($B7="",ISBLANK(XLOOKUP($B7,Números_Asignados,Correos_Gmail,"",0))),"",XLOOKUP($B7,Números_Asignados,Correos_Gmail,"",0))</f>
        <v/>
      </c>
      <c r="V7" s="5" t="str">
        <f t="array" ref="V7">IF(OR($B7="",ISBLANK(XLOOKUP($B7,Números_Asignados,Correos_Institucionales,"",0))),"",XLOOKUP($B7,Números_Asignados,Correos_Institucionales,"",0))</f>
        <v/>
      </c>
    </row>
    <row r="8" ht="15.75" customHeight="1">
      <c r="A8" s="5">
        <v>3.313697838E9</v>
      </c>
      <c r="B8" s="5"/>
      <c r="C8" s="5">
        <v>1.0</v>
      </c>
      <c r="D8" s="17">
        <v>269.0</v>
      </c>
      <c r="E8" s="5">
        <v>9.0</v>
      </c>
      <c r="F8" s="17" t="s">
        <v>780</v>
      </c>
      <c r="G8" s="23">
        <v>3.52010505764376E14</v>
      </c>
      <c r="H8" s="23" t="s">
        <v>792</v>
      </c>
      <c r="I8" s="5" t="s">
        <v>793</v>
      </c>
      <c r="J8" s="5" t="s">
        <v>776</v>
      </c>
      <c r="K8" s="23" t="s">
        <v>777</v>
      </c>
      <c r="L8" s="22" t="s">
        <v>778</v>
      </c>
      <c r="M8" s="37"/>
      <c r="N8" s="22" t="s">
        <v>779</v>
      </c>
      <c r="O8" s="5"/>
      <c r="P8" s="38">
        <f t="array" ref="P8">XLOOKUP(F8,Lista_Equipos_2026,Precio_Equipos_2026," *** OJO *** ",0)</f>
        <v>10999</v>
      </c>
      <c r="Q8" s="5" t="str">
        <f t="array" ref="Q8">IF(OR($B8="",ISBLANK(XLOOKUP($B8,Números_Asignados,Nombres_Directorio,"",0))),"",XLOOKUP($B8,Números_Asignados,Nombres_Directorio,"",0))</f>
        <v/>
      </c>
      <c r="R8" s="5" t="str">
        <f t="array" ref="R8">IF(OR($B8="",ISBLANK(XLOOKUP($B8,Números_Asignados,Sucursal_Asignada,"",0))),"",XLOOKUP($B8,Números_Asignados,Sucursal_Asignada,"",0))</f>
        <v/>
      </c>
      <c r="S8" s="5" t="str">
        <f t="array" ref="S8">IF(OR($B8="",ISBLANK(XLOOKUP($B8,Números_Asignados,Departamento_Asignado,"",0))),"",XLOOKUP($B8,Números_Asignados,Departamento_Asignado,"",0))</f>
        <v/>
      </c>
      <c r="T8" s="5" t="str">
        <f t="array" ref="T8">IF(OR($B8="",ISBLANK(XLOOKUP($B8,Números_Asignados,Puesto_Asignado,"",0))),"",XLOOKUP($B8,Números_Asignados,Puesto_Asignado,"",0))</f>
        <v/>
      </c>
      <c r="U8" s="5" t="str">
        <f t="array" ref="U8">IF(OR($B8="",ISBLANK(XLOOKUP($B8,Números_Asignados,Correos_Gmail,"",0))),"",XLOOKUP($B8,Números_Asignados,Correos_Gmail,"",0))</f>
        <v/>
      </c>
      <c r="V8" s="5" t="str">
        <f t="array" ref="V8">IF(OR($B8="",ISBLANK(XLOOKUP($B8,Números_Asignados,Correos_Institucionales,"",0))),"",XLOOKUP($B8,Números_Asignados,Correos_Institucionales,"",0))</f>
        <v/>
      </c>
    </row>
    <row r="9" ht="15.75" customHeight="1">
      <c r="A9" s="5">
        <v>3.93104207E9</v>
      </c>
      <c r="B9" s="22"/>
      <c r="C9" s="5">
        <v>4.0</v>
      </c>
      <c r="D9" s="17">
        <v>599.0</v>
      </c>
      <c r="E9" s="5">
        <v>22.5</v>
      </c>
      <c r="F9" s="17" t="s">
        <v>780</v>
      </c>
      <c r="G9" s="23">
        <v>3.57369477217143E14</v>
      </c>
      <c r="H9" s="23" t="s">
        <v>794</v>
      </c>
      <c r="I9" s="5" t="s">
        <v>795</v>
      </c>
      <c r="J9" s="5" t="s">
        <v>776</v>
      </c>
      <c r="K9" s="23" t="s">
        <v>777</v>
      </c>
      <c r="L9" s="22" t="s">
        <v>778</v>
      </c>
      <c r="M9" s="37"/>
      <c r="N9" s="22" t="s">
        <v>779</v>
      </c>
      <c r="O9" s="5" t="s">
        <v>796</v>
      </c>
      <c r="P9" s="38">
        <f t="array" ref="P9">XLOOKUP(F9,Lista_Equipos_2026,Precio_Equipos_2026," *** OJO *** ",0)</f>
        <v>10999</v>
      </c>
      <c r="Q9" s="5" t="str">
        <f t="array" ref="Q9">IF(OR($B9="",ISBLANK(XLOOKUP($B9,Números_Asignados,Nombres_Directorio,"",0))),"",XLOOKUP($B9,Números_Asignados,Nombres_Directorio,"",0))</f>
        <v/>
      </c>
      <c r="R9" s="5" t="str">
        <f t="array" ref="R9">IF(OR($B9="",ISBLANK(XLOOKUP($B9,Números_Asignados,Sucursal_Asignada,"",0))),"",XLOOKUP($B9,Números_Asignados,Sucursal_Asignada,"",0))</f>
        <v/>
      </c>
      <c r="S9" s="5" t="str">
        <f t="array" ref="S9">IF(OR($B9="",ISBLANK(XLOOKUP($B9,Números_Asignados,Departamento_Asignado,"",0))),"",XLOOKUP($B9,Números_Asignados,Departamento_Asignado,"",0))</f>
        <v/>
      </c>
      <c r="T9" s="5" t="str">
        <f t="array" ref="T9">IF(OR($B9="",ISBLANK(XLOOKUP($B9,Números_Asignados,Puesto_Asignado,"",0))),"",XLOOKUP($B9,Números_Asignados,Puesto_Asignado,"",0))</f>
        <v/>
      </c>
      <c r="U9" s="5" t="str">
        <f t="array" ref="U9">IF(OR($B9="",ISBLANK(XLOOKUP($B9,Números_Asignados,Correos_Gmail,"",0))),"",XLOOKUP($B9,Números_Asignados,Correos_Gmail,"",0))</f>
        <v/>
      </c>
      <c r="V9" s="5" t="str">
        <f t="array" ref="V9">IF(OR($B9="",ISBLANK(XLOOKUP($B9,Números_Asignados,Correos_Institucionales,"",0))),"",XLOOKUP($B9,Números_Asignados,Correos_Institucionales,"",0))</f>
        <v/>
      </c>
    </row>
    <row r="10" ht="15.75" customHeight="1">
      <c r="A10" s="5">
        <v>3.931079956E9</v>
      </c>
      <c r="B10" s="5">
        <v>3.931079956E9</v>
      </c>
      <c r="C10" s="5">
        <v>4.0</v>
      </c>
      <c r="D10" s="17">
        <v>599.0</v>
      </c>
      <c r="E10" s="5">
        <v>22.5</v>
      </c>
      <c r="F10" s="17" t="s">
        <v>780</v>
      </c>
      <c r="G10" s="23">
        <v>3.57369477220667E14</v>
      </c>
      <c r="H10" s="23" t="s">
        <v>797</v>
      </c>
      <c r="I10" s="5" t="s">
        <v>798</v>
      </c>
      <c r="J10" s="5" t="s">
        <v>776</v>
      </c>
      <c r="K10" s="23" t="s">
        <v>777</v>
      </c>
      <c r="L10" s="22" t="s">
        <v>778</v>
      </c>
      <c r="M10" s="39">
        <v>46178.0</v>
      </c>
      <c r="N10" s="22" t="s">
        <v>779</v>
      </c>
      <c r="O10" s="5"/>
      <c r="P10" s="38">
        <f t="array" ref="P10">XLOOKUP(F10,Lista_Equipos_2026,Precio_Equipos_2026," *** OJO *** ",0)</f>
        <v>10999</v>
      </c>
      <c r="Q10" s="5" t="str">
        <f t="array" ref="Q10">IF(OR($B10="",ISBLANK(XLOOKUP($B10,Números_Asignados,Nombres_Directorio,"",0))),"",XLOOKUP($B10,Números_Asignados,Nombres_Directorio,"",0))</f>
        <v>Abdiel Yahir González Razo</v>
      </c>
      <c r="R10" s="5" t="str">
        <f t="array" ref="R10">IF(OR($B10="",ISBLANK(XLOOKUP($B10,Números_Asignados,Sucursal_Asignada,"",0))),"",XLOOKUP($B10,Números_Asignados,Sucursal_Asignada,"",0))</f>
        <v>Corporativo</v>
      </c>
      <c r="S10" s="5" t="str">
        <f t="array" ref="S10">IF(OR($B10="",ISBLANK(XLOOKUP($B10,Números_Asignados,Departamento_Asignado,"",0))),"",XLOOKUP($B10,Números_Asignados,Departamento_Asignado,"",0))</f>
        <v>Agricultura Inteligente</v>
      </c>
      <c r="T10" s="5" t="str">
        <f t="array" ref="T10">IF(OR($B10="",ISBLANK(XLOOKUP($B10,Números_Asignados,Puesto_Asignado,"",0))),"",XLOOKUP($B10,Números_Asignados,Puesto_Asignado,"",0))</f>
        <v>Asesor de Ventas</v>
      </c>
      <c r="U10" s="5" t="str">
        <f t="array" ref="U10">IF(OR($B10="",ISBLANK(XLOOKUP($B10,Números_Asignados,Correos_Gmail,"",0))),"",XLOOKUP($B10,Números_Asignados,Correos_Gmail,"",0))</f>
        <v>paneles.solares@agrocisa.com.mx</v>
      </c>
      <c r="V10" s="5" t="str">
        <f t="array" ref="V10">IF(OR($B10="",ISBLANK(XLOOKUP($B10,Números_Asignados,Correos_Institucionales,"",0))),"",XLOOKUP($B10,Números_Asignados,Correos_Institucionales,"",0))</f>
        <v>paneles.solares@agrocisa.com.mx</v>
      </c>
    </row>
    <row r="11" ht="15.75" customHeight="1">
      <c r="A11" s="5">
        <v>4.431358405E9</v>
      </c>
      <c r="B11" s="40">
        <v>3.93119711E9</v>
      </c>
      <c r="C11" s="5" t="s">
        <v>52</v>
      </c>
      <c r="D11" s="17">
        <v>229.0</v>
      </c>
      <c r="E11" s="5">
        <v>4.5</v>
      </c>
      <c r="F11" s="5" t="s">
        <v>799</v>
      </c>
      <c r="G11" s="23">
        <v>3.55732674070049E14</v>
      </c>
      <c r="H11" s="5" t="s">
        <v>800</v>
      </c>
      <c r="I11" s="5" t="s">
        <v>801</v>
      </c>
      <c r="J11" s="5" t="s">
        <v>776</v>
      </c>
      <c r="K11" s="5" t="s">
        <v>777</v>
      </c>
      <c r="L11" s="22" t="s">
        <v>778</v>
      </c>
      <c r="M11" s="39">
        <v>46140.0</v>
      </c>
      <c r="N11" s="22" t="s">
        <v>779</v>
      </c>
      <c r="O11" s="5"/>
      <c r="P11" s="38">
        <f t="array" ref="P11">XLOOKUP(F11,Lista_Equipos_2026,Precio_Equipos_2026," *** OJO *** ",0)</f>
        <v>19999</v>
      </c>
      <c r="Q11" s="5" t="str">
        <f t="array" ref="Q11">IF(OR($B11="",ISBLANK(XLOOKUP($B11,Números_Asignados,Nombres_Directorio,"",0))),"",XLOOKUP($B11,Números_Asignados,Nombres_Directorio,"",0))</f>
        <v/>
      </c>
      <c r="R11" s="5" t="str">
        <f t="array" ref="R11">IF(OR($B11="",ISBLANK(XLOOKUP($B11,Números_Asignados,Sucursal_Asignada,"",0))),"",XLOOKUP($B11,Números_Asignados,Sucursal_Asignada,"",0))</f>
        <v/>
      </c>
      <c r="S11" s="5" t="str">
        <f t="array" ref="S11">IF(OR($B11="",ISBLANK(XLOOKUP($B11,Números_Asignados,Departamento_Asignado,"",0))),"",XLOOKUP($B11,Números_Asignados,Departamento_Asignado,"",0))</f>
        <v/>
      </c>
      <c r="T11" s="5" t="str">
        <f t="array" ref="T11">IF(OR($B11="",ISBLANK(XLOOKUP($B11,Números_Asignados,Puesto_Asignado,"",0))),"",XLOOKUP($B11,Números_Asignados,Puesto_Asignado,"",0))</f>
        <v/>
      </c>
      <c r="U11" s="5" t="str">
        <f t="array" ref="U11">IF(OR($B11="",ISBLANK(XLOOKUP($B11,Números_Asignados,Correos_Gmail,"",0))),"",XLOOKUP($B11,Números_Asignados,Correos_Gmail,"",0))</f>
        <v/>
      </c>
      <c r="V11" s="5" t="str">
        <f t="array" ref="V11">IF(OR($B11="",ISBLANK(XLOOKUP($B11,Números_Asignados,Correos_Institucionales,"",0))),"",XLOOKUP($B11,Números_Asignados,Correos_Institucionales,"",0))</f>
        <v/>
      </c>
    </row>
    <row r="12" ht="15.75" customHeight="1">
      <c r="A12" s="5">
        <v>3.91125726E9</v>
      </c>
      <c r="B12" s="40">
        <v>3.522060309E9</v>
      </c>
      <c r="C12" s="5">
        <v>1.0</v>
      </c>
      <c r="D12" s="17">
        <v>269.0</v>
      </c>
      <c r="E12" s="5">
        <v>9.0</v>
      </c>
      <c r="F12" s="17" t="s">
        <v>773</v>
      </c>
      <c r="G12" s="23">
        <v>3.55174187717073E14</v>
      </c>
      <c r="H12" s="5" t="s">
        <v>802</v>
      </c>
      <c r="I12" s="5" t="s">
        <v>803</v>
      </c>
      <c r="J12" s="5" t="s">
        <v>776</v>
      </c>
      <c r="K12" s="5" t="s">
        <v>777</v>
      </c>
      <c r="L12" s="22" t="s">
        <v>778</v>
      </c>
      <c r="M12" s="39">
        <v>46147.0</v>
      </c>
      <c r="N12" s="22" t="s">
        <v>779</v>
      </c>
      <c r="O12" s="5"/>
      <c r="P12" s="38">
        <f t="array" ref="P12">XLOOKUP(F12,Lista_Equipos_2026,Precio_Equipos_2026," *** OJO *** ",0)</f>
        <v>7499</v>
      </c>
      <c r="Q12" s="5" t="str">
        <f t="array" ref="Q12">IF(OR($B12="",ISBLANK(XLOOKUP($B12,Números_Asignados,Nombres_Directorio,"",0))),"",XLOOKUP($B12,Números_Asignados,Nombres_Directorio,"",0))</f>
        <v/>
      </c>
      <c r="R12" s="5" t="str">
        <f t="array" ref="R12">IF(OR($B12="",ISBLANK(XLOOKUP($B12,Números_Asignados,Sucursal_Asignada,"",0))),"",XLOOKUP($B12,Números_Asignados,Sucursal_Asignada,"",0))</f>
        <v/>
      </c>
      <c r="S12" s="5" t="str">
        <f t="array" ref="S12">IF(OR($B12="",ISBLANK(XLOOKUP($B12,Números_Asignados,Departamento_Asignado,"",0))),"",XLOOKUP($B12,Números_Asignados,Departamento_Asignado,"",0))</f>
        <v/>
      </c>
      <c r="T12" s="5" t="str">
        <f t="array" ref="T12">IF(OR($B12="",ISBLANK(XLOOKUP($B12,Números_Asignados,Puesto_Asignado,"",0))),"",XLOOKUP($B12,Números_Asignados,Puesto_Asignado,"",0))</f>
        <v/>
      </c>
      <c r="U12" s="5" t="str">
        <f t="array" ref="U12">IF(OR($B12="",ISBLANK(XLOOKUP($B12,Números_Asignados,Correos_Gmail,"",0))),"",XLOOKUP($B12,Números_Asignados,Correos_Gmail,"",0))</f>
        <v/>
      </c>
      <c r="V12" s="5" t="str">
        <f t="array" ref="V12">IF(OR($B12="",ISBLANK(XLOOKUP($B12,Números_Asignados,Correos_Institucionales,"",0))),"",XLOOKUP($B12,Números_Asignados,Correos_Institucionales,"",0))</f>
        <v/>
      </c>
    </row>
    <row r="13" ht="15.75" customHeight="1">
      <c r="A13" s="5">
        <v>3.911257736E9</v>
      </c>
      <c r="B13" s="5">
        <v>3.911257736E9</v>
      </c>
      <c r="C13" s="5">
        <v>1.0</v>
      </c>
      <c r="D13" s="17">
        <v>269.0</v>
      </c>
      <c r="E13" s="5">
        <v>9.0</v>
      </c>
      <c r="F13" s="17" t="s">
        <v>773</v>
      </c>
      <c r="G13" s="23">
        <v>3.55174187717107E14</v>
      </c>
      <c r="H13" s="5" t="s">
        <v>804</v>
      </c>
      <c r="I13" s="5" t="s">
        <v>805</v>
      </c>
      <c r="J13" s="5" t="s">
        <v>776</v>
      </c>
      <c r="K13" s="5" t="s">
        <v>777</v>
      </c>
      <c r="L13" s="22" t="s">
        <v>778</v>
      </c>
      <c r="M13" s="39">
        <v>46149.0</v>
      </c>
      <c r="N13" s="22" t="s">
        <v>779</v>
      </c>
      <c r="O13" s="5"/>
      <c r="P13" s="38">
        <f t="array" ref="P13">XLOOKUP(F13,Lista_Equipos_2026,Precio_Equipos_2026," *** OJO *** ",0)</f>
        <v>7499</v>
      </c>
      <c r="Q13" s="5" t="str">
        <f t="array" ref="Q13">IF(OR($B13="",ISBLANK(XLOOKUP($B13,Números_Asignados,Nombres_Directorio,"",0))),"",XLOOKUP($B13,Números_Asignados,Nombres_Directorio,"",0))</f>
        <v/>
      </c>
      <c r="R13" s="5" t="str">
        <f t="array" ref="R13">IF(OR($B13="",ISBLANK(XLOOKUP($B13,Números_Asignados,Sucursal_Asignada,"",0))),"",XLOOKUP($B13,Números_Asignados,Sucursal_Asignada,"",0))</f>
        <v/>
      </c>
      <c r="S13" s="5" t="str">
        <f t="array" ref="S13">IF(OR($B13="",ISBLANK(XLOOKUP($B13,Números_Asignados,Departamento_Asignado,"",0))),"",XLOOKUP($B13,Números_Asignados,Departamento_Asignado,"",0))</f>
        <v/>
      </c>
      <c r="T13" s="5" t="str">
        <f t="array" ref="T13">IF(OR($B13="",ISBLANK(XLOOKUP($B13,Números_Asignados,Puesto_Asignado,"",0))),"",XLOOKUP($B13,Números_Asignados,Puesto_Asignado,"",0))</f>
        <v/>
      </c>
      <c r="U13" s="5" t="str">
        <f t="array" ref="U13">IF(OR($B13="",ISBLANK(XLOOKUP($B13,Números_Asignados,Correos_Gmail,"",0))),"",XLOOKUP($B13,Números_Asignados,Correos_Gmail,"",0))</f>
        <v/>
      </c>
      <c r="V13" s="5" t="str">
        <f t="array" ref="V13">IF(OR($B13="",ISBLANK(XLOOKUP($B13,Números_Asignados,Correos_Institucionales,"",0))),"",XLOOKUP($B13,Números_Asignados,Correos_Institucionales,"",0))</f>
        <v/>
      </c>
    </row>
    <row r="14" ht="15.75" customHeight="1">
      <c r="A14" s="5">
        <v>3.931245174E9</v>
      </c>
      <c r="B14" s="5">
        <v>3.931245174E9</v>
      </c>
      <c r="C14" s="5">
        <v>4.0</v>
      </c>
      <c r="D14" s="17">
        <v>599.0</v>
      </c>
      <c r="E14" s="5">
        <v>22.5</v>
      </c>
      <c r="F14" s="17" t="s">
        <v>780</v>
      </c>
      <c r="G14" s="23">
        <v>3.5736947722654E14</v>
      </c>
      <c r="H14" s="23" t="s">
        <v>806</v>
      </c>
      <c r="I14" s="5" t="s">
        <v>807</v>
      </c>
      <c r="J14" s="23" t="s">
        <v>776</v>
      </c>
      <c r="K14" s="23" t="s">
        <v>777</v>
      </c>
      <c r="L14" s="22" t="s">
        <v>778</v>
      </c>
      <c r="M14" s="39">
        <v>46135.0</v>
      </c>
      <c r="N14" s="22" t="s">
        <v>779</v>
      </c>
      <c r="O14" s="5"/>
      <c r="P14" s="38">
        <f t="array" ref="P14">XLOOKUP(F14,Lista_Equipos_2026,Precio_Equipos_2026," *** OJO *** ",0)</f>
        <v>10999</v>
      </c>
      <c r="Q14" s="5" t="str">
        <f t="array" ref="Q14">IF(OR($B14="",ISBLANK(XLOOKUP($B14,Números_Asignados,Nombres_Directorio,"",0))),"",XLOOKUP($B14,Números_Asignados,Nombres_Directorio,"",0))</f>
        <v>Diego Guadalupe Armas Álvarez</v>
      </c>
      <c r="R14" s="5" t="str">
        <f t="array" ref="R14">IF(OR($B14="",ISBLANK(XLOOKUP($B14,Números_Asignados,Sucursal_Asignada,"",0))),"",XLOOKUP($B14,Números_Asignados,Sucursal_Asignada,"",0))</f>
        <v>Corporativo</v>
      </c>
      <c r="S14" s="5" t="str">
        <f t="array" ref="S14">IF(OR($B14="",ISBLANK(XLOOKUP($B14,Números_Asignados,Departamento_Asignado,"",0))),"",XLOOKUP($B14,Números_Asignados,Departamento_Asignado,"",0))</f>
        <v>Agricultura Inteligente</v>
      </c>
      <c r="T14" s="5" t="str">
        <f t="array" ref="T14">IF(OR($B14="",ISBLANK(XLOOKUP($B14,Números_Asignados,Puesto_Asignado,"",0))),"",XLOOKUP($B14,Números_Asignados,Puesto_Asignado,"",0))</f>
        <v>Asesor de Ventas</v>
      </c>
      <c r="U14" s="5" t="str">
        <f t="array" ref="U14">IF(OR($B14="",ISBLANK(XLOOKUP($B14,Números_Asignados,Correos_Gmail,"",0))),"",XLOOKUP($B14,Números_Asignados,Correos_Gmail,"",0))</f>
        <v>diego.armas@agrocisa.com.mx</v>
      </c>
      <c r="V14" s="5" t="str">
        <f t="array" ref="V14">IF(OR($B14="",ISBLANK(XLOOKUP($B14,Números_Asignados,Correos_Institucionales,"",0))),"",XLOOKUP($B14,Números_Asignados,Correos_Institucionales,"",0))</f>
        <v>diego.armas@agrocisa.com.mx</v>
      </c>
    </row>
    <row r="15" ht="15.75" customHeight="1">
      <c r="A15" s="5">
        <v>3.931099049E9</v>
      </c>
      <c r="B15" s="5">
        <v>3.931099049E9</v>
      </c>
      <c r="C15" s="5">
        <v>4.0</v>
      </c>
      <c r="D15" s="17">
        <v>599.0</v>
      </c>
      <c r="E15" s="5">
        <v>22.5</v>
      </c>
      <c r="F15" s="17" t="s">
        <v>780</v>
      </c>
      <c r="G15" s="23">
        <v>3.57369477238768E14</v>
      </c>
      <c r="H15" s="23" t="s">
        <v>808</v>
      </c>
      <c r="I15" s="5" t="s">
        <v>809</v>
      </c>
      <c r="J15" s="23" t="s">
        <v>776</v>
      </c>
      <c r="K15" s="23" t="s">
        <v>777</v>
      </c>
      <c r="L15" s="22" t="s">
        <v>778</v>
      </c>
      <c r="M15" s="39">
        <v>46136.0</v>
      </c>
      <c r="N15" s="22" t="s">
        <v>779</v>
      </c>
      <c r="O15" s="5"/>
      <c r="P15" s="38">
        <f t="array" ref="P15">XLOOKUP(F15,Lista_Equipos_2026,Precio_Equipos_2026," *** OJO *** ",0)</f>
        <v>10999</v>
      </c>
      <c r="Q15" s="5" t="str">
        <f t="array" ref="Q15">IF(OR($B15="",ISBLANK(XLOOKUP($B15,Números_Asignados,Nombres_Directorio,"",0))),"",XLOOKUP($B15,Números_Asignados,Nombres_Directorio,"",0))</f>
        <v>Jesus Alberto Zuno Jimenez</v>
      </c>
      <c r="R15" s="5" t="str">
        <f t="array" ref="R15">IF(OR($B15="",ISBLANK(XLOOKUP($B15,Números_Asignados,Sucursal_Asignada,"",0))),"",XLOOKUP($B15,Números_Asignados,Sucursal_Asignada,"",0))</f>
        <v>Corporativo</v>
      </c>
      <c r="S15" s="5" t="str">
        <f t="array" ref="S15">IF(OR($B15="",ISBLANK(XLOOKUP($B15,Números_Asignados,Departamento_Asignado,"",0))),"",XLOOKUP($B15,Números_Asignados,Departamento_Asignado,"",0))</f>
        <v>Agricultura Inteligente</v>
      </c>
      <c r="T15" s="5" t="str">
        <f t="array" ref="T15">IF(OR($B15="",ISBLANK(XLOOKUP($B15,Números_Asignados,Puesto_Asignado,"",0))),"",XLOOKUP($B15,Números_Asignados,Puesto_Asignado,"",0))</f>
        <v>Asesor de Ventas</v>
      </c>
      <c r="U15" s="5" t="str">
        <f t="array" ref="U15">IF(OR($B15="",ISBLANK(XLOOKUP($B15,Números_Asignados,Correos_Gmail,"",0))),"",XLOOKUP($B15,Números_Asignados,Correos_Gmail,"",0))</f>
        <v>jesus.zuno@agrocisa.com.mx</v>
      </c>
      <c r="V15" s="5" t="str">
        <f t="array" ref="V15">IF(OR($B15="",ISBLANK(XLOOKUP($B15,Números_Asignados,Correos_Institucionales,"",0))),"",XLOOKUP($B15,Números_Asignados,Correos_Institucionales,"",0))</f>
        <v>jesus.zuno@agrocisa.com.mx</v>
      </c>
    </row>
    <row r="16" ht="15.75" customHeight="1">
      <c r="A16" s="5">
        <v>3.921368208E9</v>
      </c>
      <c r="B16" s="41">
        <v>3.931190252E9</v>
      </c>
      <c r="C16" s="5">
        <v>4.0</v>
      </c>
      <c r="D16" s="17">
        <v>599.0</v>
      </c>
      <c r="E16" s="5">
        <v>22.5</v>
      </c>
      <c r="F16" s="5" t="s">
        <v>780</v>
      </c>
      <c r="G16" s="23">
        <v>3.57369477239907E14</v>
      </c>
      <c r="H16" s="5" t="s">
        <v>810</v>
      </c>
      <c r="I16" s="5" t="s">
        <v>811</v>
      </c>
      <c r="J16" s="5" t="s">
        <v>776</v>
      </c>
      <c r="K16" s="5" t="s">
        <v>777</v>
      </c>
      <c r="L16" s="22" t="s">
        <v>778</v>
      </c>
      <c r="M16" s="22" t="s">
        <v>812</v>
      </c>
      <c r="N16" s="22" t="s">
        <v>779</v>
      </c>
      <c r="O16" s="5" t="s">
        <v>813</v>
      </c>
      <c r="P16" s="38">
        <f t="array" ref="P16">XLOOKUP(F16,Lista_Equipos_2026,Precio_Equipos_2026," *** OJO *** ",0)</f>
        <v>10999</v>
      </c>
      <c r="Q16" s="5" t="str">
        <f t="array" ref="Q16">IF(OR($B16="",ISBLANK(XLOOKUP($B16,Números_Asignados,Nombres_Directorio,"",0))),"",XLOOKUP($B16,Números_Asignados,Nombres_Directorio,"",0))</f>
        <v>Pascual Humberto Ramírez Flores</v>
      </c>
      <c r="R16" s="5" t="str">
        <f t="array" ref="R16">IF(OR($B16="",ISBLANK(XLOOKUP($B16,Números_Asignados,Sucursal_Asignada,"",0))),"",XLOOKUP($B16,Números_Asignados,Sucursal_Asignada,"",0))</f>
        <v>Corporativo</v>
      </c>
      <c r="S16" s="5" t="str">
        <f t="array" ref="S16">IF(OR($B16="",ISBLANK(XLOOKUP($B16,Números_Asignados,Departamento_Asignado,"",0))),"",XLOOKUP($B16,Números_Asignados,Departamento_Asignado,"",0))</f>
        <v>Agricultura Inteligente</v>
      </c>
      <c r="T16" s="5" t="str">
        <f t="array" ref="T16">IF(OR($B16="",ISBLANK(XLOOKUP($B16,Números_Asignados,Puesto_Asignado,"",0))),"",XLOOKUP($B16,Números_Asignados,Puesto_Asignado,"",0))</f>
        <v>Asesor de Ventas</v>
      </c>
      <c r="U16" s="5" t="str">
        <f t="array" ref="U16">IF(OR($B16="",ISBLANK(XLOOKUP($B16,Números_Asignados,Correos_Gmail,"",0))),"",XLOOKUP($B16,Números_Asignados,Correos_Gmail,"",0))</f>
        <v>soportetcgps.agro@gmail.com</v>
      </c>
      <c r="V16" s="5" t="str">
        <f t="array" ref="V16">IF(OR($B16="",ISBLANK(XLOOKUP($B16,Números_Asignados,Correos_Institucionales,"",0))),"",XLOOKUP($B16,Números_Asignados,Correos_Institucionales,"",0))</f>
        <v>soportetc.gps@agrocisa.com.mx</v>
      </c>
    </row>
    <row r="17" ht="15.75" customHeight="1">
      <c r="A17" s="5">
        <v>3.316135759E9</v>
      </c>
      <c r="B17" s="5">
        <v>3.316135759E9</v>
      </c>
      <c r="C17" s="5">
        <v>4.0</v>
      </c>
      <c r="D17" s="17">
        <v>599.0</v>
      </c>
      <c r="E17" s="5">
        <v>22.5</v>
      </c>
      <c r="F17" s="17" t="s">
        <v>780</v>
      </c>
      <c r="G17" s="23">
        <v>3.57369477238198E14</v>
      </c>
      <c r="H17" s="23" t="s">
        <v>814</v>
      </c>
      <c r="I17" s="5" t="s">
        <v>815</v>
      </c>
      <c r="J17" s="23" t="s">
        <v>776</v>
      </c>
      <c r="K17" s="23" t="s">
        <v>777</v>
      </c>
      <c r="L17" s="22" t="s">
        <v>778</v>
      </c>
      <c r="M17" s="39">
        <v>46136.0</v>
      </c>
      <c r="N17" s="22" t="s">
        <v>779</v>
      </c>
      <c r="O17" s="5"/>
      <c r="P17" s="38">
        <f t="array" ref="P17">XLOOKUP(F17,Lista_Equipos_2026,Precio_Equipos_2026," *** OJO *** ",0)</f>
        <v>10999</v>
      </c>
      <c r="Q17" s="5" t="str">
        <f t="array" ref="Q17">IF(OR($B17="",ISBLANK(XLOOKUP($B17,Números_Asignados,Nombres_Directorio,"",0))),"",XLOOKUP($B17,Números_Asignados,Nombres_Directorio,"",0))</f>
        <v>Mariana Álvarez Estrada</v>
      </c>
      <c r="R17" s="5" t="str">
        <f t="array" ref="R17">IF(OR($B17="",ISBLANK(XLOOKUP($B17,Números_Asignados,Sucursal_Asignada,"",0))),"",XLOOKUP($B17,Números_Asignados,Sucursal_Asignada,"",0))</f>
        <v>Corporativo</v>
      </c>
      <c r="S17" s="5" t="str">
        <f t="array" ref="S17">IF(OR($B17="",ISBLANK(XLOOKUP($B17,Números_Asignados,Departamento_Asignado,"",0))),"",XLOOKUP($B17,Números_Asignados,Departamento_Asignado,"",0))</f>
        <v>Agricultura Inteligente</v>
      </c>
      <c r="T17" s="5" t="str">
        <f t="array" ref="T17">IF(OR($B17="",ISBLANK(XLOOKUP($B17,Números_Asignados,Puesto_Asignado,"",0))),"",XLOOKUP($B17,Números_Asignados,Puesto_Asignado,"",0))</f>
        <v>Auxiliar Administrativo</v>
      </c>
      <c r="U17" s="5" t="str">
        <f t="array" ref="U17">IF(OR($B17="",ISBLANK(XLOOKUP($B17,Números_Asignados,Correos_Gmail,"",0))),"",XLOOKUP($B17,Números_Asignados,Correos_Gmail,"",0))</f>
        <v>mariana.alvarez@agrocisa.com.mx</v>
      </c>
      <c r="V17" s="5" t="str">
        <f t="array" ref="V17">IF(OR($B17="",ISBLANK(XLOOKUP($B17,Números_Asignados,Correos_Institucionales,"",0))),"",XLOOKUP($B17,Números_Asignados,Correos_Institucionales,"",0))</f>
        <v>mariana.alvarez@agrocisa.com.mx</v>
      </c>
    </row>
    <row r="18" ht="15.75" customHeight="1">
      <c r="A18" s="5">
        <v>3.93107996E9</v>
      </c>
      <c r="B18" s="5">
        <v>3.93107996E9</v>
      </c>
      <c r="C18" s="5">
        <v>4.0</v>
      </c>
      <c r="D18" s="17">
        <v>599.0</v>
      </c>
      <c r="E18" s="5">
        <v>22.5</v>
      </c>
      <c r="F18" s="17" t="s">
        <v>785</v>
      </c>
      <c r="G18" s="23">
        <v>3.52242801087711E14</v>
      </c>
      <c r="H18" s="23" t="s">
        <v>816</v>
      </c>
      <c r="I18" s="5" t="s">
        <v>817</v>
      </c>
      <c r="J18" s="5" t="s">
        <v>776</v>
      </c>
      <c r="K18" s="23" t="s">
        <v>777</v>
      </c>
      <c r="L18" s="22" t="s">
        <v>778</v>
      </c>
      <c r="M18" s="39">
        <v>46136.0</v>
      </c>
      <c r="N18" s="22" t="s">
        <v>779</v>
      </c>
      <c r="O18" s="5"/>
      <c r="P18" s="38">
        <f t="array" ref="P18">XLOOKUP(F18,Lista_Equipos_2026,Precio_Equipos_2026," *** OJO *** ",0)</f>
        <v>15499</v>
      </c>
      <c r="Q18" s="5" t="str">
        <f t="array" ref="Q18">IF(OR($B18="",ISBLANK(XLOOKUP($B18,Números_Asignados,Nombres_Directorio,"",0))),"",XLOOKUP($B18,Números_Asignados,Nombres_Directorio,"",0))</f>
        <v>Saúl Hernández Becerra</v>
      </c>
      <c r="R18" s="5" t="str">
        <f t="array" ref="R18">IF(OR($B18="",ISBLANK(XLOOKUP($B18,Números_Asignados,Sucursal_Asignada,"",0))),"",XLOOKUP($B18,Números_Asignados,Sucursal_Asignada,"",0))</f>
        <v>Corporativo</v>
      </c>
      <c r="S18" s="5" t="str">
        <f t="array" ref="S18">IF(OR($B18="",ISBLANK(XLOOKUP($B18,Números_Asignados,Departamento_Asignado,"",0))),"",XLOOKUP($B18,Números_Asignados,Departamento_Asignado,"",0))</f>
        <v>Agricultura Inteligente</v>
      </c>
      <c r="T18" s="5" t="str">
        <f t="array" ref="T18">IF(OR($B18="",ISBLANK(XLOOKUP($B18,Números_Asignados,Puesto_Asignado,"",0))),"",XLOOKUP($B18,Números_Asignados,Puesto_Asignado,"",0))</f>
        <v>Jefe de Agricultura Inteligente</v>
      </c>
      <c r="U18" s="5" t="str">
        <f t="array" ref="U18">IF(OR($B18="",ISBLANK(XLOOKUP($B18,Números_Asignados,Correos_Gmail,"",0))),"",XLOOKUP($B18,Números_Asignados,Correos_Gmail,"",0))</f>
        <v>saul.hernandez@agrocisa.com.mx</v>
      </c>
      <c r="V18" s="5" t="str">
        <f t="array" ref="V18">IF(OR($B18="",ISBLANK(XLOOKUP($B18,Números_Asignados,Correos_Institucionales,"",0))),"",XLOOKUP($B18,Números_Asignados,Correos_Institucionales,"",0))</f>
        <v>saul.hernandez@agrocisa.com.mx</v>
      </c>
    </row>
    <row r="19" ht="15.75" customHeight="1">
      <c r="A19" s="5">
        <v>3.781868862E9</v>
      </c>
      <c r="B19" s="5">
        <v>3.781868862E9</v>
      </c>
      <c r="C19" s="5">
        <v>1.0</v>
      </c>
      <c r="D19" s="17">
        <v>269.0</v>
      </c>
      <c r="E19" s="5">
        <v>9.0</v>
      </c>
      <c r="F19" s="17" t="s">
        <v>780</v>
      </c>
      <c r="G19" s="23">
        <v>3.52010505743214E14</v>
      </c>
      <c r="H19" s="23" t="s">
        <v>818</v>
      </c>
      <c r="I19" s="5" t="s">
        <v>819</v>
      </c>
      <c r="J19" s="5" t="s">
        <v>776</v>
      </c>
      <c r="K19" s="23" t="s">
        <v>777</v>
      </c>
      <c r="L19" s="22" t="s">
        <v>778</v>
      </c>
      <c r="M19" s="39">
        <v>46136.0</v>
      </c>
      <c r="N19" s="22" t="s">
        <v>779</v>
      </c>
      <c r="O19" s="5"/>
      <c r="P19" s="38">
        <f t="array" ref="P19">XLOOKUP(F19,Lista_Equipos_2026,Precio_Equipos_2026," *** OJO *** ",0)</f>
        <v>10999</v>
      </c>
      <c r="Q19" s="5" t="str">
        <f t="array" ref="Q19">IF(OR($B19="",ISBLANK(XLOOKUP($B19,Números_Asignados,Nombres_Directorio,"",0))),"",XLOOKUP($B19,Números_Asignados,Nombres_Directorio,"",0))</f>
        <v>José Alejandro Tellez Gómez</v>
      </c>
      <c r="R19" s="5" t="str">
        <f t="array" ref="R19">IF(OR($B19="",ISBLANK(XLOOKUP($B19,Números_Asignados,Sucursal_Asignada,"",0))),"",XLOOKUP($B19,Números_Asignados,Sucursal_Asignada,"",0))</f>
        <v>Corporativo</v>
      </c>
      <c r="S19" s="5" t="str">
        <f t="array" ref="S19">IF(OR($B19="",ISBLANK(XLOOKUP($B19,Números_Asignados,Departamento_Asignado,"",0))),"",XLOOKUP($B19,Números_Asignados,Departamento_Asignado,"",0))</f>
        <v>Agricultura Inteligente</v>
      </c>
      <c r="T19" s="5" t="str">
        <f t="array" ref="T19">IF(OR($B19="",ISBLANK(XLOOKUP($B19,Números_Asignados,Puesto_Asignado,"",0))),"",XLOOKUP($B19,Números_Asignados,Puesto_Asignado,"",0))</f>
        <v>Técnico</v>
      </c>
      <c r="U19" s="5" t="str">
        <f t="array" ref="U19">IF(OR($B19="",ISBLANK(XLOOKUP($B19,Números_Asignados,Correos_Gmail,"",0))),"",XLOOKUP($B19,Números_Asignados,Correos_Gmail,"",0))</f>
        <v>alejandro.tellez@agrocisa.com.mx</v>
      </c>
      <c r="V19" s="5" t="str">
        <f t="array" ref="V19">IF(OR($B19="",ISBLANK(XLOOKUP($B19,Números_Asignados,Correos_Institucionales,"",0))),"",XLOOKUP($B19,Números_Asignados,Correos_Institucionales,"",0))</f>
        <v>alejandro.tellez@agrocisa.com.mx</v>
      </c>
    </row>
    <row r="20" ht="15.75" customHeight="1">
      <c r="A20" s="5">
        <v>3.931001237E9</v>
      </c>
      <c r="B20" s="5">
        <v>3.931001237E9</v>
      </c>
      <c r="C20" s="5">
        <v>1.0</v>
      </c>
      <c r="D20" s="17">
        <v>269.0</v>
      </c>
      <c r="E20" s="5">
        <v>9.0</v>
      </c>
      <c r="F20" s="17" t="s">
        <v>780</v>
      </c>
      <c r="G20" s="23">
        <v>3.52010505743404E14</v>
      </c>
      <c r="H20" s="23" t="s">
        <v>820</v>
      </c>
      <c r="I20" s="5" t="s">
        <v>821</v>
      </c>
      <c r="J20" s="5" t="s">
        <v>776</v>
      </c>
      <c r="K20" s="23" t="s">
        <v>777</v>
      </c>
      <c r="L20" s="22" t="s">
        <v>778</v>
      </c>
      <c r="M20" s="39">
        <v>46141.0</v>
      </c>
      <c r="N20" s="22" t="s">
        <v>779</v>
      </c>
      <c r="O20" s="5"/>
      <c r="P20" s="38">
        <f t="array" ref="P20">XLOOKUP(F20,Lista_Equipos_2026,Precio_Equipos_2026," *** OJO *** ",0)</f>
        <v>10999</v>
      </c>
      <c r="Q20" s="5" t="str">
        <f t="array" ref="Q20">IF(OR($B20="",ISBLANK(XLOOKUP($B20,Números_Asignados,Nombres_Directorio,"",0))),"",XLOOKUP($B20,Números_Asignados,Nombres_Directorio,"",0))</f>
        <v>Isela María Guadalupe Rodríguez Estrada</v>
      </c>
      <c r="R20" s="5" t="str">
        <f t="array" ref="R20">IF(OR($B20="",ISBLANK(XLOOKUP($B20,Números_Asignados,Sucursal_Asignada,"",0))),"",XLOOKUP($B20,Números_Asignados,Sucursal_Asignada,"",0))</f>
        <v>Corporativo</v>
      </c>
      <c r="S20" s="5" t="str">
        <f t="array" ref="S20">IF(OR($B20="",ISBLANK(XLOOKUP($B20,Números_Asignados,Departamento_Asignado,"",0))),"",XLOOKUP($B20,Números_Asignados,Departamento_Asignado,"",0))</f>
        <v>Capital Humano</v>
      </c>
      <c r="T20" s="5" t="str">
        <f t="array" ref="T20">IF(OR($B20="",ISBLANK(XLOOKUP($B20,Números_Asignados,Puesto_Asignado,"",0))),"",XLOOKUP($B20,Números_Asignados,Puesto_Asignado,"",0))</f>
        <v>Auxiliar Administrativo</v>
      </c>
      <c r="U20" s="5" t="str">
        <f t="array" ref="U20">IF(OR($B20="",ISBLANK(XLOOKUP($B20,Números_Asignados,Correos_Gmail,"",0))),"",XLOOKUP($B20,Números_Asignados,Correos_Gmail,"",0))</f>
        <v>isela.rhagrocisa@gmail.com</v>
      </c>
      <c r="V20" s="5" t="str">
        <f t="array" ref="V20">IF(OR($B20="",ISBLANK(XLOOKUP($B20,Números_Asignados,Correos_Institucionales,"",0))),"",XLOOKUP($B20,Números_Asignados,Correos_Institucionales,"",0))</f>
        <v>isela.rodriguez@agrocisa.com.mx</v>
      </c>
    </row>
    <row r="21" ht="15.75" customHeight="1">
      <c r="A21" s="5">
        <v>3.931245167E9</v>
      </c>
      <c r="B21" s="5">
        <v>3.931245167E9</v>
      </c>
      <c r="C21" s="5">
        <v>4.0</v>
      </c>
      <c r="D21" s="17">
        <v>599.0</v>
      </c>
      <c r="E21" s="5">
        <v>22.5</v>
      </c>
      <c r="F21" s="17" t="s">
        <v>785</v>
      </c>
      <c r="G21" s="23">
        <v>3.52242801087976E14</v>
      </c>
      <c r="H21" s="23" t="s">
        <v>822</v>
      </c>
      <c r="I21" s="5" t="s">
        <v>823</v>
      </c>
      <c r="J21" s="5" t="s">
        <v>776</v>
      </c>
      <c r="K21" s="23" t="s">
        <v>777</v>
      </c>
      <c r="L21" s="22" t="s">
        <v>778</v>
      </c>
      <c r="M21" s="37">
        <v>46129.0</v>
      </c>
      <c r="N21" s="22" t="s">
        <v>779</v>
      </c>
      <c r="O21" s="5"/>
      <c r="P21" s="38">
        <f t="array" ref="P21">XLOOKUP(F21,Lista_Equipos_2026,Precio_Equipos_2026," *** OJO *** ",0)</f>
        <v>15499</v>
      </c>
      <c r="Q21" s="5" t="str">
        <f t="array" ref="Q21">IF(OR($B21="",ISBLANK(XLOOKUP($B21,Números_Asignados,Nombres_Directorio,"",0))),"",XLOOKUP($B21,Números_Asignados,Nombres_Directorio,"",0))</f>
        <v>Luis Donaldo Sánchez Álvarez</v>
      </c>
      <c r="R21" s="5" t="str">
        <f t="array" ref="R21">IF(OR($B21="",ISBLANK(XLOOKUP($B21,Números_Asignados,Sucursal_Asignada,"",0))),"",XLOOKUP($B21,Números_Asignados,Sucursal_Asignada,"",0))</f>
        <v>Corporativo</v>
      </c>
      <c r="S21" s="5" t="str">
        <f t="array" ref="S21">IF(OR($B21="",ISBLANK(XLOOKUP($B21,Números_Asignados,Departamento_Asignado,"",0))),"",XLOOKUP($B21,Números_Asignados,Departamento_Asignado,"",0))</f>
        <v>Capital Humano</v>
      </c>
      <c r="T21" s="5" t="str">
        <f t="array" ref="T21">IF(OR($B21="",ISBLANK(XLOOKUP($B21,Números_Asignados,Puesto_Asignado,"",0))),"",XLOOKUP($B21,Números_Asignados,Puesto_Asignado,"",0))</f>
        <v>Jefe de Capital Humano</v>
      </c>
      <c r="U21" s="5" t="str">
        <f t="array" ref="U21">IF(OR($B21="",ISBLANK(XLOOKUP($B21,Números_Asignados,Correos_Gmail,"",0))),"",XLOOKUP($B21,Números_Asignados,Correos_Gmail,"",0))</f>
        <v>capitalhumano.agrocisa@gmail.com</v>
      </c>
      <c r="V21" s="5" t="str">
        <f t="array" ref="V21">IF(OR($B21="",ISBLANK(XLOOKUP($B21,Números_Asignados,Correos_Institucionales,"",0))),"",XLOOKUP($B21,Números_Asignados,Correos_Institucionales,"",0))</f>
        <v>capitalhumano@agrocisa.com.mx</v>
      </c>
    </row>
    <row r="22" ht="15.75" customHeight="1">
      <c r="A22" s="5">
        <v>3.521423189E9</v>
      </c>
      <c r="B22" s="41">
        <v>3.931205198E9</v>
      </c>
      <c r="C22" s="5">
        <v>1.0</v>
      </c>
      <c r="D22" s="17">
        <v>269.0</v>
      </c>
      <c r="E22" s="5">
        <v>9.0</v>
      </c>
      <c r="F22" s="17" t="s">
        <v>785</v>
      </c>
      <c r="G22" s="23">
        <v>3.52242801089691E14</v>
      </c>
      <c r="H22" s="5" t="s">
        <v>824</v>
      </c>
      <c r="I22" s="5" t="s">
        <v>825</v>
      </c>
      <c r="J22" s="5" t="s">
        <v>776</v>
      </c>
      <c r="K22" s="5" t="s">
        <v>777</v>
      </c>
      <c r="L22" s="22" t="s">
        <v>778</v>
      </c>
      <c r="M22" s="37">
        <v>46134.0</v>
      </c>
      <c r="N22" s="22" t="s">
        <v>779</v>
      </c>
      <c r="O22" s="5" t="s">
        <v>813</v>
      </c>
      <c r="P22" s="38">
        <f t="array" ref="P22">XLOOKUP(F22,Lista_Equipos_2026,Precio_Equipos_2026," *** OJO *** ",0)</f>
        <v>15499</v>
      </c>
      <c r="Q22" s="5" t="str">
        <f t="array" ref="Q22">IF(OR($B22="",ISBLANK(XLOOKUP($B22,Números_Asignados,Nombres_Directorio,"",0))),"",XLOOKUP($B22,Números_Asignados,Nombres_Directorio,"",0))</f>
        <v>María del Cármen Sánchez García</v>
      </c>
      <c r="R22" s="5" t="str">
        <f t="array" ref="R22">IF(OR($B22="",ISBLANK(XLOOKUP($B22,Números_Asignados,Sucursal_Asignada,"",0))),"",XLOOKUP($B22,Números_Asignados,Sucursal_Asignada,"",0))</f>
        <v>Corporativo</v>
      </c>
      <c r="S22" s="5" t="str">
        <f t="array" ref="S22">IF(OR($B22="",ISBLANK(XLOOKUP($B22,Números_Asignados,Departamento_Asignado,"",0))),"",XLOOKUP($B22,Números_Asignados,Departamento_Asignado,"",0))</f>
        <v>Compras</v>
      </c>
      <c r="T22" s="5" t="str">
        <f t="array" ref="T22">IF(OR($B22="",ISBLANK(XLOOKUP($B22,Números_Asignados,Puesto_Asignado,"",0))),"",XLOOKUP($B22,Números_Asignados,Puesto_Asignado,"",0))</f>
        <v>Auxiliar Administrativo</v>
      </c>
      <c r="U22" s="5" t="str">
        <f t="array" ref="U22">IF(OR($B22="",ISBLANK(XLOOKUP($B22,Números_Asignados,Correos_Gmail,"",0))),"",XLOOKUP($B22,Números_Asignados,Correos_Gmail,"",0))</f>
        <v>auxiliarcompras.agrocisa@gmail.com</v>
      </c>
      <c r="V22" s="5" t="str">
        <f t="array" ref="V22">IF(OR($B22="",ISBLANK(XLOOKUP($B22,Números_Asignados,Correos_Institucionales,"",0))),"",XLOOKUP($B22,Números_Asignados,Correos_Institucionales,"",0))</f>
        <v>compras@agrocisa.com.mx</v>
      </c>
    </row>
    <row r="23" ht="15.75" customHeight="1">
      <c r="A23" s="5">
        <v>3.931583234E9</v>
      </c>
      <c r="B23" s="41">
        <v>3.931245254E9</v>
      </c>
      <c r="C23" s="5">
        <v>4.0</v>
      </c>
      <c r="D23" s="17">
        <v>599.0</v>
      </c>
      <c r="E23" s="5">
        <v>22.5</v>
      </c>
      <c r="F23" s="17" t="s">
        <v>773</v>
      </c>
      <c r="G23" s="23">
        <v>3.55174187709393E14</v>
      </c>
      <c r="H23" s="5" t="s">
        <v>826</v>
      </c>
      <c r="I23" s="5" t="s">
        <v>827</v>
      </c>
      <c r="J23" s="5" t="s">
        <v>776</v>
      </c>
      <c r="K23" s="5" t="s">
        <v>777</v>
      </c>
      <c r="L23" s="22" t="s">
        <v>778</v>
      </c>
      <c r="M23" s="39">
        <v>46136.0</v>
      </c>
      <c r="N23" s="22" t="s">
        <v>779</v>
      </c>
      <c r="O23" s="5" t="s">
        <v>813</v>
      </c>
      <c r="P23" s="38">
        <f t="array" ref="P23">XLOOKUP(F23,Lista_Equipos_2026,Precio_Equipos_2026," *** OJO *** ",0)</f>
        <v>7499</v>
      </c>
      <c r="Q23" s="5" t="str">
        <f t="array" ref="Q23">IF(OR($B23="",ISBLANK(XLOOKUP($B23,Números_Asignados,Nombres_Directorio,"",0))),"",XLOOKUP($B23,Números_Asignados,Nombres_Directorio,"",0))</f>
        <v>José Alejandro Rosas Oñate</v>
      </c>
      <c r="R23" s="5" t="str">
        <f t="array" ref="R23">IF(OR($B23="",ISBLANK(XLOOKUP($B23,Números_Asignados,Sucursal_Asignada,"",0))),"",XLOOKUP($B23,Números_Asignados,Sucursal_Asignada,"",0))</f>
        <v>Corporativo</v>
      </c>
      <c r="S23" s="5" t="str">
        <f t="array" ref="S23">IF(OR($B23="",ISBLANK(XLOOKUP($B23,Números_Asignados,Departamento_Asignado,"",0))),"",XLOOKUP($B23,Números_Asignados,Departamento_Asignado,"",0))</f>
        <v>Compras</v>
      </c>
      <c r="T23" s="5" t="str">
        <f t="array" ref="T23">IF(OR($B23="",ISBLANK(XLOOKUP($B23,Números_Asignados,Puesto_Asignado,"",0))),"",XLOOKUP($B23,Números_Asignados,Puesto_Asignado,"",0))</f>
        <v>Chofer</v>
      </c>
      <c r="U23" s="5" t="str">
        <f t="array" ref="U23">IF(OR($B23="",ISBLANK(XLOOKUP($B23,Números_Asignados,Correos_Gmail,"",0))),"",XLOOKUP($B23,Números_Asignados,Correos_Gmail,"",0))</f>
        <v>chofercompras@agrocisa.com.mx</v>
      </c>
      <c r="V23" s="5" t="str">
        <f t="array" ref="V23">IF(OR($B23="",ISBLANK(XLOOKUP($B23,Números_Asignados,Correos_Institucionales,"",0))),"",XLOOKUP($B23,Números_Asignados,Correos_Institucionales,"",0))</f>
        <v>chofercompras@agrocisa.com.mx</v>
      </c>
    </row>
    <row r="24" ht="15.75" customHeight="1">
      <c r="A24" s="5">
        <v>3.313254527E9</v>
      </c>
      <c r="B24" s="5">
        <v>3.313254527E9</v>
      </c>
      <c r="C24" s="5">
        <v>1.0</v>
      </c>
      <c r="D24" s="17">
        <v>269.0</v>
      </c>
      <c r="E24" s="5">
        <v>9.0</v>
      </c>
      <c r="F24" s="17" t="s">
        <v>780</v>
      </c>
      <c r="G24" s="23">
        <v>3.52010505738214E14</v>
      </c>
      <c r="H24" s="23" t="s">
        <v>828</v>
      </c>
      <c r="I24" s="5" t="s">
        <v>829</v>
      </c>
      <c r="J24" s="5" t="s">
        <v>776</v>
      </c>
      <c r="K24" s="23" t="s">
        <v>777</v>
      </c>
      <c r="L24" s="22" t="s">
        <v>778</v>
      </c>
      <c r="M24" s="37">
        <v>46134.0</v>
      </c>
      <c r="N24" s="22" t="s">
        <v>779</v>
      </c>
      <c r="O24" s="5"/>
      <c r="P24" s="38">
        <f t="array" ref="P24">XLOOKUP(F24,Lista_Equipos_2026,Precio_Equipos_2026," *** OJO *** ",0)</f>
        <v>10999</v>
      </c>
      <c r="Q24" s="5" t="str">
        <f t="array" ref="Q24">IF(OR($B24="",ISBLANK(XLOOKUP($B24,Números_Asignados,Nombres_Directorio,"",0))),"",XLOOKUP($B24,Números_Asignados,Nombres_Directorio,"",0))</f>
        <v>Alejandra Guadalupe Munguía Albisio</v>
      </c>
      <c r="R24" s="5" t="str">
        <f t="array" ref="R24">IF(OR($B24="",ISBLANK(XLOOKUP($B24,Números_Asignados,Sucursal_Asignada,"",0))),"",XLOOKUP($B24,Números_Asignados,Sucursal_Asignada,"",0))</f>
        <v>Corporativo</v>
      </c>
      <c r="S24" s="5" t="str">
        <f t="array" ref="S24">IF(OR($B24="",ISBLANK(XLOOKUP($B24,Números_Asignados,Departamento_Asignado,"",0))),"",XLOOKUP($B24,Números_Asignados,Departamento_Asignado,"",0))</f>
        <v>Compras Internacionales</v>
      </c>
      <c r="T24" s="5" t="str">
        <f t="array" ref="T24">IF(OR($B24="",ISBLANK(XLOOKUP($B24,Números_Asignados,Puesto_Asignado,"",0))),"",XLOOKUP($B24,Números_Asignados,Puesto_Asignado,"",0))</f>
        <v>Auxiliar Administrativo</v>
      </c>
      <c r="U24" s="5" t="str">
        <f t="array" ref="U24">IF(OR($B24="",ISBLANK(XLOOKUP($B24,Números_Asignados,Correos_Gmail,"",0))),"",XLOOKUP($B24,Números_Asignados,Correos_Gmail,"",0))</f>
        <v>comprasinternacionales@agrocisa.com.mx</v>
      </c>
      <c r="V24" s="5" t="str">
        <f t="array" ref="V24">IF(OR($B24="",ISBLANK(XLOOKUP($B24,Números_Asignados,Correos_Institucionales,"",0))),"",XLOOKUP($B24,Números_Asignados,Correos_Institucionales,"",0))</f>
        <v>comprasinternacionales@agrocisa.com.mx</v>
      </c>
    </row>
    <row r="25" ht="15.75" customHeight="1">
      <c r="A25" s="5">
        <v>3.931042392E9</v>
      </c>
      <c r="B25" s="5">
        <v>3.931042392E9</v>
      </c>
      <c r="C25" s="5">
        <v>1.0</v>
      </c>
      <c r="D25" s="17">
        <v>269.0</v>
      </c>
      <c r="E25" s="5">
        <v>9.0</v>
      </c>
      <c r="F25" s="17" t="s">
        <v>785</v>
      </c>
      <c r="G25" s="23">
        <v>3.52242801084627E14</v>
      </c>
      <c r="H25" s="23" t="s">
        <v>830</v>
      </c>
      <c r="I25" s="5" t="s">
        <v>831</v>
      </c>
      <c r="J25" s="5" t="s">
        <v>776</v>
      </c>
      <c r="K25" s="23" t="s">
        <v>777</v>
      </c>
      <c r="L25" s="22" t="s">
        <v>778</v>
      </c>
      <c r="M25" s="39">
        <v>46139.0</v>
      </c>
      <c r="N25" s="22" t="s">
        <v>779</v>
      </c>
      <c r="O25" s="5"/>
      <c r="P25" s="38">
        <f t="array" ref="P25">XLOOKUP(F25,Lista_Equipos_2026,Precio_Equipos_2026," *** OJO *** ",0)</f>
        <v>15499</v>
      </c>
      <c r="Q25" s="5" t="str">
        <f t="array" ref="Q25">IF(OR($B25="",ISBLANK(XLOOKUP($B25,Números_Asignados,Nombres_Directorio,"",0))),"",XLOOKUP($B25,Números_Asignados,Nombres_Directorio,"",0))</f>
        <v>Ricardo Durán Ulloa</v>
      </c>
      <c r="R25" s="5" t="str">
        <f t="array" ref="R25">IF(OR($B25="",ISBLANK(XLOOKUP($B25,Números_Asignados,Sucursal_Asignada,"",0))),"",XLOOKUP($B25,Números_Asignados,Sucursal_Asignada,"",0))</f>
        <v>Corporativo</v>
      </c>
      <c r="S25" s="5" t="str">
        <f t="array" ref="S25">IF(OR($B25="",ISBLANK(XLOOKUP($B25,Números_Asignados,Departamento_Asignado,"",0))),"",XLOOKUP($B25,Números_Asignados,Departamento_Asignado,"",0))</f>
        <v>Contabilidad</v>
      </c>
      <c r="T25" s="5" t="str">
        <f t="array" ref="T25">IF(OR($B25="",ISBLANK(XLOOKUP($B25,Números_Asignados,Puesto_Asignado,"",0))),"",XLOOKUP($B25,Números_Asignados,Puesto_Asignado,"",0))</f>
        <v>Jefe de Contabilidad</v>
      </c>
      <c r="U25" s="5" t="str">
        <f t="array" ref="U25">IF(OR($B25="",ISBLANK(XLOOKUP($B25,Números_Asignados,Correos_Gmail,"",0))),"",XLOOKUP($B25,Números_Asignados,Correos_Gmail,"",0))</f>
        <v>rduran.agro@gmail.com</v>
      </c>
      <c r="V25" s="5" t="str">
        <f t="array" ref="V25">IF(OR($B25="",ISBLANK(XLOOKUP($B25,Números_Asignados,Correos_Institucionales,"",0))),"",XLOOKUP($B25,Números_Asignados,Correos_Institucionales,"",0))</f>
        <v>ricardo.duran@agrocisa.com.mx</v>
      </c>
    </row>
    <row r="26" ht="15.75" customHeight="1">
      <c r="A26" s="5">
        <v>3.781868857E9</v>
      </c>
      <c r="B26" s="5">
        <v>3.781868857E9</v>
      </c>
      <c r="C26" s="5">
        <v>1.0</v>
      </c>
      <c r="D26" s="17">
        <v>269.0</v>
      </c>
      <c r="E26" s="5">
        <v>9.0</v>
      </c>
      <c r="F26" s="17" t="s">
        <v>780</v>
      </c>
      <c r="G26" s="23">
        <v>3.52010505738982E14</v>
      </c>
      <c r="H26" s="23" t="s">
        <v>832</v>
      </c>
      <c r="I26" s="5" t="s">
        <v>833</v>
      </c>
      <c r="J26" s="5" t="s">
        <v>776</v>
      </c>
      <c r="K26" s="23" t="s">
        <v>777</v>
      </c>
      <c r="L26" s="22" t="s">
        <v>778</v>
      </c>
      <c r="M26" s="39">
        <v>46136.0</v>
      </c>
      <c r="N26" s="22" t="s">
        <v>779</v>
      </c>
      <c r="O26" s="5"/>
      <c r="P26" s="38">
        <f t="array" ref="P26">XLOOKUP(F26,Lista_Equipos_2026,Precio_Equipos_2026," *** OJO *** ",0)</f>
        <v>10999</v>
      </c>
      <c r="Q26" s="5" t="str">
        <f t="array" ref="Q26">IF(OR($B26="",ISBLANK(XLOOKUP($B26,Números_Asignados,Nombres_Directorio,"",0))),"",XLOOKUP($B26,Números_Asignados,Nombres_Directorio,"",0))</f>
        <v>Patricia Lorena Covarrubias Tello</v>
      </c>
      <c r="R26" s="5" t="str">
        <f t="array" ref="R26">IF(OR($B26="",ISBLANK(XLOOKUP($B26,Números_Asignados,Sucursal_Asignada,"",0))),"",XLOOKUP($B26,Números_Asignados,Sucursal_Asignada,"",0))</f>
        <v>Corporativo</v>
      </c>
      <c r="S26" s="5" t="str">
        <f t="array" ref="S26">IF(OR($B26="",ISBLANK(XLOOKUP($B26,Números_Asignados,Departamento_Asignado,"",0))),"",XLOOKUP($B26,Números_Asignados,Departamento_Asignado,"",0))</f>
        <v>Crédito y Cobranza</v>
      </c>
      <c r="T26" s="5" t="str">
        <f t="array" ref="T26">IF(OR($B26="",ISBLANK(XLOOKUP($B26,Números_Asignados,Puesto_Asignado,"",0))),"",XLOOKUP($B26,Números_Asignados,Puesto_Asignado,"",0))</f>
        <v>Auxiliar Administrativo</v>
      </c>
      <c r="U26" s="5" t="str">
        <f t="array" ref="U26">IF(OR($B26="",ISBLANK(XLOOKUP($B26,Números_Asignados,Correos_Gmail,"",0))),"",XLOOKUP($B26,Números_Asignados,Correos_Gmail,"",0))</f>
        <v>auxiliarcredito.agro@gmail.com</v>
      </c>
      <c r="V26" s="5" t="str">
        <f t="array" ref="V26">IF(OR($B26="",ISBLANK(XLOOKUP($B26,Números_Asignados,Correos_Institucionales,"",0))),"",XLOOKUP($B26,Números_Asignados,Correos_Institucionales,"",0))</f>
        <v>credito01@agrocisa.com.mx</v>
      </c>
    </row>
    <row r="27" ht="15.75" customHeight="1">
      <c r="A27" s="5">
        <v>3.316099062E9</v>
      </c>
      <c r="B27" s="5">
        <v>3.316099062E9</v>
      </c>
      <c r="C27" s="5">
        <v>1.0</v>
      </c>
      <c r="D27" s="17">
        <v>269.0</v>
      </c>
      <c r="E27" s="5">
        <v>9.0</v>
      </c>
      <c r="F27" s="17" t="s">
        <v>785</v>
      </c>
      <c r="G27" s="23">
        <v>3.52242801084874E14</v>
      </c>
      <c r="H27" s="23" t="s">
        <v>834</v>
      </c>
      <c r="I27" s="5" t="s">
        <v>835</v>
      </c>
      <c r="J27" s="5" t="s">
        <v>776</v>
      </c>
      <c r="K27" s="23" t="s">
        <v>777</v>
      </c>
      <c r="L27" s="22" t="s">
        <v>778</v>
      </c>
      <c r="M27" s="39">
        <v>46137.0</v>
      </c>
      <c r="N27" s="22" t="s">
        <v>779</v>
      </c>
      <c r="O27" s="5"/>
      <c r="P27" s="38">
        <f t="array" ref="P27">XLOOKUP(F27,Lista_Equipos_2026,Precio_Equipos_2026," *** OJO *** ",0)</f>
        <v>15499</v>
      </c>
      <c r="Q27" s="5" t="str">
        <f t="array" ref="Q27">IF(OR($B27="",ISBLANK(XLOOKUP($B27,Números_Asignados,Nombres_Directorio,"",0))),"",XLOOKUP($B27,Números_Asignados,Nombres_Directorio,"",0))</f>
        <v>Magdalena Estrada Gómez</v>
      </c>
      <c r="R27" s="5" t="str">
        <f t="array" ref="R27">IF(OR($B27="",ISBLANK(XLOOKUP($B27,Números_Asignados,Sucursal_Asignada,"",0))),"",XLOOKUP($B27,Números_Asignados,Sucursal_Asignada,"",0))</f>
        <v>Corporativo</v>
      </c>
      <c r="S27" s="5" t="str">
        <f t="array" ref="S27">IF(OR($B27="",ISBLANK(XLOOKUP($B27,Números_Asignados,Departamento_Asignado,"",0))),"",XLOOKUP($B27,Números_Asignados,Departamento_Asignado,"",0))</f>
        <v>Crédito y Cobranza</v>
      </c>
      <c r="T27" s="5" t="str">
        <f t="array" ref="T27">IF(OR($B27="",ISBLANK(XLOOKUP($B27,Números_Asignados,Puesto_Asignado,"",0))),"",XLOOKUP($B27,Números_Asignados,Puesto_Asignado,"",0))</f>
        <v>Jefa Crédito y Cobranza</v>
      </c>
      <c r="U27" s="5" t="str">
        <f t="array" ref="U27">IF(OR($B27="",ISBLANK(XLOOKUP($B27,Números_Asignados,Correos_Gmail,"",0))),"",XLOOKUP($B27,Números_Asignados,Correos_Gmail,"",0))</f>
        <v>m.estradaagro@gmail.com</v>
      </c>
      <c r="V27" s="5" t="str">
        <f t="array" ref="V27">IF(OR($B27="",ISBLANK(XLOOKUP($B27,Números_Asignados,Correos_Institucionales,"",0))),"",XLOOKUP($B27,Números_Asignados,Correos_Institucionales,"",0))</f>
        <v>magdalena.estrada@agrocisa.com.mx</v>
      </c>
    </row>
    <row r="28" ht="15.75" customHeight="1">
      <c r="A28" s="5">
        <v>3.781868858E9</v>
      </c>
      <c r="B28" s="5">
        <v>3.781868858E9</v>
      </c>
      <c r="C28" s="5">
        <v>4.0</v>
      </c>
      <c r="D28" s="17">
        <v>599.0</v>
      </c>
      <c r="E28" s="5">
        <v>22.5</v>
      </c>
      <c r="F28" s="17" t="s">
        <v>785</v>
      </c>
      <c r="G28" s="23">
        <v>3.52242801086028E14</v>
      </c>
      <c r="H28" s="23" t="s">
        <v>836</v>
      </c>
      <c r="I28" s="5" t="s">
        <v>837</v>
      </c>
      <c r="J28" s="5" t="s">
        <v>776</v>
      </c>
      <c r="K28" s="23" t="s">
        <v>777</v>
      </c>
      <c r="L28" s="22" t="s">
        <v>778</v>
      </c>
      <c r="M28" s="39">
        <v>46136.0</v>
      </c>
      <c r="N28" s="22" t="s">
        <v>779</v>
      </c>
      <c r="O28" s="5"/>
      <c r="P28" s="38">
        <f t="array" ref="P28">XLOOKUP(F28,Lista_Equipos_2026,Precio_Equipos_2026," *** OJO *** ",0)</f>
        <v>15499</v>
      </c>
      <c r="Q28" s="5" t="str">
        <f t="array" ref="Q28">IF(OR($B28="",ISBLANK(XLOOKUP($B28,Números_Asignados,Nombres_Directorio,"",0))),"",XLOOKUP($B28,Números_Asignados,Nombres_Directorio,"",0))</f>
        <v>Jesús Mora Pérez</v>
      </c>
      <c r="R28" s="5" t="str">
        <f t="array" ref="R28">IF(OR($B28="",ISBLANK(XLOOKUP($B28,Números_Asignados,Sucursal_Asignada,"",0))),"",XLOOKUP($B28,Números_Asignados,Sucursal_Asignada,"",0))</f>
        <v>Corporativo</v>
      </c>
      <c r="S28" s="5" t="str">
        <f t="array" ref="S28">IF(OR($B28="",ISBLANK(XLOOKUP($B28,Números_Asignados,Departamento_Asignado,"",0))),"",XLOOKUP($B28,Números_Asignados,Departamento_Asignado,"",0))</f>
        <v>Servicio</v>
      </c>
      <c r="T28" s="5" t="str">
        <f t="array" ref="T28">IF(OR($B28="",ISBLANK(XLOOKUP($B28,Números_Asignados,Puesto_Asignado,"",0))),"",XLOOKUP($B28,Números_Asignados,Puesto_Asignado,"",0))</f>
        <v>Jefe Administrativo</v>
      </c>
      <c r="U28" s="5" t="str">
        <f t="array" ref="U28">IF(OR($B28="",ISBLANK(XLOOKUP($B28,Números_Asignados,Correos_Gmail,"",0))),"",XLOOKUP($B28,Números_Asignados,Correos_Gmail,"",0))</f>
        <v>coordservicio.agro@gmail.com</v>
      </c>
      <c r="V28" s="5" t="str">
        <f t="array" ref="V28">IF(OR($B28="",ISBLANK(XLOOKUP($B28,Números_Asignados,Correos_Institucionales,"",0))),"",XLOOKUP($B28,Números_Asignados,Correos_Institucionales,"",0))</f>
        <v>jesus.mora@agrocisa.com.mx</v>
      </c>
    </row>
    <row r="29" ht="15.75" customHeight="1">
      <c r="A29" s="5">
        <v>3.939382471E9</v>
      </c>
      <c r="B29" s="5">
        <v>3.939382471E9</v>
      </c>
      <c r="C29" s="5">
        <v>1.0</v>
      </c>
      <c r="D29" s="17">
        <v>269.0</v>
      </c>
      <c r="E29" s="5">
        <v>9.0</v>
      </c>
      <c r="F29" s="17" t="s">
        <v>780</v>
      </c>
      <c r="G29" s="23">
        <v>3.52010505764012E14</v>
      </c>
      <c r="H29" s="23" t="s">
        <v>838</v>
      </c>
      <c r="I29" s="5" t="s">
        <v>839</v>
      </c>
      <c r="J29" s="5" t="s">
        <v>776</v>
      </c>
      <c r="K29" s="23" t="s">
        <v>777</v>
      </c>
      <c r="L29" s="22" t="s">
        <v>778</v>
      </c>
      <c r="M29" s="39">
        <v>46135.0</v>
      </c>
      <c r="N29" s="22" t="s">
        <v>779</v>
      </c>
      <c r="O29" s="5"/>
      <c r="P29" s="38">
        <f t="array" ref="P29">XLOOKUP(F29,Lista_Equipos_2026,Precio_Equipos_2026," *** OJO *** ",0)</f>
        <v>10999</v>
      </c>
      <c r="Q29" s="5" t="str">
        <f t="array" ref="Q29">IF(OR($B29="",ISBLANK(XLOOKUP($B29,Números_Asignados,Nombres_Directorio,"",0))),"",XLOOKUP($B29,Números_Asignados,Nombres_Directorio,"",0))</f>
        <v>Jennifer Paulina Resendiz Bravo</v>
      </c>
      <c r="R29" s="5" t="str">
        <f t="array" ref="R29">IF(OR($B29="",ISBLANK(XLOOKUP($B29,Números_Asignados,Sucursal_Asignada,"",0))),"",XLOOKUP($B29,Números_Asignados,Sucursal_Asignada,"",0))</f>
        <v>Corporativo</v>
      </c>
      <c r="S29" s="5" t="str">
        <f t="array" ref="S29">IF(OR($B29="",ISBLANK(XLOOKUP($B29,Números_Asignados,Departamento_Asignado,"",0))),"",XLOOKUP($B29,Números_Asignados,Departamento_Asignado,"",0))</f>
        <v>Finanzas</v>
      </c>
      <c r="T29" s="5" t="str">
        <f t="array" ref="T29">IF(OR($B29="",ISBLANK(XLOOKUP($B29,Números_Asignados,Puesto_Asignado,"",0))),"",XLOOKUP($B29,Números_Asignados,Puesto_Asignado,"",0))</f>
        <v>Auxiliar Administrativo</v>
      </c>
      <c r="U29" s="5" t="str">
        <f t="array" ref="U29">IF(OR($B29="",ISBLANK(XLOOKUP($B29,Números_Asignados,Correos_Gmail,"",0))),"",XLOOKUP($B29,Números_Asignados,Correos_Gmail,"",0))</f>
        <v>paresendiz.agro@gmail.com</v>
      </c>
      <c r="V29" s="5" t="str">
        <f t="array" ref="V29">IF(OR($B29="",ISBLANK(XLOOKUP($B29,Números_Asignados,Correos_Institucionales,"",0))),"",XLOOKUP($B29,Números_Asignados,Correos_Institucionales,"",0))</f>
        <v>paulina.resendiz@agrocisa.com.mx</v>
      </c>
    </row>
    <row r="30" ht="15.75" customHeight="1">
      <c r="A30" s="5">
        <v>3.316172428E9</v>
      </c>
      <c r="B30" s="5">
        <v>3.316172428E9</v>
      </c>
      <c r="C30" s="5">
        <v>4.0</v>
      </c>
      <c r="D30" s="17">
        <v>599.0</v>
      </c>
      <c r="E30" s="5">
        <v>22.5</v>
      </c>
      <c r="F30" s="17" t="s">
        <v>780</v>
      </c>
      <c r="G30" s="23">
        <v>3.57369477207375E14</v>
      </c>
      <c r="H30" s="23" t="s">
        <v>840</v>
      </c>
      <c r="I30" s="22" t="s">
        <v>841</v>
      </c>
      <c r="J30" s="5" t="s">
        <v>776</v>
      </c>
      <c r="K30" s="23" t="s">
        <v>777</v>
      </c>
      <c r="L30" s="22" t="s">
        <v>778</v>
      </c>
      <c r="M30" s="39">
        <v>46135.0</v>
      </c>
      <c r="N30" s="22" t="s">
        <v>779</v>
      </c>
      <c r="O30" s="5"/>
      <c r="P30" s="38">
        <f t="array" ref="P30">XLOOKUP(F30,Lista_Equipos_2026,Precio_Equipos_2026," *** OJO *** ",0)</f>
        <v>10999</v>
      </c>
      <c r="Q30" s="5" t="str">
        <f t="array" ref="Q30">IF(OR($B30="",ISBLANK(XLOOKUP($B30,Números_Asignados,Nombres_Directorio,"",0))),"",XLOOKUP($B30,Números_Asignados,Nombres_Directorio,"",0))</f>
        <v>Ricardo Moreno Medina</v>
      </c>
      <c r="R30" s="5" t="str">
        <f t="array" ref="R30">IF(OR($B30="",ISBLANK(XLOOKUP($B30,Números_Asignados,Sucursal_Asignada,"",0))),"",XLOOKUP($B30,Números_Asignados,Sucursal_Asignada,"",0))</f>
        <v>Corporativo</v>
      </c>
      <c r="S30" s="5" t="str">
        <f t="array" ref="S30">IF(OR($B30="",ISBLANK(XLOOKUP($B30,Números_Asignados,Departamento_Asignado,"",0))),"",XLOOKUP($B30,Números_Asignados,Departamento_Asignado,"",0))</f>
        <v>Finanzas</v>
      </c>
      <c r="T30" s="5" t="str">
        <f t="array" ref="T30">IF(OR($B30="",ISBLANK(XLOOKUP($B30,Números_Asignados,Puesto_Asignado,"",0))),"",XLOOKUP($B30,Números_Asignados,Puesto_Asignado,"",0))</f>
        <v>Auxiliar Administrativo</v>
      </c>
      <c r="U30" s="5" t="str">
        <f t="array" ref="U30">IF(OR($B30="",ISBLANK(XLOOKUP($B30,Números_Asignados,Correos_Gmail,"",0))),"",XLOOKUP($B30,Números_Asignados,Correos_Gmail,"",0))</f>
        <v>ricardomoreno.agro@gmail.com</v>
      </c>
      <c r="V30" s="5" t="str">
        <f t="array" ref="V30">IF(OR($B30="",ISBLANK(XLOOKUP($B30,Números_Asignados,Correos_Institucionales,"",0))),"",XLOOKUP($B30,Números_Asignados,Correos_Institucionales,"",0))</f>
        <v>ricardo.moreno@agrocisa.com.mx</v>
      </c>
    </row>
    <row r="31" ht="15.75" customHeight="1">
      <c r="A31" s="5">
        <v>3.316118572E9</v>
      </c>
      <c r="B31" s="5">
        <v>3.316118572E9</v>
      </c>
      <c r="C31" s="5">
        <v>1.0</v>
      </c>
      <c r="D31" s="17">
        <v>269.0</v>
      </c>
      <c r="E31" s="5">
        <v>9.0</v>
      </c>
      <c r="F31" s="17" t="s">
        <v>785</v>
      </c>
      <c r="G31" s="23">
        <v>3.52242801085459E14</v>
      </c>
      <c r="H31" s="23" t="s">
        <v>842</v>
      </c>
      <c r="I31" s="5" t="s">
        <v>843</v>
      </c>
      <c r="J31" s="5" t="s">
        <v>776</v>
      </c>
      <c r="K31" s="23" t="s">
        <v>777</v>
      </c>
      <c r="L31" s="22" t="s">
        <v>778</v>
      </c>
      <c r="M31" s="39">
        <v>46135.0</v>
      </c>
      <c r="N31" s="22" t="s">
        <v>779</v>
      </c>
      <c r="O31" s="5"/>
      <c r="P31" s="38">
        <f t="array" ref="P31">XLOOKUP(F31,Lista_Equipos_2026,Precio_Equipos_2026," *** OJO *** ",0)</f>
        <v>15499</v>
      </c>
      <c r="Q31" s="5" t="str">
        <f t="array" ref="Q31">IF(OR($B31="",ISBLANK(XLOOKUP($B31,Números_Asignados,Nombres_Directorio,"",0))),"",XLOOKUP($B31,Números_Asignados,Nombres_Directorio,"",0))</f>
        <v>Kathya Margarita Cerpa Velazco</v>
      </c>
      <c r="R31" s="5" t="str">
        <f t="array" ref="R31">IF(OR($B31="",ISBLANK(XLOOKUP($B31,Números_Asignados,Sucursal_Asignada,"",0))),"",XLOOKUP($B31,Números_Asignados,Sucursal_Asignada,"",0))</f>
        <v>Corporativo</v>
      </c>
      <c r="S31" s="5" t="str">
        <f t="array" ref="S31">IF(OR($B31="",ISBLANK(XLOOKUP($B31,Números_Asignados,Departamento_Asignado,"",0))),"",XLOOKUP($B31,Números_Asignados,Departamento_Asignado,"",0))</f>
        <v>Finanzas</v>
      </c>
      <c r="T31" s="5" t="str">
        <f t="array" ref="T31">IF(OR($B31="",ISBLANK(XLOOKUP($B31,Números_Asignados,Puesto_Asignado,"",0))),"",XLOOKUP($B31,Números_Asignados,Puesto_Asignado,"",0))</f>
        <v>Jefa de Finanzas</v>
      </c>
      <c r="U31" s="5" t="str">
        <f t="array" ref="U31">IF(OR($B31="",ISBLANK(XLOOKUP($B31,Números_Asignados,Correos_Gmail,"",0))),"",XLOOKUP($B31,Números_Asignados,Correos_Gmail,"",0))</f>
        <v>kacerpa.agro@gmail.com</v>
      </c>
      <c r="V31" s="5" t="str">
        <f t="array" ref="V31">IF(OR($B31="",ISBLANK(XLOOKUP($B31,Números_Asignados,Correos_Institucionales,"",0))),"",XLOOKUP($B31,Números_Asignados,Correos_Institucionales,"",0))</f>
        <v>kathya.cerpa@agrocisa.com.mx</v>
      </c>
    </row>
    <row r="32" ht="15.75" customHeight="1">
      <c r="A32" s="5">
        <v>3.316156385E9</v>
      </c>
      <c r="B32" s="5">
        <v>3.316156385E9</v>
      </c>
      <c r="C32" s="5">
        <v>1.0</v>
      </c>
      <c r="D32" s="17">
        <v>269.0</v>
      </c>
      <c r="E32" s="5">
        <v>9.0</v>
      </c>
      <c r="F32" s="17" t="s">
        <v>773</v>
      </c>
      <c r="G32" s="23">
        <v>3.55174187708171E14</v>
      </c>
      <c r="H32" s="23" t="s">
        <v>844</v>
      </c>
      <c r="I32" s="5" t="s">
        <v>845</v>
      </c>
      <c r="J32" s="23" t="s">
        <v>776</v>
      </c>
      <c r="K32" s="23" t="s">
        <v>777</v>
      </c>
      <c r="L32" s="22" t="s">
        <v>778</v>
      </c>
      <c r="M32" s="22" t="s">
        <v>44</v>
      </c>
      <c r="N32" s="22" t="s">
        <v>779</v>
      </c>
      <c r="O32" s="5"/>
      <c r="P32" s="38">
        <f t="array" ref="P32">XLOOKUP(F32,Lista_Equipos_2026,Precio_Equipos_2026," *** OJO *** ",0)</f>
        <v>7499</v>
      </c>
      <c r="Q32" s="5" t="str">
        <f t="array" ref="Q32">IF(OR($B32="",ISBLANK(XLOOKUP($B32,Números_Asignados,Nombres_Directorio,"",0))),"",XLOOKUP($B32,Números_Asignados,Nombres_Directorio,"",0))</f>
        <v>Juana Alejandra García Jiménez</v>
      </c>
      <c r="R32" s="5" t="str">
        <f t="array" ref="R32">IF(OR($B32="",ISBLANK(XLOOKUP($B32,Números_Asignados,Sucursal_Asignada,"",0))),"",XLOOKUP($B32,Números_Asignados,Sucursal_Asignada,"",0))</f>
        <v>Corporativo</v>
      </c>
      <c r="S32" s="5" t="str">
        <f t="array" ref="S32">IF(OR($B32="",ISBLANK(XLOOKUP($B32,Números_Asignados,Departamento_Asignado,"",0))),"",XLOOKUP($B32,Números_Asignados,Departamento_Asignado,"",0))</f>
        <v>Jurídico</v>
      </c>
      <c r="T32" s="5" t="str">
        <f t="array" ref="T32">IF(OR($B32="",ISBLANK(XLOOKUP($B32,Números_Asignados,Puesto_Asignado,"",0))),"",XLOOKUP($B32,Números_Asignados,Puesto_Asignado,"",0))</f>
        <v>Representante Legal</v>
      </c>
      <c r="U32" s="5" t="str">
        <f t="array" ref="U32">IF(OR($B32="",ISBLANK(XLOOKUP($B32,Números_Asignados,Correos_Gmail,"",0))),"",XLOOKUP($B32,Números_Asignados,Correos_Gmail,"",0))</f>
        <v>alegarcia.agro@gmail.com</v>
      </c>
      <c r="V32" s="5" t="str">
        <f t="array" ref="V32">IF(OR($B32="",ISBLANK(XLOOKUP($B32,Números_Asignados,Correos_Institucionales,"",0))),"",XLOOKUP($B32,Números_Asignados,Correos_Institucionales,"",0))</f>
        <v>juana.garcia@agrocisa.com.mx</v>
      </c>
    </row>
    <row r="33" ht="15.75" customHeight="1">
      <c r="A33" s="5">
        <v>3.316098501E9</v>
      </c>
      <c r="B33" s="5">
        <v>3.316098501E9</v>
      </c>
      <c r="C33" s="5">
        <v>1.0</v>
      </c>
      <c r="D33" s="17">
        <v>269.0</v>
      </c>
      <c r="E33" s="5">
        <v>9.0</v>
      </c>
      <c r="F33" s="17" t="s">
        <v>773</v>
      </c>
      <c r="G33" s="23">
        <v>3.55174187707793E14</v>
      </c>
      <c r="H33" s="23" t="s">
        <v>846</v>
      </c>
      <c r="I33" s="5" t="s">
        <v>847</v>
      </c>
      <c r="J33" s="23" t="s">
        <v>776</v>
      </c>
      <c r="K33" s="23" t="s">
        <v>777</v>
      </c>
      <c r="L33" s="22" t="s">
        <v>778</v>
      </c>
      <c r="M33" s="39">
        <v>46136.0</v>
      </c>
      <c r="N33" s="22" t="s">
        <v>779</v>
      </c>
      <c r="O33" s="5"/>
      <c r="P33" s="38">
        <f t="array" ref="P33">XLOOKUP(F33,Lista_Equipos_2026,Precio_Equipos_2026," *** OJO *** ",0)</f>
        <v>7499</v>
      </c>
      <c r="Q33" s="5" t="str">
        <f t="array" ref="Q33">IF(OR($B33="",ISBLANK(XLOOKUP($B33,Números_Asignados,Nombres_Directorio,"",0))),"",XLOOKUP($B33,Números_Asignados,Nombres_Directorio,"",0))</f>
        <v>José Antonio Gómez Malacara</v>
      </c>
      <c r="R33" s="5" t="str">
        <f t="array" ref="R33">IF(OR($B33="",ISBLANK(XLOOKUP($B33,Números_Asignados,Sucursal_Asignada,"",0))),"",XLOOKUP($B33,Números_Asignados,Sucursal_Asignada,"",0))</f>
        <v>Corporativo</v>
      </c>
      <c r="S33" s="5" t="str">
        <f t="array" ref="S33">IF(OR($B33="",ISBLANK(XLOOKUP($B33,Números_Asignados,Departamento_Asignado,"",0))),"",XLOOKUP($B33,Números_Asignados,Departamento_Asignado,"",0))</f>
        <v>Mantenimiento</v>
      </c>
      <c r="T33" s="5" t="str">
        <f t="array" ref="T33">IF(OR($B33="",ISBLANK(XLOOKUP($B33,Números_Asignados,Puesto_Asignado,"",0))),"",XLOOKUP($B33,Números_Asignados,Puesto_Asignado,"",0))</f>
        <v>Jefe de Mantenimiento</v>
      </c>
      <c r="U33" s="5" t="str">
        <f t="array" ref="U33">IF(OR($B33="",ISBLANK(XLOOKUP($B33,Números_Asignados,Correos_Gmail,"",0))),"",XLOOKUP($B33,Números_Asignados,Correos_Gmail,"",0))</f>
        <v>jantonio.agro@gmail.com</v>
      </c>
      <c r="V33" s="5" t="str">
        <f t="array" ref="V33">IF(OR($B33="",ISBLANK(XLOOKUP($B33,Números_Asignados,Correos_Institucionales,"",0))),"",XLOOKUP($B33,Números_Asignados,Correos_Institucionales,"",0))</f>
        <v>jose.malacara@agrocisa.com.mx</v>
      </c>
    </row>
    <row r="34" ht="15.75" customHeight="1">
      <c r="A34" s="5">
        <v>3.316142992E9</v>
      </c>
      <c r="B34" s="5">
        <v>3.316142992E9</v>
      </c>
      <c r="C34" s="5">
        <v>1.0</v>
      </c>
      <c r="D34" s="17">
        <v>269.0</v>
      </c>
      <c r="E34" s="5">
        <v>9.0</v>
      </c>
      <c r="F34" s="17" t="s">
        <v>780</v>
      </c>
      <c r="G34" s="23">
        <v>3.57369477204208E14</v>
      </c>
      <c r="H34" s="23" t="s">
        <v>848</v>
      </c>
      <c r="I34" s="5" t="s">
        <v>849</v>
      </c>
      <c r="J34" s="5" t="s">
        <v>776</v>
      </c>
      <c r="K34" s="23" t="s">
        <v>777</v>
      </c>
      <c r="L34" s="22" t="s">
        <v>778</v>
      </c>
      <c r="M34" s="39">
        <v>46137.0</v>
      </c>
      <c r="N34" s="22" t="s">
        <v>779</v>
      </c>
      <c r="O34" s="5"/>
      <c r="P34" s="38">
        <f t="array" ref="P34">XLOOKUP(F34,Lista_Equipos_2026,Precio_Equipos_2026," *** OJO *** ",0)</f>
        <v>10999</v>
      </c>
      <c r="Q34" s="5" t="str">
        <f t="array" ref="Q34">IF(OR($B34="",ISBLANK(XLOOKUP($B34,Números_Asignados,Nombres_Directorio,"",0))),"",XLOOKUP($B34,Números_Asignados,Nombres_Directorio,"",0))</f>
        <v>David Villaseñor Núñez</v>
      </c>
      <c r="R34" s="5" t="str">
        <f t="array" ref="R34">IF(OR($B34="",ISBLANK(XLOOKUP($B34,Números_Asignados,Sucursal_Asignada,"",0))),"",XLOOKUP($B34,Números_Asignados,Sucursal_Asignada,"",0))</f>
        <v>Corporativo</v>
      </c>
      <c r="S34" s="5" t="str">
        <f t="array" ref="S34">IF(OR($B34="",ISBLANK(XLOOKUP($B34,Números_Asignados,Departamento_Asignado,"",0))),"",XLOOKUP($B34,Números_Asignados,Departamento_Asignado,"",0))</f>
        <v>Maquinaria Agrícola</v>
      </c>
      <c r="T34" s="5" t="str">
        <f t="array" ref="T34">IF(OR($B34="",ISBLANK(XLOOKUP($B34,Números_Asignados,Puesto_Asignado,"",0))),"",XLOOKUP($B34,Números_Asignados,Puesto_Asignado,"",0))</f>
        <v>Analista Comercial</v>
      </c>
      <c r="U34" s="5" t="str">
        <f t="array" ref="U34">IF(OR($B34="",ISBLANK(XLOOKUP($B34,Números_Asignados,Correos_Gmail,"",0))),"",XLOOKUP($B34,Números_Asignados,Correos_Gmail,"",0))</f>
        <v>analistacomercial@agrocisa.com.mx</v>
      </c>
      <c r="V34" s="5" t="str">
        <f t="array" ref="V34">IF(OR($B34="",ISBLANK(XLOOKUP($B34,Números_Asignados,Correos_Institucionales,"",0))),"",XLOOKUP($B34,Números_Asignados,Correos_Institucionales,"",0))</f>
        <v>david.villasenor@agrcoisa.com.mx</v>
      </c>
    </row>
    <row r="35" ht="15.75" customHeight="1">
      <c r="A35" s="5">
        <v>3.316158093E9</v>
      </c>
      <c r="B35" s="5">
        <v>3.316158093E9</v>
      </c>
      <c r="C35" s="5">
        <v>4.0</v>
      </c>
      <c r="D35" s="17">
        <v>599.0</v>
      </c>
      <c r="E35" s="5">
        <v>22.5</v>
      </c>
      <c r="F35" s="17" t="s">
        <v>780</v>
      </c>
      <c r="G35" s="23">
        <v>3.573694772073E14</v>
      </c>
      <c r="H35" s="23" t="s">
        <v>850</v>
      </c>
      <c r="I35" s="5" t="s">
        <v>851</v>
      </c>
      <c r="J35" s="23" t="s">
        <v>776</v>
      </c>
      <c r="K35" s="23" t="s">
        <v>777</v>
      </c>
      <c r="L35" s="22" t="s">
        <v>778</v>
      </c>
      <c r="M35" s="39">
        <v>46139.0</v>
      </c>
      <c r="N35" s="22" t="s">
        <v>779</v>
      </c>
      <c r="O35" s="5"/>
      <c r="P35" s="38">
        <f t="array" ref="P35">XLOOKUP(F35,Lista_Equipos_2026,Precio_Equipos_2026," *** OJO *** ",0)</f>
        <v>10999</v>
      </c>
      <c r="Q35" s="5" t="str">
        <f t="array" ref="Q35">IF(OR($B35="",ISBLANK(XLOOKUP($B35,Números_Asignados,Nombres_Directorio,"",0))),"",XLOOKUP($B35,Números_Asignados,Nombres_Directorio,"",0))</f>
        <v>Daniel Gerardo Aviña Bravo</v>
      </c>
      <c r="R35" s="5" t="str">
        <f t="array" ref="R35">IF(OR($B35="",ISBLANK(XLOOKUP($B35,Números_Asignados,Sucursal_Asignada,"",0))),"",XLOOKUP($B35,Números_Asignados,Sucursal_Asignada,"",0))</f>
        <v>Corporativo</v>
      </c>
      <c r="S35" s="5" t="str">
        <f t="array" ref="S35">IF(OR($B35="",ISBLANK(XLOOKUP($B35,Números_Asignados,Departamento_Asignado,"",0))),"",XLOOKUP($B35,Números_Asignados,Departamento_Asignado,"",0))</f>
        <v>Maquinaria Agrícola</v>
      </c>
      <c r="T35" s="5" t="str">
        <f t="array" ref="T35">IF(OR($B35="",ISBLANK(XLOOKUP($B35,Números_Asignados,Puesto_Asignado,"",0))),"",XLOOKUP($B35,Números_Asignados,Puesto_Asignado,"",0))</f>
        <v>Asesor de Ventas</v>
      </c>
      <c r="U35" s="5" t="str">
        <f t="array" ref="U35">IF(OR($B35="",ISBLANK(XLOOKUP($B35,Números_Asignados,Correos_Gmail,"",0))),"",XLOOKUP($B35,Números_Asignados,Correos_Gmail,"",0))</f>
        <v>daniel.avina@agrocisa.com.mx</v>
      </c>
      <c r="V35" s="5" t="str">
        <f t="array" ref="V35">IF(OR($B35="",ISBLANK(XLOOKUP($B35,Números_Asignados,Correos_Institucionales,"",0))),"",XLOOKUP($B35,Números_Asignados,Correos_Institucionales,"",0))</f>
        <v>daniel.avina@agrocisa.com.mx</v>
      </c>
    </row>
    <row r="36" ht="15.75" customHeight="1">
      <c r="A36" s="5">
        <v>3.921368749E9</v>
      </c>
      <c r="B36" s="40">
        <v>3.318621158E9</v>
      </c>
      <c r="C36" s="5">
        <v>4.0</v>
      </c>
      <c r="D36" s="17">
        <v>599.0</v>
      </c>
      <c r="E36" s="5">
        <v>22.5</v>
      </c>
      <c r="F36" s="5" t="s">
        <v>780</v>
      </c>
      <c r="G36" s="23">
        <v>3.57369477239824E14</v>
      </c>
      <c r="H36" s="5" t="s">
        <v>852</v>
      </c>
      <c r="I36" s="5" t="s">
        <v>853</v>
      </c>
      <c r="J36" s="5" t="s">
        <v>776</v>
      </c>
      <c r="K36" s="5" t="s">
        <v>777</v>
      </c>
      <c r="L36" s="22" t="s">
        <v>778</v>
      </c>
      <c r="M36" s="39">
        <v>46137.0</v>
      </c>
      <c r="N36" s="22" t="s">
        <v>779</v>
      </c>
      <c r="O36" s="5" t="s">
        <v>813</v>
      </c>
      <c r="P36" s="38">
        <f t="array" ref="P36">XLOOKUP(F36,Lista_Equipos_2026,Precio_Equipos_2026," *** OJO *** ",0)</f>
        <v>10999</v>
      </c>
      <c r="Q36" s="5" t="str">
        <f t="array" ref="Q36">IF(OR($B36="",ISBLANK(XLOOKUP($B36,Números_Asignados,Nombres_Directorio,"",0))),"",XLOOKUP($B36,Números_Asignados,Nombres_Directorio,"",0))</f>
        <v>Guillermo Barboza Santiago</v>
      </c>
      <c r="R36" s="5" t="str">
        <f t="array" ref="R36">IF(OR($B36="",ISBLANK(XLOOKUP($B36,Números_Asignados,Sucursal_Asignada,"",0))),"",XLOOKUP($B36,Números_Asignados,Sucursal_Asignada,"",0))</f>
        <v>Corporativo</v>
      </c>
      <c r="S36" s="5" t="str">
        <f t="array" ref="S36">IF(OR($B36="",ISBLANK(XLOOKUP($B36,Números_Asignados,Departamento_Asignado,"",0))),"",XLOOKUP($B36,Números_Asignados,Departamento_Asignado,"",0))</f>
        <v>Maquinaria Agrícola</v>
      </c>
      <c r="T36" s="5" t="str">
        <f t="array" ref="T36">IF(OR($B36="",ISBLANK(XLOOKUP($B36,Números_Asignados,Puesto_Asignado,"",0))),"",XLOOKUP($B36,Números_Asignados,Puesto_Asignado,"",0))</f>
        <v>Asesor de Ventas</v>
      </c>
      <c r="U36" s="5" t="str">
        <f t="array" ref="U36">IF(OR($B36="",ISBLANK(XLOOKUP($B36,Números_Asignados,Correos_Gmail,"",0))),"",XLOOKUP($B36,Números_Asignados,Correos_Gmail,"",0))</f>
        <v>gbarboza.agro@gmail.com</v>
      </c>
      <c r="V36" s="5" t="str">
        <f t="array" ref="V36">IF(OR($B36="",ISBLANK(XLOOKUP($B36,Números_Asignados,Correos_Institucionales,"",0))),"",XLOOKUP($B36,Números_Asignados,Correos_Institucionales,"",0))</f>
        <v>guillermo.barboza@agrocisa.com.mx</v>
      </c>
    </row>
    <row r="37" ht="15.75" customHeight="1">
      <c r="A37" s="5">
        <v>3.51111143E9</v>
      </c>
      <c r="B37" s="5">
        <v>3.51111143E9</v>
      </c>
      <c r="C37" s="5">
        <v>4.0</v>
      </c>
      <c r="D37" s="17">
        <v>599.0</v>
      </c>
      <c r="E37" s="5">
        <v>22.5</v>
      </c>
      <c r="F37" s="17" t="s">
        <v>780</v>
      </c>
      <c r="G37" s="23">
        <v>3.57369477214934E14</v>
      </c>
      <c r="H37" s="23" t="s">
        <v>854</v>
      </c>
      <c r="I37" s="5" t="s">
        <v>855</v>
      </c>
      <c r="J37" s="23" t="s">
        <v>776</v>
      </c>
      <c r="K37" s="23" t="s">
        <v>777</v>
      </c>
      <c r="L37" s="22" t="s">
        <v>778</v>
      </c>
      <c r="M37" s="39">
        <v>46135.0</v>
      </c>
      <c r="N37" s="22" t="s">
        <v>779</v>
      </c>
      <c r="O37" s="5"/>
      <c r="P37" s="38">
        <f t="array" ref="P37">XLOOKUP(F37,Lista_Equipos_2026,Precio_Equipos_2026," *** OJO *** ",0)</f>
        <v>10999</v>
      </c>
      <c r="Q37" s="5" t="str">
        <f t="array" ref="Q37">IF(OR($B37="",ISBLANK(XLOOKUP($B37,Números_Asignados,Nombres_Directorio,"",0))),"",XLOOKUP($B37,Números_Asignados,Nombres_Directorio,"",0))</f>
        <v>Jesús Pérez Pérez</v>
      </c>
      <c r="R37" s="5" t="str">
        <f t="array" ref="R37">IF(OR($B37="",ISBLANK(XLOOKUP($B37,Números_Asignados,Sucursal_Asignada,"",0))),"",XLOOKUP($B37,Números_Asignados,Sucursal_Asignada,"",0))</f>
        <v>Corporativo</v>
      </c>
      <c r="S37" s="5" t="str">
        <f t="array" ref="S37">IF(OR($B37="",ISBLANK(XLOOKUP($B37,Números_Asignados,Departamento_Asignado,"",0))),"",XLOOKUP($B37,Números_Asignados,Departamento_Asignado,"",0))</f>
        <v>Maquinaria Agrícola</v>
      </c>
      <c r="T37" s="5" t="str">
        <f t="array" ref="T37">IF(OR($B37="",ISBLANK(XLOOKUP($B37,Números_Asignados,Puesto_Asignado,"",0))),"",XLOOKUP($B37,Números_Asignados,Puesto_Asignado,"",0))</f>
        <v>Asesor de Ventas</v>
      </c>
      <c r="U37" s="5" t="str">
        <f t="array" ref="U37">IF(OR($B37="",ISBLANK(XLOOKUP($B37,Números_Asignados,Correos_Gmail,"",0))),"",XLOOKUP($B37,Números_Asignados,Correos_Gmail,"",0))</f>
        <v>jeperez.agro@gmail.com</v>
      </c>
      <c r="V37" s="5" t="str">
        <f t="array" ref="V37">IF(OR($B37="",ISBLANK(XLOOKUP($B37,Números_Asignados,Correos_Institucionales,"",0))),"",XLOOKUP($B37,Números_Asignados,Correos_Institucionales,"",0))</f>
        <v>jesus.perez@agrocisa.com.mx</v>
      </c>
    </row>
    <row r="38" ht="15.75" customHeight="1">
      <c r="A38" s="5">
        <v>3.316091328E9</v>
      </c>
      <c r="B38" s="5">
        <v>3.316091328E9</v>
      </c>
      <c r="C38" s="5">
        <v>4.0</v>
      </c>
      <c r="D38" s="17">
        <v>599.0</v>
      </c>
      <c r="E38" s="5">
        <v>22.5</v>
      </c>
      <c r="F38" s="17" t="s">
        <v>780</v>
      </c>
      <c r="G38" s="23">
        <v>3.57369477204349E14</v>
      </c>
      <c r="H38" s="23" t="s">
        <v>856</v>
      </c>
      <c r="I38" s="5" t="s">
        <v>857</v>
      </c>
      <c r="J38" s="5" t="s">
        <v>776</v>
      </c>
      <c r="K38" s="23" t="s">
        <v>777</v>
      </c>
      <c r="L38" s="22" t="s">
        <v>778</v>
      </c>
      <c r="M38" s="39">
        <v>46136.0</v>
      </c>
      <c r="N38" s="22" t="s">
        <v>779</v>
      </c>
      <c r="O38" s="5"/>
      <c r="P38" s="38">
        <f t="array" ref="P38">XLOOKUP(F38,Lista_Equipos_2026,Precio_Equipos_2026," *** OJO *** ",0)</f>
        <v>10999</v>
      </c>
      <c r="Q38" s="5" t="str">
        <f t="array" ref="Q38">IF(OR($B38="",ISBLANK(XLOOKUP($B38,Números_Asignados,Nombres_Directorio,"",0))),"",XLOOKUP($B38,Números_Asignados,Nombres_Directorio,"",0))</f>
        <v>Joaquín  de Jesús Hernández Rojas</v>
      </c>
      <c r="R38" s="5" t="str">
        <f t="array" ref="R38">IF(OR($B38="",ISBLANK(XLOOKUP($B38,Números_Asignados,Sucursal_Asignada,"",0))),"",XLOOKUP($B38,Números_Asignados,Sucursal_Asignada,"",0))</f>
        <v>Corporativo</v>
      </c>
      <c r="S38" s="5" t="str">
        <f t="array" ref="S38">IF(OR($B38="",ISBLANK(XLOOKUP($B38,Números_Asignados,Departamento_Asignado,"",0))),"",XLOOKUP($B38,Números_Asignados,Departamento_Asignado,"",0))</f>
        <v>Maquinaria Agrícola</v>
      </c>
      <c r="T38" s="5" t="str">
        <f t="array" ref="T38">IF(OR($B38="",ISBLANK(XLOOKUP($B38,Números_Asignados,Puesto_Asignado,"",0))),"",XLOOKUP($B38,Números_Asignados,Puesto_Asignado,"",0))</f>
        <v>Asesor de Ventas</v>
      </c>
      <c r="U38" s="5" t="str">
        <f t="array" ref="U38">IF(OR($B38="",ISBLANK(XLOOKUP($B38,Números_Asignados,Correos_Gmail,"",0))),"",XLOOKUP($B38,Números_Asignados,Correos_Gmail,"",0))</f>
        <v>jhernandez.agrocisa@gmail.com</v>
      </c>
      <c r="V38" s="5" t="str">
        <f t="array" ref="V38">IF(OR($B38="",ISBLANK(XLOOKUP($B38,Números_Asignados,Correos_Institucionales,"",0))),"",XLOOKUP($B38,Números_Asignados,Correos_Institucionales,"",0))</f>
        <v>joaquin.hernandez@agrocisa.com.mx</v>
      </c>
    </row>
    <row r="39" ht="15.75" customHeight="1">
      <c r="A39" s="5">
        <v>3.931196104E9</v>
      </c>
      <c r="B39" s="5">
        <v>3.931196104E9</v>
      </c>
      <c r="C39" s="5">
        <v>4.0</v>
      </c>
      <c r="D39" s="17">
        <v>599.0</v>
      </c>
      <c r="E39" s="5">
        <v>22.5</v>
      </c>
      <c r="F39" s="17" t="s">
        <v>780</v>
      </c>
      <c r="G39" s="23">
        <v>3.5736947722178E14</v>
      </c>
      <c r="H39" s="23" t="s">
        <v>858</v>
      </c>
      <c r="I39" s="5" t="s">
        <v>859</v>
      </c>
      <c r="J39" s="5" t="s">
        <v>776</v>
      </c>
      <c r="K39" s="23" t="s">
        <v>777</v>
      </c>
      <c r="L39" s="22" t="s">
        <v>778</v>
      </c>
      <c r="M39" s="39">
        <v>46137.0</v>
      </c>
      <c r="N39" s="22" t="s">
        <v>779</v>
      </c>
      <c r="O39" s="5"/>
      <c r="P39" s="38">
        <f t="array" ref="P39">XLOOKUP(F39,Lista_Equipos_2026,Precio_Equipos_2026," *** OJO *** ",0)</f>
        <v>10999</v>
      </c>
      <c r="Q39" s="5" t="str">
        <f t="array" ref="Q39">IF(OR($B39="",ISBLANK(XLOOKUP($B39,Números_Asignados,Nombres_Directorio,"",0))),"",XLOOKUP($B39,Números_Asignados,Nombres_Directorio,"",0))</f>
        <v>José Luis Flores Barragán </v>
      </c>
      <c r="R39" s="5" t="str">
        <f t="array" ref="R39">IF(OR($B39="",ISBLANK(XLOOKUP($B39,Números_Asignados,Sucursal_Asignada,"",0))),"",XLOOKUP($B39,Números_Asignados,Sucursal_Asignada,"",0))</f>
        <v>Corporativo</v>
      </c>
      <c r="S39" s="5" t="str">
        <f t="array" ref="S39">IF(OR($B39="",ISBLANK(XLOOKUP($B39,Números_Asignados,Departamento_Asignado,"",0))),"",XLOOKUP($B39,Números_Asignados,Departamento_Asignado,"",0))</f>
        <v>Maquinaria Agrícola</v>
      </c>
      <c r="T39" s="5" t="str">
        <f t="array" ref="T39">IF(OR($B39="",ISBLANK(XLOOKUP($B39,Números_Asignados,Puesto_Asignado,"",0))),"",XLOOKUP($B39,Números_Asignados,Puesto_Asignado,"",0))</f>
        <v>Asesor de Ventas</v>
      </c>
      <c r="U39" s="5" t="str">
        <f t="array" ref="U39">IF(OR($B39="",ISBLANK(XLOOKUP($B39,Números_Asignados,Correos_Gmail,"",0))),"",XLOOKUP($B39,Números_Asignados,Correos_Gmail,"",0))</f>
        <v>jose.flores.agro@gmail.com</v>
      </c>
      <c r="V39" s="5" t="str">
        <f t="array" ref="V39">IF(OR($B39="",ISBLANK(XLOOKUP($B39,Números_Asignados,Correos_Institucionales,"",0))),"",XLOOKUP($B39,Números_Asignados,Correos_Institucionales,"",0))</f>
        <v>jose.flores@agrocisa.com.mx</v>
      </c>
    </row>
    <row r="40" ht="15.75" customHeight="1">
      <c r="A40" s="5">
        <v>3.316135604E9</v>
      </c>
      <c r="B40" s="5">
        <v>3.316135604E9</v>
      </c>
      <c r="C40" s="5">
        <v>4.0</v>
      </c>
      <c r="D40" s="17">
        <v>599.0</v>
      </c>
      <c r="E40" s="5">
        <v>22.5</v>
      </c>
      <c r="F40" s="17" t="s">
        <v>780</v>
      </c>
      <c r="G40" s="23">
        <v>3.57369477207136E14</v>
      </c>
      <c r="H40" s="23" t="s">
        <v>860</v>
      </c>
      <c r="I40" s="5" t="s">
        <v>861</v>
      </c>
      <c r="J40" s="5" t="s">
        <v>776</v>
      </c>
      <c r="K40" s="23" t="s">
        <v>777</v>
      </c>
      <c r="L40" s="22" t="s">
        <v>778</v>
      </c>
      <c r="M40" s="39">
        <v>46139.0</v>
      </c>
      <c r="N40" s="22" t="s">
        <v>779</v>
      </c>
      <c r="O40" s="5"/>
      <c r="P40" s="38">
        <f t="array" ref="P40">XLOOKUP(F40,Lista_Equipos_2026,Precio_Equipos_2026," *** OJO *** ",0)</f>
        <v>10999</v>
      </c>
      <c r="Q40" s="5" t="str">
        <f t="array" ref="Q40">IF(OR($B40="",ISBLANK(XLOOKUP($B40,Números_Asignados,Nombres_Directorio,"",0))),"",XLOOKUP($B40,Números_Asignados,Nombres_Directorio,"",0))</f>
        <v>Luis Ernesto Santiago González</v>
      </c>
      <c r="R40" s="5" t="str">
        <f t="array" ref="R40">IF(OR($B40="",ISBLANK(XLOOKUP($B40,Números_Asignados,Sucursal_Asignada,"",0))),"",XLOOKUP($B40,Números_Asignados,Sucursal_Asignada,"",0))</f>
        <v>Corporativo</v>
      </c>
      <c r="S40" s="5" t="str">
        <f t="array" ref="S40">IF(OR($B40="",ISBLANK(XLOOKUP($B40,Números_Asignados,Departamento_Asignado,"",0))),"",XLOOKUP($B40,Números_Asignados,Departamento_Asignado,"",0))</f>
        <v>Maquinaria Agrícola</v>
      </c>
      <c r="T40" s="5" t="str">
        <f t="array" ref="T40">IF(OR($B40="",ISBLANK(XLOOKUP($B40,Números_Asignados,Puesto_Asignado,"",0))),"",XLOOKUP($B40,Números_Asignados,Puesto_Asignado,"",0))</f>
        <v>Asesor de Ventas</v>
      </c>
      <c r="U40" s="5" t="str">
        <f t="array" ref="U40">IF(OR($B40="",ISBLANK(XLOOKUP($B40,Números_Asignados,Correos_Gmail,"",0))),"",XLOOKUP($B40,Números_Asignados,Correos_Gmail,"",0))</f>
        <v>lsantiago.agro@gmail.com</v>
      </c>
      <c r="V40" s="5" t="str">
        <f t="array" ref="V40">IF(OR($B40="",ISBLANK(XLOOKUP($B40,Números_Asignados,Correos_Institucionales,"",0))),"",XLOOKUP($B40,Números_Asignados,Correos_Institucionales,"",0))</f>
        <v>luis.santiago@agrocisa.com.mx</v>
      </c>
    </row>
    <row r="41" ht="15.75" customHeight="1">
      <c r="A41" s="5">
        <v>3.318218012E9</v>
      </c>
      <c r="B41" s="5">
        <v>3.318218012E9</v>
      </c>
      <c r="C41" s="5">
        <v>4.0</v>
      </c>
      <c r="D41" s="17">
        <v>599.0</v>
      </c>
      <c r="E41" s="5">
        <v>22.5</v>
      </c>
      <c r="F41" s="17" t="s">
        <v>780</v>
      </c>
      <c r="G41" s="23">
        <v>3.57369477208704E14</v>
      </c>
      <c r="H41" s="23" t="s">
        <v>862</v>
      </c>
      <c r="I41" s="5" t="s">
        <v>863</v>
      </c>
      <c r="J41" s="5" t="s">
        <v>776</v>
      </c>
      <c r="K41" s="23" t="s">
        <v>777</v>
      </c>
      <c r="L41" s="22" t="s">
        <v>778</v>
      </c>
      <c r="M41" s="39">
        <v>46139.0</v>
      </c>
      <c r="N41" s="22" t="s">
        <v>779</v>
      </c>
      <c r="O41" s="5"/>
      <c r="P41" s="38">
        <f t="array" ref="P41">XLOOKUP(F41,Lista_Equipos_2026,Precio_Equipos_2026," *** OJO *** ",0)</f>
        <v>10999</v>
      </c>
      <c r="Q41" s="5" t="str">
        <f t="array" ref="Q41">IF(OR($B41="",ISBLANK(XLOOKUP($B41,Números_Asignados,Nombres_Directorio,"",0))),"",XLOOKUP($B41,Números_Asignados,Nombres_Directorio,"",0))</f>
        <v>Luis Felipe Barboza Román</v>
      </c>
      <c r="R41" s="5" t="str">
        <f t="array" ref="R41">IF(OR($B41="",ISBLANK(XLOOKUP($B41,Números_Asignados,Sucursal_Asignada,"",0))),"",XLOOKUP($B41,Números_Asignados,Sucursal_Asignada,"",0))</f>
        <v>Corporativo</v>
      </c>
      <c r="S41" s="5" t="str">
        <f t="array" ref="S41">IF(OR($B41="",ISBLANK(XLOOKUP($B41,Números_Asignados,Departamento_Asignado,"",0))),"",XLOOKUP($B41,Números_Asignados,Departamento_Asignado,"",0))</f>
        <v>Maquinaria Agrícola</v>
      </c>
      <c r="T41" s="5" t="str">
        <f t="array" ref="T41">IF(OR($B41="",ISBLANK(XLOOKUP($B41,Números_Asignados,Puesto_Asignado,"",0))),"",XLOOKUP($B41,Números_Asignados,Puesto_Asignado,"",0))</f>
        <v>Asesor de Ventas</v>
      </c>
      <c r="U41" s="5" t="str">
        <f t="array" ref="U41">IF(OR($B41="",ISBLANK(XLOOKUP($B41,Números_Asignados,Correos_Gmail,"",0))),"",XLOOKUP($B41,Números_Asignados,Correos_Gmail,"",0))</f>
        <v>luis.barboza@agrocisa.com.mx</v>
      </c>
      <c r="V41" s="5" t="str">
        <f t="array" ref="V41">IF(OR($B41="",ISBLANK(XLOOKUP($B41,Números_Asignados,Correos_Institucionales,"",0))),"",XLOOKUP($B41,Números_Asignados,Correos_Institucionales,"",0))</f>
        <v>luis.barboza@agrocisa.com.mx</v>
      </c>
    </row>
    <row r="42" ht="15.75" customHeight="1">
      <c r="A42" s="5">
        <v>3.931047948E9</v>
      </c>
      <c r="B42" s="5">
        <v>3.931047948E9</v>
      </c>
      <c r="C42" s="5">
        <v>4.0</v>
      </c>
      <c r="D42" s="17">
        <v>599.0</v>
      </c>
      <c r="E42" s="5">
        <v>22.5</v>
      </c>
      <c r="F42" s="17" t="s">
        <v>780</v>
      </c>
      <c r="G42" s="23">
        <v>3.57369477217192E14</v>
      </c>
      <c r="H42" s="23" t="s">
        <v>864</v>
      </c>
      <c r="I42" s="5" t="s">
        <v>865</v>
      </c>
      <c r="J42" s="5" t="s">
        <v>776</v>
      </c>
      <c r="K42" s="23" t="s">
        <v>777</v>
      </c>
      <c r="L42" s="22" t="s">
        <v>778</v>
      </c>
      <c r="M42" s="39">
        <v>46165.0</v>
      </c>
      <c r="N42" s="22" t="s">
        <v>779</v>
      </c>
      <c r="O42" s="5"/>
      <c r="P42" s="38">
        <f t="array" ref="P42">XLOOKUP(F42,Lista_Equipos_2026,Precio_Equipos_2026," *** OJO *** ",0)</f>
        <v>10999</v>
      </c>
      <c r="Q42" s="5" t="str">
        <f t="array" ref="Q42">IF(OR($B42="",ISBLANK(XLOOKUP($B42,Números_Asignados,Nombres_Directorio,"",0))),"",XLOOKUP($B42,Números_Asignados,Nombres_Directorio,"",0))</f>
        <v>María Guadalupe Aviña Cervantes</v>
      </c>
      <c r="R42" s="5" t="str">
        <f t="array" ref="R42">IF(OR($B42="",ISBLANK(XLOOKUP($B42,Números_Asignados,Sucursal_Asignada,"",0))),"",XLOOKUP($B42,Números_Asignados,Sucursal_Asignada,"",0))</f>
        <v>Corporativo</v>
      </c>
      <c r="S42" s="5" t="str">
        <f t="array" ref="S42">IF(OR($B42="",ISBLANK(XLOOKUP($B42,Números_Asignados,Departamento_Asignado,"",0))),"",XLOOKUP($B42,Números_Asignados,Departamento_Asignado,"",0))</f>
        <v>Maquinaria Agrícola</v>
      </c>
      <c r="T42" s="5" t="str">
        <f t="array" ref="T42">IF(OR($B42="",ISBLANK(XLOOKUP($B42,Números_Asignados,Puesto_Asignado,"",0))),"",XLOOKUP($B42,Números_Asignados,Puesto_Asignado,"",0))</f>
        <v>Asesor de Ventas</v>
      </c>
      <c r="U42" s="5" t="str">
        <f t="array" ref="U42">IF(OR($B42="",ISBLANK(XLOOKUP($B42,Números_Asignados,Correos_Gmail,"",0))),"",XLOOKUP($B42,Números_Asignados,Correos_Gmail,"",0))</f>
        <v>gavina.agro@gmail.com</v>
      </c>
      <c r="V42" s="5" t="str">
        <f t="array" ref="V42">IF(OR($B42="",ISBLANK(XLOOKUP($B42,Números_Asignados,Correos_Institucionales,"",0))),"",XLOOKUP($B42,Números_Asignados,Correos_Institucionales,"",0))</f>
        <v>guadalupe.avina@agrocisa.com.mx</v>
      </c>
    </row>
    <row r="43" ht="15.75" customHeight="1">
      <c r="A43" s="5">
        <v>3.312846765E9</v>
      </c>
      <c r="B43" s="5">
        <v>3.312846765E9</v>
      </c>
      <c r="C43" s="5">
        <v>4.0</v>
      </c>
      <c r="D43" s="17">
        <v>599.0</v>
      </c>
      <c r="E43" s="5">
        <v>22.5</v>
      </c>
      <c r="F43" s="17" t="s">
        <v>785</v>
      </c>
      <c r="G43" s="23">
        <v>3.52242801088818E14</v>
      </c>
      <c r="H43" s="23" t="s">
        <v>866</v>
      </c>
      <c r="I43" s="5" t="s">
        <v>867</v>
      </c>
      <c r="J43" s="5" t="s">
        <v>776</v>
      </c>
      <c r="K43" s="23" t="s">
        <v>777</v>
      </c>
      <c r="L43" s="22" t="s">
        <v>778</v>
      </c>
      <c r="M43" s="39">
        <v>46142.0</v>
      </c>
      <c r="N43" s="22" t="s">
        <v>779</v>
      </c>
      <c r="O43" s="5"/>
      <c r="P43" s="38">
        <f t="array" ref="P43">XLOOKUP(F43,Lista_Equipos_2026,Precio_Equipos_2026," *** OJO *** ",0)</f>
        <v>15499</v>
      </c>
      <c r="Q43" s="5" t="str">
        <f t="array" ref="Q43">IF(OR($B43="",ISBLANK(XLOOKUP($B43,Números_Asignados,Nombres_Directorio,"",0))),"",XLOOKUP($B43,Números_Asignados,Nombres_Directorio,"",0))</f>
        <v>Jorge Humberto Gómez Córdova</v>
      </c>
      <c r="R43" s="5" t="str">
        <f t="array" ref="R43">IF(OR($B43="",ISBLANK(XLOOKUP($B43,Números_Asignados,Sucursal_Asignada,"",0))),"",XLOOKUP($B43,Números_Asignados,Sucursal_Asignada,"",0))</f>
        <v>Corporativo</v>
      </c>
      <c r="S43" s="5" t="str">
        <f t="array" ref="S43">IF(OR($B43="",ISBLANK(XLOOKUP($B43,Números_Asignados,Departamento_Asignado,"",0))),"",XLOOKUP($B43,Números_Asignados,Departamento_Asignado,"",0))</f>
        <v>Maquinaria Agrícola</v>
      </c>
      <c r="T43" s="5" t="str">
        <f t="array" ref="T43">IF(OR($B43="",ISBLANK(XLOOKUP($B43,Números_Asignados,Puesto_Asignado,"",0))),"",XLOOKUP($B43,Números_Asignados,Puesto_Asignado,"",0))</f>
        <v>Jefe Ventas Agrícola</v>
      </c>
      <c r="U43" s="5" t="str">
        <f t="array" ref="U43">IF(OR($B43="",ISBLANK(XLOOKUP($B43,Números_Asignados,Correos_Gmail,"",0))),"",XLOOKUP($B43,Números_Asignados,Correos_Gmail,"",0))</f>
        <v>jgomez.agro@gmail.com</v>
      </c>
      <c r="V43" s="5" t="str">
        <f t="array" ref="V43">IF(OR($B43="",ISBLANK(XLOOKUP($B43,Números_Asignados,Correos_Institucionales,"",0))),"",XLOOKUP($B43,Números_Asignados,Correos_Institucionales,"",0))</f>
        <v>jorge.gomez@agrocisa.com.mx</v>
      </c>
    </row>
    <row r="44" ht="15.75" customHeight="1">
      <c r="A44" s="5">
        <v>3.93119008E9</v>
      </c>
      <c r="B44" s="5">
        <v>3.93119008E9</v>
      </c>
      <c r="C44" s="5">
        <v>1.0</v>
      </c>
      <c r="D44" s="17">
        <v>269.0</v>
      </c>
      <c r="E44" s="5">
        <v>9.0</v>
      </c>
      <c r="F44" s="17" t="s">
        <v>780</v>
      </c>
      <c r="G44" s="23">
        <v>3.52010505763873E14</v>
      </c>
      <c r="H44" s="23" t="s">
        <v>868</v>
      </c>
      <c r="I44" s="5" t="s">
        <v>869</v>
      </c>
      <c r="J44" s="5" t="s">
        <v>776</v>
      </c>
      <c r="K44" s="23" t="s">
        <v>777</v>
      </c>
      <c r="L44" s="22" t="s">
        <v>778</v>
      </c>
      <c r="M44" s="39">
        <v>46136.0</v>
      </c>
      <c r="N44" s="22" t="s">
        <v>779</v>
      </c>
      <c r="O44" s="5"/>
      <c r="P44" s="38">
        <f t="array" ref="P44">XLOOKUP(F44,Lista_Equipos_2026,Precio_Equipos_2026," *** OJO *** ",0)</f>
        <v>10999</v>
      </c>
      <c r="Q44" s="5" t="str">
        <f t="array" ref="Q44">IF(OR($B44="",ISBLANK(XLOOKUP($B44,Números_Asignados,Nombres_Directorio,"",0))),"",XLOOKUP($B44,Números_Asignados,Nombres_Directorio,"",0))</f>
        <v>Arleth Paola Martínez Carreón</v>
      </c>
      <c r="R44" s="5" t="str">
        <f t="array" ref="R44">IF(OR($B44="",ISBLANK(XLOOKUP($B44,Números_Asignados,Sucursal_Asignada,"",0))),"",XLOOKUP($B44,Números_Asignados,Sucursal_Asignada,"",0))</f>
        <v>Corporativo</v>
      </c>
      <c r="S44" s="5" t="str">
        <f t="array" ref="S44">IF(OR($B44="",ISBLANK(XLOOKUP($B44,Números_Asignados,Departamento_Asignado,"",0))),"",XLOOKUP($B44,Números_Asignados,Departamento_Asignado,"",0))</f>
        <v>Maquinaria Agrícola y Construcción</v>
      </c>
      <c r="T44" s="5" t="str">
        <f t="array" ref="T44">IF(OR($B44="",ISBLANK(XLOOKUP($B44,Números_Asignados,Puesto_Asignado,"",0))),"",XLOOKUP($B44,Números_Asignados,Puesto_Asignado,"",0))</f>
        <v>Auxiliar Administrativo</v>
      </c>
      <c r="U44" s="5" t="str">
        <f t="array" ref="U44">IF(OR($B44="",ISBLANK(XLOOKUP($B44,Números_Asignados,Correos_Gmail,"",0))),"",XLOOKUP($B44,Números_Asignados,Correos_Gmail,"",0))</f>
        <v>ventaslabarca@agrocisa.com.mx</v>
      </c>
      <c r="V44" s="5" t="str">
        <f t="array" ref="V44">IF(OR($B44="",ISBLANK(XLOOKUP($B44,Números_Asignados,Correos_Institucionales,"",0))),"",XLOOKUP($B44,Números_Asignados,Correos_Institucionales,"",0))</f>
        <v>ventaslabarca@agrocisa.com.mx</v>
      </c>
    </row>
    <row r="45" ht="15.75" customHeight="1">
      <c r="A45" s="5">
        <v>3.931073856E9</v>
      </c>
      <c r="B45" s="5">
        <v>3.931073856E9</v>
      </c>
      <c r="C45" s="5">
        <v>4.0</v>
      </c>
      <c r="D45" s="17">
        <v>599.0</v>
      </c>
      <c r="E45" s="5">
        <v>22.5</v>
      </c>
      <c r="F45" s="17" t="s">
        <v>773</v>
      </c>
      <c r="G45" s="23">
        <v>3.55174187708478E14</v>
      </c>
      <c r="H45" s="23" t="s">
        <v>870</v>
      </c>
      <c r="I45" s="5" t="s">
        <v>871</v>
      </c>
      <c r="J45" s="5" t="s">
        <v>776</v>
      </c>
      <c r="K45" s="23" t="s">
        <v>777</v>
      </c>
      <c r="L45" s="22" t="s">
        <v>778</v>
      </c>
      <c r="M45" s="39">
        <v>46139.0</v>
      </c>
      <c r="N45" s="22" t="s">
        <v>779</v>
      </c>
      <c r="O45" s="5"/>
      <c r="P45" s="38">
        <f t="array" ref="P45">XLOOKUP(F45,Lista_Equipos_2026,Precio_Equipos_2026," *** OJO *** ",0)</f>
        <v>7499</v>
      </c>
      <c r="Q45" s="5" t="str">
        <f t="array" ref="Q45">IF(OR($B45="",ISBLANK(XLOOKUP($B45,Números_Asignados,Nombres_Directorio,"",0))),"",XLOOKUP($B45,Números_Asignados,Nombres_Directorio,"",0))</f>
        <v>Jesús Bernardo Navarro Estrada</v>
      </c>
      <c r="R45" s="5" t="str">
        <f t="array" ref="R45">IF(OR($B45="",ISBLANK(XLOOKUP($B45,Números_Asignados,Sucursal_Asignada,"",0))),"",XLOOKUP($B45,Números_Asignados,Sucursal_Asignada,"",0))</f>
        <v>Corporativo</v>
      </c>
      <c r="S45" s="5" t="str">
        <f t="array" ref="S45">IF(OR($B45="",ISBLANK(XLOOKUP($B45,Números_Asignados,Departamento_Asignado,"",0))),"",XLOOKUP($B45,Números_Asignados,Departamento_Asignado,"",0))</f>
        <v>Maquinaria Agrícola y Construcción</v>
      </c>
      <c r="T45" s="5" t="str">
        <f t="array" ref="T45">IF(OR($B45="",ISBLANK(XLOOKUP($B45,Números_Asignados,Puesto_Asignado,"",0))),"",XLOOKUP($B45,Números_Asignados,Puesto_Asignado,"",0))</f>
        <v>Chofer</v>
      </c>
      <c r="U45" s="5" t="str">
        <f t="array" ref="U45">IF(OR($B45="",ISBLANK(XLOOKUP($B45,Números_Asignados,Correos_Gmail,"",0))),"",XLOOKUP($B45,Números_Asignados,Correos_Gmail,"",0))</f>
        <v>jnavarro.agrocisa@gmail.com</v>
      </c>
      <c r="V45" s="5" t="str">
        <f t="array" ref="V45">IF(OR($B45="",ISBLANK(XLOOKUP($B45,Números_Asignados,Correos_Institucionales,"",0))),"",XLOOKUP($B45,Números_Asignados,Correos_Institucionales,"",0))</f>
        <v>jesus.navarro@agrocisa.com.mx</v>
      </c>
    </row>
    <row r="46" ht="15.75" customHeight="1">
      <c r="A46" s="5">
        <v>3.316160073E9</v>
      </c>
      <c r="B46" s="5">
        <v>3.316160073E9</v>
      </c>
      <c r="C46" s="5">
        <v>4.0</v>
      </c>
      <c r="D46" s="17">
        <v>599.0</v>
      </c>
      <c r="E46" s="5">
        <v>22.5</v>
      </c>
      <c r="F46" s="17" t="s">
        <v>773</v>
      </c>
      <c r="G46" s="23">
        <v>3.55174187708411E14</v>
      </c>
      <c r="H46" s="23" t="s">
        <v>872</v>
      </c>
      <c r="I46" s="5" t="s">
        <v>873</v>
      </c>
      <c r="J46" s="5" t="s">
        <v>776</v>
      </c>
      <c r="K46" s="5" t="s">
        <v>777</v>
      </c>
      <c r="L46" s="22" t="s">
        <v>778</v>
      </c>
      <c r="M46" s="39">
        <v>46137.0</v>
      </c>
      <c r="N46" s="22" t="s">
        <v>779</v>
      </c>
      <c r="O46" s="5"/>
      <c r="P46" s="38">
        <f t="array" ref="P46">XLOOKUP(F46,Lista_Equipos_2026,Precio_Equipos_2026," *** OJO *** ",0)</f>
        <v>7499</v>
      </c>
      <c r="Q46" s="5" t="str">
        <f t="array" ref="Q46">IF(OR($B46="",ISBLANK(XLOOKUP($B46,Números_Asignados,Nombres_Directorio,"",0))),"",XLOOKUP($B46,Números_Asignados,Nombres_Directorio,"",0))</f>
        <v>Ricardo Covarruvias García</v>
      </c>
      <c r="R46" s="5" t="str">
        <f t="array" ref="R46">IF(OR($B46="",ISBLANK(XLOOKUP($B46,Números_Asignados,Sucursal_Asignada,"",0))),"",XLOOKUP($B46,Números_Asignados,Sucursal_Asignada,"",0))</f>
        <v>Corporativo</v>
      </c>
      <c r="S46" s="5" t="str">
        <f t="array" ref="S46">IF(OR($B46="",ISBLANK(XLOOKUP($B46,Números_Asignados,Departamento_Asignado,"",0))),"",XLOOKUP($B46,Números_Asignados,Departamento_Asignado,"",0))</f>
        <v>Maquinaria Agrícola y Construcción</v>
      </c>
      <c r="T46" s="5" t="str">
        <f t="array" ref="T46">IF(OR($B46="",ISBLANK(XLOOKUP($B46,Números_Asignados,Puesto_Asignado,"",0))),"",XLOOKUP($B46,Números_Asignados,Puesto_Asignado,"",0))</f>
        <v>Chofer</v>
      </c>
      <c r="U46" s="5" t="str">
        <f t="array" ref="U46">IF(OR($B46="",ISBLANK(XLOOKUP($B46,Números_Asignados,Correos_Gmail,"",0))),"",XLOOKUP($B46,Números_Asignados,Correos_Gmail,"",0))</f>
        <v>choferlb.agro@gmail.com</v>
      </c>
      <c r="V46" s="5" t="str">
        <f t="array" ref="V46">IF(OR($B46="",ISBLANK(XLOOKUP($B46,Números_Asignados,Correos_Institucionales,"",0))),"",XLOOKUP($B46,Números_Asignados,Correos_Institucionales,"",0))</f>
        <v>ricardo.covarrubias@agrocisa.com.mx</v>
      </c>
    </row>
    <row r="47" ht="15.75" customHeight="1">
      <c r="A47" s="5">
        <v>3.339580163E9</v>
      </c>
      <c r="B47" s="5">
        <v>3.339580163E9</v>
      </c>
      <c r="C47" s="5">
        <v>1.0</v>
      </c>
      <c r="D47" s="17">
        <v>269.0</v>
      </c>
      <c r="E47" s="5">
        <v>9.0</v>
      </c>
      <c r="F47" s="17" t="s">
        <v>773</v>
      </c>
      <c r="G47" s="23">
        <v>3.55174187708205E14</v>
      </c>
      <c r="H47" s="23" t="s">
        <v>874</v>
      </c>
      <c r="I47" s="5" t="s">
        <v>875</v>
      </c>
      <c r="J47" s="23" t="s">
        <v>776</v>
      </c>
      <c r="K47" s="23" t="s">
        <v>777</v>
      </c>
      <c r="L47" s="22" t="s">
        <v>778</v>
      </c>
      <c r="M47" s="39">
        <v>46137.0</v>
      </c>
      <c r="N47" s="22" t="s">
        <v>779</v>
      </c>
      <c r="O47" s="5"/>
      <c r="P47" s="38">
        <f t="array" ref="P47">XLOOKUP(F47,Lista_Equipos_2026,Precio_Equipos_2026," *** OJO *** ",0)</f>
        <v>7499</v>
      </c>
      <c r="Q47" s="5" t="str">
        <f t="array" ref="Q47">IF(OR($B47="",ISBLANK(XLOOKUP($B47,Números_Asignados,Nombres_Directorio,"",0))),"",XLOOKUP($B47,Números_Asignados,Nombres_Directorio,"",0))</f>
        <v>Eduardo Guadalupe Gutierrez Rodríguez</v>
      </c>
      <c r="R47" s="5" t="str">
        <f t="array" ref="R47">IF(OR($B47="",ISBLANK(XLOOKUP($B47,Números_Asignados,Sucursal_Asignada,"",0))),"",XLOOKUP($B47,Números_Asignados,Sucursal_Asignada,"",0))</f>
        <v>Corporativo</v>
      </c>
      <c r="S47" s="5" t="str">
        <f t="array" ref="S47">IF(OR($B47="",ISBLANK(XLOOKUP($B47,Números_Asignados,Departamento_Asignado,"",0))),"",XLOOKUP($B47,Números_Asignados,Departamento_Asignado,"",0))</f>
        <v>Maquinaria Agrícola y Construcción</v>
      </c>
      <c r="T47" s="5" t="str">
        <f t="array" ref="T47">IF(OR($B47="",ISBLANK(XLOOKUP($B47,Números_Asignados,Puesto_Asignado,"",0))),"",XLOOKUP($B47,Números_Asignados,Puesto_Asignado,"",0))</f>
        <v>Implementero</v>
      </c>
      <c r="U47" s="5" t="str">
        <f t="array" ref="U47">IF(OR($B47="",ISBLANK(XLOOKUP($B47,Números_Asignados,Correos_Gmail,"",0))),"",XLOOKUP($B47,Números_Asignados,Correos_Gmail,"",0))</f>
        <v>edugutierrez.agro@gmail.com</v>
      </c>
      <c r="V47" s="5" t="str">
        <f t="array" ref="V47">IF(OR($B47="",ISBLANK(XLOOKUP($B47,Números_Asignados,Correos_Institucionales,"",0))),"",XLOOKUP($B47,Números_Asignados,Correos_Institucionales,"",0))</f>
        <v>eduardo.gutierrez@agrocisa.com.mx</v>
      </c>
    </row>
    <row r="48" ht="15.75" customHeight="1">
      <c r="A48" s="5">
        <v>3.481082366E9</v>
      </c>
      <c r="B48" s="5">
        <v>3.481082366E9</v>
      </c>
      <c r="C48" s="5">
        <v>4.0</v>
      </c>
      <c r="D48" s="17">
        <v>599.0</v>
      </c>
      <c r="E48" s="5">
        <v>22.5</v>
      </c>
      <c r="F48" s="17" t="s">
        <v>780</v>
      </c>
      <c r="G48" s="23">
        <v>3.57369477213019E14</v>
      </c>
      <c r="H48" s="23" t="s">
        <v>876</v>
      </c>
      <c r="I48" s="5" t="s">
        <v>877</v>
      </c>
      <c r="J48" s="23" t="s">
        <v>776</v>
      </c>
      <c r="K48" s="23" t="s">
        <v>777</v>
      </c>
      <c r="L48" s="22" t="s">
        <v>778</v>
      </c>
      <c r="M48" s="39">
        <v>46140.0</v>
      </c>
      <c r="N48" s="22" t="s">
        <v>779</v>
      </c>
      <c r="O48" s="5"/>
      <c r="P48" s="38">
        <f t="array" ref="P48">XLOOKUP(F48,Lista_Equipos_2026,Precio_Equipos_2026," *** OJO *** ",0)</f>
        <v>10999</v>
      </c>
      <c r="Q48" s="5" t="str">
        <f t="array" ref="Q48">IF(OR($B48="",ISBLANK(XLOOKUP($B48,Números_Asignados,Nombres_Directorio,"",0))),"",XLOOKUP($B48,Números_Asignados,Nombres_Directorio,"",0))</f>
        <v>Francisco Valadez Gaona</v>
      </c>
      <c r="R48" s="5" t="str">
        <f t="array" ref="R48">IF(OR($B48="",ISBLANK(XLOOKUP($B48,Números_Asignados,Sucursal_Asignada,"",0))),"",XLOOKUP($B48,Números_Asignados,Sucursal_Asignada,"",0))</f>
        <v>Corporativo</v>
      </c>
      <c r="S48" s="5" t="str">
        <f t="array" ref="S48">IF(OR($B48="",ISBLANK(XLOOKUP($B48,Números_Asignados,Departamento_Asignado,"",0))),"",XLOOKUP($B48,Números_Asignados,Departamento_Asignado,"",0))</f>
        <v>Maquinaria Construcción</v>
      </c>
      <c r="T48" s="5" t="str">
        <f t="array" ref="T48">IF(OR($B48="",ISBLANK(XLOOKUP($B48,Números_Asignados,Puesto_Asignado,"",0))),"",XLOOKUP($B48,Números_Asignados,Puesto_Asignado,"",0))</f>
        <v>Asesor de Ventas</v>
      </c>
      <c r="U48" s="5" t="str">
        <f t="array" ref="U48">IF(OR($B48="",ISBLANK(XLOOKUP($B48,Números_Asignados,Correos_Gmail,"",0))),"",XLOOKUP($B48,Números_Asignados,Correos_Gmail,"",0))</f>
        <v>construccionlabarca@agrocisa.com.mx</v>
      </c>
      <c r="V48" s="5" t="str">
        <f t="array" ref="V48">IF(OR($B48="",ISBLANK(XLOOKUP($B48,Números_Asignados,Correos_Institucionales,"",0))),"",XLOOKUP($B48,Números_Asignados,Correos_Institucionales,"",0))</f>
        <v>construccionlabarca@agrocisa.com.mx</v>
      </c>
    </row>
    <row r="49" ht="15.75" customHeight="1">
      <c r="A49" s="5">
        <v>3.337194505E9</v>
      </c>
      <c r="B49" s="5">
        <v>3.337194505E9</v>
      </c>
      <c r="C49" s="5">
        <v>4.0</v>
      </c>
      <c r="D49" s="17">
        <v>599.0</v>
      </c>
      <c r="E49" s="5">
        <v>22.5</v>
      </c>
      <c r="F49" s="17" t="s">
        <v>785</v>
      </c>
      <c r="G49" s="23">
        <v>3.52242801085798E14</v>
      </c>
      <c r="H49" s="23" t="s">
        <v>878</v>
      </c>
      <c r="I49" s="5" t="s">
        <v>879</v>
      </c>
      <c r="J49" s="5" t="s">
        <v>776</v>
      </c>
      <c r="K49" s="23" t="s">
        <v>777</v>
      </c>
      <c r="L49" s="22" t="s">
        <v>778</v>
      </c>
      <c r="M49" s="37">
        <v>46127.0</v>
      </c>
      <c r="N49" s="22" t="s">
        <v>779</v>
      </c>
      <c r="O49" s="5"/>
      <c r="P49" s="38">
        <f t="array" ref="P49">XLOOKUP(F49,Lista_Equipos_2026,Precio_Equipos_2026," *** OJO *** ",0)</f>
        <v>15499</v>
      </c>
      <c r="Q49" s="5" t="str">
        <f t="array" ref="Q49">IF(OR($B49="",ISBLANK(XLOOKUP($B49,Números_Asignados,Nombres_Directorio,"",0))),"",XLOOKUP($B49,Números_Asignados,Nombres_Directorio,"",0))</f>
        <v>Adrián Paskinel Hernández Zavala</v>
      </c>
      <c r="R49" s="5" t="str">
        <f t="array" ref="R49">IF(OR($B49="",ISBLANK(XLOOKUP($B49,Números_Asignados,Sucursal_Asignada,"",0))),"",XLOOKUP($B49,Números_Asignados,Sucursal_Asignada,"",0))</f>
        <v>Corporativo</v>
      </c>
      <c r="S49" s="5" t="str">
        <f t="array" ref="S49">IF(OR($B49="",ISBLANK(XLOOKUP($B49,Números_Asignados,Departamento_Asignado,"",0))),"",XLOOKUP($B49,Números_Asignados,Departamento_Asignado,"",0))</f>
        <v>Maquinaria Construcción</v>
      </c>
      <c r="T49" s="5" t="str">
        <f t="array" ref="T49">IF(OR($B49="",ISBLANK(XLOOKUP($B49,Números_Asignados,Puesto_Asignado,"",0))),"",XLOOKUP($B49,Números_Asignados,Puesto_Asignado,"",0))</f>
        <v>Jefe de Ventas Construcción</v>
      </c>
      <c r="U49" s="5" t="str">
        <f t="array" ref="U49">IF(OR($B49="",ISBLANK(XLOOKUP($B49,Números_Asignados,Correos_Gmail,"",0))),"",XLOOKUP($B49,Números_Asignados,Correos_Gmail,"",0))</f>
        <v>adrian.hernandez@agrocisa.com.mx</v>
      </c>
      <c r="V49" s="5" t="str">
        <f t="array" ref="V49">IF(OR($B49="",ISBLANK(XLOOKUP($B49,Números_Asignados,Correos_Institucionales,"",0))),"",XLOOKUP($B49,Números_Asignados,Correos_Institucionales,"",0))</f>
        <v>adrian.hernandez@agrocisa.com.mx</v>
      </c>
    </row>
    <row r="50" ht="15.75" customHeight="1">
      <c r="A50" s="5">
        <v>3.781868861E9</v>
      </c>
      <c r="B50" s="5">
        <v>3.781868861E9</v>
      </c>
      <c r="C50" s="5">
        <v>1.0</v>
      </c>
      <c r="D50" s="17">
        <v>269.0</v>
      </c>
      <c r="E50" s="5">
        <v>9.0</v>
      </c>
      <c r="F50" s="17" t="s">
        <v>780</v>
      </c>
      <c r="G50" s="23">
        <v>3.52010505740103E14</v>
      </c>
      <c r="H50" s="23" t="s">
        <v>880</v>
      </c>
      <c r="I50" s="5" t="s">
        <v>881</v>
      </c>
      <c r="J50" s="23" t="s">
        <v>776</v>
      </c>
      <c r="K50" s="23" t="s">
        <v>777</v>
      </c>
      <c r="L50" s="22" t="s">
        <v>778</v>
      </c>
      <c r="M50" s="39">
        <v>46136.0</v>
      </c>
      <c r="N50" s="22" t="s">
        <v>779</v>
      </c>
      <c r="O50" s="42"/>
      <c r="P50" s="38">
        <f t="array" ref="P50">XLOOKUP(F50,Lista_Equipos_2026,Precio_Equipos_2026," *** OJO *** ",0)</f>
        <v>10999</v>
      </c>
      <c r="Q50" s="5" t="str">
        <f t="array" ref="Q50">IF(OR($B50="",ISBLANK(XLOOKUP($B50,Números_Asignados,Nombres_Directorio,"",0))),"",XLOOKUP($B50,Números_Asignados,Nombres_Directorio,"",0))</f>
        <v>Andrea Guadalupe Cárdenas Cárdenas</v>
      </c>
      <c r="R50" s="5" t="str">
        <f t="array" ref="R50">IF(OR($B50="",ISBLANK(XLOOKUP($B50,Números_Asignados,Sucursal_Asignada,"",0))),"",XLOOKUP($B50,Números_Asignados,Sucursal_Asignada,"",0))</f>
        <v>Corporativo</v>
      </c>
      <c r="S50" s="5" t="str">
        <f t="array" ref="S50">IF(OR($B50="",ISBLANK(XLOOKUP($B50,Números_Asignados,Departamento_Asignado,"",0))),"",XLOOKUP($B50,Números_Asignados,Departamento_Asignado,"",0))</f>
        <v>Marketing</v>
      </c>
      <c r="T50" s="5" t="str">
        <f t="array" ref="T50">IF(OR($B50="",ISBLANK(XLOOKUP($B50,Números_Asignados,Puesto_Asignado,"",0))),"",XLOOKUP($B50,Números_Asignados,Puesto_Asignado,"",0))</f>
        <v>Asesor de Ventas en Línea</v>
      </c>
      <c r="U50" s="5" t="str">
        <f t="array" ref="U50">IF(OR($B50="",ISBLANK(XLOOKUP($B50,Números_Asignados,Correos_Gmail,"",0))),"",XLOOKUP($B50,Números_Asignados,Correos_Gmail,"",0))</f>
        <v>ventas@agrocisa.com.mx</v>
      </c>
      <c r="V50" s="5" t="str">
        <f t="array" ref="V50">IF(OR($B50="",ISBLANK(XLOOKUP($B50,Números_Asignados,Correos_Institucionales,"",0))),"",XLOOKUP($B50,Números_Asignados,Correos_Institucionales,"",0))</f>
        <v>ventas@agrocisa.com.mx</v>
      </c>
    </row>
    <row r="51" ht="15.75" customHeight="1">
      <c r="A51" s="5"/>
      <c r="B51" s="43">
        <v>3.781868863E9</v>
      </c>
      <c r="C51" s="5">
        <v>4.0</v>
      </c>
      <c r="D51" s="17">
        <v>599.0</v>
      </c>
      <c r="E51" s="5">
        <v>22.5</v>
      </c>
      <c r="F51" s="44" t="s">
        <v>882</v>
      </c>
      <c r="G51" s="23"/>
      <c r="H51" s="5"/>
      <c r="I51" s="5"/>
      <c r="J51" s="5"/>
      <c r="K51" s="5"/>
      <c r="L51" s="22"/>
      <c r="M51" s="39">
        <v>45681.0</v>
      </c>
      <c r="N51" s="22"/>
      <c r="O51" s="5"/>
      <c r="P51" s="38" t="str">
        <f t="array" ref="P51">XLOOKUP(F51,Lista_Equipos_2026,Precio_Equipos_2026," *** OJO *** ",0)</f>
        <v> *** OJO *** </v>
      </c>
      <c r="Q51" s="5" t="str">
        <f t="array" ref="Q51">IF(OR($B51="",ISBLANK(XLOOKUP($B51,Números_Asignados,Nombres_Directorio,"",0))),"",XLOOKUP($B51,Números_Asignados,Nombres_Directorio,"",0))</f>
        <v>Raúl Óscar Ortega Guillén</v>
      </c>
      <c r="R51" s="5" t="str">
        <f t="array" ref="R51">IF(OR($B51="",ISBLANK(XLOOKUP($B51,Números_Asignados,Sucursal_Asignada,"",0))),"",XLOOKUP($B51,Números_Asignados,Sucursal_Asignada,"",0))</f>
        <v>Corporativo</v>
      </c>
      <c r="S51" s="5" t="str">
        <f t="array" ref="S51">IF(OR($B51="",ISBLANK(XLOOKUP($B51,Números_Asignados,Departamento_Asignado,"",0))),"",XLOOKUP($B51,Números_Asignados,Departamento_Asignado,"",0))</f>
        <v>Marketing</v>
      </c>
      <c r="T51" s="5" t="str">
        <f t="array" ref="T51">IF(OR($B51="",ISBLANK(XLOOKUP($B51,Números_Asignados,Puesto_Asignado,"",0))),"",XLOOKUP($B51,Números_Asignados,Puesto_Asignado,"",0))</f>
        <v>Jefe de Marketing</v>
      </c>
      <c r="U51" s="5" t="str">
        <f t="array" ref="U51">IF(OR($B51="",ISBLANK(XLOOKUP($B51,Números_Asignados,Correos_Gmail,"",0))),"",XLOOKUP($B51,Números_Asignados,Correos_Gmail,"",0))</f>
        <v>marketingdigital@agrocisa.com.mx</v>
      </c>
      <c r="V51" s="5" t="str">
        <f t="array" ref="V51">IF(OR($B51="",ISBLANK(XLOOKUP($B51,Números_Asignados,Correos_Institucionales,"",0))),"",XLOOKUP($B51,Números_Asignados,Correos_Institucionales,"",0))</f>
        <v>marketingexperiencial@agrocisa.com.mx</v>
      </c>
    </row>
    <row r="52" ht="15.75" customHeight="1">
      <c r="A52" s="5">
        <v>3.931042365E9</v>
      </c>
      <c r="B52" s="43">
        <v>3.313697838E9</v>
      </c>
      <c r="C52" s="5">
        <v>4.0</v>
      </c>
      <c r="D52" s="17">
        <v>599.0</v>
      </c>
      <c r="E52" s="5">
        <v>22.5</v>
      </c>
      <c r="F52" s="17" t="s">
        <v>883</v>
      </c>
      <c r="G52" s="23">
        <v>3.57633137164718E14</v>
      </c>
      <c r="H52" s="23" t="s">
        <v>884</v>
      </c>
      <c r="I52" s="40"/>
      <c r="J52" s="5" t="s">
        <v>776</v>
      </c>
      <c r="K52" s="23" t="s">
        <v>777</v>
      </c>
      <c r="L52" s="22" t="s">
        <v>778</v>
      </c>
      <c r="M52" s="45">
        <v>46140.0</v>
      </c>
      <c r="N52" s="22" t="s">
        <v>779</v>
      </c>
      <c r="O52" s="5"/>
      <c r="P52" s="38">
        <f t="array" ref="P52">XLOOKUP(F52,Lista_Equipos_2026,Precio_Equipos_2026," *** OJO *** ",0)</f>
        <v>28499</v>
      </c>
      <c r="Q52" s="5" t="str">
        <f t="array" ref="Q52">IF(OR($B52="",ISBLANK(XLOOKUP($B52,Números_Asignados,Nombres_Directorio,"",0))),"",XLOOKUP($B52,Números_Asignados,Nombres_Directorio,"",0))</f>
        <v>Paola Fernanda Paz Valdez</v>
      </c>
      <c r="R52" s="5" t="str">
        <f t="array" ref="R52">IF(OR($B52="",ISBLANK(XLOOKUP($B52,Números_Asignados,Sucursal_Asignada,"",0))),"",XLOOKUP($B52,Números_Asignados,Sucursal_Asignada,"",0))</f>
        <v>Corporativo</v>
      </c>
      <c r="S52" s="5" t="str">
        <f t="array" ref="S52">IF(OR($B52="",ISBLANK(XLOOKUP($B52,Números_Asignados,Departamento_Asignado,"",0))),"",XLOOKUP($B52,Números_Asignados,Departamento_Asignado,"",0))</f>
        <v>Marketing</v>
      </c>
      <c r="T52" s="5" t="str">
        <f t="array" ref="T52">IF(OR($B52="",ISBLANK(XLOOKUP($B52,Números_Asignados,Puesto_Asignado,"",0))),"",XLOOKUP($B52,Números_Asignados,Puesto_Asignado,"",0))</f>
        <v>Marketing Digital</v>
      </c>
      <c r="U52" s="5" t="str">
        <f t="array" ref="U52">IF(OR($B52="",ISBLANK(XLOOKUP($B52,Números_Asignados,Correos_Gmail,"",0))),"",XLOOKUP($B52,Números_Asignados,Correos_Gmail,"",0))</f>
        <v>marketing.agrocisa@gmail.com</v>
      </c>
      <c r="V52" s="5" t="str">
        <f t="array" ref="V52">IF(OR($B52="",ISBLANK(XLOOKUP($B52,Números_Asignados,Correos_Institucionales,"",0))),"",XLOOKUP($B52,Números_Asignados,Correos_Institucionales,"",0))</f>
        <v>marketingdigital@agrocisa.com.mx</v>
      </c>
    </row>
    <row r="53" ht="15.75" customHeight="1">
      <c r="A53" s="5">
        <v>3.911750242E9</v>
      </c>
      <c r="B53" s="5">
        <v>3.911750242E9</v>
      </c>
      <c r="C53" s="5">
        <v>1.0</v>
      </c>
      <c r="D53" s="17">
        <v>269.0</v>
      </c>
      <c r="E53" s="5">
        <v>9.0</v>
      </c>
      <c r="F53" s="17" t="s">
        <v>780</v>
      </c>
      <c r="G53" s="23">
        <v>3.52010505743255E14</v>
      </c>
      <c r="H53" s="23" t="s">
        <v>885</v>
      </c>
      <c r="I53" s="5" t="s">
        <v>886</v>
      </c>
      <c r="J53" s="5" t="s">
        <v>776</v>
      </c>
      <c r="K53" s="23" t="s">
        <v>777</v>
      </c>
      <c r="L53" s="22" t="s">
        <v>778</v>
      </c>
      <c r="M53" s="39">
        <v>46136.0</v>
      </c>
      <c r="N53" s="22" t="s">
        <v>779</v>
      </c>
      <c r="O53" s="5"/>
      <c r="P53" s="38">
        <f t="array" ref="P53">XLOOKUP(F53,Lista_Equipos_2026,Precio_Equipos_2026," *** OJO *** ",0)</f>
        <v>10999</v>
      </c>
      <c r="Q53" s="5" t="str">
        <f t="array" ref="Q53">IF(OR($B53="",ISBLANK(XLOOKUP($B53,Números_Asignados,Nombres_Directorio,"",0))),"",XLOOKUP($B53,Números_Asignados,Nombres_Directorio,"",0))</f>
        <v>Francisco Javier Ornelas</v>
      </c>
      <c r="R53" s="5" t="str">
        <f t="array" ref="R53">IF(OR($B53="",ISBLANK(XLOOKUP($B53,Números_Asignados,Sucursal_Asignada,"",0))),"",XLOOKUP($B53,Números_Asignados,Sucursal_Asignada,"",0))</f>
        <v>Corporativo</v>
      </c>
      <c r="S53" s="5" t="str">
        <f t="array" ref="S53">IF(OR($B53="",ISBLANK(XLOOKUP($B53,Números_Asignados,Departamento_Asignado,"",0))),"",XLOOKUP($B53,Números_Asignados,Departamento_Asignado,"",0))</f>
        <v>Parque Vehicular</v>
      </c>
      <c r="T53" s="5" t="str">
        <f t="array" ref="T53">IF(OR($B53="",ISBLANK(XLOOKUP($B53,Números_Asignados,Puesto_Asignado,"",0))),"",XLOOKUP($B53,Números_Asignados,Puesto_Asignado,"",0))</f>
        <v>Auxiliar Administrativo</v>
      </c>
      <c r="U53" s="5" t="str">
        <f t="array" ref="U53">IF(OR($B53="",ISBLANK(XLOOKUP($B53,Números_Asignados,Correos_Gmail,"",0))),"",XLOOKUP($B53,Números_Asignados,Correos_Gmail,"",0))</f>
        <v>auxpaquevehicular.agro@gmail.com</v>
      </c>
      <c r="V53" s="5" t="str">
        <f t="array" ref="V53">IF(OR($B53="",ISBLANK(XLOOKUP($B53,Números_Asignados,Correos_Institucionales,"",0))),"",XLOOKUP($B53,Números_Asignados,Correos_Institucionales,"",0))</f>
        <v>auxparquevehicular@agrocisa.com.mx</v>
      </c>
    </row>
    <row r="54" ht="15.75" customHeight="1">
      <c r="A54" s="5">
        <v>4.691215361E9</v>
      </c>
      <c r="B54" s="41">
        <v>3.951428204E9</v>
      </c>
      <c r="C54" s="5">
        <v>4.0</v>
      </c>
      <c r="D54" s="17">
        <v>599.0</v>
      </c>
      <c r="E54" s="5">
        <v>22.5</v>
      </c>
      <c r="F54" s="17" t="s">
        <v>785</v>
      </c>
      <c r="G54" s="23">
        <v>3.52242801090673E14</v>
      </c>
      <c r="H54" s="5" t="s">
        <v>887</v>
      </c>
      <c r="I54" s="5" t="s">
        <v>888</v>
      </c>
      <c r="J54" s="5" t="s">
        <v>776</v>
      </c>
      <c r="K54" s="5" t="s">
        <v>777</v>
      </c>
      <c r="L54" s="22" t="s">
        <v>778</v>
      </c>
      <c r="M54" s="39">
        <v>46135.0</v>
      </c>
      <c r="N54" s="22" t="s">
        <v>779</v>
      </c>
      <c r="O54" s="5"/>
      <c r="P54" s="38">
        <f t="array" ref="P54">XLOOKUP(F54,Lista_Equipos_2026,Precio_Equipos_2026," *** OJO *** ",0)</f>
        <v>15499</v>
      </c>
      <c r="Q54" s="5" t="str">
        <f t="array" ref="Q54">IF(OR($B54="",ISBLANK(XLOOKUP($B54,Números_Asignados,Nombres_Directorio,"",0))),"",XLOOKUP($B54,Números_Asignados,Nombres_Directorio,"",0))</f>
        <v>Jesús García Anaya</v>
      </c>
      <c r="R54" s="5" t="str">
        <f t="array" ref="R54">IF(OR($B54="",ISBLANK(XLOOKUP($B54,Números_Asignados,Sucursal_Asignada,"",0))),"",XLOOKUP($B54,Números_Asignados,Sucursal_Asignada,"",0))</f>
        <v>Corporativo</v>
      </c>
      <c r="S54" s="5" t="str">
        <f t="array" ref="S54">IF(OR($B54="",ISBLANK(XLOOKUP($B54,Números_Asignados,Departamento_Asignado,"",0))),"",XLOOKUP($B54,Números_Asignados,Departamento_Asignado,"",0))</f>
        <v>Parque Vehicular</v>
      </c>
      <c r="T54" s="5" t="str">
        <f t="array" ref="T54">IF(OR($B54="",ISBLANK(XLOOKUP($B54,Números_Asignados,Puesto_Asignado,"",0))),"",XLOOKUP($B54,Números_Asignados,Puesto_Asignado,"",0))</f>
        <v>Jefe Parque Vehicular</v>
      </c>
      <c r="U54" s="5" t="str">
        <f t="array" ref="U54">IF(OR($B54="",ISBLANK(XLOOKUP($B54,Números_Asignados,Correos_Gmail,"",0))),"",XLOOKUP($B54,Números_Asignados,Correos_Gmail,"",0))</f>
        <v>jesusgarcia.agrocisa@gmail.com</v>
      </c>
      <c r="V54" s="5" t="str">
        <f t="array" ref="V54">IF(OR($B54="",ISBLANK(XLOOKUP($B54,Números_Asignados,Correos_Institucionales,"",0))),"",XLOOKUP($B54,Números_Asignados,Correos_Institucionales,"",0))</f>
        <v>jesus.garcia@agrocisa.com.mx</v>
      </c>
    </row>
    <row r="55" ht="15.75" customHeight="1">
      <c r="A55" s="5">
        <v>3.951198072E9</v>
      </c>
      <c r="B55" s="40">
        <v>3.931190277E9</v>
      </c>
      <c r="C55" s="5">
        <v>4.0</v>
      </c>
      <c r="D55" s="17">
        <v>599.0</v>
      </c>
      <c r="E55" s="5">
        <v>22.5</v>
      </c>
      <c r="F55" s="5" t="s">
        <v>780</v>
      </c>
      <c r="G55" s="23">
        <v>3.57369477240087E14</v>
      </c>
      <c r="H55" s="5" t="s">
        <v>889</v>
      </c>
      <c r="I55" s="5" t="s">
        <v>890</v>
      </c>
      <c r="J55" s="5" t="s">
        <v>776</v>
      </c>
      <c r="K55" s="5" t="s">
        <v>777</v>
      </c>
      <c r="L55" s="22" t="s">
        <v>778</v>
      </c>
      <c r="M55" s="39">
        <v>46136.0</v>
      </c>
      <c r="N55" s="22" t="s">
        <v>779</v>
      </c>
      <c r="O55" s="5" t="s">
        <v>813</v>
      </c>
      <c r="P55" s="38">
        <f t="array" ref="P55">XLOOKUP(F55,Lista_Equipos_2026,Precio_Equipos_2026," *** OJO *** ",0)</f>
        <v>10999</v>
      </c>
      <c r="Q55" s="5" t="str">
        <f t="array" ref="Q55">IF(OR($B55="",ISBLANK(XLOOKUP($B55,Números_Asignados,Nombres_Directorio,"",0))),"",XLOOKUP($B55,Números_Asignados,Nombres_Directorio,"",0))</f>
        <v>Michael Alberto Castro García</v>
      </c>
      <c r="R55" s="5" t="str">
        <f t="array" ref="R55">IF(OR($B55="",ISBLANK(XLOOKUP($B55,Números_Asignados,Sucursal_Asignada,"",0))),"",XLOOKUP($B55,Números_Asignados,Sucursal_Asignada,"",0))</f>
        <v>Corporativo</v>
      </c>
      <c r="S55" s="5" t="str">
        <f t="array" ref="S55">IF(OR($B55="",ISBLANK(XLOOKUP($B55,Números_Asignados,Departamento_Asignado,"",0))),"",XLOOKUP($B55,Números_Asignados,Departamento_Asignado,"",0))</f>
        <v>Parque Vehicular</v>
      </c>
      <c r="T55" s="5" t="str">
        <f t="array" ref="T55">IF(OR($B55="",ISBLANK(XLOOKUP($B55,Números_Asignados,Puesto_Asignado,"",0))),"",XLOOKUP($B55,Números_Asignados,Puesto_Asignado,"",0))</f>
        <v>Logística</v>
      </c>
      <c r="U55" s="5" t="str">
        <f t="array" ref="U55">IF(OR($B55="",ISBLANK(XLOOKUP($B55,Números_Asignados,Correos_Gmail,"",0))),"",XLOOKUP($B55,Números_Asignados,Correos_Gmail,"",0))</f>
        <v>michael.castro@agrocisa.com.mx</v>
      </c>
      <c r="V55" s="5" t="str">
        <f t="array" ref="V55">IF(OR($B55="",ISBLANK(XLOOKUP($B55,Números_Asignados,Correos_Institucionales,"",0))),"",XLOOKUP($B55,Números_Asignados,Correos_Institucionales,"",0))</f>
        <v>michael.castro@agrocisa.com.mx</v>
      </c>
    </row>
    <row r="56" ht="15.75" customHeight="1">
      <c r="A56" s="5">
        <v>3.316106113E9</v>
      </c>
      <c r="B56" s="22">
        <v>3.921368749E9</v>
      </c>
      <c r="C56" s="22">
        <v>1.0</v>
      </c>
      <c r="D56" s="17">
        <v>269.0</v>
      </c>
      <c r="E56" s="22">
        <v>9.0</v>
      </c>
      <c r="F56" s="17" t="s">
        <v>773</v>
      </c>
      <c r="G56" s="23">
        <v>3.55174187709294E14</v>
      </c>
      <c r="H56" s="23" t="s">
        <v>891</v>
      </c>
      <c r="I56" s="5" t="s">
        <v>892</v>
      </c>
      <c r="J56" s="5" t="s">
        <v>776</v>
      </c>
      <c r="K56" s="23" t="s">
        <v>777</v>
      </c>
      <c r="L56" s="22" t="s">
        <v>778</v>
      </c>
      <c r="M56" s="45">
        <v>46147.0</v>
      </c>
      <c r="N56" s="22" t="s">
        <v>779</v>
      </c>
      <c r="O56" s="5"/>
      <c r="P56" s="38">
        <f t="array" ref="P56">XLOOKUP(F56,Lista_Equipos_2026,Precio_Equipos_2026," *** OJO *** ",0)</f>
        <v>7499</v>
      </c>
      <c r="Q56" s="5" t="str">
        <f t="array" ref="Q56">IF(OR($B56="",ISBLANK(XLOOKUP($B56,Números_Asignados,Nombres_Directorio,"",0))),"",XLOOKUP($B56,Números_Asignados,Nombres_Directorio,"",0))</f>
        <v>Luis Eduardo Gutierrez Infante</v>
      </c>
      <c r="R56" s="5" t="str">
        <f t="array" ref="R56">IF(OR($B56="",ISBLANK(XLOOKUP($B56,Números_Asignados,Sucursal_Asignada,"",0))),"",XLOOKUP($B56,Números_Asignados,Sucursal_Asignada,"",0))</f>
        <v>Corporativo</v>
      </c>
      <c r="S56" s="5" t="str">
        <f t="array" ref="S56">IF(OR($B56="",ISBLANK(XLOOKUP($B56,Números_Asignados,Departamento_Asignado,"",0))),"",XLOOKUP($B56,Números_Asignados,Departamento_Asignado,"",0))</f>
        <v>Servicio</v>
      </c>
      <c r="T56" s="5" t="str">
        <f t="array" ref="T56">IF(OR($B56="",ISBLANK(XLOOKUP($B56,Números_Asignados,Puesto_Asignado,"",0))),"",XLOOKUP($B56,Números_Asignados,Puesto_Asignado,"",0))</f>
        <v>Promotor de Servicio</v>
      </c>
      <c r="U56" s="5" t="str">
        <f t="array" ref="U56">IF(OR($B56="",ISBLANK(XLOOKUP($B56,Números_Asignados,Correos_Gmail,"",0))),"",XLOOKUP($B56,Números_Asignados,Correos_Gmail,"",0))</f>
        <v>promotorlabarca@agrocisa.com.mx</v>
      </c>
      <c r="V56" s="5" t="str">
        <f t="array" ref="V56">IF(OR($B56="",ISBLANK(XLOOKUP($B56,Números_Asignados,Correos_Institucionales,"",0))),"",XLOOKUP($B56,Números_Asignados,Correos_Institucionales,"",0))</f>
        <v>luis.gutierrez@agrocisa.com.mx</v>
      </c>
    </row>
    <row r="57" ht="15.75" customHeight="1">
      <c r="A57" s="5">
        <v>3.316098529E9</v>
      </c>
      <c r="B57" s="5">
        <v>3.316098529E9</v>
      </c>
      <c r="C57" s="5">
        <v>4.0</v>
      </c>
      <c r="D57" s="17">
        <v>599.0</v>
      </c>
      <c r="E57" s="5">
        <v>22.5</v>
      </c>
      <c r="F57" s="17" t="s">
        <v>785</v>
      </c>
      <c r="G57" s="23">
        <v>3.52242801089162E14</v>
      </c>
      <c r="H57" s="23" t="s">
        <v>893</v>
      </c>
      <c r="I57" s="5" t="s">
        <v>894</v>
      </c>
      <c r="J57" s="23" t="s">
        <v>776</v>
      </c>
      <c r="K57" s="23" t="s">
        <v>777</v>
      </c>
      <c r="L57" s="22" t="s">
        <v>778</v>
      </c>
      <c r="M57" s="37">
        <v>46128.0</v>
      </c>
      <c r="N57" s="22" t="s">
        <v>779</v>
      </c>
      <c r="O57" s="5"/>
      <c r="P57" s="38">
        <f t="array" ref="P57">XLOOKUP(F57,Lista_Equipos_2026,Precio_Equipos_2026," *** OJO *** ",0)</f>
        <v>15499</v>
      </c>
      <c r="Q57" s="5" t="str">
        <f t="array" ref="Q57">IF(OR($B57="",ISBLANK(XLOOKUP($B57,Números_Asignados,Nombres_Directorio,"",0))),"",XLOOKUP($B57,Números_Asignados,Nombres_Directorio,"",0))</f>
        <v>Miguel Ángel González Escoto</v>
      </c>
      <c r="R57" s="5" t="str">
        <f t="array" ref="R57">IF(OR($B57="",ISBLANK(XLOOKUP($B57,Números_Asignados,Sucursal_Asignada,"",0))),"",XLOOKUP($B57,Números_Asignados,Sucursal_Asignada,"",0))</f>
        <v>Corporativo</v>
      </c>
      <c r="S57" s="5" t="str">
        <f t="array" ref="S57">IF(OR($B57="",ISBLANK(XLOOKUP($B57,Números_Asignados,Departamento_Asignado,"",0))),"",XLOOKUP($B57,Números_Asignados,Departamento_Asignado,"",0))</f>
        <v>Postventa</v>
      </c>
      <c r="T57" s="5" t="str">
        <f t="array" ref="T57">IF(OR($B57="",ISBLANK(XLOOKUP($B57,Números_Asignados,Puesto_Asignado,"",0))),"",XLOOKUP($B57,Números_Asignados,Puesto_Asignado,"",0))</f>
        <v>Jefe Postventa</v>
      </c>
      <c r="U57" s="5" t="str">
        <f t="array" ref="U57">IF(OR($B57="",ISBLANK(XLOOKUP($B57,Números_Asignados,Correos_Gmail,"",0))),"",XLOOKUP($B57,Números_Asignados,Correos_Gmail,"",0))</f>
        <v>migonzalez.agro@gmail.com</v>
      </c>
      <c r="V57" s="5" t="str">
        <f t="array" ref="V57">IF(OR($B57="",ISBLANK(XLOOKUP($B57,Números_Asignados,Correos_Institucionales,"",0))),"",XLOOKUP($B57,Números_Asignados,Correos_Institucionales,"",0))</f>
        <v>miguel.gonzalez@agrocisa.com.mx</v>
      </c>
    </row>
    <row r="58" ht="15.75" customHeight="1">
      <c r="A58" s="5">
        <v>3.316096709E9</v>
      </c>
      <c r="B58" s="5">
        <v>3.316096709E9</v>
      </c>
      <c r="C58" s="5">
        <v>1.0</v>
      </c>
      <c r="D58" s="17">
        <v>269.0</v>
      </c>
      <c r="E58" s="5">
        <v>9.0</v>
      </c>
      <c r="F58" s="17" t="s">
        <v>780</v>
      </c>
      <c r="G58" s="23">
        <v>3.52010505738792E14</v>
      </c>
      <c r="H58" s="23" t="s">
        <v>895</v>
      </c>
      <c r="I58" s="5" t="s">
        <v>896</v>
      </c>
      <c r="J58" s="5" t="s">
        <v>776</v>
      </c>
      <c r="K58" s="23" t="s">
        <v>777</v>
      </c>
      <c r="L58" s="22" t="s">
        <v>778</v>
      </c>
      <c r="M58" s="39">
        <v>46140.0</v>
      </c>
      <c r="N58" s="22" t="s">
        <v>779</v>
      </c>
      <c r="O58" s="5"/>
      <c r="P58" s="38">
        <f t="array" ref="P58">XLOOKUP(F58,Lista_Equipos_2026,Precio_Equipos_2026," *** OJO *** ",0)</f>
        <v>10999</v>
      </c>
      <c r="Q58" s="5" t="str">
        <f t="array" ref="Q58">IF(OR($B58="",ISBLANK(XLOOKUP($B58,Números_Asignados,Nombres_Directorio,"",0))),"",XLOOKUP($B58,Números_Asignados,Nombres_Directorio,"",0))</f>
        <v>Diana Alejandrina Mendoza Flores</v>
      </c>
      <c r="R58" s="5" t="str">
        <f t="array" ref="R58">IF(OR($B58="",ISBLANK(XLOOKUP($B58,Números_Asignados,Sucursal_Asignada,"",0))),"",XLOOKUP($B58,Números_Asignados,Sucursal_Asignada,"",0))</f>
        <v>Corporativo</v>
      </c>
      <c r="S58" s="5" t="str">
        <f t="array" ref="S58">IF(OR($B58="",ISBLANK(XLOOKUP($B58,Números_Asignados,Departamento_Asignado,"",0))),"",XLOOKUP($B58,Números_Asignados,Departamento_Asignado,"",0))</f>
        <v>Refacciones</v>
      </c>
      <c r="T58" s="5" t="str">
        <f t="array" ref="T58">IF(OR($B58="",ISBLANK(XLOOKUP($B58,Números_Asignados,Puesto_Asignado,"",0))),"",XLOOKUP($B58,Números_Asignados,Puesto_Asignado,"",0))</f>
        <v>Analista de Refacciones y Servicio</v>
      </c>
      <c r="U58" s="5" t="str">
        <f t="array" ref="U58">IF(OR($B58="",ISBLANK(XLOOKUP($B58,Números_Asignados,Correos_Gmail,"",0))),"",XLOOKUP($B58,Números_Asignados,Correos_Gmail,"",0))</f>
        <v>analistaservicio.agro@gmail.com</v>
      </c>
      <c r="V58" s="5" t="str">
        <f t="array" ref="V58">IF(OR($B58="",ISBLANK(XLOOKUP($B58,Números_Asignados,Correos_Institucionales,"",0))),"",XLOOKUP($B58,Números_Asignados,Correos_Institucionales,"",0))</f>
        <v>analistaservicio@agrocisa.com.mx</v>
      </c>
    </row>
    <row r="59" ht="15.75" customHeight="1">
      <c r="A59" s="5">
        <v>3.316117782E9</v>
      </c>
      <c r="B59" s="5">
        <v>3.316117782E9</v>
      </c>
      <c r="C59" s="5">
        <v>4.0</v>
      </c>
      <c r="D59" s="17">
        <v>599.0</v>
      </c>
      <c r="E59" s="5">
        <v>22.5</v>
      </c>
      <c r="F59" s="17" t="s">
        <v>780</v>
      </c>
      <c r="G59" s="23">
        <v>3.5736947720626E14</v>
      </c>
      <c r="H59" s="23" t="s">
        <v>897</v>
      </c>
      <c r="I59" s="5" t="s">
        <v>898</v>
      </c>
      <c r="J59" s="5" t="s">
        <v>776</v>
      </c>
      <c r="K59" s="23" t="s">
        <v>777</v>
      </c>
      <c r="L59" s="22" t="s">
        <v>778</v>
      </c>
      <c r="M59" s="39">
        <v>46137.0</v>
      </c>
      <c r="N59" s="22" t="s">
        <v>779</v>
      </c>
      <c r="O59" s="5"/>
      <c r="P59" s="38">
        <f t="array" ref="P59">XLOOKUP(F59,Lista_Equipos_2026,Precio_Equipos_2026," *** OJO *** ",0)</f>
        <v>10999</v>
      </c>
      <c r="Q59" s="5" t="str">
        <f t="array" ref="Q59">IF(OR($B59="",ISBLANK(XLOOKUP($B59,Números_Asignados,Nombres_Directorio,"",0))),"",XLOOKUP($B59,Números_Asignados,Nombres_Directorio,"",0))</f>
        <v>Carlos Eduardo Ortega Herrera</v>
      </c>
      <c r="R59" s="5" t="str">
        <f t="array" ref="R59">IF(OR($B59="",ISBLANK(XLOOKUP($B59,Números_Asignados,Sucursal_Asignada,"",0))),"",XLOOKUP($B59,Números_Asignados,Sucursal_Asignada,"",0))</f>
        <v>Corporativo</v>
      </c>
      <c r="S59" s="5" t="str">
        <f t="array" ref="S59">IF(OR($B59="",ISBLANK(XLOOKUP($B59,Números_Asignados,Departamento_Asignado,"",0))),"",XLOOKUP($B59,Números_Asignados,Departamento_Asignado,"",0))</f>
        <v>Refacciones</v>
      </c>
      <c r="T59" s="5" t="str">
        <f t="array" ref="T59">IF(OR($B59="",ISBLANK(XLOOKUP($B59,Números_Asignados,Puesto_Asignado,"",0))),"",XLOOKUP($B59,Números_Asignados,Puesto_Asignado,"",0))</f>
        <v>Asesor de Refacciones Campo</v>
      </c>
      <c r="U59" s="5" t="str">
        <f t="array" ref="U59">IF(OR($B59="",ISBLANK(XLOOKUP($B59,Números_Asignados,Correos_Gmail,"",0))),"",XLOOKUP($B59,Números_Asignados,Correos_Gmail,"",0))</f>
        <v>refaccioneslb01@agrocisa.com.mx</v>
      </c>
      <c r="V59" s="5" t="str">
        <f t="array" ref="V59">IF(OR($B59="",ISBLANK(XLOOKUP($B59,Números_Asignados,Correos_Institucionales,"",0))),"",XLOOKUP($B59,Números_Asignados,Correos_Institucionales,"",0))</f>
        <v>eduardo.ortega@agrocisa.com.mx</v>
      </c>
    </row>
    <row r="60" ht="15.75" customHeight="1">
      <c r="A60" s="5">
        <v>3.316092672E9</v>
      </c>
      <c r="B60" s="5">
        <v>3.316092672E9</v>
      </c>
      <c r="C60" s="5">
        <v>4.0</v>
      </c>
      <c r="D60" s="17">
        <v>599.0</v>
      </c>
      <c r="E60" s="5">
        <v>22.5</v>
      </c>
      <c r="F60" s="17" t="s">
        <v>780</v>
      </c>
      <c r="G60" s="23">
        <v>3.57369477204752E14</v>
      </c>
      <c r="H60" s="23" t="s">
        <v>899</v>
      </c>
      <c r="I60" s="5" t="s">
        <v>900</v>
      </c>
      <c r="J60" s="5" t="s">
        <v>776</v>
      </c>
      <c r="K60" s="23" t="s">
        <v>777</v>
      </c>
      <c r="L60" s="22" t="s">
        <v>778</v>
      </c>
      <c r="M60" s="39">
        <v>46136.0</v>
      </c>
      <c r="N60" s="22" t="s">
        <v>779</v>
      </c>
      <c r="O60" s="5"/>
      <c r="P60" s="38">
        <f t="array" ref="P60">XLOOKUP(F60,Lista_Equipos_2026,Precio_Equipos_2026," *** OJO *** ",0)</f>
        <v>10999</v>
      </c>
      <c r="Q60" s="5" t="str">
        <f t="array" ref="Q60">IF(OR($B60="",ISBLANK(XLOOKUP($B60,Números_Asignados,Nombres_Directorio,"",0))),"",XLOOKUP($B60,Números_Asignados,Nombres_Directorio,"",0))</f>
        <v>Pedro Garcia Lara</v>
      </c>
      <c r="R60" s="5" t="str">
        <f t="array" ref="R60">IF(OR($B60="",ISBLANK(XLOOKUP($B60,Números_Asignados,Sucursal_Asignada,"",0))),"",XLOOKUP($B60,Números_Asignados,Sucursal_Asignada,"",0))</f>
        <v>Corporativo</v>
      </c>
      <c r="S60" s="5" t="str">
        <f t="array" ref="S60">IF(OR($B60="",ISBLANK(XLOOKUP($B60,Números_Asignados,Departamento_Asignado,"",0))),"",XLOOKUP($B60,Números_Asignados,Departamento_Asignado,"",0))</f>
        <v>Refacciones</v>
      </c>
      <c r="T60" s="5" t="str">
        <f t="array" ref="T60">IF(OR($B60="",ISBLANK(XLOOKUP($B60,Números_Asignados,Puesto_Asignado,"",0))),"",XLOOKUP($B60,Números_Asignados,Puesto_Asignado,"",0))</f>
        <v>Asesor de Refacciones Campo</v>
      </c>
      <c r="U60" s="5" t="str">
        <f t="array" ref="U60">IF(OR($B60="",ISBLANK(XLOOKUP($B60,Números_Asignados,Correos_Gmail,"",0))),"",XLOOKUP($B60,Números_Asignados,Correos_Gmail,"",0))</f>
        <v>pedrolara.agro@gmail.com</v>
      </c>
      <c r="V60" s="5" t="str">
        <f t="array" ref="V60">IF(OR($B60="",ISBLANK(XLOOKUP($B60,Números_Asignados,Correos_Institucionales,"",0))),"",XLOOKUP($B60,Números_Asignados,Correos_Institucionales,"",0))</f>
        <v>pedro.garcia@agrocisa.com.mx</v>
      </c>
    </row>
    <row r="61" ht="15.75" customHeight="1">
      <c r="A61" s="5">
        <v>3.93100141E9</v>
      </c>
      <c r="B61" s="5">
        <v>3.93100141E9</v>
      </c>
      <c r="C61" s="5">
        <v>4.0</v>
      </c>
      <c r="D61" s="17">
        <v>599.0</v>
      </c>
      <c r="E61" s="5">
        <v>22.5</v>
      </c>
      <c r="F61" s="17" t="s">
        <v>780</v>
      </c>
      <c r="G61" s="23">
        <v>3.5736947721602E14</v>
      </c>
      <c r="H61" s="23" t="s">
        <v>901</v>
      </c>
      <c r="I61" s="5" t="s">
        <v>902</v>
      </c>
      <c r="J61" s="5" t="s">
        <v>776</v>
      </c>
      <c r="K61" s="23" t="s">
        <v>777</v>
      </c>
      <c r="L61" s="22" t="s">
        <v>778</v>
      </c>
      <c r="M61" s="39">
        <v>46137.0</v>
      </c>
      <c r="N61" s="22" t="s">
        <v>779</v>
      </c>
      <c r="O61" s="5"/>
      <c r="P61" s="38">
        <f t="array" ref="P61">XLOOKUP(F61,Lista_Equipos_2026,Precio_Equipos_2026," *** OJO *** ",0)</f>
        <v>10999</v>
      </c>
      <c r="Q61" s="5" t="str">
        <f t="array" ref="Q61">IF(OR($B61="",ISBLANK(XLOOKUP($B61,Números_Asignados,Nombres_Directorio,"",0))),"",XLOOKUP($B61,Números_Asignados,Nombres_Directorio,"",0))</f>
        <v>Raúl Arzate Ortíz</v>
      </c>
      <c r="R61" s="5" t="str">
        <f t="array" ref="R61">IF(OR($B61="",ISBLANK(XLOOKUP($B61,Números_Asignados,Sucursal_Asignada,"",0))),"",XLOOKUP($B61,Números_Asignados,Sucursal_Asignada,"",0))</f>
        <v>Corporativo</v>
      </c>
      <c r="S61" s="5" t="str">
        <f t="array" ref="S61">IF(OR($B61="",ISBLANK(XLOOKUP($B61,Números_Asignados,Departamento_Asignado,"",0))),"",XLOOKUP($B61,Números_Asignados,Departamento_Asignado,"",0))</f>
        <v>Refacciones</v>
      </c>
      <c r="T61" s="5" t="str">
        <f t="array" ref="T61">IF(OR($B61="",ISBLANK(XLOOKUP($B61,Números_Asignados,Puesto_Asignado,"",0))),"",XLOOKUP($B61,Números_Asignados,Puesto_Asignado,"",0))</f>
        <v>Asesor de Refacciones Campo</v>
      </c>
      <c r="U61" s="5" t="str">
        <f t="array" ref="U61">IF(OR($B61="",ISBLANK(XLOOKUP($B61,Números_Asignados,Correos_Gmail,"",0))),"",XLOOKUP($B61,Números_Asignados,Correos_Gmail,"",0))</f>
        <v>raarzate.agro@gmail.com</v>
      </c>
      <c r="V61" s="5" t="str">
        <f t="array" ref="V61">IF(OR($B61="",ISBLANK(XLOOKUP($B61,Números_Asignados,Correos_Institucionales,"",0))),"",XLOOKUP($B61,Números_Asignados,Correos_Institucionales,"",0))</f>
        <v>raul.arzate@agrocisa.com.mx</v>
      </c>
    </row>
    <row r="62" ht="15.75" customHeight="1">
      <c r="A62" s="5">
        <v>3.921006351E9</v>
      </c>
      <c r="B62" s="5">
        <v>3.921006351E9</v>
      </c>
      <c r="C62" s="5">
        <v>4.0</v>
      </c>
      <c r="D62" s="17">
        <v>599.0</v>
      </c>
      <c r="E62" s="5">
        <v>22.5</v>
      </c>
      <c r="F62" s="17" t="s">
        <v>780</v>
      </c>
      <c r="G62" s="23">
        <v>3.57369477215899E14</v>
      </c>
      <c r="H62" s="23" t="s">
        <v>903</v>
      </c>
      <c r="I62" s="5" t="s">
        <v>904</v>
      </c>
      <c r="J62" s="23" t="s">
        <v>776</v>
      </c>
      <c r="K62" s="23" t="s">
        <v>777</v>
      </c>
      <c r="L62" s="22" t="s">
        <v>778</v>
      </c>
      <c r="M62" s="39">
        <v>46142.0</v>
      </c>
      <c r="N62" s="22" t="s">
        <v>779</v>
      </c>
      <c r="O62" s="5"/>
      <c r="P62" s="38">
        <f t="array" ref="P62">XLOOKUP(F62,Lista_Equipos_2026,Precio_Equipos_2026," *** OJO *** ",0)</f>
        <v>10999</v>
      </c>
      <c r="Q62" s="5" t="str">
        <f t="array" ref="Q62">IF(OR($B62="",ISBLANK(XLOOKUP($B62,Números_Asignados,Nombres_Directorio,"",0))),"",XLOOKUP($B62,Números_Asignados,Nombres_Directorio,"",0))</f>
        <v/>
      </c>
      <c r="R62" s="5" t="str">
        <f t="array" ref="R62">IF(OR($B62="",ISBLANK(XLOOKUP($B62,Números_Asignados,Sucursal_Asignada,"",0))),"",XLOOKUP($B62,Números_Asignados,Sucursal_Asignada,"",0))</f>
        <v/>
      </c>
      <c r="S62" s="5" t="str">
        <f t="array" ref="S62">IF(OR($B62="",ISBLANK(XLOOKUP($B62,Números_Asignados,Departamento_Asignado,"",0))),"",XLOOKUP($B62,Números_Asignados,Departamento_Asignado,"",0))</f>
        <v/>
      </c>
      <c r="T62" s="5" t="str">
        <f t="array" ref="T62">IF(OR($B62="",ISBLANK(XLOOKUP($B62,Números_Asignados,Puesto_Asignado,"",0))),"",XLOOKUP($B62,Números_Asignados,Puesto_Asignado,"",0))</f>
        <v/>
      </c>
      <c r="U62" s="5" t="str">
        <f t="array" ref="U62">IF(OR($B62="",ISBLANK(XLOOKUP($B62,Números_Asignados,Correos_Gmail,"",0))),"",XLOOKUP($B62,Números_Asignados,Correos_Gmail,"",0))</f>
        <v/>
      </c>
      <c r="V62" s="5" t="str">
        <f t="array" ref="V62">IF(OR($B62="",ISBLANK(XLOOKUP($B62,Números_Asignados,Correos_Institucionales,"",0))),"",XLOOKUP($B62,Números_Asignados,Correos_Institucionales,"",0))</f>
        <v/>
      </c>
    </row>
    <row r="63" ht="15.75" customHeight="1">
      <c r="A63" s="5">
        <v>7.531200508E9</v>
      </c>
      <c r="B63" s="5">
        <v>7.531200508E9</v>
      </c>
      <c r="C63" s="5">
        <v>1.0</v>
      </c>
      <c r="D63" s="17">
        <v>269.0</v>
      </c>
      <c r="E63" s="5">
        <v>9.0</v>
      </c>
      <c r="F63" s="17" t="s">
        <v>780</v>
      </c>
      <c r="G63" s="23">
        <v>3.52010505764269E14</v>
      </c>
      <c r="H63" s="5" t="s">
        <v>905</v>
      </c>
      <c r="I63" s="5" t="s">
        <v>906</v>
      </c>
      <c r="J63" s="5" t="s">
        <v>776</v>
      </c>
      <c r="K63" s="5" t="s">
        <v>777</v>
      </c>
      <c r="L63" s="22" t="s">
        <v>778</v>
      </c>
      <c r="M63" s="39">
        <v>46134.0</v>
      </c>
      <c r="N63" s="22" t="s">
        <v>779</v>
      </c>
      <c r="O63" s="5"/>
      <c r="P63" s="38">
        <f t="array" ref="P63">XLOOKUP(F63,Lista_Equipos_2026,Precio_Equipos_2026," *** OJO *** ",0)</f>
        <v>10999</v>
      </c>
      <c r="Q63" s="5" t="str">
        <f t="array" ref="Q63">IF(OR($B63="",ISBLANK(XLOOKUP($B63,Números_Asignados,Nombres_Directorio,"",0))),"",XLOOKUP($B63,Números_Asignados,Nombres_Directorio,"",0))</f>
        <v>Félix Antonio Román Becerra</v>
      </c>
      <c r="R63" s="5" t="str">
        <f t="array" ref="R63">IF(OR($B63="",ISBLANK(XLOOKUP($B63,Números_Asignados,Sucursal_Asignada,"",0))),"",XLOOKUP($B63,Números_Asignados,Sucursal_Asignada,"",0))</f>
        <v>Corporativo</v>
      </c>
      <c r="S63" s="5" t="str">
        <f t="array" ref="S63">IF(OR($B63="",ISBLANK(XLOOKUP($B63,Números_Asignados,Departamento_Asignado,"",0))),"",XLOOKUP($B63,Números_Asignados,Departamento_Asignado,"",0))</f>
        <v>Refacciones</v>
      </c>
      <c r="T63" s="5" t="str">
        <f t="array" ref="T63">IF(OR($B63="",ISBLANK(XLOOKUP($B63,Números_Asignados,Puesto_Asignado,"",0))),"",XLOOKUP($B63,Números_Asignados,Puesto_Asignado,"",0))</f>
        <v>Encargado de Refacciones Sucursal</v>
      </c>
      <c r="U63" s="5" t="str">
        <f t="array" ref="U63">IF(OR($B63="",ISBLANK(XLOOKUP($B63,Números_Asignados,Correos_Gmail,"",0))),"",XLOOKUP($B63,Números_Asignados,Correos_Gmail,"",0))</f>
        <v>felix.roman@agrocisa.com.mx</v>
      </c>
      <c r="V63" s="5" t="str">
        <f t="array" ref="V63">IF(OR($B63="",ISBLANK(XLOOKUP($B63,Números_Asignados,Correos_Institucionales,"",0))),"",XLOOKUP($B63,Números_Asignados,Correos_Institucionales,"",0))</f>
        <v>felix.roman@agrocisa.com.mx</v>
      </c>
    </row>
    <row r="64" ht="15.75" customHeight="1">
      <c r="A64" s="5">
        <v>3.781868863E9</v>
      </c>
      <c r="B64" s="40">
        <v>3.93119646E9</v>
      </c>
      <c r="C64" s="5">
        <v>4.0</v>
      </c>
      <c r="D64" s="17">
        <v>599.0</v>
      </c>
      <c r="E64" s="5">
        <v>22.5</v>
      </c>
      <c r="F64" s="17" t="s">
        <v>785</v>
      </c>
      <c r="G64" s="23">
        <v>3.52242801086259E14</v>
      </c>
      <c r="H64" s="23" t="s">
        <v>907</v>
      </c>
      <c r="I64" s="5" t="s">
        <v>908</v>
      </c>
      <c r="J64" s="5" t="s">
        <v>776</v>
      </c>
      <c r="K64" s="23" t="s">
        <v>777</v>
      </c>
      <c r="L64" s="22" t="s">
        <v>778</v>
      </c>
      <c r="M64" s="37">
        <v>46128.0</v>
      </c>
      <c r="N64" s="22" t="s">
        <v>779</v>
      </c>
      <c r="O64" s="5" t="s">
        <v>909</v>
      </c>
      <c r="P64" s="38">
        <f t="array" ref="P64">XLOOKUP(F64,Lista_Equipos_2026,Precio_Equipos_2026," *** OJO *** ",0)</f>
        <v>15499</v>
      </c>
      <c r="Q64" s="5" t="str">
        <f t="array" ref="Q64">IF(OR($B64="",ISBLANK(XLOOKUP($B64,Números_Asignados,Nombres_Directorio,"",0))),"",XLOOKUP($B64,Números_Asignados,Nombres_Directorio,"",0))</f>
        <v>Abraham Octavio García Sahagún</v>
      </c>
      <c r="R64" s="5" t="str">
        <f t="array" ref="R64">IF(OR($B64="",ISBLANK(XLOOKUP($B64,Números_Asignados,Sucursal_Asignada,"",0))),"",XLOOKUP($B64,Números_Asignados,Sucursal_Asignada,"",0))</f>
        <v>Corporativo</v>
      </c>
      <c r="S64" s="5" t="str">
        <f t="array" ref="S64">IF(OR($B64="",ISBLANK(XLOOKUP($B64,Números_Asignados,Departamento_Asignado,"",0))),"",XLOOKUP($B64,Números_Asignados,Departamento_Asignado,"",0))</f>
        <v>Refacciones</v>
      </c>
      <c r="T64" s="5" t="str">
        <f t="array" ref="T64">IF(OR($B64="",ISBLANK(XLOOKUP($B64,Números_Asignados,Puesto_Asignado,"",0))),"",XLOOKUP($B64,Números_Asignados,Puesto_Asignado,"",0))</f>
        <v>Jefe de Refacciones</v>
      </c>
      <c r="U64" s="5" t="str">
        <f t="array" ref="U64">IF(OR($B64="",ISBLANK(XLOOKUP($B64,Números_Asignados,Correos_Gmail,"",0))),"",XLOOKUP($B64,Números_Asignados,Correos_Gmail,"",0))</f>
        <v>refalabarca.agro@gmail.com</v>
      </c>
      <c r="V64" s="5" t="str">
        <f t="array" ref="V64">IF(OR($B64="",ISBLANK(XLOOKUP($B64,Números_Asignados,Correos_Institucionales,"",0))),"",XLOOKUP($B64,Números_Asignados,Correos_Institucionales,"",0))</f>
        <v>abraham.garcia@agrocisa.com.mx</v>
      </c>
    </row>
    <row r="65" ht="15.75" customHeight="1">
      <c r="A65" s="5">
        <v>3.316094471E9</v>
      </c>
      <c r="B65" s="5">
        <v>3.316094471E9</v>
      </c>
      <c r="C65" s="5">
        <v>1.0</v>
      </c>
      <c r="D65" s="17">
        <v>269.0</v>
      </c>
      <c r="E65" s="5">
        <v>9.0</v>
      </c>
      <c r="F65" s="17" t="s">
        <v>780</v>
      </c>
      <c r="G65" s="23">
        <v>3.57369477203846E14</v>
      </c>
      <c r="H65" s="23" t="s">
        <v>910</v>
      </c>
      <c r="I65" s="5" t="s">
        <v>911</v>
      </c>
      <c r="J65" s="5" t="s">
        <v>776</v>
      </c>
      <c r="K65" s="23" t="s">
        <v>777</v>
      </c>
      <c r="L65" s="22" t="s">
        <v>778</v>
      </c>
      <c r="M65" s="39">
        <v>46136.0</v>
      </c>
      <c r="N65" s="22" t="s">
        <v>779</v>
      </c>
      <c r="O65" s="5"/>
      <c r="P65" s="38">
        <f t="array" ref="P65">XLOOKUP(F65,Lista_Equipos_2026,Precio_Equipos_2026," *** OJO *** ",0)</f>
        <v>10999</v>
      </c>
      <c r="Q65" s="46" t="str">
        <f t="array" ref="Q65">IF(OR($B65="",ISBLANK(XLOOKUP($B65,Números_Asignados,Nombres_Directorio,"",0))),"",XLOOKUP($B65,Números_Asignados,Nombres_Directorio,"",0))</f>
        <v>Andrea Becerra Cisneros</v>
      </c>
      <c r="R65" s="5" t="str">
        <f t="array" ref="R65">IF(OR($B65="",ISBLANK(XLOOKUP($B65,Números_Asignados,Sucursal_Asignada,"",0))),"",XLOOKUP($B65,Números_Asignados,Sucursal_Asignada,"",0))</f>
        <v>Corporativo</v>
      </c>
      <c r="S65" s="5" t="str">
        <f t="array" ref="S65">IF(OR($B65="",ISBLANK(XLOOKUP($B65,Números_Asignados,Departamento_Asignado,"",0))),"",XLOOKUP($B65,Números_Asignados,Departamento_Asignado,"",0))</f>
        <v>Servicio</v>
      </c>
      <c r="T65" s="5" t="str">
        <f t="array" ref="T65">IF(OR($B65="",ISBLANK(XLOOKUP($B65,Números_Asignados,Puesto_Asignado,"",0))),"",XLOOKUP($B65,Números_Asignados,Puesto_Asignado,"",0))</f>
        <v>Auxiliar Administrativo</v>
      </c>
      <c r="U65" s="5" t="str">
        <f t="array" ref="U65">IF(OR($B65="",ISBLANK(XLOOKUP($B65,Números_Asignados,Correos_Gmail,"",0))),"",XLOOKUP($B65,Números_Asignados,Correos_Gmail,"",0))</f>
        <v>serviciolabarca@agrocisa.com.mx</v>
      </c>
      <c r="V65" s="5" t="str">
        <f t="array" ref="V65">IF(OR($B65="",ISBLANK(XLOOKUP($B65,Números_Asignados,Correos_Institucionales,"",0))),"",XLOOKUP($B65,Números_Asignados,Correos_Institucionales,"",0))</f>
        <v>serviciolabarca@agrocisa.com.mx</v>
      </c>
    </row>
    <row r="66" ht="15.75" customHeight="1">
      <c r="A66" s="5">
        <v>3.931078005E9</v>
      </c>
      <c r="B66" s="5">
        <v>3.931078005E9</v>
      </c>
      <c r="C66" s="5">
        <v>4.0</v>
      </c>
      <c r="D66" s="17">
        <v>599.0</v>
      </c>
      <c r="E66" s="5">
        <v>22.5</v>
      </c>
      <c r="F66" s="17" t="s">
        <v>780</v>
      </c>
      <c r="G66" s="23">
        <v>3.57369477218885E14</v>
      </c>
      <c r="H66" s="23" t="s">
        <v>912</v>
      </c>
      <c r="I66" s="5" t="s">
        <v>913</v>
      </c>
      <c r="J66" s="5" t="s">
        <v>776</v>
      </c>
      <c r="K66" s="23" t="s">
        <v>777</v>
      </c>
      <c r="L66" s="22" t="s">
        <v>778</v>
      </c>
      <c r="M66" s="39">
        <v>46140.0</v>
      </c>
      <c r="N66" s="22" t="s">
        <v>779</v>
      </c>
      <c r="O66" s="5"/>
      <c r="P66" s="38">
        <f t="array" ref="P66">XLOOKUP(F66,Lista_Equipos_2026,Precio_Equipos_2026," *** OJO *** ",0)</f>
        <v>10999</v>
      </c>
      <c r="Q66" s="5" t="str">
        <f t="array" ref="Q66">IF(OR($B66="",ISBLANK(XLOOKUP($B66,Números_Asignados,Nombres_Directorio,"",0))),"",XLOOKUP($B66,Números_Asignados,Nombres_Directorio,"",0))</f>
        <v>Luis Enrique Nuñez Nuñez</v>
      </c>
      <c r="R66" s="5" t="str">
        <f t="array" ref="R66">IF(OR($B66="",ISBLANK(XLOOKUP($B66,Números_Asignados,Sucursal_Asignada,"",0))),"",XLOOKUP($B66,Números_Asignados,Sucursal_Asignada,"",0))</f>
        <v>Corporativo</v>
      </c>
      <c r="S66" s="5" t="str">
        <f t="array" ref="S66">IF(OR($B66="",ISBLANK(XLOOKUP($B66,Números_Asignados,Departamento_Asignado,"",0))),"",XLOOKUP($B66,Números_Asignados,Departamento_Asignado,"",0))</f>
        <v>Servicio</v>
      </c>
      <c r="T66" s="5" t="str">
        <f t="array" ref="T66">IF(OR($B66="",ISBLANK(XLOOKUP($B66,Números_Asignados,Puesto_Asignado,"",0))),"",XLOOKUP($B66,Números_Asignados,Puesto_Asignado,"",0))</f>
        <v>Jefe de Taller</v>
      </c>
      <c r="U66" s="5" t="str">
        <f t="array" ref="U66">IF(OR($B66="",ISBLANK(XLOOKUP($B66,Números_Asignados,Correos_Gmail,"",0))),"",XLOOKUP($B66,Números_Asignados,Correos_Gmail,"",0))</f>
        <v>luisnunez.agro@gmail.com</v>
      </c>
      <c r="V66" s="5" t="str">
        <f t="array" ref="V66">IF(OR($B66="",ISBLANK(XLOOKUP($B66,Números_Asignados,Correos_Institucionales,"",0))),"",XLOOKUP($B66,Números_Asignados,Correos_Institucionales,"",0))</f>
        <v>tallerlabarca@agrocisa.com.mx</v>
      </c>
    </row>
    <row r="67" ht="15.75" customHeight="1">
      <c r="A67" s="5">
        <v>3.31609388E9</v>
      </c>
      <c r="B67" s="5">
        <v>3.31609388E9</v>
      </c>
      <c r="C67" s="5">
        <v>4.0</v>
      </c>
      <c r="D67" s="17">
        <v>599.0</v>
      </c>
      <c r="E67" s="5">
        <v>22.5</v>
      </c>
      <c r="F67" s="17" t="s">
        <v>780</v>
      </c>
      <c r="G67" s="23">
        <v>3.57369477237521E14</v>
      </c>
      <c r="H67" s="23" t="s">
        <v>914</v>
      </c>
      <c r="I67" s="5" t="s">
        <v>915</v>
      </c>
      <c r="J67" s="5" t="s">
        <v>776</v>
      </c>
      <c r="K67" s="5" t="s">
        <v>777</v>
      </c>
      <c r="L67" s="22" t="s">
        <v>778</v>
      </c>
      <c r="M67" s="39">
        <v>46142.0</v>
      </c>
      <c r="N67" s="22" t="s">
        <v>779</v>
      </c>
      <c r="O67" s="5"/>
      <c r="P67" s="38">
        <f t="array" ref="P67">XLOOKUP(F67,Lista_Equipos_2026,Precio_Equipos_2026," *** OJO *** ",0)</f>
        <v>10999</v>
      </c>
      <c r="Q67" s="5" t="str">
        <f t="array" ref="Q67">IF(OR($B67="",ISBLANK(XLOOKUP($B67,Números_Asignados,Nombres_Directorio,"",0))),"",XLOOKUP($B67,Números_Asignados,Nombres_Directorio,"",0))</f>
        <v>Jaime García García</v>
      </c>
      <c r="R67" s="5" t="str">
        <f t="array" ref="R67">IF(OR($B67="",ISBLANK(XLOOKUP($B67,Números_Asignados,Sucursal_Asignada,"",0))),"",XLOOKUP($B67,Números_Asignados,Sucursal_Asignada,"",0))</f>
        <v>Corporativo</v>
      </c>
      <c r="S67" s="5" t="str">
        <f t="array" ref="S67">IF(OR($B67="",ISBLANK(XLOOKUP($B67,Números_Asignados,Departamento_Asignado,"",0))),"",XLOOKUP($B67,Números_Asignados,Departamento_Asignado,"",0))</f>
        <v>Servicio</v>
      </c>
      <c r="T67" s="5" t="str">
        <f t="array" ref="T67">IF(OR($B67="",ISBLANK(XLOOKUP($B67,Números_Asignados,Puesto_Asignado,"",0))),"",XLOOKUP($B67,Números_Asignados,Puesto_Asignado,"",0))</f>
        <v>Jefe de Técnicos</v>
      </c>
      <c r="U67" s="5" t="str">
        <f t="array" ref="U67">IF(OR($B67="",ISBLANK(XLOOKUP($B67,Números_Asignados,Correos_Gmail,"",0))),"",XLOOKUP($B67,Números_Asignados,Correos_Gmail,"",0))</f>
        <v>jggarcia.agro@gmail.com</v>
      </c>
      <c r="V67" s="5" t="str">
        <f t="array" ref="V67">IF(OR($B67="",ISBLANK(XLOOKUP($B67,Números_Asignados,Correos_Institucionales,"",0))),"",XLOOKUP($B67,Números_Asignados,Correos_Institucionales,"",0))</f>
        <v/>
      </c>
    </row>
    <row r="68" ht="15.75" customHeight="1">
      <c r="A68" s="5">
        <v>3.337194504E9</v>
      </c>
      <c r="B68" s="5">
        <v>3.337194504E9</v>
      </c>
      <c r="C68" s="5">
        <v>4.0</v>
      </c>
      <c r="D68" s="17">
        <v>599.0</v>
      </c>
      <c r="E68" s="5">
        <v>22.5</v>
      </c>
      <c r="F68" s="17" t="s">
        <v>780</v>
      </c>
      <c r="G68" s="23">
        <v>3.57369477209645E14</v>
      </c>
      <c r="H68" s="23" t="s">
        <v>916</v>
      </c>
      <c r="I68" s="5" t="s">
        <v>917</v>
      </c>
      <c r="J68" s="5" t="s">
        <v>776</v>
      </c>
      <c r="K68" s="23" t="s">
        <v>777</v>
      </c>
      <c r="L68" s="22" t="s">
        <v>778</v>
      </c>
      <c r="M68" s="39">
        <v>46142.0</v>
      </c>
      <c r="N68" s="22" t="s">
        <v>779</v>
      </c>
      <c r="O68" s="5"/>
      <c r="P68" s="38">
        <f t="array" ref="P68">XLOOKUP(F68,Lista_Equipos_2026,Precio_Equipos_2026," *** OJO *** ",0)</f>
        <v>10999</v>
      </c>
      <c r="Q68" s="5" t="str">
        <f t="array" ref="Q68">IF(OR($B68="",ISBLANK(XLOOKUP($B68,Números_Asignados,Nombres_Directorio,"",0))),"",XLOOKUP($B68,Números_Asignados,Nombres_Directorio,"",0))</f>
        <v>Antonio López Silva</v>
      </c>
      <c r="R68" s="5" t="str">
        <f t="array" ref="R68">IF(OR($B68="",ISBLANK(XLOOKUP($B68,Números_Asignados,Sucursal_Asignada,"",0))),"",XLOOKUP($B68,Números_Asignados,Sucursal_Asignada,"",0))</f>
        <v>Corporativo</v>
      </c>
      <c r="S68" s="5" t="str">
        <f t="array" ref="S68">IF(OR($B68="",ISBLANK(XLOOKUP($B68,Números_Asignados,Departamento_Asignado,"",0))),"",XLOOKUP($B68,Números_Asignados,Departamento_Asignado,"",0))</f>
        <v>Servicio</v>
      </c>
      <c r="T68" s="5" t="str">
        <f t="array" ref="T68">IF(OR($B68="",ISBLANK(XLOOKUP($B68,Números_Asignados,Puesto_Asignado,"",0))),"",XLOOKUP($B68,Números_Asignados,Puesto_Asignado,"",0))</f>
        <v>Jefe Maquinaria Gama Alta</v>
      </c>
      <c r="U68" s="5" t="str">
        <f t="array" ref="U68">IF(OR($B68="",ISBLANK(XLOOKUP($B68,Números_Asignados,Correos_Gmail,"",0))),"",XLOOKUP($B68,Números_Asignados,Correos_Gmail,"",0))</f>
        <v>alopezsilva.agro@gmail.com</v>
      </c>
      <c r="V68" s="5" t="str">
        <f t="array" ref="V68">IF(OR($B68="",ISBLANK(XLOOKUP($B68,Números_Asignados,Correos_Institucionales,"",0))),"",XLOOKUP($B68,Números_Asignados,Correos_Institucionales,"",0))</f>
        <v>antonio.lopez@agrocisa.com.mx</v>
      </c>
    </row>
    <row r="69" ht="15.75" customHeight="1">
      <c r="A69" s="5">
        <v>3.93106444E9</v>
      </c>
      <c r="B69" s="5">
        <v>3.93106444E9</v>
      </c>
      <c r="C69" s="5">
        <v>4.0</v>
      </c>
      <c r="D69" s="17">
        <v>599.0</v>
      </c>
      <c r="E69" s="5">
        <v>22.5</v>
      </c>
      <c r="F69" s="17" t="s">
        <v>785</v>
      </c>
      <c r="G69" s="23">
        <v>3.52242801086333E14</v>
      </c>
      <c r="H69" s="23" t="s">
        <v>918</v>
      </c>
      <c r="I69" s="5" t="s">
        <v>919</v>
      </c>
      <c r="J69" s="5" t="s">
        <v>776</v>
      </c>
      <c r="K69" s="23" t="s">
        <v>777</v>
      </c>
      <c r="L69" s="22" t="s">
        <v>778</v>
      </c>
      <c r="M69" s="39">
        <v>46137.0</v>
      </c>
      <c r="N69" s="22" t="s">
        <v>779</v>
      </c>
      <c r="O69" s="5"/>
      <c r="P69" s="38">
        <f t="array" ref="P69">XLOOKUP(F69,Lista_Equipos_2026,Precio_Equipos_2026," *** OJO *** ",0)</f>
        <v>15499</v>
      </c>
      <c r="Q69" s="5" t="str">
        <f t="array" ref="Q69">IF(OR($B69="",ISBLANK(XLOOKUP($B69,Números_Asignados,Nombres_Directorio,"",0))),"",XLOOKUP($B69,Números_Asignados,Nombres_Directorio,"",0))</f>
        <v>J. Jesús Velazco</v>
      </c>
      <c r="R69" s="5" t="str">
        <f t="array" ref="R69">IF(OR($B69="",ISBLANK(XLOOKUP($B69,Números_Asignados,Sucursal_Asignada,"",0))),"",XLOOKUP($B69,Números_Asignados,Sucursal_Asignada,"",0))</f>
        <v>Corporativo</v>
      </c>
      <c r="S69" s="5" t="str">
        <f t="array" ref="S69">IF(OR($B69="",ISBLANK(XLOOKUP($B69,Números_Asignados,Departamento_Asignado,"",0))),"",XLOOKUP($B69,Números_Asignados,Departamento_Asignado,"",0))</f>
        <v>Servicio</v>
      </c>
      <c r="T69" s="5" t="str">
        <f t="array" ref="T69">IF(OR($B69="",ISBLANK(XLOOKUP($B69,Números_Asignados,Puesto_Asignado,"",0))),"",XLOOKUP($B69,Números_Asignados,Puesto_Asignado,"",0))</f>
        <v>Jefe Operativo</v>
      </c>
      <c r="U69" s="5" t="str">
        <f t="array" ref="U69">IF(OR($B69="",ISBLANK(XLOOKUP($B69,Números_Asignados,Correos_Gmail,"",0))),"",XLOOKUP($B69,Números_Asignados,Correos_Gmail,"",0))</f>
        <v>jvelazco.agro@gmail.com</v>
      </c>
      <c r="V69" s="5" t="str">
        <f t="array" ref="V69">IF(OR($B69="",ISBLANK(XLOOKUP($B69,Números_Asignados,Correos_Institucionales,"",0))),"",XLOOKUP($B69,Números_Asignados,Correos_Institucionales,"",0))</f>
        <v>jesus.velazco@agrocisa.com.mx</v>
      </c>
    </row>
    <row r="70" ht="15.75" customHeight="1">
      <c r="A70" s="5">
        <v>3.931079811E9</v>
      </c>
      <c r="B70" s="5">
        <v>3.931079811E9</v>
      </c>
      <c r="C70" s="5">
        <v>4.0</v>
      </c>
      <c r="D70" s="17">
        <v>599.0</v>
      </c>
      <c r="E70" s="5">
        <v>22.5</v>
      </c>
      <c r="F70" s="17" t="s">
        <v>780</v>
      </c>
      <c r="G70" s="23">
        <v>3.57369477218984E14</v>
      </c>
      <c r="H70" s="23" t="s">
        <v>920</v>
      </c>
      <c r="I70" s="5" t="s">
        <v>921</v>
      </c>
      <c r="J70" s="5" t="s">
        <v>776</v>
      </c>
      <c r="K70" s="23" t="s">
        <v>777</v>
      </c>
      <c r="L70" s="22" t="s">
        <v>778</v>
      </c>
      <c r="M70" s="39">
        <v>46139.0</v>
      </c>
      <c r="N70" s="22" t="s">
        <v>779</v>
      </c>
      <c r="O70" s="5"/>
      <c r="P70" s="38">
        <f t="array" ref="P70">XLOOKUP(F70,Lista_Equipos_2026,Precio_Equipos_2026," *** OJO *** ",0)</f>
        <v>10999</v>
      </c>
      <c r="Q70" s="5" t="str">
        <f t="array" ref="Q70">IF(OR($B70="",ISBLANK(XLOOKUP($B70,Números_Asignados,Nombres_Directorio,"",0))),"",XLOOKUP($B70,Números_Asignados,Nombres_Directorio,"",0))</f>
        <v>Andrés García García</v>
      </c>
      <c r="R70" s="5" t="str">
        <f t="array" ref="R70">IF(OR($B70="",ISBLANK(XLOOKUP($B70,Números_Asignados,Sucursal_Asignada,"",0))),"",XLOOKUP($B70,Números_Asignados,Sucursal_Asignada,"",0))</f>
        <v>Corporativo</v>
      </c>
      <c r="S70" s="5" t="str">
        <f t="array" ref="S70">IF(OR($B70="",ISBLANK(XLOOKUP($B70,Números_Asignados,Departamento_Asignado,"",0))),"",XLOOKUP($B70,Números_Asignados,Departamento_Asignado,"",0))</f>
        <v>Servicio</v>
      </c>
      <c r="T70" s="5" t="str">
        <f t="array" ref="T70">IF(OR($B70="",ISBLANK(XLOOKUP($B70,Números_Asignados,Puesto_Asignado,"",0))),"",XLOOKUP($B70,Números_Asignados,Puesto_Asignado,"",0))</f>
        <v>Técnico</v>
      </c>
      <c r="U70" s="5" t="str">
        <f t="array" ref="U70">IF(OR($B70="",ISBLANK(XLOOKUP($B70,Números_Asignados,Correos_Gmail,"",0))),"",XLOOKUP($B70,Números_Asignados,Correos_Gmail,"",0))</f>
        <v>andresgarcia.agro@gmail.com</v>
      </c>
      <c r="V70" s="5" t="str">
        <f t="array" ref="V70">IF(OR($B70="",ISBLANK(XLOOKUP($B70,Números_Asignados,Correos_Institucionales,"",0))),"",XLOOKUP($B70,Números_Asignados,Correos_Institucionales,"",0))</f>
        <v>andres.garcia@agrocisa.com.mx</v>
      </c>
    </row>
    <row r="71" ht="15.75" customHeight="1">
      <c r="A71" s="5">
        <v>3.931073736E9</v>
      </c>
      <c r="B71" s="5">
        <v>3.931073736E9</v>
      </c>
      <c r="C71" s="5">
        <v>4.0</v>
      </c>
      <c r="D71" s="17">
        <v>599.0</v>
      </c>
      <c r="E71" s="5">
        <v>22.5</v>
      </c>
      <c r="F71" s="17" t="s">
        <v>780</v>
      </c>
      <c r="G71" s="23">
        <v>3.57369477217283E14</v>
      </c>
      <c r="H71" s="23" t="s">
        <v>922</v>
      </c>
      <c r="I71" s="5" t="s">
        <v>923</v>
      </c>
      <c r="J71" s="5" t="s">
        <v>776</v>
      </c>
      <c r="K71" s="23" t="s">
        <v>777</v>
      </c>
      <c r="L71" s="22" t="s">
        <v>778</v>
      </c>
      <c r="M71" s="39">
        <v>46137.0</v>
      </c>
      <c r="N71" s="22" t="s">
        <v>779</v>
      </c>
      <c r="O71" s="5"/>
      <c r="P71" s="38">
        <f t="array" ref="P71">XLOOKUP(F71,Lista_Equipos_2026,Precio_Equipos_2026," *** OJO *** ",0)</f>
        <v>10999</v>
      </c>
      <c r="Q71" s="5" t="str">
        <f t="array" ref="Q71">IF(OR($B71="",ISBLANK(XLOOKUP($B71,Números_Asignados,Nombres_Directorio,"",0))),"",XLOOKUP($B71,Números_Asignados,Nombres_Directorio,"",0))</f>
        <v>Jesús Eduardo Guerrero Zuñiga</v>
      </c>
      <c r="R71" s="5" t="str">
        <f t="array" ref="R71">IF(OR($B71="",ISBLANK(XLOOKUP($B71,Números_Asignados,Sucursal_Asignada,"",0))),"",XLOOKUP($B71,Números_Asignados,Sucursal_Asignada,"",0))</f>
        <v>Corporativo</v>
      </c>
      <c r="S71" s="5" t="str">
        <f t="array" ref="S71">IF(OR($B71="",ISBLANK(XLOOKUP($B71,Números_Asignados,Departamento_Asignado,"",0))),"",XLOOKUP($B71,Números_Asignados,Departamento_Asignado,"",0))</f>
        <v>Servicio</v>
      </c>
      <c r="T71" s="5" t="str">
        <f t="array" ref="T71">IF(OR($B71="",ISBLANK(XLOOKUP($B71,Números_Asignados,Puesto_Asignado,"",0))),"",XLOOKUP($B71,Números_Asignados,Puesto_Asignado,"",0))</f>
        <v>Técnico</v>
      </c>
      <c r="U71" s="5" t="str">
        <f t="array" ref="U71">IF(OR($B71="",ISBLANK(XLOOKUP($B71,Números_Asignados,Correos_Gmail,"",0))),"",XLOOKUP($B71,Números_Asignados,Correos_Gmail,"",0))</f>
        <v>jeguerrero.agro@gmail.com</v>
      </c>
      <c r="V71" s="5" t="str">
        <f t="array" ref="V71">IF(OR($B71="",ISBLANK(XLOOKUP($B71,Números_Asignados,Correos_Institucionales,"",0))),"",XLOOKUP($B71,Números_Asignados,Correos_Institucionales,"",0))</f>
        <v>jesus.guerrero@agrocisa.com.mx</v>
      </c>
    </row>
    <row r="72" ht="15.75" customHeight="1">
      <c r="A72" s="5">
        <v>3.931078067E9</v>
      </c>
      <c r="B72" s="5">
        <v>3.931078067E9</v>
      </c>
      <c r="C72" s="5">
        <v>1.0</v>
      </c>
      <c r="D72" s="17">
        <v>269.0</v>
      </c>
      <c r="E72" s="5">
        <v>9.0</v>
      </c>
      <c r="F72" s="17" t="s">
        <v>780</v>
      </c>
      <c r="G72" s="23">
        <v>3.52010505756513E14</v>
      </c>
      <c r="H72" s="23" t="s">
        <v>924</v>
      </c>
      <c r="I72" s="5" t="s">
        <v>925</v>
      </c>
      <c r="J72" s="5" t="s">
        <v>776</v>
      </c>
      <c r="K72" s="23" t="s">
        <v>777</v>
      </c>
      <c r="L72" s="22" t="s">
        <v>778</v>
      </c>
      <c r="M72" s="37">
        <v>46128.0</v>
      </c>
      <c r="N72" s="22" t="s">
        <v>779</v>
      </c>
      <c r="O72" s="5"/>
      <c r="P72" s="38">
        <f t="array" ref="P72">XLOOKUP(F72,Lista_Equipos_2026,Precio_Equipos_2026," *** OJO *** ",0)</f>
        <v>10999</v>
      </c>
      <c r="Q72" s="5" t="str">
        <f t="array" ref="Q72">IF(OR($B72="",ISBLANK(XLOOKUP($B72,Números_Asignados,Nombres_Directorio,"",0))),"",XLOOKUP($B72,Números_Asignados,Nombres_Directorio,"",0))</f>
        <v>Félix Eugenio Ávalos Hernández</v>
      </c>
      <c r="R72" s="5" t="str">
        <f t="array" ref="R72">IF(OR($B72="",ISBLANK(XLOOKUP($B72,Números_Asignados,Sucursal_Asignada,"",0))),"",XLOOKUP($B72,Números_Asignados,Sucursal_Asignada,"",0))</f>
        <v>Corporativo</v>
      </c>
      <c r="S72" s="5" t="str">
        <f t="array" ref="S72">IF(OR($B72="",ISBLANK(XLOOKUP($B72,Números_Asignados,Departamento_Asignado,"",0))),"",XLOOKUP($B72,Números_Asignados,Departamento_Asignado,"",0))</f>
        <v>Servicio</v>
      </c>
      <c r="T72" s="5" t="str">
        <f t="array" ref="T72">IF(OR($B72="",ISBLANK(XLOOKUP($B72,Números_Asignados,Puesto_Asignado,"",0))),"",XLOOKUP($B72,Números_Asignados,Puesto_Asignado,"",0))</f>
        <v>Telemetría</v>
      </c>
      <c r="U72" s="5" t="str">
        <f t="array" ref="U72">IF(OR($B72="",ISBLANK(XLOOKUP($B72,Números_Asignados,Correos_Gmail,"",0))),"",XLOOKUP($B72,Números_Asignados,Correos_Gmail,"",0))</f>
        <v>telematrix.agrocisa@gmail.com</v>
      </c>
      <c r="V72" s="5" t="str">
        <f t="array" ref="V72">IF(OR($B72="",ISBLANK(XLOOKUP($B72,Números_Asignados,Correos_Institucionales,"",0))),"",XLOOKUP($B72,Números_Asignados,Correos_Institucionales,"",0))</f>
        <v>telemetria@agrocisa.com.mx</v>
      </c>
    </row>
    <row r="73" ht="15.75" customHeight="1">
      <c r="A73" s="5">
        <v>3.781868859E9</v>
      </c>
      <c r="B73" s="5">
        <v>3.781868859E9</v>
      </c>
      <c r="C73" s="5">
        <v>4.0</v>
      </c>
      <c r="D73" s="17">
        <v>599.0</v>
      </c>
      <c r="E73" s="5">
        <v>22.5</v>
      </c>
      <c r="F73" s="17" t="s">
        <v>785</v>
      </c>
      <c r="G73" s="23">
        <v>3.52242801086119E14</v>
      </c>
      <c r="H73" s="23" t="s">
        <v>926</v>
      </c>
      <c r="I73" s="5" t="s">
        <v>927</v>
      </c>
      <c r="J73" s="5" t="s">
        <v>776</v>
      </c>
      <c r="K73" s="23" t="s">
        <v>777</v>
      </c>
      <c r="L73" s="22" t="s">
        <v>778</v>
      </c>
      <c r="M73" s="39">
        <v>46137.0</v>
      </c>
      <c r="N73" s="22" t="s">
        <v>779</v>
      </c>
      <c r="O73" s="5"/>
      <c r="P73" s="38">
        <f t="array" ref="P73">XLOOKUP(F73,Lista_Equipos_2026,Precio_Equipos_2026," *** OJO *** ",0)</f>
        <v>15499</v>
      </c>
      <c r="Q73" s="5" t="str">
        <f t="array" ref="Q73">IF(OR($B73="",ISBLANK(XLOOKUP($B73,Números_Asignados,Nombres_Directorio,"",0))),"",XLOOKUP($B73,Números_Asignados,Nombres_Directorio,"",0))</f>
        <v>Lucia Guadalupe Trujillo Rodríguez</v>
      </c>
      <c r="R73" s="5" t="str">
        <f t="array" ref="R73">IF(OR($B73="",ISBLANK(XLOOKUP($B73,Números_Asignados,Sucursal_Asignada,"",0))),"",XLOOKUP($B73,Números_Asignados,Sucursal_Asignada,"",0))</f>
        <v>Corporativo</v>
      </c>
      <c r="S73" s="5" t="str">
        <f t="array" ref="S73">IF(OR($B73="",ISBLANK(XLOOKUP($B73,Números_Asignados,Departamento_Asignado,"",0))),"",XLOOKUP($B73,Números_Asignados,Departamento_Asignado,"",0))</f>
        <v>Sistemas</v>
      </c>
      <c r="T73" s="5" t="str">
        <f t="array" ref="T73">IF(OR($B73="",ISBLANK(XLOOKUP($B73,Números_Asignados,Puesto_Asignado,"",0))),"",XLOOKUP($B73,Números_Asignados,Puesto_Asignado,"",0))</f>
        <v>Auxiliar de Sistemas</v>
      </c>
      <c r="U73" s="5" t="str">
        <f t="array" ref="U73">IF(OR($B73="",ISBLANK(XLOOKUP($B73,Números_Asignados,Correos_Gmail,"",0))),"",XLOOKUP($B73,Números_Asignados,Correos_Gmail,"",0))</f>
        <v>sistemas.agrocisa@gmail.com</v>
      </c>
      <c r="V73" s="5" t="str">
        <f t="array" ref="V73">IF(OR($B73="",ISBLANK(XLOOKUP($B73,Números_Asignados,Correos_Institucionales,"",0))),"",XLOOKUP($B73,Números_Asignados,Correos_Institucionales,"",0))</f>
        <v>sistemas@agrocisa.com.mx</v>
      </c>
    </row>
    <row r="74" ht="15.75" customHeight="1">
      <c r="A74" s="5">
        <v>4.691214464E9</v>
      </c>
      <c r="B74" s="40">
        <v>3.939332335E9</v>
      </c>
      <c r="C74" s="5">
        <v>5.0</v>
      </c>
      <c r="D74" s="17">
        <v>649.0</v>
      </c>
      <c r="E74" s="5">
        <v>45.0</v>
      </c>
      <c r="F74" s="17" t="s">
        <v>785</v>
      </c>
      <c r="G74" s="23">
        <v>3.52242800786099E14</v>
      </c>
      <c r="H74" s="5" t="s">
        <v>928</v>
      </c>
      <c r="I74" s="5" t="s">
        <v>929</v>
      </c>
      <c r="J74" s="5" t="s">
        <v>776</v>
      </c>
      <c r="K74" s="5" t="s">
        <v>777</v>
      </c>
      <c r="L74" s="22" t="s">
        <v>778</v>
      </c>
      <c r="M74" s="39">
        <v>46135.0</v>
      </c>
      <c r="N74" s="22" t="s">
        <v>779</v>
      </c>
      <c r="O74" s="5"/>
      <c r="P74" s="38">
        <f t="array" ref="P74">XLOOKUP(F74,Lista_Equipos_2026,Precio_Equipos_2026," *** OJO *** ",0)</f>
        <v>15499</v>
      </c>
      <c r="Q74" s="5" t="str">
        <f t="array" ref="Q74">IF(OR($B74="",ISBLANK(XLOOKUP($B74,Números_Asignados,Nombres_Directorio,"",0))),"",XLOOKUP($B74,Números_Asignados,Nombres_Directorio,"",0))</f>
        <v>Pablo Alberto Barocio Valle</v>
      </c>
      <c r="R74" s="5" t="str">
        <f t="array" ref="R74">IF(OR($B74="",ISBLANK(XLOOKUP($B74,Números_Asignados,Sucursal_Asignada,"",0))),"",XLOOKUP($B74,Números_Asignados,Sucursal_Asignada,"",0))</f>
        <v>Corporativo</v>
      </c>
      <c r="S74" s="5" t="str">
        <f t="array" ref="S74">IF(OR($B74="",ISBLANK(XLOOKUP($B74,Números_Asignados,Departamento_Asignado,"",0))),"",XLOOKUP($B74,Números_Asignados,Departamento_Asignado,"",0))</f>
        <v>Sistemas</v>
      </c>
      <c r="T74" s="5" t="str">
        <f t="array" ref="T74">IF(OR($B74="",ISBLANK(XLOOKUP($B74,Números_Asignados,Puesto_Asignado,"",0))),"",XLOOKUP($B74,Números_Asignados,Puesto_Asignado,"",0))</f>
        <v>Jefe de Sistemas</v>
      </c>
      <c r="U74" s="5" t="str">
        <f t="array" ref="U74">IF(OR($B74="",ISBLANK(XLOOKUP($B74,Números_Asignados,Correos_Gmail,"",0))),"",XLOOKUP($B74,Números_Asignados,Correos_Gmail,"",0))</f>
        <v>sistemas.agrocisa@gmail.com</v>
      </c>
      <c r="V74" s="5" t="str">
        <f t="array" ref="V74">IF(OR($B74="",ISBLANK(XLOOKUP($B74,Números_Asignados,Correos_Institucionales,"",0))),"",XLOOKUP($B74,Números_Asignados,Correos_Institucionales,"",0))</f>
        <v>sistemas@agrocisa.com.mx</v>
      </c>
    </row>
    <row r="75" ht="15.75" customHeight="1">
      <c r="A75" s="5">
        <v>3.931079959E9</v>
      </c>
      <c r="B75" s="5">
        <v>3.931079959E9</v>
      </c>
      <c r="C75" s="5">
        <v>4.0</v>
      </c>
      <c r="D75" s="17">
        <v>599.0</v>
      </c>
      <c r="E75" s="5">
        <v>22.5</v>
      </c>
      <c r="F75" s="17" t="s">
        <v>785</v>
      </c>
      <c r="G75" s="23">
        <v>3.52242801087521E14</v>
      </c>
      <c r="H75" s="23" t="s">
        <v>930</v>
      </c>
      <c r="I75" s="5" t="s">
        <v>931</v>
      </c>
      <c r="J75" s="5" t="s">
        <v>776</v>
      </c>
      <c r="K75" s="23" t="s">
        <v>777</v>
      </c>
      <c r="L75" s="22" t="s">
        <v>778</v>
      </c>
      <c r="M75" s="39">
        <v>46136.0</v>
      </c>
      <c r="N75" s="22" t="s">
        <v>779</v>
      </c>
      <c r="O75" s="5"/>
      <c r="P75" s="38">
        <f t="array" ref="P75">XLOOKUP(F75,Lista_Equipos_2026,Precio_Equipos_2026," *** OJO *** ",0)</f>
        <v>15499</v>
      </c>
      <c r="Q75" s="5" t="str">
        <f t="array" ref="Q75">IF(OR($B75="",ISBLANK(XLOOKUP($B75,Números_Asignados,Nombres_Directorio,"",0))),"",XLOOKUP($B75,Números_Asignados,Nombres_Directorio,"",0))</f>
        <v>Yessica Velázquez Villanueva</v>
      </c>
      <c r="R75" s="5" t="str">
        <f t="array" ref="R75">IF(OR($B75="",ISBLANK(XLOOKUP($B75,Números_Asignados,Sucursal_Asignada,"",0))),"",XLOOKUP($B75,Números_Asignados,Sucursal_Asignada,"",0))</f>
        <v>Corporativo</v>
      </c>
      <c r="S75" s="5" t="str">
        <f t="array" ref="S75">IF(OR($B75="",ISBLANK(XLOOKUP($B75,Números_Asignados,Departamento_Asignado,"",0))),"",XLOOKUP($B75,Números_Asignados,Departamento_Asignado,"",0))</f>
        <v>Staff</v>
      </c>
      <c r="T75" s="5" t="str">
        <f t="array" ref="T75">IF(OR($B75="",ISBLANK(XLOOKUP($B75,Números_Asignados,Puesto_Asignado,"",0))),"",XLOOKUP($B75,Números_Asignados,Puesto_Asignado,"",0))</f>
        <v>Jefe de Staff</v>
      </c>
      <c r="U75" s="5" t="str">
        <f t="array" ref="U75">IF(OR($B75="",ISBLANK(XLOOKUP($B75,Números_Asignados,Correos_Gmail,"",0))),"",XLOOKUP($B75,Números_Asignados,Correos_Gmail,"",0))</f>
        <v>yvelazquez.agro@gmail.com</v>
      </c>
      <c r="V75" s="5" t="str">
        <f t="array" ref="V75">IF(OR($B75="",ISBLANK(XLOOKUP($B75,Números_Asignados,Correos_Institucionales,"",0))),"",XLOOKUP($B75,Números_Asignados,Correos_Institucionales,"",0))</f>
        <v>yessica.velazquez@agrocisa.com.mx</v>
      </c>
    </row>
    <row r="76" ht="15.75" customHeight="1">
      <c r="A76" s="5">
        <v>3.911039008E9</v>
      </c>
      <c r="B76" s="5">
        <v>3.911039008E9</v>
      </c>
      <c r="C76" s="5">
        <v>1.0</v>
      </c>
      <c r="D76" s="17">
        <v>269.0</v>
      </c>
      <c r="E76" s="5">
        <v>9.0</v>
      </c>
      <c r="F76" s="17" t="s">
        <v>773</v>
      </c>
      <c r="G76" s="23">
        <v>3.55174187707678E14</v>
      </c>
      <c r="H76" s="23" t="s">
        <v>932</v>
      </c>
      <c r="I76" s="5" t="s">
        <v>933</v>
      </c>
      <c r="J76" s="23" t="s">
        <v>776</v>
      </c>
      <c r="K76" s="23" t="s">
        <v>777</v>
      </c>
      <c r="L76" s="22" t="s">
        <v>778</v>
      </c>
      <c r="M76" s="39">
        <v>46136.0</v>
      </c>
      <c r="N76" s="22" t="s">
        <v>779</v>
      </c>
      <c r="O76" s="5"/>
      <c r="P76" s="38">
        <f t="array" ref="P76">XLOOKUP(F76,Lista_Equipos_2026,Precio_Equipos_2026," *** OJO *** ",0)</f>
        <v>7499</v>
      </c>
      <c r="Q76" s="5" t="str">
        <f t="array" ref="Q76">IF(OR($B76="",ISBLANK(XLOOKUP($B76,Números_Asignados,Nombres_Directorio,"",0))),"",XLOOKUP($B76,Números_Asignados,Nombres_Directorio,"",0))</f>
        <v>Juan Martín Campos Rodríguez</v>
      </c>
      <c r="R76" s="5" t="str">
        <f t="array" ref="R76">IF(OR($B76="",ISBLANK(XLOOKUP($B76,Números_Asignados,Sucursal_Asignada,"",0))),"",XLOOKUP($B76,Números_Asignados,Sucursal_Asignada,"",0))</f>
        <v>Corporativo</v>
      </c>
      <c r="S76" s="5" t="str">
        <f t="array" ref="S76">IF(OR($B76="",ISBLANK(XLOOKUP($B76,Números_Asignados,Departamento_Asignado,"",0))),"",XLOOKUP($B76,Números_Asignados,Departamento_Asignado,"",0))</f>
        <v>Vigilancia</v>
      </c>
      <c r="T76" s="5" t="str">
        <f t="array" ref="T76">IF(OR($B76="",ISBLANK(XLOOKUP($B76,Números_Asignados,Puesto_Asignado,"",0))),"",XLOOKUP($B76,Números_Asignados,Puesto_Asignado,"",0))</f>
        <v>Guardia</v>
      </c>
      <c r="U76" s="5" t="str">
        <f t="array" ref="U76">IF(OR($B76="",ISBLANK(XLOOKUP($B76,Números_Asignados,Correos_Gmail,"",0))),"",XLOOKUP($B76,Números_Asignados,Correos_Gmail,"",0))</f>
        <v>vigilancialabarca.agro@gmail.com</v>
      </c>
      <c r="V76" s="5" t="str">
        <f t="array" ref="V76">IF(OR($B76="",ISBLANK(XLOOKUP($B76,Números_Asignados,Correos_Institucionales,"",0))),"",XLOOKUP($B76,Números_Asignados,Correos_Institucionales,"",0))</f>
        <v>vigilancialabarca@agrocisa.com.mx</v>
      </c>
    </row>
    <row r="77" ht="15.75" customHeight="1">
      <c r="A77" s="5">
        <v>3.52138702E9</v>
      </c>
      <c r="B77" s="5">
        <v>3.52138702E9</v>
      </c>
      <c r="C77" s="5">
        <v>4.0</v>
      </c>
      <c r="D77" s="17">
        <v>599.0</v>
      </c>
      <c r="E77" s="5">
        <v>22.5</v>
      </c>
      <c r="F77" s="17" t="s">
        <v>780</v>
      </c>
      <c r="G77" s="23">
        <v>3.57369477214942E14</v>
      </c>
      <c r="H77" s="23" t="s">
        <v>934</v>
      </c>
      <c r="I77" s="5" t="s">
        <v>935</v>
      </c>
      <c r="J77" s="5" t="s">
        <v>776</v>
      </c>
      <c r="K77" s="23" t="s">
        <v>777</v>
      </c>
      <c r="L77" s="22" t="s">
        <v>778</v>
      </c>
      <c r="M77" s="39">
        <v>46147.0</v>
      </c>
      <c r="N77" s="22" t="s">
        <v>779</v>
      </c>
      <c r="O77" s="5"/>
      <c r="P77" s="38">
        <f t="array" ref="P77">XLOOKUP(F77,Lista_Equipos_2026,Precio_Equipos_2026," *** OJO *** ",0)</f>
        <v>10999</v>
      </c>
      <c r="Q77" s="5" t="str">
        <f t="array" ref="Q77">IF(OR($B77="",ISBLANK(XLOOKUP($B77,Números_Asignados,Nombres_Directorio,"",0))),"",XLOOKUP($B77,Números_Asignados,Nombres_Directorio,"",0))</f>
        <v>Diego Alejandro Núñez Flores</v>
      </c>
      <c r="R77" s="5" t="str">
        <f t="array" ref="R77">IF(OR($B77="",ISBLANK(XLOOKUP($B77,Números_Asignados,Sucursal_Asignada,"",0))),"",XLOOKUP($B77,Números_Asignados,Sucursal_Asignada,"",0))</f>
        <v>La Piedad</v>
      </c>
      <c r="S77" s="5" t="str">
        <f t="array" ref="S77">IF(OR($B77="",ISBLANK(XLOOKUP($B77,Números_Asignados,Departamento_Asignado,"",0))),"",XLOOKUP($B77,Números_Asignados,Departamento_Asignado,"",0))</f>
        <v>Agricultura Inteligente</v>
      </c>
      <c r="T77" s="5" t="str">
        <f t="array" ref="T77">IF(OR($B77="",ISBLANK(XLOOKUP($B77,Números_Asignados,Puesto_Asignado,"",0))),"",XLOOKUP($B77,Números_Asignados,Puesto_Asignado,"",0))</f>
        <v>Asesor de Ventas</v>
      </c>
      <c r="U77" s="5" t="str">
        <f t="array" ref="U77">IF(OR($B77="",ISBLANK(XLOOKUP($B77,Números_Asignados,Correos_Gmail,"",0))),"",XLOOKUP($B77,Números_Asignados,Correos_Gmail,"",0))</f>
        <v>diego.nunez@agrocisa.com.mx</v>
      </c>
      <c r="V77" s="5" t="str">
        <f t="array" ref="V77">IF(OR($B77="",ISBLANK(XLOOKUP($B77,Números_Asignados,Correos_Institucionales,"",0))),"",XLOOKUP($B77,Números_Asignados,Correos_Institucionales,"",0))</f>
        <v>diego.nunez@agrocisa.com.mx</v>
      </c>
    </row>
    <row r="78" ht="15.75" customHeight="1">
      <c r="A78" s="5">
        <v>3.931190074E9</v>
      </c>
      <c r="B78" s="5">
        <v>3.931190074E9</v>
      </c>
      <c r="C78" s="5">
        <v>4.0</v>
      </c>
      <c r="D78" s="17">
        <v>599.0</v>
      </c>
      <c r="E78" s="5">
        <v>22.5</v>
      </c>
      <c r="F78" s="17" t="s">
        <v>780</v>
      </c>
      <c r="G78" s="23">
        <v>3.5736947722098E14</v>
      </c>
      <c r="H78" s="23" t="s">
        <v>936</v>
      </c>
      <c r="I78" s="5" t="s">
        <v>937</v>
      </c>
      <c r="J78" s="23" t="s">
        <v>776</v>
      </c>
      <c r="K78" s="23" t="s">
        <v>777</v>
      </c>
      <c r="L78" s="22" t="s">
        <v>778</v>
      </c>
      <c r="M78" s="39">
        <v>46162.0</v>
      </c>
      <c r="N78" s="22" t="s">
        <v>779</v>
      </c>
      <c r="O78" s="5"/>
      <c r="P78" s="38">
        <f t="array" ref="P78">XLOOKUP(F78,Lista_Equipos_2026,Precio_Equipos_2026," *** OJO *** ",0)</f>
        <v>10999</v>
      </c>
      <c r="Q78" s="5" t="str">
        <f t="array" ref="Q78">IF(OR($B78="",ISBLANK(XLOOKUP($B78,Números_Asignados,Nombres_Directorio,"",0))),"",XLOOKUP($B78,Números_Asignados,Nombres_Directorio,"",0))</f>
        <v>Francisco Villalobos Sánchez</v>
      </c>
      <c r="R78" s="5" t="str">
        <f t="array" ref="R78">IF(OR($B78="",ISBLANK(XLOOKUP($B78,Números_Asignados,Sucursal_Asignada,"",0))),"",XLOOKUP($B78,Números_Asignados,Sucursal_Asignada,"",0))</f>
        <v>La Piedad</v>
      </c>
      <c r="S78" s="5" t="str">
        <f t="array" ref="S78">IF(OR($B78="",ISBLANK(XLOOKUP($B78,Números_Asignados,Departamento_Asignado,"",0))),"",XLOOKUP($B78,Números_Asignados,Departamento_Asignado,"",0))</f>
        <v>Agricultura Inteligente</v>
      </c>
      <c r="T78" s="5" t="str">
        <f t="array" ref="T78">IF(OR($B78="",ISBLANK(XLOOKUP($B78,Números_Asignados,Puesto_Asignado,"",0))),"",XLOOKUP($B78,Números_Asignados,Puesto_Asignado,"",0))</f>
        <v>Asesor de Ventas</v>
      </c>
      <c r="U78" s="5" t="str">
        <f t="array" ref="U78">IF(OR($B78="",ISBLANK(XLOOKUP($B78,Números_Asignados,Correos_Gmail,"",0))),"",XLOOKUP($B78,Números_Asignados,Correos_Gmail,"",0))</f>
        <v>droneslp@agrocisa.com.mx</v>
      </c>
      <c r="V78" s="5" t="str">
        <f t="array" ref="V78">IF(OR($B78="",ISBLANK(XLOOKUP($B78,Números_Asignados,Correos_Institucionales,"",0))),"",XLOOKUP($B78,Números_Asignados,Correos_Institucionales,"",0))</f>
        <v>francisco.villalobos@agrocisa.com.mx</v>
      </c>
    </row>
    <row r="79" ht="15.75" customHeight="1">
      <c r="A79" s="5">
        <v>3.931001477E9</v>
      </c>
      <c r="B79" s="5">
        <v>3.931001477E9</v>
      </c>
      <c r="C79" s="5">
        <v>1.0</v>
      </c>
      <c r="D79" s="17">
        <v>269.0</v>
      </c>
      <c r="E79" s="5">
        <v>9.0</v>
      </c>
      <c r="F79" s="17" t="s">
        <v>780</v>
      </c>
      <c r="G79" s="23">
        <v>3.52010505750391E14</v>
      </c>
      <c r="H79" s="23" t="s">
        <v>938</v>
      </c>
      <c r="I79" s="5" t="s">
        <v>939</v>
      </c>
      <c r="J79" s="5" t="s">
        <v>776</v>
      </c>
      <c r="K79" s="23" t="s">
        <v>777</v>
      </c>
      <c r="L79" s="22" t="s">
        <v>778</v>
      </c>
      <c r="M79" s="39">
        <v>46147.0</v>
      </c>
      <c r="N79" s="22" t="s">
        <v>779</v>
      </c>
      <c r="O79" s="5"/>
      <c r="P79" s="38">
        <f t="array" ref="P79">XLOOKUP(F79,Lista_Equipos_2026,Precio_Equipos_2026," *** OJO *** ",0)</f>
        <v>10999</v>
      </c>
      <c r="Q79" s="5" t="str">
        <f t="array" ref="Q79">IF(OR($B79="",ISBLANK(XLOOKUP($B79,Números_Asignados,Nombres_Directorio,"",0))),"",XLOOKUP($B79,Números_Asignados,Nombres_Directorio,"",0))</f>
        <v>Alicia Viridiana Rodríguez Paredes</v>
      </c>
      <c r="R79" s="5" t="str">
        <f t="array" ref="R79">IF(OR($B79="",ISBLANK(XLOOKUP($B79,Números_Asignados,Sucursal_Asignada,"",0))),"",XLOOKUP($B79,Números_Asignados,Sucursal_Asignada,"",0))</f>
        <v>La Piedad</v>
      </c>
      <c r="S79" s="5" t="str">
        <f t="array" ref="S79">IF(OR($B79="",ISBLANK(XLOOKUP($B79,Números_Asignados,Departamento_Asignado,"",0))),"",XLOOKUP($B79,Números_Asignados,Departamento_Asignado,"",0))</f>
        <v>Maquinaria</v>
      </c>
      <c r="T79" s="5" t="str">
        <f t="array" ref="T79">IF(OR($B79="",ISBLANK(XLOOKUP($B79,Números_Asignados,Puesto_Asignado,"",0))),"",XLOOKUP($B79,Números_Asignados,Puesto_Asignado,"",0))</f>
        <v>Auxiliar Administrativo</v>
      </c>
      <c r="U79" s="5" t="str">
        <f t="array" ref="U79">IF(OR($B79="",ISBLANK(XLOOKUP($B79,Números_Asignados,Correos_Gmail,"",0))),"",XLOOKUP($B79,Números_Asignados,Correos_Gmail,"",0))</f>
        <v>ventaslapiedad.agro@gmail.com</v>
      </c>
      <c r="V79" s="5" t="str">
        <f t="array" ref="V79">IF(OR($B79="",ISBLANK(XLOOKUP($B79,Números_Asignados,Correos_Institucionales,"",0))),"",XLOOKUP($B79,Números_Asignados,Correos_Institucionales,"",0))</f>
        <v>ventaslapiedad@agrocisa.com.mx</v>
      </c>
    </row>
    <row r="80" ht="15.75" customHeight="1">
      <c r="A80" s="5">
        <v>3.316094916E9</v>
      </c>
      <c r="B80" s="5">
        <v>3.316094916E9</v>
      </c>
      <c r="C80" s="5">
        <v>4.0</v>
      </c>
      <c r="D80" s="17">
        <v>599.0</v>
      </c>
      <c r="E80" s="5">
        <v>22.5</v>
      </c>
      <c r="F80" s="17" t="s">
        <v>773</v>
      </c>
      <c r="G80" s="23">
        <v>3.55174187708239E14</v>
      </c>
      <c r="H80" s="23" t="s">
        <v>940</v>
      </c>
      <c r="I80" s="5" t="s">
        <v>941</v>
      </c>
      <c r="J80" s="5" t="s">
        <v>776</v>
      </c>
      <c r="K80" s="23" t="s">
        <v>777</v>
      </c>
      <c r="L80" s="22" t="s">
        <v>778</v>
      </c>
      <c r="M80" s="39">
        <v>46147.0</v>
      </c>
      <c r="N80" s="22" t="s">
        <v>779</v>
      </c>
      <c r="O80" s="5"/>
      <c r="P80" s="38">
        <f t="array" ref="P80">XLOOKUP(F80,Lista_Equipos_2026,Precio_Equipos_2026," *** OJO *** ",0)</f>
        <v>7499</v>
      </c>
      <c r="Q80" s="5" t="str">
        <f t="array" ref="Q80">IF(OR($B80="",ISBLANK(XLOOKUP($B80,Números_Asignados,Nombres_Directorio,"",0))),"",XLOOKUP($B80,Números_Asignados,Nombres_Directorio,"",0))</f>
        <v>Juan Carlos Morales Hernández</v>
      </c>
      <c r="R80" s="5" t="str">
        <f t="array" ref="R80">IF(OR($B80="",ISBLANK(XLOOKUP($B80,Números_Asignados,Sucursal_Asignada,"",0))),"",XLOOKUP($B80,Números_Asignados,Sucursal_Asignada,"",0))</f>
        <v>La Piedad</v>
      </c>
      <c r="S80" s="5" t="str">
        <f t="array" ref="S80">IF(OR($B80="",ISBLANK(XLOOKUP($B80,Números_Asignados,Departamento_Asignado,"",0))),"",XLOOKUP($B80,Números_Asignados,Departamento_Asignado,"",0))</f>
        <v>Maquinaria</v>
      </c>
      <c r="T80" s="5" t="str">
        <f t="array" ref="T80">IF(OR($B80="",ISBLANK(XLOOKUP($B80,Números_Asignados,Puesto_Asignado,"",0))),"",XLOOKUP($B80,Números_Asignados,Puesto_Asignado,"",0))</f>
        <v>Chofer</v>
      </c>
      <c r="U80" s="5" t="str">
        <f t="array" ref="U80">IF(OR($B80="",ISBLANK(XLOOKUP($B80,Números_Asignados,Correos_Gmail,"",0))),"",XLOOKUP($B80,Números_Asignados,Correos_Gmail,"",0))</f>
        <v>choferlp.agro@gmail.com</v>
      </c>
      <c r="V80" s="5" t="str">
        <f t="array" ref="V80">IF(OR($B80="",ISBLANK(XLOOKUP($B80,Números_Asignados,Correos_Institucionales,"",0))),"",XLOOKUP($B80,Números_Asignados,Correos_Institucionales,"",0))</f>
        <v>choferlapiedad@agrocisa.com.mx</v>
      </c>
    </row>
    <row r="81" ht="15.75" customHeight="1">
      <c r="A81" s="5">
        <v>3.315684816E9</v>
      </c>
      <c r="B81" s="5">
        <v>3.315684816E9</v>
      </c>
      <c r="C81" s="5">
        <v>4.0</v>
      </c>
      <c r="D81" s="17">
        <v>599.0</v>
      </c>
      <c r="E81" s="5">
        <v>22.5</v>
      </c>
      <c r="F81" s="17" t="s">
        <v>942</v>
      </c>
      <c r="G81" s="23">
        <v>3.53199691455136E14</v>
      </c>
      <c r="H81" s="23" t="s">
        <v>943</v>
      </c>
      <c r="I81" s="5" t="s">
        <v>944</v>
      </c>
      <c r="J81" s="5" t="s">
        <v>776</v>
      </c>
      <c r="K81" s="23" t="s">
        <v>777</v>
      </c>
      <c r="L81" s="22" t="s">
        <v>778</v>
      </c>
      <c r="M81" s="39">
        <v>46147.0</v>
      </c>
      <c r="N81" s="22" t="s">
        <v>779</v>
      </c>
      <c r="O81" s="5"/>
      <c r="P81" s="38">
        <f t="array" ref="P81">XLOOKUP(F81,Lista_Equipos_2026,Precio_Equipos_2026," *** OJO *** ",0)</f>
        <v>29999</v>
      </c>
      <c r="Q81" s="5" t="str">
        <f t="array" ref="Q81">IF(OR($B81="",ISBLANK(XLOOKUP($B81,Números_Asignados,Nombres_Directorio,"",0))),"",XLOOKUP($B81,Números_Asignados,Nombres_Directorio,"",0))</f>
        <v>Fernando Barboza Román</v>
      </c>
      <c r="R81" s="5" t="str">
        <f t="array" ref="R81">IF(OR($B81="",ISBLANK(XLOOKUP($B81,Números_Asignados,Sucursal_Asignada,"",0))),"",XLOOKUP($B81,Números_Asignados,Sucursal_Asignada,"",0))</f>
        <v>La Piedad</v>
      </c>
      <c r="S81" s="5" t="str">
        <f t="array" ref="S81">IF(OR($B81="",ISBLANK(XLOOKUP($B81,Números_Asignados,Departamento_Asignado,"",0))),"",XLOOKUP($B81,Números_Asignados,Departamento_Asignado,"",0))</f>
        <v>Maquinaria</v>
      </c>
      <c r="T81" s="5" t="str">
        <f t="array" ref="T81">IF(OR($B81="",ISBLANK(XLOOKUP($B81,Números_Asignados,Puesto_Asignado,"",0))),"",XLOOKUP($B81,Números_Asignados,Puesto_Asignado,"",0))</f>
        <v>Gerente de Sucursal</v>
      </c>
      <c r="U81" s="5" t="str">
        <f t="array" ref="U81">IF(OR($B81="",ISBLANK(XLOOKUP($B81,Números_Asignados,Correos_Gmail,"",0))),"",XLOOKUP($B81,Números_Asignados,Correos_Gmail,"",0))</f>
        <v>ferbarboza.agro@gmail.com</v>
      </c>
      <c r="V81" s="5" t="str">
        <f t="array" ref="V81">IF(OR($B81="",ISBLANK(XLOOKUP($B81,Números_Asignados,Correos_Institucionales,"",0))),"",XLOOKUP($B81,Números_Asignados,Correos_Institucionales,"",0))</f>
        <v>fernando.barboza@agrocisa.com.mx</v>
      </c>
    </row>
    <row r="82" ht="15.75" customHeight="1">
      <c r="A82" s="5">
        <v>3.921237762E9</v>
      </c>
      <c r="B82" s="5"/>
      <c r="C82" s="5" t="s">
        <v>52</v>
      </c>
      <c r="D82" s="17">
        <v>229.0</v>
      </c>
      <c r="E82" s="5">
        <v>4.5</v>
      </c>
      <c r="F82" s="5" t="s">
        <v>799</v>
      </c>
      <c r="G82" s="23">
        <v>3.58748633106655E14</v>
      </c>
      <c r="H82" s="5" t="s">
        <v>945</v>
      </c>
      <c r="I82" s="5" t="s">
        <v>946</v>
      </c>
      <c r="J82" s="5" t="s">
        <v>776</v>
      </c>
      <c r="K82" s="5" t="s">
        <v>777</v>
      </c>
      <c r="L82" s="22" t="s">
        <v>778</v>
      </c>
      <c r="M82" s="39">
        <v>46147.0</v>
      </c>
      <c r="N82" s="22" t="s">
        <v>779</v>
      </c>
      <c r="O82" s="5"/>
      <c r="P82" s="38">
        <f t="array" ref="P82">XLOOKUP(F82,Lista_Equipos_2026,Precio_Equipos_2026," *** OJO *** ",0)</f>
        <v>19999</v>
      </c>
      <c r="Q82" s="5" t="s">
        <v>490</v>
      </c>
      <c r="R82" s="5" t="s">
        <v>15</v>
      </c>
      <c r="S82" s="5" t="s">
        <v>483</v>
      </c>
      <c r="T82" s="5" t="s">
        <v>491</v>
      </c>
      <c r="U82" s="5" t="s">
        <v>758</v>
      </c>
      <c r="V82" s="5" t="s">
        <v>758</v>
      </c>
    </row>
    <row r="83" ht="15.75" customHeight="1">
      <c r="A83" s="5">
        <v>3.316133712E9</v>
      </c>
      <c r="B83" s="5">
        <v>3.316133712E9</v>
      </c>
      <c r="C83" s="5">
        <v>4.0</v>
      </c>
      <c r="D83" s="17">
        <v>599.0</v>
      </c>
      <c r="E83" s="5">
        <v>22.5</v>
      </c>
      <c r="F83" s="17" t="s">
        <v>780</v>
      </c>
      <c r="G83" s="23">
        <v>3.57369477206435E14</v>
      </c>
      <c r="H83" s="23" t="s">
        <v>947</v>
      </c>
      <c r="I83" s="5" t="s">
        <v>948</v>
      </c>
      <c r="J83" s="5" t="s">
        <v>776</v>
      </c>
      <c r="K83" s="23" t="s">
        <v>777</v>
      </c>
      <c r="L83" s="22" t="s">
        <v>778</v>
      </c>
      <c r="M83" s="39">
        <v>46147.0</v>
      </c>
      <c r="N83" s="22" t="s">
        <v>779</v>
      </c>
      <c r="O83" s="5"/>
      <c r="P83" s="38">
        <f t="array" ref="P83">XLOOKUP(F83,Lista_Equipos_2026,Precio_Equipos_2026," *** OJO *** ",0)</f>
        <v>10999</v>
      </c>
      <c r="Q83" s="5" t="str">
        <f t="array" ref="Q83">IF(OR($B83="",ISBLANK(XLOOKUP($B83,Números_Asignados,Nombres_Directorio,"",0))),"",XLOOKUP($B83,Números_Asignados,Nombres_Directorio,"",0))</f>
        <v>Guillermo Sahagún Cervantes</v>
      </c>
      <c r="R83" s="5" t="str">
        <f t="array" ref="R83">IF(OR($B83="",ISBLANK(XLOOKUP($B83,Números_Asignados,Sucursal_Asignada,"",0))),"",XLOOKUP($B83,Números_Asignados,Sucursal_Asignada,"",0))</f>
        <v>La Piedad</v>
      </c>
      <c r="S83" s="5" t="str">
        <f t="array" ref="S83">IF(OR($B83="",ISBLANK(XLOOKUP($B83,Números_Asignados,Departamento_Asignado,"",0))),"",XLOOKUP($B83,Números_Asignados,Departamento_Asignado,"",0))</f>
        <v>Maquinaria Agrícola</v>
      </c>
      <c r="T83" s="5" t="str">
        <f t="array" ref="T83">IF(OR($B83="",ISBLANK(XLOOKUP($B83,Números_Asignados,Puesto_Asignado,"",0))),"",XLOOKUP($B83,Números_Asignados,Puesto_Asignado,"",0))</f>
        <v>Asesor de Ventas</v>
      </c>
      <c r="U83" s="5" t="str">
        <f t="array" ref="U83">IF(OR($B83="",ISBLANK(XLOOKUP($B83,Números_Asignados,Correos_Gmail,"",0))),"",XLOOKUP($B83,Números_Asignados,Correos_Gmail,"",0))</f>
        <v>ventasintlb.agro@gmail.com</v>
      </c>
      <c r="V83" s="5" t="str">
        <f t="array" ref="V83">IF(OR($B83="",ISBLANK(XLOOKUP($B83,Números_Asignados,Correos_Institucionales,"",0))),"",XLOOKUP($B83,Números_Asignados,Correos_Institucionales,"",0))</f>
        <v>guillermo.sahagun@agrocisa.com.mx</v>
      </c>
    </row>
    <row r="84" ht="15.75" customHeight="1">
      <c r="A84" s="5">
        <v>3.338560241E9</v>
      </c>
      <c r="B84" s="5">
        <v>3.338560241E9</v>
      </c>
      <c r="C84" s="5">
        <v>4.0</v>
      </c>
      <c r="D84" s="17">
        <v>599.0</v>
      </c>
      <c r="E84" s="5">
        <v>22.5</v>
      </c>
      <c r="F84" s="17" t="s">
        <v>780</v>
      </c>
      <c r="G84" s="23">
        <v>3.57369477209868E14</v>
      </c>
      <c r="H84" s="23" t="s">
        <v>949</v>
      </c>
      <c r="I84" s="5" t="s">
        <v>950</v>
      </c>
      <c r="J84" s="5" t="s">
        <v>776</v>
      </c>
      <c r="K84" s="23" t="s">
        <v>777</v>
      </c>
      <c r="L84" s="22" t="s">
        <v>778</v>
      </c>
      <c r="M84" s="39">
        <v>46147.0</v>
      </c>
      <c r="N84" s="22" t="s">
        <v>779</v>
      </c>
      <c r="O84" s="5"/>
      <c r="P84" s="38">
        <f t="array" ref="P84">XLOOKUP(F84,Lista_Equipos_2026,Precio_Equipos_2026," *** OJO *** ",0)</f>
        <v>10999</v>
      </c>
      <c r="Q84" s="5" t="str">
        <f t="array" ref="Q84">IF(OR($B84="",ISBLANK(XLOOKUP($B84,Números_Asignados,Nombres_Directorio,"",0))),"",XLOOKUP($B84,Números_Asignados,Nombres_Directorio,"",0))</f>
        <v>Marco Dario Martínez Álvarez</v>
      </c>
      <c r="R84" s="5" t="str">
        <f t="array" ref="R84">IF(OR($B84="",ISBLANK(XLOOKUP($B84,Números_Asignados,Sucursal_Asignada,"",0))),"",XLOOKUP($B84,Números_Asignados,Sucursal_Asignada,"",0))</f>
        <v>La Piedad</v>
      </c>
      <c r="S84" s="5" t="str">
        <f t="array" ref="S84">IF(OR($B84="",ISBLANK(XLOOKUP($B84,Números_Asignados,Departamento_Asignado,"",0))),"",XLOOKUP($B84,Números_Asignados,Departamento_Asignado,"",0))</f>
        <v>Maquinaria Agrícola</v>
      </c>
      <c r="T84" s="5" t="str">
        <f t="array" ref="T84">IF(OR($B84="",ISBLANK(XLOOKUP($B84,Números_Asignados,Puesto_Asignado,"",0))),"",XLOOKUP($B84,Números_Asignados,Puesto_Asignado,"",0))</f>
        <v>Asesor de Ventas</v>
      </c>
      <c r="U84" s="5" t="str">
        <f t="array" ref="U84">IF(OR($B84="",ISBLANK(XLOOKUP($B84,Números_Asignados,Correos_Gmail,"",0))),"",XLOOKUP($B84,Números_Asignados,Correos_Gmail,"",0))</f>
        <v>marcodario.agro@gmail.com</v>
      </c>
      <c r="V84" s="5" t="str">
        <f t="array" ref="V84">IF(OR($B84="",ISBLANK(XLOOKUP($B84,Números_Asignados,Correos_Institucionales,"",0))),"",XLOOKUP($B84,Números_Asignados,Correos_Institucionales,"",0))</f>
        <v>marco.martinez@agrocisa.com.mx</v>
      </c>
    </row>
    <row r="85" ht="15.75" customHeight="1">
      <c r="A85" s="5">
        <v>3.781155312E9</v>
      </c>
      <c r="B85" s="41">
        <v>3.931190275E9</v>
      </c>
      <c r="C85" s="5">
        <v>4.0</v>
      </c>
      <c r="D85" s="17">
        <v>599.0</v>
      </c>
      <c r="E85" s="5">
        <v>22.5</v>
      </c>
      <c r="F85" s="5" t="s">
        <v>780</v>
      </c>
      <c r="G85" s="23">
        <v>3.5736947724002E14</v>
      </c>
      <c r="H85" s="5" t="s">
        <v>951</v>
      </c>
      <c r="I85" s="5" t="s">
        <v>952</v>
      </c>
      <c r="J85" s="5" t="s">
        <v>776</v>
      </c>
      <c r="K85" s="5" t="s">
        <v>777</v>
      </c>
      <c r="L85" s="22" t="s">
        <v>778</v>
      </c>
      <c r="M85" s="39">
        <v>46147.0</v>
      </c>
      <c r="N85" s="22" t="s">
        <v>779</v>
      </c>
      <c r="O85" s="5" t="s">
        <v>813</v>
      </c>
      <c r="P85" s="38">
        <f t="array" ref="P85">XLOOKUP(F85,Lista_Equipos_2026,Precio_Equipos_2026," *** OJO *** ",0)</f>
        <v>10999</v>
      </c>
      <c r="Q85" s="5" t="str">
        <f t="array" ref="Q85">IF(OR($B85="",ISBLANK(XLOOKUP($B85,Números_Asignados,Nombres_Directorio,"",0))),"",XLOOKUP($B85,Números_Asignados,Nombres_Directorio,"",0))</f>
        <v/>
      </c>
      <c r="R85" s="5" t="str">
        <f t="array" ref="R85">IF(OR($B85="",ISBLANK(XLOOKUP($B85,Números_Asignados,Sucursal_Asignada,"",0))),"",XLOOKUP($B85,Números_Asignados,Sucursal_Asignada,"",0))</f>
        <v/>
      </c>
      <c r="S85" s="5" t="str">
        <f t="array" ref="S85">IF(OR($B85="",ISBLANK(XLOOKUP($B85,Números_Asignados,Departamento_Asignado,"",0))),"",XLOOKUP($B85,Números_Asignados,Departamento_Asignado,"",0))</f>
        <v/>
      </c>
      <c r="T85" s="5" t="str">
        <f t="array" ref="T85">IF(OR($B85="",ISBLANK(XLOOKUP($B85,Números_Asignados,Puesto_Asignado,"",0))),"",XLOOKUP($B85,Números_Asignados,Puesto_Asignado,"",0))</f>
        <v/>
      </c>
      <c r="U85" s="5" t="str">
        <f t="array" ref="U85">IF(OR($B85="",ISBLANK(XLOOKUP($B85,Números_Asignados,Correos_Gmail,"",0))),"",XLOOKUP($B85,Números_Asignados,Correos_Gmail,"",0))</f>
        <v/>
      </c>
      <c r="V85" s="5" t="str">
        <f t="array" ref="V85">IF(OR($B85="",ISBLANK(XLOOKUP($B85,Números_Asignados,Correos_Institucionales,"",0))),"",XLOOKUP($B85,Números_Asignados,Correos_Institucionales,"",0))</f>
        <v/>
      </c>
    </row>
    <row r="86" ht="15.75" customHeight="1">
      <c r="A86" s="5">
        <v>3.316129046E9</v>
      </c>
      <c r="B86" s="5">
        <v>3.316129046E9</v>
      </c>
      <c r="C86" s="5">
        <v>4.0</v>
      </c>
      <c r="D86" s="17">
        <v>599.0</v>
      </c>
      <c r="E86" s="5">
        <v>22.5</v>
      </c>
      <c r="F86" s="17" t="s">
        <v>780</v>
      </c>
      <c r="G86" s="23">
        <v>3.57369477206328E14</v>
      </c>
      <c r="H86" s="23" t="s">
        <v>953</v>
      </c>
      <c r="I86" s="5" t="s">
        <v>954</v>
      </c>
      <c r="J86" s="5" t="s">
        <v>776</v>
      </c>
      <c r="K86" s="23" t="s">
        <v>777</v>
      </c>
      <c r="L86" s="22" t="s">
        <v>778</v>
      </c>
      <c r="M86" s="39">
        <v>46147.0</v>
      </c>
      <c r="N86" s="22" t="s">
        <v>779</v>
      </c>
      <c r="O86" s="5"/>
      <c r="P86" s="38">
        <f t="array" ref="P86">XLOOKUP(F86,Lista_Equipos_2026,Precio_Equipos_2026," *** OJO *** ",0)</f>
        <v>10999</v>
      </c>
      <c r="Q86" s="5" t="str">
        <f t="array" ref="Q86">IF(OR($B86="",ISBLANK(XLOOKUP($B86,Números_Asignados,Nombres_Directorio,"",0))),"",XLOOKUP($B86,Números_Asignados,Nombres_Directorio,"",0))</f>
        <v>Rafael Godínez Ramirez</v>
      </c>
      <c r="R86" s="5" t="str">
        <f t="array" ref="R86">IF(OR($B86="",ISBLANK(XLOOKUP($B86,Números_Asignados,Sucursal_Asignada,"",0))),"",XLOOKUP($B86,Números_Asignados,Sucursal_Asignada,"",0))</f>
        <v>La Piedad</v>
      </c>
      <c r="S86" s="5" t="str">
        <f t="array" ref="S86">IF(OR($B86="",ISBLANK(XLOOKUP($B86,Números_Asignados,Departamento_Asignado,"",0))),"",XLOOKUP($B86,Números_Asignados,Departamento_Asignado,"",0))</f>
        <v>Maquinaria Agrícola</v>
      </c>
      <c r="T86" s="5" t="str">
        <f t="array" ref="T86">IF(OR($B86="",ISBLANK(XLOOKUP($B86,Números_Asignados,Puesto_Asignado,"",0))),"",XLOOKUP($B86,Números_Asignados,Puesto_Asignado,"",0))</f>
        <v>Asesor de Ventas</v>
      </c>
      <c r="U86" s="5" t="str">
        <f t="array" ref="U86">IF(OR($B86="",ISBLANK(XLOOKUP($B86,Números_Asignados,Correos_Gmail,"",0))),"",XLOOKUP($B86,Números_Asignados,Correos_Gmail,"",0))</f>
        <v>zonabajiolp14@agrocisa.com.mx</v>
      </c>
      <c r="V86" s="5" t="str">
        <f t="array" ref="V86">IF(OR($B86="",ISBLANK(XLOOKUP($B86,Números_Asignados,Correos_Institucionales,"",0))),"",XLOOKUP($B86,Números_Asignados,Correos_Institucionales,"",0))</f>
        <v>zonabajiolp14@agrocisa.com.mx</v>
      </c>
    </row>
    <row r="87" ht="15.75" customHeight="1">
      <c r="A87" s="5">
        <v>3.316147399E9</v>
      </c>
      <c r="B87" s="5">
        <v>3.316147399E9</v>
      </c>
      <c r="C87" s="5">
        <v>4.0</v>
      </c>
      <c r="D87" s="17">
        <v>599.0</v>
      </c>
      <c r="E87" s="5">
        <v>22.5</v>
      </c>
      <c r="F87" s="17" t="s">
        <v>780</v>
      </c>
      <c r="G87" s="23">
        <v>3.57369477207185E14</v>
      </c>
      <c r="H87" s="23" t="s">
        <v>955</v>
      </c>
      <c r="I87" s="5" t="s">
        <v>956</v>
      </c>
      <c r="J87" s="5" t="s">
        <v>776</v>
      </c>
      <c r="K87" s="23" t="s">
        <v>777</v>
      </c>
      <c r="L87" s="22" t="s">
        <v>778</v>
      </c>
      <c r="M87" s="39">
        <v>46147.0</v>
      </c>
      <c r="N87" s="22" t="s">
        <v>779</v>
      </c>
      <c r="O87" s="5"/>
      <c r="P87" s="38">
        <f t="array" ref="P87">XLOOKUP(F87,Lista_Equipos_2026,Precio_Equipos_2026," *** OJO *** ",0)</f>
        <v>10999</v>
      </c>
      <c r="Q87" s="5" t="str">
        <f t="array" ref="Q87">IF(OR($B87="",ISBLANK(XLOOKUP($B87,Números_Asignados,Nombres_Directorio,"",0))),"",XLOOKUP($B87,Números_Asignados,Nombres_Directorio,"",0))</f>
        <v>Marco Antonio Falcón Ramirez</v>
      </c>
      <c r="R87" s="5" t="str">
        <f t="array" ref="R87">IF(OR($B87="",ISBLANK(XLOOKUP($B87,Números_Asignados,Sucursal_Asignada,"",0))),"",XLOOKUP($B87,Números_Asignados,Sucursal_Asignada,"",0))</f>
        <v>La Piedad</v>
      </c>
      <c r="S87" s="5" t="str">
        <f t="array" ref="S87">IF(OR($B87="",ISBLANK(XLOOKUP($B87,Números_Asignados,Departamento_Asignado,"",0))),"",XLOOKUP($B87,Números_Asignados,Departamento_Asignado,"",0))</f>
        <v>Maquinaria Construcción</v>
      </c>
      <c r="T87" s="5" t="str">
        <f t="array" ref="T87">IF(OR($B87="",ISBLANK(XLOOKUP($B87,Números_Asignados,Puesto_Asignado,"",0))),"",XLOOKUP($B87,Números_Asignados,Puesto_Asignado,"",0))</f>
        <v>Asesor de Ventas</v>
      </c>
      <c r="U87" s="5" t="str">
        <f t="array" ref="U87">IF(OR($B87="",ISBLANK(XLOOKUP($B87,Números_Asignados,Correos_Gmail,"",0))),"",XLOOKUP($B87,Números_Asignados,Correos_Gmail,"",0))</f>
        <v>construccionlapiedad@agrocisa.com.mx</v>
      </c>
      <c r="V87" s="5" t="str">
        <f t="array" ref="V87">IF(OR($B87="",ISBLANK(XLOOKUP($B87,Números_Asignados,Correos_Institucionales,"",0))),"",XLOOKUP($B87,Números_Asignados,Correos_Institucionales,"",0))</f>
        <v>construccionlapiedad@agrocisa.com.mx</v>
      </c>
    </row>
    <row r="88" ht="15.75" customHeight="1">
      <c r="A88" s="5">
        <v>3.338560382E9</v>
      </c>
      <c r="B88" s="5">
        <v>3.338560382E9</v>
      </c>
      <c r="C88" s="5">
        <v>4.0</v>
      </c>
      <c r="D88" s="17">
        <v>599.0</v>
      </c>
      <c r="E88" s="5">
        <v>22.5</v>
      </c>
      <c r="F88" s="17" t="s">
        <v>780</v>
      </c>
      <c r="G88" s="23">
        <v>3.57369477210908E14</v>
      </c>
      <c r="H88" s="23" t="s">
        <v>957</v>
      </c>
      <c r="I88" s="5" t="s">
        <v>958</v>
      </c>
      <c r="J88" s="5" t="s">
        <v>776</v>
      </c>
      <c r="K88" s="23" t="s">
        <v>777</v>
      </c>
      <c r="L88" s="22" t="s">
        <v>778</v>
      </c>
      <c r="M88" s="39">
        <v>46147.0</v>
      </c>
      <c r="N88" s="22" t="s">
        <v>779</v>
      </c>
      <c r="O88" s="5"/>
      <c r="P88" s="38">
        <f t="array" ref="P88">XLOOKUP(F88,Lista_Equipos_2026,Precio_Equipos_2026," *** OJO *** ",0)</f>
        <v>10999</v>
      </c>
      <c r="Q88" s="5" t="str">
        <f t="array" ref="Q88">IF(OR($B88="",ISBLANK(XLOOKUP($B88,Números_Asignados,Nombres_Directorio,"",0))),"",XLOOKUP($B88,Números_Asignados,Nombres_Directorio,"",0))</f>
        <v>Manuel Martínez Rizo</v>
      </c>
      <c r="R88" s="5" t="str">
        <f t="array" ref="R88">IF(OR($B88="",ISBLANK(XLOOKUP($B88,Números_Asignados,Sucursal_Asignada,"",0))),"",XLOOKUP($B88,Números_Asignados,Sucursal_Asignada,"",0))</f>
        <v>La Piedad</v>
      </c>
      <c r="S88" s="5" t="str">
        <f t="array" ref="S88">IF(OR($B88="",ISBLANK(XLOOKUP($B88,Números_Asignados,Departamento_Asignado,"",0))),"",XLOOKUP($B88,Números_Asignados,Departamento_Asignado,"",0))</f>
        <v>Refacciones</v>
      </c>
      <c r="T88" s="5" t="str">
        <f t="array" ref="T88">IF(OR($B88="",ISBLANK(XLOOKUP($B88,Números_Asignados,Puesto_Asignado,"",0))),"",XLOOKUP($B88,Números_Asignados,Puesto_Asignado,"",0))</f>
        <v>Asesor de Refacciones Campo</v>
      </c>
      <c r="U88" s="5" t="str">
        <f t="array" ref="U88">IF(OR($B88="",ISBLANK(XLOOKUP($B88,Números_Asignados,Correos_Gmail,"",0))),"",XLOOKUP($B88,Números_Asignados,Correos_Gmail,"",0))</f>
        <v>refaccioneslapieda01@agrocisa.com.mx</v>
      </c>
      <c r="V88" s="5" t="str">
        <f t="array" ref="V88">IF(OR($B88="",ISBLANK(XLOOKUP($B88,Números_Asignados,Correos_Institucionales,"",0))),"",XLOOKUP($B88,Números_Asignados,Correos_Institucionales,"",0))</f>
        <v>manuel.martinez@agrocisa.com.mx</v>
      </c>
    </row>
    <row r="89" ht="15.75" customHeight="1">
      <c r="A89" s="5">
        <v>3.521471232E9</v>
      </c>
      <c r="B89" s="5">
        <v>3.521471232E9</v>
      </c>
      <c r="C89" s="5">
        <v>4.0</v>
      </c>
      <c r="D89" s="17">
        <v>599.0</v>
      </c>
      <c r="E89" s="5">
        <v>22.5</v>
      </c>
      <c r="F89" s="17" t="s">
        <v>780</v>
      </c>
      <c r="G89" s="23">
        <v>3.57369477214959E14</v>
      </c>
      <c r="H89" s="23" t="s">
        <v>959</v>
      </c>
      <c r="I89" s="5" t="s">
        <v>960</v>
      </c>
      <c r="J89" s="5" t="s">
        <v>776</v>
      </c>
      <c r="K89" s="23" t="s">
        <v>777</v>
      </c>
      <c r="L89" s="22" t="s">
        <v>778</v>
      </c>
      <c r="M89" s="39">
        <v>46147.0</v>
      </c>
      <c r="N89" s="22" t="s">
        <v>779</v>
      </c>
      <c r="O89" s="5"/>
      <c r="P89" s="38">
        <f t="array" ref="P89">XLOOKUP(F89,Lista_Equipos_2026,Precio_Equipos_2026," *** OJO *** ",0)</f>
        <v>10999</v>
      </c>
      <c r="Q89" s="5" t="str">
        <f t="array" ref="Q89">IF(OR($B89="",ISBLANK(XLOOKUP($B89,Números_Asignados,Nombres_Directorio,"",0))),"",XLOOKUP($B89,Números_Asignados,Nombres_Directorio,"",0))</f>
        <v>Uziel Sánchez Martínez</v>
      </c>
      <c r="R89" s="5" t="str">
        <f t="array" ref="R89">IF(OR($B89="",ISBLANK(XLOOKUP($B89,Números_Asignados,Sucursal_Asignada,"",0))),"",XLOOKUP($B89,Números_Asignados,Sucursal_Asignada,"",0))</f>
        <v>La Piedad</v>
      </c>
      <c r="S89" s="5" t="str">
        <f t="array" ref="S89">IF(OR($B89="",ISBLANK(XLOOKUP($B89,Números_Asignados,Departamento_Asignado,"",0))),"",XLOOKUP($B89,Números_Asignados,Departamento_Asignado,"",0))</f>
        <v>Refacciones</v>
      </c>
      <c r="T89" s="5" t="str">
        <f t="array" ref="T89">IF(OR($B89="",ISBLANK(XLOOKUP($B89,Números_Asignados,Puesto_Asignado,"",0))),"",XLOOKUP($B89,Números_Asignados,Puesto_Asignado,"",0))</f>
        <v>Asesor de Refacciones Campo</v>
      </c>
      <c r="U89" s="5" t="str">
        <f t="array" ref="U89">IF(OR($B89="",ISBLANK(XLOOKUP($B89,Números_Asignados,Correos_Gmail,"",0))),"",XLOOKUP($B89,Números_Asignados,Correos_Gmail,"",0))</f>
        <v>uzsanchez.agro@gmail.com</v>
      </c>
      <c r="V89" s="5" t="str">
        <f t="array" ref="V89">IF(OR($B89="",ISBLANK(XLOOKUP($B89,Números_Asignados,Correos_Institucionales,"",0))),"",XLOOKUP($B89,Números_Asignados,Correos_Institucionales,"",0))</f>
        <v>uziel.sanchez@agrocisa.com.mx</v>
      </c>
    </row>
    <row r="90" ht="15.75" customHeight="1">
      <c r="A90" s="5">
        <v>3.318629135E9</v>
      </c>
      <c r="B90" s="5">
        <v>3.31613378E9</v>
      </c>
      <c r="C90" s="5">
        <v>4.0</v>
      </c>
      <c r="D90" s="17">
        <v>599.0</v>
      </c>
      <c r="E90" s="5">
        <v>22.5</v>
      </c>
      <c r="F90" s="17" t="s">
        <v>780</v>
      </c>
      <c r="G90" s="23">
        <v>3.57369477209017E14</v>
      </c>
      <c r="H90" s="23" t="s">
        <v>961</v>
      </c>
      <c r="I90" s="5" t="s">
        <v>962</v>
      </c>
      <c r="J90" s="5" t="s">
        <v>776</v>
      </c>
      <c r="K90" s="23" t="s">
        <v>777</v>
      </c>
      <c r="L90" s="22" t="s">
        <v>778</v>
      </c>
      <c r="M90" s="39">
        <v>46147.0</v>
      </c>
      <c r="N90" s="22" t="s">
        <v>779</v>
      </c>
      <c r="O90" s="5"/>
      <c r="P90" s="38">
        <f t="array" ref="P90">XLOOKUP(F90,Lista_Equipos_2026,Precio_Equipos_2026," *** OJO *** ",0)</f>
        <v>10999</v>
      </c>
      <c r="Q90" s="5" t="str">
        <f t="array" ref="Q90">IF(OR($B90="",ISBLANK(XLOOKUP($B90,Números_Asignados,Nombres_Directorio,"",0))),"",XLOOKUP($B90,Números_Asignados,Nombres_Directorio,"",0))</f>
        <v>Elsa Guadalupe Ramírez López</v>
      </c>
      <c r="R90" s="5" t="str">
        <f t="array" ref="R90">IF(OR($B90="",ISBLANK(XLOOKUP($B90,Números_Asignados,Sucursal_Asignada,"",0))),"",XLOOKUP($B90,Números_Asignados,Sucursal_Asignada,"",0))</f>
        <v>La Piedad</v>
      </c>
      <c r="S90" s="5" t="str">
        <f t="array" ref="S90">IF(OR($B90="",ISBLANK(XLOOKUP($B90,Números_Asignados,Departamento_Asignado,"",0))),"",XLOOKUP($B90,Números_Asignados,Departamento_Asignado,"",0))</f>
        <v>Refacciones</v>
      </c>
      <c r="T90" s="5" t="str">
        <f t="array" ref="T90">IF(OR($B90="",ISBLANK(XLOOKUP($B90,Números_Asignados,Puesto_Asignado,"",0))),"",XLOOKUP($B90,Números_Asignados,Puesto_Asignado,"",0))</f>
        <v>Encargado de Refacciones Sucursal</v>
      </c>
      <c r="U90" s="5" t="str">
        <f t="array" ref="U90">IF(OR($B90="",ISBLANK(XLOOKUP($B90,Números_Asignados,Correos_Gmail,"",0))),"",XLOOKUP($B90,Números_Asignados,Correos_Gmail,"",0))</f>
        <v>refaccioneslapiedad@agrocisa.com.mx</v>
      </c>
      <c r="V90" s="5" t="str">
        <f t="array" ref="V90">IF(OR($B90="",ISBLANK(XLOOKUP($B90,Números_Asignados,Correos_Institucionales,"",0))),"",XLOOKUP($B90,Números_Asignados,Correos_Institucionales,"",0))</f>
        <v>elsa.ramirez@agrocisa.com.mx</v>
      </c>
    </row>
    <row r="91" ht="15.75" customHeight="1">
      <c r="A91" s="5">
        <v>3.31613378E9</v>
      </c>
      <c r="B91" s="5">
        <v>3.318629135E9</v>
      </c>
      <c r="C91" s="5">
        <v>4.0</v>
      </c>
      <c r="D91" s="17">
        <v>599.0</v>
      </c>
      <c r="E91" s="5">
        <v>22.5</v>
      </c>
      <c r="F91" s="17" t="s">
        <v>780</v>
      </c>
      <c r="G91" s="23">
        <v>3.5736947723757E14</v>
      </c>
      <c r="H91" s="23" t="s">
        <v>963</v>
      </c>
      <c r="I91" s="5" t="s">
        <v>964</v>
      </c>
      <c r="J91" s="5" t="s">
        <v>776</v>
      </c>
      <c r="K91" s="23" t="s">
        <v>777</v>
      </c>
      <c r="L91" s="22" t="s">
        <v>778</v>
      </c>
      <c r="M91" s="39">
        <v>46147.0</v>
      </c>
      <c r="N91" s="22" t="s">
        <v>779</v>
      </c>
      <c r="O91" s="5"/>
      <c r="P91" s="38">
        <f t="array" ref="P91">XLOOKUP(F91,Lista_Equipos_2026,Precio_Equipos_2026," *** OJO *** ",0)</f>
        <v>10999</v>
      </c>
      <c r="Q91" s="5" t="str">
        <f t="array" ref="Q91">IF(OR($B91="",ISBLANK(XLOOKUP($B91,Números_Asignados,Nombres_Directorio,"",0))),"",XLOOKUP($B91,Números_Asignados,Nombres_Directorio,"",0))</f>
        <v>María Fernanda Navarro Salazar</v>
      </c>
      <c r="R91" s="5" t="str">
        <f t="array" ref="R91">IF(OR($B91="",ISBLANK(XLOOKUP($B91,Números_Asignados,Sucursal_Asignada,"",0))),"",XLOOKUP($B91,Números_Asignados,Sucursal_Asignada,"",0))</f>
        <v>La Piedad</v>
      </c>
      <c r="S91" s="5" t="str">
        <f t="array" ref="S91">IF(OR($B91="",ISBLANK(XLOOKUP($B91,Números_Asignados,Departamento_Asignado,"",0))),"",XLOOKUP($B91,Números_Asignados,Departamento_Asignado,"",0))</f>
        <v>Servicio</v>
      </c>
      <c r="T91" s="5" t="str">
        <f t="array" ref="T91">IF(OR($B91="",ISBLANK(XLOOKUP($B91,Números_Asignados,Puesto_Asignado,"",0))),"",XLOOKUP($B91,Números_Asignados,Puesto_Asignado,"",0))</f>
        <v>Auxiliar Administrativo</v>
      </c>
      <c r="U91" s="5" t="str">
        <f t="array" ref="U91">IF(OR($B91="",ISBLANK(XLOOKUP($B91,Números_Asignados,Correos_Gmail,"",0))),"",XLOOKUP($B91,Números_Asignados,Correos_Gmail,"",0))</f>
        <v>serviciolp.agro@gmail.com</v>
      </c>
      <c r="V91" s="5" t="str">
        <f t="array" ref="V91">IF(OR($B91="",ISBLANK(XLOOKUP($B91,Números_Asignados,Correos_Institucionales,"",0))),"",XLOOKUP($B91,Números_Asignados,Correos_Institucionales,"",0))</f>
        <v>serviciolapiedad@agrocisa.com.mx</v>
      </c>
    </row>
    <row r="92" ht="15.75" customHeight="1">
      <c r="A92" s="5">
        <v>3.316114768E9</v>
      </c>
      <c r="B92" s="5">
        <v>3.316114768E9</v>
      </c>
      <c r="C92" s="5">
        <v>1.0</v>
      </c>
      <c r="D92" s="17">
        <v>269.0</v>
      </c>
      <c r="E92" s="5">
        <v>9.0</v>
      </c>
      <c r="F92" s="17" t="s">
        <v>780</v>
      </c>
      <c r="G92" s="23">
        <v>3.52010505738917E14</v>
      </c>
      <c r="H92" s="23" t="s">
        <v>965</v>
      </c>
      <c r="I92" s="5" t="s">
        <v>966</v>
      </c>
      <c r="J92" s="5" t="s">
        <v>776</v>
      </c>
      <c r="K92" s="23" t="s">
        <v>777</v>
      </c>
      <c r="L92" s="22" t="s">
        <v>778</v>
      </c>
      <c r="M92" s="39">
        <v>46147.0</v>
      </c>
      <c r="N92" s="22" t="s">
        <v>779</v>
      </c>
      <c r="O92" s="5"/>
      <c r="P92" s="38">
        <f t="array" ref="P92">XLOOKUP(F92,Lista_Equipos_2026,Precio_Equipos_2026," *** OJO *** ",0)</f>
        <v>10999</v>
      </c>
      <c r="Q92" s="5" t="str">
        <f t="array" ref="Q92">IF(OR($B92="",ISBLANK(XLOOKUP($B92,Números_Asignados,Nombres_Directorio,"",0))),"",XLOOKUP($B92,Números_Asignados,Nombres_Directorio,"",0))</f>
        <v>Abraham Rodríguez Mendoza</v>
      </c>
      <c r="R92" s="5" t="str">
        <f t="array" ref="R92">IF(OR($B92="",ISBLANK(XLOOKUP($B92,Números_Asignados,Sucursal_Asignada,"",0))),"",XLOOKUP($B92,Números_Asignados,Sucursal_Asignada,"",0))</f>
        <v>La Piedad</v>
      </c>
      <c r="S92" s="5" t="str">
        <f t="array" ref="S92">IF(OR($B92="",ISBLANK(XLOOKUP($B92,Números_Asignados,Departamento_Asignado,"",0))),"",XLOOKUP($B92,Números_Asignados,Departamento_Asignado,"",0))</f>
        <v>Servicio</v>
      </c>
      <c r="T92" s="5" t="str">
        <f t="array" ref="T92">IF(OR($B92="",ISBLANK(XLOOKUP($B92,Números_Asignados,Puesto_Asignado,"",0))),"",XLOOKUP($B92,Números_Asignados,Puesto_Asignado,"",0))</f>
        <v>Jefe de Taller</v>
      </c>
      <c r="U92" s="5" t="str">
        <f t="array" ref="U92">IF(OR($B92="",ISBLANK(XLOOKUP($B92,Números_Asignados,Correos_Gmail,"",0))),"",XLOOKUP($B92,Números_Asignados,Correos_Gmail,"",0))</f>
        <v>tallerlapiedad@agrocisa.com.mx</v>
      </c>
      <c r="V92" s="5" t="str">
        <f t="array" ref="V92">IF(OR($B92="",ISBLANK(XLOOKUP($B92,Números_Asignados,Correos_Institucionales,"",0))),"",XLOOKUP($B92,Números_Asignados,Correos_Institucionales,"",0))</f>
        <v>tallerlapiedad@agrocisa.com.mx</v>
      </c>
    </row>
    <row r="93" ht="15.75" customHeight="1">
      <c r="A93" s="5">
        <v>4.431281396E9</v>
      </c>
      <c r="B93" s="22">
        <v>3.521421218E9</v>
      </c>
      <c r="C93" s="5">
        <v>4.0</v>
      </c>
      <c r="D93" s="17">
        <v>599.0</v>
      </c>
      <c r="E93" s="5">
        <v>22.5</v>
      </c>
      <c r="F93" s="17" t="s">
        <v>780</v>
      </c>
      <c r="G93" s="23">
        <v>3.57369477229387E14</v>
      </c>
      <c r="H93" s="5" t="s">
        <v>967</v>
      </c>
      <c r="I93" s="5" t="s">
        <v>968</v>
      </c>
      <c r="J93" s="5" t="s">
        <v>776</v>
      </c>
      <c r="K93" s="5" t="s">
        <v>777</v>
      </c>
      <c r="L93" s="22" t="s">
        <v>778</v>
      </c>
      <c r="M93" s="39">
        <v>46147.0</v>
      </c>
      <c r="N93" s="22" t="s">
        <v>779</v>
      </c>
      <c r="O93" s="5"/>
      <c r="P93" s="38">
        <f t="array" ref="P93">XLOOKUP(F93,Lista_Equipos_2026,Precio_Equipos_2026," *** OJO *** ",0)</f>
        <v>10999</v>
      </c>
      <c r="Q93" s="5" t="str">
        <f t="array" ref="Q93">IF(OR($B93="",ISBLANK(XLOOKUP($B93,Números_Asignados,Nombres_Directorio,"",0))),"",XLOOKUP($B93,Números_Asignados,Nombres_Directorio,"",0))</f>
        <v>Juan Pablo Mendez Guzmán</v>
      </c>
      <c r="R93" s="5" t="str">
        <f t="array" ref="R93">IF(OR($B93="",ISBLANK(XLOOKUP($B93,Números_Asignados,Sucursal_Asignada,"",0))),"",XLOOKUP($B93,Números_Asignados,Sucursal_Asignada,"",0))</f>
        <v>La Piedad</v>
      </c>
      <c r="S93" s="5" t="str">
        <f t="array" ref="S93">IF(OR($B93="",ISBLANK(XLOOKUP($B93,Números_Asignados,Departamento_Asignado,"",0))),"",XLOOKUP($B93,Números_Asignados,Departamento_Asignado,"",0))</f>
        <v>Servicio</v>
      </c>
      <c r="T93" s="5" t="str">
        <f t="array" ref="T93">IF(OR($B93="",ISBLANK(XLOOKUP($B93,Números_Asignados,Puesto_Asignado,"",0))),"",XLOOKUP($B93,Números_Asignados,Puesto_Asignado,"",0))</f>
        <v>Promotor de Servicio</v>
      </c>
      <c r="U93" s="5" t="str">
        <f t="array" ref="U93">IF(OR($B93="",ISBLANK(XLOOKUP($B93,Números_Asignados,Correos_Gmail,"",0))),"",XLOOKUP($B93,Números_Asignados,Correos_Gmail,"",0))</f>
        <v>promotorlp.agro@gmail.com</v>
      </c>
      <c r="V93" s="5" t="str">
        <f t="array" ref="V93">IF(OR($B93="",ISBLANK(XLOOKUP($B93,Números_Asignados,Correos_Institucionales,"",0))),"",XLOOKUP($B93,Números_Asignados,Correos_Institucionales,"",0))</f>
        <v>juan.mendez@agrocisa.com.mx</v>
      </c>
    </row>
    <row r="94" ht="15.75" customHeight="1">
      <c r="A94" s="5">
        <v>3.93119646E9</v>
      </c>
      <c r="B94" s="40">
        <v>4.432078351E9</v>
      </c>
      <c r="C94" s="5">
        <v>1.0</v>
      </c>
      <c r="D94" s="17">
        <v>269.0</v>
      </c>
      <c r="E94" s="5">
        <v>9.0</v>
      </c>
      <c r="F94" s="17" t="s">
        <v>780</v>
      </c>
      <c r="G94" s="23">
        <v>3.57369477221822E14</v>
      </c>
      <c r="H94" s="23" t="s">
        <v>969</v>
      </c>
      <c r="I94" s="5" t="s">
        <v>970</v>
      </c>
      <c r="J94" s="5" t="s">
        <v>776</v>
      </c>
      <c r="K94" s="23" t="s">
        <v>777</v>
      </c>
      <c r="L94" s="22" t="s">
        <v>778</v>
      </c>
      <c r="M94" s="39">
        <v>46148.0</v>
      </c>
      <c r="N94" s="22" t="s">
        <v>779</v>
      </c>
      <c r="O94" s="5" t="s">
        <v>971</v>
      </c>
      <c r="P94" s="38">
        <f t="array" ref="P94">XLOOKUP(F94,Lista_Equipos_2026,Precio_Equipos_2026," *** OJO *** ",0)</f>
        <v>10999</v>
      </c>
      <c r="Q94" s="5" t="str">
        <f t="array" ref="Q94">IF(OR($B94="",ISBLANK(XLOOKUP($B94,Números_Asignados,Nombres_Directorio,"",0))),"",XLOOKUP($B94,Números_Asignados,Nombres_Directorio,"",0))</f>
        <v>Karla Edith Escalante Rodríguez</v>
      </c>
      <c r="R94" s="5" t="str">
        <f t="array" ref="R94">IF(OR($B94="",ISBLANK(XLOOKUP($B94,Números_Asignados,Sucursal_Asignada,"",0))),"",XLOOKUP($B94,Números_Asignados,Sucursal_Asignada,"",0))</f>
        <v>Morelia</v>
      </c>
      <c r="S94" s="5" t="str">
        <f t="array" ref="S94">IF(OR($B94="",ISBLANK(XLOOKUP($B94,Números_Asignados,Departamento_Asignado,"",0))),"",XLOOKUP($B94,Números_Asignados,Departamento_Asignado,"",0))</f>
        <v>Maquinaria</v>
      </c>
      <c r="T94" s="5" t="str">
        <f t="array" ref="T94">IF(OR($B94="",ISBLANK(XLOOKUP($B94,Números_Asignados,Puesto_Asignado,"",0))),"",XLOOKUP($B94,Números_Asignados,Puesto_Asignado,"",0))</f>
        <v>Auxiliar Administrativo</v>
      </c>
      <c r="U94" s="5" t="str">
        <f t="array" ref="U94">IF(OR($B94="",ISBLANK(XLOOKUP($B94,Números_Asignados,Correos_Gmail,"",0))),"",XLOOKUP($B94,Números_Asignados,Correos_Gmail,"",0))</f>
        <v>ventasmorelia.agro@gmail.com</v>
      </c>
      <c r="V94" s="5" t="str">
        <f t="array" ref="V94">IF(OR($B94="",ISBLANK(XLOOKUP($B94,Números_Asignados,Correos_Institucionales,"",0))),"",XLOOKUP($B94,Números_Asignados,Correos_Institucionales,"",0))</f>
        <v>ventas.morelia@agrocisa.com.mx</v>
      </c>
    </row>
    <row r="95" ht="15.75" customHeight="1">
      <c r="A95" s="5">
        <v>3.321842313E9</v>
      </c>
      <c r="B95" s="5">
        <v>3.321842313E9</v>
      </c>
      <c r="C95" s="5">
        <v>4.0</v>
      </c>
      <c r="D95" s="17">
        <v>599.0</v>
      </c>
      <c r="E95" s="5">
        <v>22.5</v>
      </c>
      <c r="F95" s="17" t="s">
        <v>785</v>
      </c>
      <c r="G95" s="23">
        <v>3.52242801085731E14</v>
      </c>
      <c r="H95" s="23" t="s">
        <v>972</v>
      </c>
      <c r="I95" s="5" t="s">
        <v>973</v>
      </c>
      <c r="J95" s="5" t="s">
        <v>776</v>
      </c>
      <c r="K95" s="23" t="s">
        <v>777</v>
      </c>
      <c r="L95" s="22" t="s">
        <v>778</v>
      </c>
      <c r="M95" s="39">
        <v>46148.0</v>
      </c>
      <c r="N95" s="22" t="s">
        <v>779</v>
      </c>
      <c r="O95" s="5"/>
      <c r="P95" s="38">
        <f t="array" ref="P95">XLOOKUP(F95,Lista_Equipos_2026,Precio_Equipos_2026," *** OJO *** ",0)</f>
        <v>15499</v>
      </c>
      <c r="Q95" s="5" t="str">
        <f t="array" ref="Q95">IF(OR($B95="",ISBLANK(XLOOKUP($B95,Números_Asignados,Nombres_Directorio,"",0))),"",XLOOKUP($B95,Números_Asignados,Nombres_Directorio,"",0))</f>
        <v>Silvia Janeth Meza Segura</v>
      </c>
      <c r="R95" s="5" t="str">
        <f t="array" ref="R95">IF(OR($B95="",ISBLANK(XLOOKUP($B95,Números_Asignados,Sucursal_Asignada,"",0))),"",XLOOKUP($B95,Números_Asignados,Sucursal_Asignada,"",0))</f>
        <v>Morelia</v>
      </c>
      <c r="S95" s="5" t="str">
        <f t="array" ref="S95">IF(OR($B95="",ISBLANK(XLOOKUP($B95,Números_Asignados,Departamento_Asignado,"",0))),"",XLOOKUP($B95,Números_Asignados,Departamento_Asignado,"",0))</f>
        <v>Maquinaria</v>
      </c>
      <c r="T95" s="5" t="str">
        <f t="array" ref="T95">IF(OR($B95="",ISBLANK(XLOOKUP($B95,Números_Asignados,Puesto_Asignado,"",0))),"",XLOOKUP($B95,Números_Asignados,Puesto_Asignado,"",0))</f>
        <v>Gerente de Sucursal</v>
      </c>
      <c r="U95" s="5" t="str">
        <f t="array" ref="U95">IF(OR($B95="",ISBLANK(XLOOKUP($B95,Números_Asignados,Correos_Gmail,"",0))),"",XLOOKUP($B95,Números_Asignados,Correos_Gmail,"",0))</f>
        <v>gerenciamorelia.agrocisa@gmail.com</v>
      </c>
      <c r="V95" s="5" t="str">
        <f t="array" ref="V95">IF(OR($B95="",ISBLANK(XLOOKUP($B95,Números_Asignados,Correos_Institucionales,"",0))),"",XLOOKUP($B95,Números_Asignados,Correos_Institucionales,"",0))</f>
        <v>gerenciamorelia@agrocisa.com.mx</v>
      </c>
    </row>
    <row r="96" ht="15.75" customHeight="1">
      <c r="A96" s="5">
        <v>3.93119711E9</v>
      </c>
      <c r="B96" s="5"/>
      <c r="C96" s="5">
        <v>2.0</v>
      </c>
      <c r="D96" s="17">
        <v>329.0</v>
      </c>
      <c r="E96" s="5">
        <v>7.5</v>
      </c>
      <c r="F96" s="5" t="s">
        <v>799</v>
      </c>
      <c r="G96" s="23">
        <v>3.50771268064781E14</v>
      </c>
      <c r="H96" s="5" t="s">
        <v>974</v>
      </c>
      <c r="I96" s="5" t="s">
        <v>975</v>
      </c>
      <c r="J96" s="5" t="s">
        <v>776</v>
      </c>
      <c r="K96" s="5" t="s">
        <v>777</v>
      </c>
      <c r="L96" s="22" t="s">
        <v>778</v>
      </c>
      <c r="M96" s="39">
        <v>46148.0</v>
      </c>
      <c r="N96" s="22" t="s">
        <v>779</v>
      </c>
      <c r="O96" s="5"/>
      <c r="P96" s="38">
        <f t="array" ref="P96">XLOOKUP(F96,Lista_Equipos_2026,Precio_Equipos_2026," *** OJO *** ",0)</f>
        <v>19999</v>
      </c>
      <c r="Q96" s="22" t="s">
        <v>561</v>
      </c>
      <c r="R96" s="5" t="s">
        <v>551</v>
      </c>
      <c r="S96" s="5" t="s">
        <v>483</v>
      </c>
      <c r="T96" s="5" t="s">
        <v>491</v>
      </c>
      <c r="U96" s="5" t="s">
        <v>758</v>
      </c>
      <c r="V96" s="5" t="s">
        <v>758</v>
      </c>
    </row>
    <row r="97" ht="15.75" customHeight="1">
      <c r="A97" s="5">
        <v>4.434913907E9</v>
      </c>
      <c r="B97" s="5">
        <v>4.434913907E9</v>
      </c>
      <c r="C97" s="5">
        <v>4.0</v>
      </c>
      <c r="D97" s="17">
        <v>599.0</v>
      </c>
      <c r="E97" s="5">
        <v>22.5</v>
      </c>
      <c r="F97" s="17" t="s">
        <v>780</v>
      </c>
      <c r="G97" s="23">
        <v>3.57369477231805E14</v>
      </c>
      <c r="H97" s="5" t="s">
        <v>976</v>
      </c>
      <c r="I97" s="5" t="s">
        <v>977</v>
      </c>
      <c r="J97" s="5" t="s">
        <v>776</v>
      </c>
      <c r="K97" s="5" t="s">
        <v>777</v>
      </c>
      <c r="L97" s="22" t="s">
        <v>778</v>
      </c>
      <c r="M97" s="39">
        <v>46148.0</v>
      </c>
      <c r="N97" s="22" t="s">
        <v>779</v>
      </c>
      <c r="O97" s="5"/>
      <c r="P97" s="38">
        <f t="array" ref="P97">XLOOKUP(F97,Lista_Equipos_2026,Precio_Equipos_2026," *** OJO *** ",0)</f>
        <v>10999</v>
      </c>
      <c r="Q97" s="5" t="str">
        <f t="array" ref="Q97">IF(OR($B97="",ISBLANK(XLOOKUP($B97,Números_Asignados,Nombres_Directorio,"",0))),"",XLOOKUP($B97,Números_Asignados,Nombres_Directorio,"",0))</f>
        <v>Ana Gabriela Trejo Loza</v>
      </c>
      <c r="R97" s="5" t="str">
        <f t="array" ref="R97">IF(OR($B97="",ISBLANK(XLOOKUP($B97,Números_Asignados,Sucursal_Asignada,"",0))),"",XLOOKUP($B97,Números_Asignados,Sucursal_Asignada,"",0))</f>
        <v>Morelia</v>
      </c>
      <c r="S97" s="5" t="str">
        <f t="array" ref="S97">IF(OR($B97="",ISBLANK(XLOOKUP($B97,Números_Asignados,Departamento_Asignado,"",0))),"",XLOOKUP($B97,Números_Asignados,Departamento_Asignado,"",0))</f>
        <v>Maquinaria Agrícola</v>
      </c>
      <c r="T97" s="5" t="str">
        <f t="array" ref="T97">IF(OR($B97="",ISBLANK(XLOOKUP($B97,Números_Asignados,Puesto_Asignado,"",0))),"",XLOOKUP($B97,Números_Asignados,Puesto_Asignado,"",0))</f>
        <v>Asesor de Ventas</v>
      </c>
      <c r="U97" s="5" t="str">
        <f t="array" ref="U97">IF(OR($B97="",ISBLANK(XLOOKUP($B97,Números_Asignados,Correos_Gmail,"",0))),"",XLOOKUP($B97,Números_Asignados,Correos_Gmail,"",0))</f>
        <v>gtrejo.agro@gmail.com</v>
      </c>
      <c r="V97" s="5" t="str">
        <f t="array" ref="V97">IF(OR($B97="",ISBLANK(XLOOKUP($B97,Números_Asignados,Correos_Institucionales,"",0))),"",XLOOKUP($B97,Números_Asignados,Correos_Institucionales,"",0))</f>
        <v>gabriela.trejo@agrocisa.com.mx</v>
      </c>
    </row>
    <row r="98" ht="15.75" customHeight="1">
      <c r="A98" s="5">
        <v>7.531153361E9</v>
      </c>
      <c r="B98" s="5">
        <v>7.531153361E9</v>
      </c>
      <c r="C98" s="5">
        <v>4.0</v>
      </c>
      <c r="D98" s="17">
        <v>599.0</v>
      </c>
      <c r="E98" s="5">
        <v>22.5</v>
      </c>
      <c r="F98" s="17" t="s">
        <v>780</v>
      </c>
      <c r="G98" s="23">
        <v>3.57369477237497E14</v>
      </c>
      <c r="H98" s="5" t="s">
        <v>978</v>
      </c>
      <c r="I98" s="5" t="s">
        <v>979</v>
      </c>
      <c r="J98" s="5" t="s">
        <v>776</v>
      </c>
      <c r="K98" s="5" t="s">
        <v>777</v>
      </c>
      <c r="L98" s="22" t="s">
        <v>778</v>
      </c>
      <c r="M98" s="39">
        <v>46148.0</v>
      </c>
      <c r="N98" s="22" t="s">
        <v>779</v>
      </c>
      <c r="O98" s="5"/>
      <c r="P98" s="38">
        <f t="array" ref="P98">XLOOKUP(F98,Lista_Equipos_2026,Precio_Equipos_2026," *** OJO *** ",0)</f>
        <v>10999</v>
      </c>
      <c r="Q98" s="5" t="str">
        <f t="array" ref="Q98">IF(OR($B98="",ISBLANK(XLOOKUP($B98,Números_Asignados,Nombres_Directorio,"",0))),"",XLOOKUP($B98,Números_Asignados,Nombres_Directorio,"",0))</f>
        <v>Hugo César Bucio López</v>
      </c>
      <c r="R98" s="5" t="str">
        <f t="array" ref="R98">IF(OR($B98="",ISBLANK(XLOOKUP($B98,Números_Asignados,Sucursal_Asignada,"",0))),"",XLOOKUP($B98,Números_Asignados,Sucursal_Asignada,"",0))</f>
        <v>Morelia</v>
      </c>
      <c r="S98" s="5" t="str">
        <f t="array" ref="S98">IF(OR($B98="",ISBLANK(XLOOKUP($B98,Números_Asignados,Departamento_Asignado,"",0))),"",XLOOKUP($B98,Números_Asignados,Departamento_Asignado,"",0))</f>
        <v>Maquinaria Agrícola</v>
      </c>
      <c r="T98" s="5" t="str">
        <f t="array" ref="T98">IF(OR($B98="",ISBLANK(XLOOKUP($B98,Números_Asignados,Puesto_Asignado,"",0))),"",XLOOKUP($B98,Números_Asignados,Puesto_Asignado,"",0))</f>
        <v>Asesor de Ventas</v>
      </c>
      <c r="U98" s="5" t="str">
        <f t="array" ref="U98">IF(OR($B98="",ISBLANK(XLOOKUP($B98,Números_Asignados,Correos_Gmail,"",0))),"",XLOOKUP($B98,Números_Asignados,Correos_Gmail,"",0))</f>
        <v>hugo.bucio.agro@gmail.com</v>
      </c>
      <c r="V98" s="5" t="str">
        <f t="array" ref="V98">IF(OR($B98="",ISBLANK(XLOOKUP($B98,Números_Asignados,Correos_Institucionales,"",0))),"",XLOOKUP($B98,Números_Asignados,Correos_Institucionales,"",0))</f>
        <v>hugo.bucio@agrocisa.com.mx</v>
      </c>
    </row>
    <row r="99" ht="15.75" customHeight="1">
      <c r="A99" s="5">
        <v>3.931583232E9</v>
      </c>
      <c r="B99" s="23">
        <v>4.431281396E9</v>
      </c>
      <c r="C99" s="5">
        <v>4.0</v>
      </c>
      <c r="D99" s="17">
        <v>599.0</v>
      </c>
      <c r="E99" s="5">
        <v>22.5</v>
      </c>
      <c r="F99" s="17" t="s">
        <v>773</v>
      </c>
      <c r="G99" s="23">
        <v>3.55174187717065E14</v>
      </c>
      <c r="H99" s="5" t="s">
        <v>980</v>
      </c>
      <c r="I99" s="5" t="s">
        <v>981</v>
      </c>
      <c r="J99" s="5" t="s">
        <v>776</v>
      </c>
      <c r="K99" s="5" t="s">
        <v>777</v>
      </c>
      <c r="L99" s="22" t="s">
        <v>778</v>
      </c>
      <c r="M99" s="39">
        <v>46148.0</v>
      </c>
      <c r="N99" s="22" t="s">
        <v>779</v>
      </c>
      <c r="O99" s="5"/>
      <c r="P99" s="38">
        <f t="array" ref="P99">XLOOKUP(F99,Lista_Equipos_2026,Precio_Equipos_2026," *** OJO *** ",0)</f>
        <v>7499</v>
      </c>
      <c r="Q99" s="5" t="str">
        <f t="array" ref="Q99">IF(OR($B99="",ISBLANK(XLOOKUP($B99,Números_Asignados,Nombres_Directorio,"",0))),"",XLOOKUP($B99,Números_Asignados,Nombres_Directorio,"",0))</f>
        <v/>
      </c>
      <c r="R99" s="5" t="str">
        <f t="array" ref="R99">IF(OR($B99="",ISBLANK(XLOOKUP($B99,Números_Asignados,Sucursal_Asignada,"",0))),"",XLOOKUP($B99,Números_Asignados,Sucursal_Asignada,"",0))</f>
        <v/>
      </c>
      <c r="S99" s="5" t="str">
        <f t="array" ref="S99">IF(OR($B99="",ISBLANK(XLOOKUP($B99,Números_Asignados,Departamento_Asignado,"",0))),"",XLOOKUP($B99,Números_Asignados,Departamento_Asignado,"",0))</f>
        <v/>
      </c>
      <c r="T99" s="5" t="str">
        <f t="array" ref="T99">IF(OR($B99="",ISBLANK(XLOOKUP($B99,Números_Asignados,Puesto_Asignado,"",0))),"",XLOOKUP($B99,Números_Asignados,Puesto_Asignado,"",0))</f>
        <v/>
      </c>
      <c r="U99" s="5" t="str">
        <f t="array" ref="U99">IF(OR($B99="",ISBLANK(XLOOKUP($B99,Números_Asignados,Correos_Gmail,"",0))),"",XLOOKUP($B99,Números_Asignados,Correos_Gmail,"",0))</f>
        <v/>
      </c>
      <c r="V99" s="5" t="str">
        <f t="array" ref="V99">IF(OR($B99="",ISBLANK(XLOOKUP($B99,Números_Asignados,Correos_Institucionales,"",0))),"",XLOOKUP($B99,Números_Asignados,Correos_Institucionales,"",0))</f>
        <v/>
      </c>
    </row>
    <row r="100" ht="15.75" customHeight="1">
      <c r="A100" s="5">
        <v>3.521420398E9</v>
      </c>
      <c r="B100" s="41">
        <v>4.432276388E9</v>
      </c>
      <c r="C100" s="5">
        <v>4.0</v>
      </c>
      <c r="D100" s="17">
        <v>599.0</v>
      </c>
      <c r="E100" s="5">
        <v>22.5</v>
      </c>
      <c r="F100" s="5" t="s">
        <v>780</v>
      </c>
      <c r="G100" s="23">
        <v>3.57369477238826E14</v>
      </c>
      <c r="H100" s="5" t="s">
        <v>982</v>
      </c>
      <c r="I100" s="22" t="s">
        <v>983</v>
      </c>
      <c r="J100" s="5" t="s">
        <v>776</v>
      </c>
      <c r="K100" s="5" t="s">
        <v>777</v>
      </c>
      <c r="L100" s="22" t="s">
        <v>778</v>
      </c>
      <c r="M100" s="39">
        <v>46148.0</v>
      </c>
      <c r="N100" s="22" t="s">
        <v>779</v>
      </c>
      <c r="O100" s="5" t="s">
        <v>813</v>
      </c>
      <c r="P100" s="38">
        <f t="array" ref="P100">XLOOKUP(F100,Lista_Equipos_2026,Precio_Equipos_2026," *** OJO *** ",0)</f>
        <v>10999</v>
      </c>
      <c r="Q100" s="5" t="str">
        <f t="array" ref="Q100">IF(OR($B100="",ISBLANK(XLOOKUP($B100,Números_Asignados,Nombres_Directorio,"",0))),"",XLOOKUP($B100,Números_Asignados,Nombres_Directorio,"",0))</f>
        <v>Juan Pablo Tapia García</v>
      </c>
      <c r="R100" s="5" t="str">
        <f t="array" ref="R100">IF(OR($B100="",ISBLANK(XLOOKUP($B100,Números_Asignados,Sucursal_Asignada,"",0))),"",XLOOKUP($B100,Números_Asignados,Sucursal_Asignada,"",0))</f>
        <v>Morelia</v>
      </c>
      <c r="S100" s="5" t="str">
        <f t="array" ref="S100">IF(OR($B100="",ISBLANK(XLOOKUP($B100,Números_Asignados,Departamento_Asignado,"",0))),"",XLOOKUP($B100,Números_Asignados,Departamento_Asignado,"",0))</f>
        <v>Maquinaria Agrícola</v>
      </c>
      <c r="T100" s="5" t="str">
        <f t="array" ref="T100">IF(OR($B100="",ISBLANK(XLOOKUP($B100,Números_Asignados,Puesto_Asignado,"",0))),"",XLOOKUP($B100,Números_Asignados,Puesto_Asignado,"",0))</f>
        <v>Asesor de Ventas</v>
      </c>
      <c r="U100" s="5" t="str">
        <f t="array" ref="U100">IF(OR($B100="",ISBLANK(XLOOKUP($B100,Números_Asignados,Correos_Gmail,"",0))),"",XLOOKUP($B100,Números_Asignados,Correos_Gmail,"",0))</f>
        <v>juanpablotapia.agro@gmail.com</v>
      </c>
      <c r="V100" s="5" t="str">
        <f t="array" ref="V100">IF(OR($B100="",ISBLANK(XLOOKUP($B100,Números_Asignados,Correos_Institucionales,"",0))),"",XLOOKUP($B100,Números_Asignados,Correos_Institucionales,"",0))</f>
        <v>juan.tapia@agrocisa.com.mx</v>
      </c>
    </row>
    <row r="101" ht="15.75" customHeight="1">
      <c r="A101" s="5">
        <v>3.316135271E9</v>
      </c>
      <c r="B101" s="5">
        <v>3.316135271E9</v>
      </c>
      <c r="C101" s="5">
        <v>4.0</v>
      </c>
      <c r="D101" s="17">
        <v>599.0</v>
      </c>
      <c r="E101" s="5">
        <v>22.5</v>
      </c>
      <c r="F101" s="17" t="s">
        <v>780</v>
      </c>
      <c r="G101" s="23">
        <v>3.57369477206542E14</v>
      </c>
      <c r="H101" s="23" t="s">
        <v>984</v>
      </c>
      <c r="I101" s="5" t="s">
        <v>985</v>
      </c>
      <c r="J101" s="5" t="s">
        <v>776</v>
      </c>
      <c r="K101" s="5" t="s">
        <v>777</v>
      </c>
      <c r="L101" s="22" t="s">
        <v>778</v>
      </c>
      <c r="M101" s="39">
        <v>46148.0</v>
      </c>
      <c r="N101" s="22" t="s">
        <v>779</v>
      </c>
      <c r="O101" s="5"/>
      <c r="P101" s="38">
        <f t="array" ref="P101">XLOOKUP(F101,Lista_Equipos_2026,Precio_Equipos_2026," *** OJO *** ",0)</f>
        <v>10999</v>
      </c>
      <c r="Q101" s="5" t="str">
        <f t="array" ref="Q101">IF(OR($B101="",ISBLANK(XLOOKUP($B101,Números_Asignados,Nombres_Directorio,"",0))),"",XLOOKUP($B101,Números_Asignados,Nombres_Directorio,"",0))</f>
        <v>Roberto Adrián Ferreira Muñiz</v>
      </c>
      <c r="R101" s="5" t="str">
        <f t="array" ref="R101">IF(OR($B101="",ISBLANK(XLOOKUP($B101,Números_Asignados,Sucursal_Asignada,"",0))),"",XLOOKUP($B101,Números_Asignados,Sucursal_Asignada,"",0))</f>
        <v>Morelia</v>
      </c>
      <c r="S101" s="5" t="str">
        <f t="array" ref="S101">IF(OR($B101="",ISBLANK(XLOOKUP($B101,Números_Asignados,Departamento_Asignado,"",0))),"",XLOOKUP($B101,Números_Asignados,Departamento_Asignado,"",0))</f>
        <v>Maquinaria Agrícola</v>
      </c>
      <c r="T101" s="5" t="str">
        <f t="array" ref="T101">IF(OR($B101="",ISBLANK(XLOOKUP($B101,Números_Asignados,Puesto_Asignado,"",0))),"",XLOOKUP($B101,Números_Asignados,Puesto_Asignado,"",0))</f>
        <v>Asesor de Ventas</v>
      </c>
      <c r="U101" s="5" t="str">
        <f t="array" ref="U101">IF(OR($B101="",ISBLANK(XLOOKUP($B101,Números_Asignados,Correos_Gmail,"",0))),"",XLOOKUP($B101,Números_Asignados,Correos_Gmail,"",0))</f>
        <v>ventasmo1.agro@gmail.com</v>
      </c>
      <c r="V101" s="5" t="str">
        <f t="array" ref="V101">IF(OR($B101="",ISBLANK(XLOOKUP($B101,Números_Asignados,Correos_Institucionales,"",0))),"",XLOOKUP($B101,Números_Asignados,Correos_Institucionales,"",0))</f>
        <v>roberto.ferreira@agrocisa.com.mx</v>
      </c>
    </row>
    <row r="102" ht="15.75" customHeight="1">
      <c r="A102" s="5">
        <v>4.434913915E9</v>
      </c>
      <c r="B102" s="5">
        <v>4.434913915E9</v>
      </c>
      <c r="C102" s="5">
        <v>4.0</v>
      </c>
      <c r="D102" s="17">
        <v>599.0</v>
      </c>
      <c r="E102" s="5">
        <v>22.5</v>
      </c>
      <c r="F102" s="17" t="s">
        <v>780</v>
      </c>
      <c r="G102" s="23">
        <v>3.57369477232829E14</v>
      </c>
      <c r="H102" s="5" t="s">
        <v>986</v>
      </c>
      <c r="I102" s="5" t="s">
        <v>987</v>
      </c>
      <c r="J102" s="5" t="s">
        <v>776</v>
      </c>
      <c r="K102" s="5" t="s">
        <v>777</v>
      </c>
      <c r="L102" s="22" t="s">
        <v>778</v>
      </c>
      <c r="M102" s="39">
        <v>46148.0</v>
      </c>
      <c r="N102" s="22" t="s">
        <v>779</v>
      </c>
      <c r="O102" s="5"/>
      <c r="P102" s="38">
        <f t="array" ref="P102">XLOOKUP(F102,Lista_Equipos_2026,Precio_Equipos_2026," *** OJO *** ",0)</f>
        <v>10999</v>
      </c>
      <c r="Q102" s="5" t="str">
        <f t="array" ref="Q102">IF(OR($B102="",ISBLANK(XLOOKUP($B102,Números_Asignados,Nombres_Directorio,"",0))),"",XLOOKUP($B102,Números_Asignados,Nombres_Directorio,"",0))</f>
        <v>José Juan Hernández Zavala </v>
      </c>
      <c r="R102" s="5" t="str">
        <f t="array" ref="R102">IF(OR($B102="",ISBLANK(XLOOKUP($B102,Números_Asignados,Sucursal_Asignada,"",0))),"",XLOOKUP($B102,Números_Asignados,Sucursal_Asignada,"",0))</f>
        <v>Morelia</v>
      </c>
      <c r="S102" s="5" t="str">
        <f t="array" ref="S102">IF(OR($B102="",ISBLANK(XLOOKUP($B102,Números_Asignados,Departamento_Asignado,"",0))),"",XLOOKUP($B102,Números_Asignados,Departamento_Asignado,"",0))</f>
        <v>Maquinaria Construcción</v>
      </c>
      <c r="T102" s="5" t="str">
        <f t="array" ref="T102">IF(OR($B102="",ISBLANK(XLOOKUP($B102,Números_Asignados,Puesto_Asignado,"",0))),"",XLOOKUP($B102,Números_Asignados,Puesto_Asignado,"",0))</f>
        <v>Asesor de Ventas</v>
      </c>
      <c r="U102" s="5" t="str">
        <f t="array" ref="U102">IF(OR($B102="",ISBLANK(XLOOKUP($B102,Números_Asignados,Correos_Gmail,"",0))),"",XLOOKUP($B102,Números_Asignados,Correos_Gmail,"",0))</f>
        <v>construcciontc2.agro@gmail.com</v>
      </c>
      <c r="V102" s="5" t="str">
        <f t="array" ref="V102">IF(OR($B102="",ISBLANK(XLOOKUP($B102,Números_Asignados,Correos_Institucionales,"",0))),"",XLOOKUP($B102,Números_Asignados,Correos_Institucionales,"",0))</f>
        <v>construccion.tc2@agrocisa.com.mx</v>
      </c>
    </row>
    <row r="103" ht="15.75" customHeight="1">
      <c r="A103" s="5">
        <v>4.43264681E9</v>
      </c>
      <c r="B103" s="5">
        <v>4.43264681E9</v>
      </c>
      <c r="C103" s="5">
        <v>2.0</v>
      </c>
      <c r="D103" s="17">
        <v>329.0</v>
      </c>
      <c r="E103" s="5">
        <v>7.5</v>
      </c>
      <c r="F103" s="5" t="s">
        <v>780</v>
      </c>
      <c r="G103" s="23">
        <v>3.57369477238933E14</v>
      </c>
      <c r="H103" s="5" t="s">
        <v>988</v>
      </c>
      <c r="I103" s="5" t="s">
        <v>989</v>
      </c>
      <c r="J103" s="5" t="s">
        <v>776</v>
      </c>
      <c r="K103" s="5" t="s">
        <v>777</v>
      </c>
      <c r="L103" s="22" t="s">
        <v>778</v>
      </c>
      <c r="M103" s="37"/>
      <c r="N103" s="22" t="s">
        <v>779</v>
      </c>
      <c r="O103" s="5"/>
      <c r="P103" s="38">
        <f t="array" ref="P103">XLOOKUP(F103,Lista_Equipos_2026,Precio_Equipos_2026," *** OJO *** ",0)</f>
        <v>10999</v>
      </c>
      <c r="Q103" s="5" t="str">
        <f t="array" ref="Q103">IF(OR($B103="",ISBLANK(XLOOKUP($B103,Números_Asignados,Nombres_Directorio,"",0))),"",XLOOKUP($B103,Números_Asignados,Nombres_Directorio,"",0))</f>
        <v>Juan José Aviña</v>
      </c>
      <c r="R103" s="5" t="str">
        <f t="array" ref="R103">IF(OR($B103="",ISBLANK(XLOOKUP($B103,Números_Asignados,Sucursal_Asignada,"",0))),"",XLOOKUP($B103,Números_Asignados,Sucursal_Asignada,"",0))</f>
        <v>Morelia</v>
      </c>
      <c r="S103" s="5" t="str">
        <f t="array" ref="S103">IF(OR($B103="",ISBLANK(XLOOKUP($B103,Números_Asignados,Departamento_Asignado,"",0))),"",XLOOKUP($B103,Números_Asignados,Departamento_Asignado,"",0))</f>
        <v>Maquinaria Construcción</v>
      </c>
      <c r="T103" s="5" t="str">
        <f t="array" ref="T103">IF(OR($B103="",ISBLANK(XLOOKUP($B103,Números_Asignados,Puesto_Asignado,"",0))),"",XLOOKUP($B103,Números_Asignados,Puesto_Asignado,"",0))</f>
        <v>Asesor de Ventas</v>
      </c>
      <c r="U103" s="5" t="str">
        <f t="array" ref="U103">IF(OR($B103="",ISBLANK(XLOOKUP($B103,Números_Asignados,Correos_Gmail,"",0))),"",XLOOKUP($B103,Números_Asignados,Correos_Gmail,"",0))</f>
        <v>javina.agro@gmail.com</v>
      </c>
      <c r="V103" s="5" t="str">
        <f t="array" ref="V103">IF(OR($B103="",ISBLANK(XLOOKUP($B103,Números_Asignados,Correos_Institucionales,"",0))),"",XLOOKUP($B103,Números_Asignados,Correos_Institucionales,"",0))</f>
        <v>juan.avina@agrocisa.com.mx</v>
      </c>
    </row>
    <row r="104" ht="15.75" customHeight="1">
      <c r="A104" s="5">
        <v>4.432725034E9</v>
      </c>
      <c r="B104" s="5">
        <v>4.432725034E9</v>
      </c>
      <c r="C104" s="5" t="s">
        <v>52</v>
      </c>
      <c r="D104" s="17">
        <v>229.0</v>
      </c>
      <c r="E104" s="5">
        <v>4.5</v>
      </c>
      <c r="F104" s="5" t="s">
        <v>780</v>
      </c>
      <c r="G104" s="23">
        <v>3.57369477239048E14</v>
      </c>
      <c r="H104" s="5" t="s">
        <v>990</v>
      </c>
      <c r="I104" s="5" t="s">
        <v>991</v>
      </c>
      <c r="J104" s="5" t="s">
        <v>776</v>
      </c>
      <c r="K104" s="5" t="s">
        <v>777</v>
      </c>
      <c r="L104" s="22" t="s">
        <v>778</v>
      </c>
      <c r="M104" s="39">
        <v>46148.0</v>
      </c>
      <c r="N104" s="22" t="s">
        <v>779</v>
      </c>
      <c r="O104" s="5"/>
      <c r="P104" s="38">
        <f t="array" ref="P104">XLOOKUP(F104,Lista_Equipos_2026,Precio_Equipos_2026," *** OJO *** ",0)</f>
        <v>10999</v>
      </c>
      <c r="Q104" s="5" t="str">
        <f t="array" ref="Q104">IF(OR($B104="",ISBLANK(XLOOKUP($B104,Números_Asignados,Nombres_Directorio,"",0))),"",XLOOKUP($B104,Números_Asignados,Nombres_Directorio,"",0))</f>
        <v>Joel Velázquez Jaime</v>
      </c>
      <c r="R104" s="5" t="str">
        <f t="array" ref="R104">IF(OR($B104="",ISBLANK(XLOOKUP($B104,Números_Asignados,Sucursal_Asignada,"",0))),"",XLOOKUP($B104,Números_Asignados,Sucursal_Asignada,"",0))</f>
        <v>Morelia</v>
      </c>
      <c r="S104" s="5" t="str">
        <f t="array" ref="S104">IF(OR($B104="",ISBLANK(XLOOKUP($B104,Números_Asignados,Departamento_Asignado,"",0))),"",XLOOKUP($B104,Números_Asignados,Departamento_Asignado,"",0))</f>
        <v>Maquinaria Agrícola</v>
      </c>
      <c r="T104" s="5" t="str">
        <f t="array" ref="T104">IF(OR($B104="",ISBLANK(XLOOKUP($B104,Números_Asignados,Puesto_Asignado,"",0))),"",XLOOKUP($B104,Números_Asignados,Puesto_Asignado,"",0))</f>
        <v>Asesor de Ventas</v>
      </c>
      <c r="U104" s="5" t="str">
        <f t="array" ref="U104">IF(OR($B104="",ISBLANK(XLOOKUP($B104,Números_Asignados,Correos_Gmail,"",0))),"",XLOOKUP($B104,Números_Asignados,Correos_Gmail,"",0))</f>
        <v>joel.velazquez@agrocisa.com.mx</v>
      </c>
      <c r="V104" s="5" t="str">
        <f t="array" ref="V104">IF(OR($B104="",ISBLANK(XLOOKUP($B104,Números_Asignados,Correos_Institucionales,"",0))),"",XLOOKUP($B104,Números_Asignados,Correos_Institucionales,"",0))</f>
        <v>joel.velazquez@agrocisa.com.mx</v>
      </c>
    </row>
    <row r="105" ht="15.75" customHeight="1">
      <c r="A105" s="5">
        <v>4.431415536E9</v>
      </c>
      <c r="B105" s="5">
        <v>4.431415536E9</v>
      </c>
      <c r="C105" s="5">
        <v>4.0</v>
      </c>
      <c r="D105" s="17">
        <v>599.0</v>
      </c>
      <c r="E105" s="5">
        <v>22.5</v>
      </c>
      <c r="F105" s="17" t="s">
        <v>780</v>
      </c>
      <c r="G105" s="23">
        <v>3.57369477230047E14</v>
      </c>
      <c r="H105" s="5" t="s">
        <v>992</v>
      </c>
      <c r="I105" s="5" t="s">
        <v>993</v>
      </c>
      <c r="J105" s="5" t="s">
        <v>776</v>
      </c>
      <c r="K105" s="5" t="s">
        <v>777</v>
      </c>
      <c r="L105" s="22" t="s">
        <v>778</v>
      </c>
      <c r="M105" s="39">
        <v>46148.0</v>
      </c>
      <c r="N105" s="22" t="s">
        <v>779</v>
      </c>
      <c r="O105" s="5"/>
      <c r="P105" s="38">
        <f t="array" ref="P105">XLOOKUP(F105,Lista_Equipos_2026,Precio_Equipos_2026," *** OJO *** ",0)</f>
        <v>10999</v>
      </c>
      <c r="Q105" s="5" t="str">
        <f t="array" ref="Q105">IF(OR($B105="",ISBLANK(XLOOKUP($B105,Números_Asignados,Nombres_Directorio,"",0))),"",XLOOKUP($B105,Números_Asignados,Nombres_Directorio,"",0))</f>
        <v>Jaime Salazar Guzmán</v>
      </c>
      <c r="R105" s="5" t="str">
        <f t="array" ref="R105">IF(OR($B105="",ISBLANK(XLOOKUP($B105,Números_Asignados,Sucursal_Asignada,"",0))),"",XLOOKUP($B105,Números_Asignados,Sucursal_Asignada,"",0))</f>
        <v>Morelia</v>
      </c>
      <c r="S105" s="5" t="str">
        <f t="array" ref="S105">IF(OR($B105="",ISBLANK(XLOOKUP($B105,Números_Asignados,Departamento_Asignado,"",0))),"",XLOOKUP($B105,Números_Asignados,Departamento_Asignado,"",0))</f>
        <v>Refacciones</v>
      </c>
      <c r="T105" s="5" t="str">
        <f t="array" ref="T105">IF(OR($B105="",ISBLANK(XLOOKUP($B105,Números_Asignados,Puesto_Asignado,"",0))),"",XLOOKUP($B105,Números_Asignados,Puesto_Asignado,"",0))</f>
        <v>Asesor de Refacciones Campo</v>
      </c>
      <c r="U105" s="5" t="str">
        <f t="array" ref="U105">IF(OR($B105="",ISBLANK(XLOOKUP($B105,Números_Asignados,Correos_Gmail,"",0))),"",XLOOKUP($B105,Números_Asignados,Correos_Gmail,"",0))</f>
        <v>jaimesalazar.agro@gmail.com</v>
      </c>
      <c r="V105" s="5" t="str">
        <f t="array" ref="V105">IF(OR($B105="",ISBLANK(XLOOKUP($B105,Números_Asignados,Correos_Institucionales,"",0))),"",XLOOKUP($B105,Números_Asignados,Correos_Institucionales,"",0))</f>
        <v>jaime.salazar@agrocisa.com.mx</v>
      </c>
    </row>
    <row r="106" ht="15.75" customHeight="1">
      <c r="A106" s="5">
        <v>4.434108665E9</v>
      </c>
      <c r="B106" s="5">
        <v>4.434108665E9</v>
      </c>
      <c r="C106" s="5">
        <v>1.0</v>
      </c>
      <c r="D106" s="17">
        <v>269.0</v>
      </c>
      <c r="E106" s="5">
        <v>9.0</v>
      </c>
      <c r="F106" s="17" t="s">
        <v>780</v>
      </c>
      <c r="G106" s="23">
        <v>3.52010505764103E14</v>
      </c>
      <c r="H106" s="5" t="s">
        <v>994</v>
      </c>
      <c r="I106" s="5" t="s">
        <v>995</v>
      </c>
      <c r="J106" s="5" t="s">
        <v>776</v>
      </c>
      <c r="K106" s="5" t="s">
        <v>777</v>
      </c>
      <c r="L106" s="22" t="s">
        <v>778</v>
      </c>
      <c r="M106" s="39">
        <v>46148.0</v>
      </c>
      <c r="N106" s="22" t="s">
        <v>779</v>
      </c>
      <c r="O106" s="5"/>
      <c r="P106" s="38">
        <f t="array" ref="P106">XLOOKUP(F106,Lista_Equipos_2026,Precio_Equipos_2026," *** OJO *** ",0)</f>
        <v>10999</v>
      </c>
      <c r="Q106" s="5" t="str">
        <f t="array" ref="Q106">IF(OR($B106="",ISBLANK(XLOOKUP($B106,Números_Asignados,Nombres_Directorio,"",0))),"",XLOOKUP($B106,Números_Asignados,Nombres_Directorio,"",0))</f>
        <v>Juan José Márquez Villanueva</v>
      </c>
      <c r="R106" s="5" t="str">
        <f t="array" ref="R106">IF(OR($B106="",ISBLANK(XLOOKUP($B106,Números_Asignados,Sucursal_Asignada,"",0))),"",XLOOKUP($B106,Números_Asignados,Sucursal_Asignada,"",0))</f>
        <v>Morelia</v>
      </c>
      <c r="S106" s="5" t="str">
        <f t="array" ref="S106">IF(OR($B106="",ISBLANK(XLOOKUP($B106,Números_Asignados,Departamento_Asignado,"",0))),"",XLOOKUP($B106,Números_Asignados,Departamento_Asignado,"",0))</f>
        <v>Refacciones</v>
      </c>
      <c r="T106" s="5" t="str">
        <f t="array" ref="T106">IF(OR($B106="",ISBLANK(XLOOKUP($B106,Números_Asignados,Puesto_Asignado,"",0))),"",XLOOKUP($B106,Números_Asignados,Puesto_Asignado,"",0))</f>
        <v>Asesor de Refacciones Campo</v>
      </c>
      <c r="U106" s="5" t="str">
        <f t="array" ref="U106">IF(OR($B106="",ISBLANK(XLOOKUP($B106,Números_Asignados,Correos_Gmail,"",0))),"",XLOOKUP($B106,Números_Asignados,Correos_Gmail,"",0))</f>
        <v>refacciones.mozona02.agro@gmail.com</v>
      </c>
      <c r="V106" s="5" t="str">
        <f t="array" ref="V106">IF(OR($B106="",ISBLANK(XLOOKUP($B106,Números_Asignados,Correos_Institucionales,"",0))),"",XLOOKUP($B106,Números_Asignados,Correos_Institucionales,"",0))</f>
        <v>juan.marquez@agrocisa.com.mx</v>
      </c>
    </row>
    <row r="107" ht="15.75" customHeight="1">
      <c r="A107" s="5">
        <v>4.431677121E9</v>
      </c>
      <c r="B107" s="5">
        <v>4.431677121E9</v>
      </c>
      <c r="C107" s="5">
        <v>4.0</v>
      </c>
      <c r="D107" s="17">
        <v>599.0</v>
      </c>
      <c r="E107" s="5">
        <v>22.5</v>
      </c>
      <c r="F107" s="17" t="s">
        <v>780</v>
      </c>
      <c r="G107" s="23">
        <v>3.57369477231714E14</v>
      </c>
      <c r="H107" s="5" t="s">
        <v>996</v>
      </c>
      <c r="I107" s="5" t="s">
        <v>997</v>
      </c>
      <c r="J107" s="5" t="s">
        <v>776</v>
      </c>
      <c r="K107" s="5" t="s">
        <v>777</v>
      </c>
      <c r="L107" s="22" t="s">
        <v>778</v>
      </c>
      <c r="M107" s="39">
        <v>46148.0</v>
      </c>
      <c r="N107" s="22" t="s">
        <v>779</v>
      </c>
      <c r="O107" s="5"/>
      <c r="P107" s="38">
        <f t="array" ref="P107">XLOOKUP(F107,Lista_Equipos_2026,Precio_Equipos_2026," *** OJO *** ",0)</f>
        <v>10999</v>
      </c>
      <c r="Q107" s="5" t="str">
        <f t="array" ref="Q107">IF(OR($B107="",ISBLANK(XLOOKUP($B107,Números_Asignados,Nombres_Directorio,"",0))),"",XLOOKUP($B107,Números_Asignados,Nombres_Directorio,"",0))</f>
        <v>Yadira Torres Barajas</v>
      </c>
      <c r="R107" s="5" t="str">
        <f t="array" ref="R107">IF(OR($B107="",ISBLANK(XLOOKUP($B107,Números_Asignados,Sucursal_Asignada,"",0))),"",XLOOKUP($B107,Números_Asignados,Sucursal_Asignada,"",0))</f>
        <v>Morelia</v>
      </c>
      <c r="S107" s="5" t="str">
        <f t="array" ref="S107">IF(OR($B107="",ISBLANK(XLOOKUP($B107,Números_Asignados,Departamento_Asignado,"",0))),"",XLOOKUP($B107,Números_Asignados,Departamento_Asignado,"",0))</f>
        <v>Refacciones</v>
      </c>
      <c r="T107" s="5" t="str">
        <f t="array" ref="T107">IF(OR($B107="",ISBLANK(XLOOKUP($B107,Números_Asignados,Puesto_Asignado,"",0))),"",XLOOKUP($B107,Números_Asignados,Puesto_Asignado,"",0))</f>
        <v>Encargado de Refacciones Sucursal</v>
      </c>
      <c r="U107" s="5" t="str">
        <f t="array" ref="U107">IF(OR($B107="",ISBLANK(XLOOKUP($B107,Números_Asignados,Correos_Gmail,"",0))),"",XLOOKUP($B107,Números_Asignados,Correos_Gmail,"",0))</f>
        <v>refamostradormorelia.agro@gmail.com</v>
      </c>
      <c r="V107" s="5" t="str">
        <f t="array" ref="V107">IF(OR($B107="",ISBLANK(XLOOKUP($B107,Números_Asignados,Correos_Institucionales,"",0))),"",XLOOKUP($B107,Números_Asignados,Correos_Institucionales,"",0))</f>
        <v>yadira.torres@agrocisa.com.mx</v>
      </c>
    </row>
    <row r="108" ht="15.75" customHeight="1">
      <c r="A108" s="5">
        <v>4.434913913E9</v>
      </c>
      <c r="B108" s="5">
        <v>4.434913913E9</v>
      </c>
      <c r="C108" s="5">
        <v>1.0</v>
      </c>
      <c r="D108" s="17">
        <v>269.0</v>
      </c>
      <c r="E108" s="5">
        <v>9.0</v>
      </c>
      <c r="F108" s="17" t="s">
        <v>780</v>
      </c>
      <c r="G108" s="23">
        <v>3.52010505764202E14</v>
      </c>
      <c r="H108" s="5" t="s">
        <v>998</v>
      </c>
      <c r="I108" s="5" t="s">
        <v>999</v>
      </c>
      <c r="J108" s="5" t="s">
        <v>776</v>
      </c>
      <c r="K108" s="5" t="s">
        <v>777</v>
      </c>
      <c r="L108" s="22" t="s">
        <v>778</v>
      </c>
      <c r="M108" s="39">
        <v>46148.0</v>
      </c>
      <c r="N108" s="22" t="s">
        <v>779</v>
      </c>
      <c r="O108" s="5"/>
      <c r="P108" s="38">
        <f t="array" ref="P108">XLOOKUP(F108,Lista_Equipos_2026,Precio_Equipos_2026," *** OJO *** ",0)</f>
        <v>10999</v>
      </c>
      <c r="Q108" s="5" t="str">
        <f t="array" ref="Q108">IF(OR($B108="",ISBLANK(XLOOKUP($B108,Números_Asignados,Nombres_Directorio,"",0))),"",XLOOKUP($B108,Números_Asignados,Nombres_Directorio,"",0))</f>
        <v>Gabriela González Hinojosa</v>
      </c>
      <c r="R108" s="5" t="str">
        <f t="array" ref="R108">IF(OR($B108="",ISBLANK(XLOOKUP($B108,Números_Asignados,Sucursal_Asignada,"",0))),"",XLOOKUP($B108,Números_Asignados,Sucursal_Asignada,"",0))</f>
        <v>Morelia</v>
      </c>
      <c r="S108" s="5" t="str">
        <f t="array" ref="S108">IF(OR($B108="",ISBLANK(XLOOKUP($B108,Números_Asignados,Departamento_Asignado,"",0))),"",XLOOKUP($B108,Números_Asignados,Departamento_Asignado,"",0))</f>
        <v>Servicio</v>
      </c>
      <c r="T108" s="5" t="str">
        <f t="array" ref="T108">IF(OR($B108="",ISBLANK(XLOOKUP($B108,Números_Asignados,Puesto_Asignado,"",0))),"",XLOOKUP($B108,Números_Asignados,Puesto_Asignado,"",0))</f>
        <v>Auxiliar Administrativo</v>
      </c>
      <c r="U108" s="5" t="str">
        <f t="array" ref="U108">IF(OR($B108="",ISBLANK(XLOOKUP($B108,Números_Asignados,Correos_Gmail,"",0))),"",XLOOKUP($B108,Números_Asignados,Correos_Gmail,"",0))</f>
        <v>servicio.mo.agro@gmail.com</v>
      </c>
      <c r="V108" s="5" t="str">
        <f t="array" ref="V108">IF(OR($B108="",ISBLANK(XLOOKUP($B108,Números_Asignados,Correos_Institucionales,"",0))),"",XLOOKUP($B108,Números_Asignados,Correos_Institucionales,"",0))</f>
        <v>serviciomorelia@agrocisa.com.mx</v>
      </c>
    </row>
    <row r="109" ht="15.75" customHeight="1">
      <c r="A109" s="5">
        <v>4.434108329E9</v>
      </c>
      <c r="B109" s="5">
        <v>4.434108329E9</v>
      </c>
      <c r="C109" s="5">
        <v>4.0</v>
      </c>
      <c r="D109" s="17">
        <v>599.0</v>
      </c>
      <c r="E109" s="5">
        <v>22.5</v>
      </c>
      <c r="F109" s="17" t="s">
        <v>780</v>
      </c>
      <c r="G109" s="23">
        <v>3.57369477231763E14</v>
      </c>
      <c r="H109" s="5" t="s">
        <v>1000</v>
      </c>
      <c r="I109" s="5" t="s">
        <v>1001</v>
      </c>
      <c r="J109" s="5" t="s">
        <v>776</v>
      </c>
      <c r="K109" s="5" t="s">
        <v>777</v>
      </c>
      <c r="L109" s="22" t="s">
        <v>778</v>
      </c>
      <c r="M109" s="39">
        <v>46148.0</v>
      </c>
      <c r="N109" s="22" t="s">
        <v>779</v>
      </c>
      <c r="O109" s="5"/>
      <c r="P109" s="38">
        <f t="array" ref="P109">XLOOKUP(F109,Lista_Equipos_2026,Precio_Equipos_2026," *** OJO *** ",0)</f>
        <v>10999</v>
      </c>
      <c r="Q109" s="5" t="str">
        <f t="array" ref="Q109">IF(OR($B109="",ISBLANK(XLOOKUP($B109,Números_Asignados,Nombres_Directorio,"",0))),"",XLOOKUP($B109,Números_Asignados,Nombres_Directorio,"",0))</f>
        <v>Vacante Jefe de Taller Morelia</v>
      </c>
      <c r="R109" s="5" t="str">
        <f t="array" ref="R109">IF(OR($B109="",ISBLANK(XLOOKUP($B109,Números_Asignados,Sucursal_Asignada,"",0))),"",XLOOKUP($B109,Números_Asignados,Sucursal_Asignada,"",0))</f>
        <v>Morelia</v>
      </c>
      <c r="S109" s="5" t="str">
        <f t="array" ref="S109">IF(OR($B109="",ISBLANK(XLOOKUP($B109,Números_Asignados,Departamento_Asignado,"",0))),"",XLOOKUP($B109,Números_Asignados,Departamento_Asignado,"",0))</f>
        <v>Servicio</v>
      </c>
      <c r="T109" s="5" t="str">
        <f t="array" ref="T109">IF(OR($B109="",ISBLANK(XLOOKUP($B109,Números_Asignados,Puesto_Asignado,"",0))),"",XLOOKUP($B109,Números_Asignados,Puesto_Asignado,"",0))</f>
        <v>Jefe de Taller</v>
      </c>
      <c r="U109" s="5" t="str">
        <f t="array" ref="U109">IF(OR($B109="",ISBLANK(XLOOKUP($B109,Números_Asignados,Correos_Gmail,"",0))),"",XLOOKUP($B109,Números_Asignados,Correos_Gmail,"",0))</f>
        <v>tallermor.agro@gmail.com</v>
      </c>
      <c r="V109" s="5" t="str">
        <f t="array" ref="V109">IF(OR($B109="",ISBLANK(XLOOKUP($B109,Números_Asignados,Correos_Institucionales,"",0))),"",XLOOKUP($B109,Números_Asignados,Correos_Institucionales,"",0))</f>
        <v>tallermorelia@agrocisa.com.mx</v>
      </c>
    </row>
    <row r="110" ht="15.75" customHeight="1">
      <c r="A110" s="5">
        <v>3.931073664E9</v>
      </c>
      <c r="B110" s="5">
        <v>3.931073664E9</v>
      </c>
      <c r="C110" s="5">
        <v>1.0</v>
      </c>
      <c r="D110" s="17">
        <v>269.0</v>
      </c>
      <c r="E110" s="5">
        <v>9.0</v>
      </c>
      <c r="F110" s="17" t="s">
        <v>780</v>
      </c>
      <c r="G110" s="23">
        <v>3.52010505754575E14</v>
      </c>
      <c r="H110" s="23" t="s">
        <v>1002</v>
      </c>
      <c r="I110" s="5" t="s">
        <v>1003</v>
      </c>
      <c r="J110" s="5" t="s">
        <v>776</v>
      </c>
      <c r="K110" s="23" t="s">
        <v>777</v>
      </c>
      <c r="L110" s="22" t="s">
        <v>778</v>
      </c>
      <c r="M110" s="39">
        <v>46147.0</v>
      </c>
      <c r="N110" s="22" t="s">
        <v>779</v>
      </c>
      <c r="O110" s="5"/>
      <c r="P110" s="38">
        <f t="array" ref="P110">XLOOKUP(F110,Lista_Equipos_2026,Precio_Equipos_2026," *** OJO *** ",0)</f>
        <v>10999</v>
      </c>
      <c r="Q110" s="5" t="str">
        <f t="array" ref="Q110">IF(OR($B110="",ISBLANK(XLOOKUP($B110,Números_Asignados,Nombres_Directorio,"",0))),"",XLOOKUP($B110,Números_Asignados,Nombres_Directorio,"",0))</f>
        <v>Nancy Yaneth Arroyo Cabello</v>
      </c>
      <c r="R110" s="5" t="str">
        <f t="array" ref="R110">IF(OR($B110="",ISBLANK(XLOOKUP($B110,Números_Asignados,Sucursal_Asignada,"",0))),"",XLOOKUP($B110,Números_Asignados,Sucursal_Asignada,"",0))</f>
        <v>Pénjamo</v>
      </c>
      <c r="S110" s="5" t="str">
        <f t="array" ref="S110">IF(OR($B110="",ISBLANK(XLOOKUP($B110,Números_Asignados,Departamento_Asignado,"",0))),"",XLOOKUP($B110,Números_Asignados,Departamento_Asignado,"",0))</f>
        <v>Maquinaria</v>
      </c>
      <c r="T110" s="5" t="str">
        <f t="array" ref="T110">IF(OR($B110="",ISBLANK(XLOOKUP($B110,Números_Asignados,Puesto_Asignado,"",0))),"",XLOOKUP($B110,Números_Asignados,Puesto_Asignado,"",0))</f>
        <v>Auxiliar Administrativo</v>
      </c>
      <c r="U110" s="5" t="str">
        <f t="array" ref="U110">IF(OR($B110="",ISBLANK(XLOOKUP($B110,Números_Asignados,Correos_Gmail,"",0))),"",XLOOKUP($B110,Números_Asignados,Correos_Gmail,"",0))</f>
        <v>ventaspenjamo@agrocisa.com.mx</v>
      </c>
      <c r="V110" s="5" t="str">
        <f t="array" ref="V110">IF(OR($B110="",ISBLANK(XLOOKUP($B110,Números_Asignados,Correos_Institucionales,"",0))),"",XLOOKUP($B110,Números_Asignados,Correos_Institucionales,"",0))</f>
        <v>ventaspenjamo@agrocisa.com.mx</v>
      </c>
    </row>
    <row r="111" ht="15.75" customHeight="1">
      <c r="A111" s="5">
        <v>3.931196086E9</v>
      </c>
      <c r="B111" s="5">
        <v>3.931196086E9</v>
      </c>
      <c r="C111" s="5">
        <v>4.0</v>
      </c>
      <c r="D111" s="17">
        <v>599.0</v>
      </c>
      <c r="E111" s="5">
        <v>22.5</v>
      </c>
      <c r="F111" s="17" t="s">
        <v>773</v>
      </c>
      <c r="G111" s="23">
        <v>3.55174187708981E14</v>
      </c>
      <c r="H111" s="23" t="s">
        <v>1004</v>
      </c>
      <c r="I111" s="5" t="s">
        <v>1005</v>
      </c>
      <c r="J111" s="23" t="s">
        <v>776</v>
      </c>
      <c r="K111" s="23" t="s">
        <v>777</v>
      </c>
      <c r="L111" s="22" t="s">
        <v>778</v>
      </c>
      <c r="M111" s="39">
        <v>46147.0</v>
      </c>
      <c r="N111" s="22" t="s">
        <v>779</v>
      </c>
      <c r="O111" s="5"/>
      <c r="P111" s="38">
        <f t="array" ref="P111">XLOOKUP(F111,Lista_Equipos_2026,Precio_Equipos_2026," *** OJO *** ",0)</f>
        <v>7499</v>
      </c>
      <c r="Q111" s="5" t="str">
        <f t="array" ref="Q111">IF(OR($B111="",ISBLANK(XLOOKUP($B111,Números_Asignados,Nombres_Directorio,"",0))),"",XLOOKUP($B111,Números_Asignados,Nombres_Directorio,"",0))</f>
        <v>Victor Hugo Avilez Gutiérrez</v>
      </c>
      <c r="R111" s="5" t="str">
        <f t="array" ref="R111">IF(OR($B111="",ISBLANK(XLOOKUP($B111,Números_Asignados,Sucursal_Asignada,"",0))),"",XLOOKUP($B111,Números_Asignados,Sucursal_Asignada,"",0))</f>
        <v>Pénjamo</v>
      </c>
      <c r="S111" s="5" t="str">
        <f t="array" ref="S111">IF(OR($B111="",ISBLANK(XLOOKUP($B111,Números_Asignados,Departamento_Asignado,"",0))),"",XLOOKUP($B111,Números_Asignados,Departamento_Asignado,"",0))</f>
        <v>Maquinaria</v>
      </c>
      <c r="T111" s="5" t="str">
        <f t="array" ref="T111">IF(OR($B111="",ISBLANK(XLOOKUP($B111,Números_Asignados,Puesto_Asignado,"",0))),"",XLOOKUP($B111,Números_Asignados,Puesto_Asignado,"",0))</f>
        <v>Chofer</v>
      </c>
      <c r="U111" s="5" t="str">
        <f t="array" ref="U111">IF(OR($B111="",ISBLANK(XLOOKUP($B111,Números_Asignados,Correos_Gmail,"",0))),"",XLOOKUP($B111,Números_Asignados,Correos_Gmail,"",0))</f>
        <v>choferpenjamo@agrocisa.com.mx</v>
      </c>
      <c r="V111" s="5" t="str">
        <f t="array" ref="V111">IF(OR($B111="",ISBLANK(XLOOKUP($B111,Números_Asignados,Correos_Institucionales,"",0))),"",XLOOKUP($B111,Números_Asignados,Correos_Institucionales,"",0))</f>
        <v>choferpenjamo@agrocisa.com.mx</v>
      </c>
    </row>
    <row r="112" ht="15.75" customHeight="1">
      <c r="A112" s="5">
        <v>3.33152505E9</v>
      </c>
      <c r="B112" s="5">
        <v>3.33152505E9</v>
      </c>
      <c r="C112" s="5">
        <v>4.0</v>
      </c>
      <c r="D112" s="17">
        <v>599.0</v>
      </c>
      <c r="E112" s="5">
        <v>22.5</v>
      </c>
      <c r="F112" s="17" t="s">
        <v>942</v>
      </c>
      <c r="G112" s="23">
        <v>3.53199691144474E14</v>
      </c>
      <c r="H112" s="23" t="s">
        <v>1006</v>
      </c>
      <c r="I112" s="5" t="s">
        <v>1007</v>
      </c>
      <c r="J112" s="5" t="s">
        <v>776</v>
      </c>
      <c r="K112" s="23" t="s">
        <v>777</v>
      </c>
      <c r="L112" s="22" t="s">
        <v>778</v>
      </c>
      <c r="M112" s="39">
        <v>46147.0</v>
      </c>
      <c r="N112" s="22" t="s">
        <v>779</v>
      </c>
      <c r="O112" s="5"/>
      <c r="P112" s="38">
        <f t="array" ref="P112">XLOOKUP(F112,Lista_Equipos_2026,Precio_Equipos_2026," *** OJO *** ",0)</f>
        <v>29999</v>
      </c>
      <c r="Q112" s="5" t="str">
        <f t="array" ref="Q112">IF(OR($B112="",ISBLANK(XLOOKUP($B112,Números_Asignados,Nombres_Directorio,"",0))),"",XLOOKUP($B112,Números_Asignados,Nombres_Directorio,"",0))</f>
        <v>Gerardo Damián Contreras Aguilar</v>
      </c>
      <c r="R112" s="5" t="str">
        <f t="array" ref="R112">IF(OR($B112="",ISBLANK(XLOOKUP($B112,Números_Asignados,Sucursal_Asignada,"",0))),"",XLOOKUP($B112,Números_Asignados,Sucursal_Asignada,"",0))</f>
        <v>Pénjamo</v>
      </c>
      <c r="S112" s="5" t="str">
        <f t="array" ref="S112">IF(OR($B112="",ISBLANK(XLOOKUP($B112,Números_Asignados,Departamento_Asignado,"",0))),"",XLOOKUP($B112,Números_Asignados,Departamento_Asignado,"",0))</f>
        <v>Maquinaria</v>
      </c>
      <c r="T112" s="5" t="str">
        <f t="array" ref="T112">IF(OR($B112="",ISBLANK(XLOOKUP($B112,Números_Asignados,Puesto_Asignado,"",0))),"",XLOOKUP($B112,Números_Asignados,Puesto_Asignado,"",0))</f>
        <v>Gerente de Sucursal</v>
      </c>
      <c r="U112" s="5" t="str">
        <f t="array" ref="U112">IF(OR($B112="",ISBLANK(XLOOKUP($B112,Números_Asignados,Correos_Gmail,"",0))),"",XLOOKUP($B112,Números_Asignados,Correos_Gmail,"",0))</f>
        <v>g.contrerasagro@gmail.com</v>
      </c>
      <c r="V112" s="5" t="str">
        <f t="array" ref="V112">IF(OR($B112="",ISBLANK(XLOOKUP($B112,Números_Asignados,Correos_Institucionales,"",0))),"",XLOOKUP($B112,Números_Asignados,Correos_Institucionales,"",0))</f>
        <v>gerardo.contreras@agrocisa.com.mx</v>
      </c>
    </row>
    <row r="113" ht="15.75" customHeight="1">
      <c r="A113" s="5">
        <v>4.696211513E9</v>
      </c>
      <c r="B113" s="5"/>
      <c r="C113" s="5" t="s">
        <v>52</v>
      </c>
      <c r="D113" s="17">
        <v>229.0</v>
      </c>
      <c r="E113" s="5">
        <v>4.5</v>
      </c>
      <c r="F113" s="5" t="s">
        <v>799</v>
      </c>
      <c r="G113" s="23">
        <v>3.57196653014089E14</v>
      </c>
      <c r="H113" s="5" t="s">
        <v>1008</v>
      </c>
      <c r="I113" s="5" t="s">
        <v>1009</v>
      </c>
      <c r="J113" s="5" t="s">
        <v>776</v>
      </c>
      <c r="K113" s="5" t="s">
        <v>777</v>
      </c>
      <c r="L113" s="22" t="s">
        <v>778</v>
      </c>
      <c r="M113" s="39">
        <v>46147.0</v>
      </c>
      <c r="N113" s="22" t="s">
        <v>779</v>
      </c>
      <c r="O113" s="5"/>
      <c r="P113" s="38">
        <f t="array" ref="P113">XLOOKUP(F113,Lista_Equipos_2026,Precio_Equipos_2026," *** OJO *** ",0)</f>
        <v>19999</v>
      </c>
      <c r="Q113" s="5" t="s">
        <v>639</v>
      </c>
      <c r="R113" s="5" t="s">
        <v>14</v>
      </c>
      <c r="S113" s="5" t="s">
        <v>483</v>
      </c>
      <c r="T113" s="5" t="s">
        <v>491</v>
      </c>
      <c r="U113" s="5" t="s">
        <v>758</v>
      </c>
      <c r="V113" s="5" t="s">
        <v>758</v>
      </c>
    </row>
    <row r="114" ht="15.75" customHeight="1">
      <c r="A114" s="5">
        <v>3.931171122E9</v>
      </c>
      <c r="B114" s="5">
        <v>3.931171122E9</v>
      </c>
      <c r="C114" s="5">
        <v>4.0</v>
      </c>
      <c r="D114" s="17">
        <v>599.0</v>
      </c>
      <c r="E114" s="5">
        <v>22.5</v>
      </c>
      <c r="F114" s="17" t="s">
        <v>773</v>
      </c>
      <c r="G114" s="23">
        <v>3.55174187708726E14</v>
      </c>
      <c r="H114" s="23" t="s">
        <v>1010</v>
      </c>
      <c r="I114" s="22" t="s">
        <v>1011</v>
      </c>
      <c r="J114" s="5" t="s">
        <v>776</v>
      </c>
      <c r="K114" s="23" t="s">
        <v>777</v>
      </c>
      <c r="L114" s="22" t="s">
        <v>778</v>
      </c>
      <c r="M114" s="39">
        <v>46147.0</v>
      </c>
      <c r="N114" s="22" t="s">
        <v>779</v>
      </c>
      <c r="O114" s="5"/>
      <c r="P114" s="38">
        <f t="array" ref="P114">XLOOKUP(F114,Lista_Equipos_2026,Precio_Equipos_2026," *** OJO *** ",0)</f>
        <v>7499</v>
      </c>
      <c r="Q114" s="5" t="str">
        <f t="array" ref="Q114">IF(OR($B114="",ISBLANK(XLOOKUP($B114,Números_Asignados,Nombres_Directorio,"",0))),"",XLOOKUP($B114,Números_Asignados,Nombres_Directorio,"",0))</f>
        <v>Isidro Navarro Ibarra</v>
      </c>
      <c r="R114" s="5" t="str">
        <f t="array" ref="R114">IF(OR($B114="",ISBLANK(XLOOKUP($B114,Números_Asignados,Sucursal_Asignada,"",0))),"",XLOOKUP($B114,Números_Asignados,Sucursal_Asignada,"",0))</f>
        <v>Pénjamo</v>
      </c>
      <c r="S114" s="5" t="str">
        <f t="array" ref="S114">IF(OR($B114="",ISBLANK(XLOOKUP($B114,Números_Asignados,Departamento_Asignado,"",0))),"",XLOOKUP($B114,Números_Asignados,Departamento_Asignado,"",0))</f>
        <v>Maquinaria</v>
      </c>
      <c r="T114" s="5" t="str">
        <f t="array" ref="T114">IF(OR($B114="",ISBLANK(XLOOKUP($B114,Números_Asignados,Puesto_Asignado,"",0))),"",XLOOKUP($B114,Números_Asignados,Puesto_Asignado,"",0))</f>
        <v>Implementero</v>
      </c>
      <c r="U114" s="5" t="str">
        <f t="array" ref="U114">IF(OR($B114="",ISBLANK(XLOOKUP($B114,Números_Asignados,Correos_Gmail,"",0))),"",XLOOKUP($B114,Números_Asignados,Correos_Gmail,"",0))</f>
        <v>inavarropj.agro@gmail.com</v>
      </c>
      <c r="V114" s="5" t="str">
        <f t="array" ref="V114">IF(OR($B114="",ISBLANK(XLOOKUP($B114,Números_Asignados,Correos_Institucionales,"",0))),"",XLOOKUP($B114,Números_Asignados,Correos_Institucionales,"",0))</f>
        <v/>
      </c>
    </row>
    <row r="115" ht="15.75" customHeight="1">
      <c r="A115" s="5">
        <v>3.316097328E9</v>
      </c>
      <c r="B115" s="5">
        <v>3.316097328E9</v>
      </c>
      <c r="C115" s="5">
        <v>4.0</v>
      </c>
      <c r="D115" s="17">
        <v>599.0</v>
      </c>
      <c r="E115" s="5">
        <v>22.5</v>
      </c>
      <c r="F115" s="17" t="s">
        <v>780</v>
      </c>
      <c r="G115" s="23">
        <v>3.57369477205635E14</v>
      </c>
      <c r="H115" s="23" t="s">
        <v>1012</v>
      </c>
      <c r="I115" s="5" t="s">
        <v>1013</v>
      </c>
      <c r="J115" s="5" t="s">
        <v>776</v>
      </c>
      <c r="K115" s="23" t="s">
        <v>777</v>
      </c>
      <c r="L115" s="22" t="s">
        <v>778</v>
      </c>
      <c r="M115" s="39">
        <v>46147.0</v>
      </c>
      <c r="N115" s="22" t="s">
        <v>779</v>
      </c>
      <c r="O115" s="5"/>
      <c r="P115" s="38">
        <f t="array" ref="P115">XLOOKUP(F115,Lista_Equipos_2026,Precio_Equipos_2026," *** OJO *** ",0)</f>
        <v>10999</v>
      </c>
      <c r="Q115" s="5" t="str">
        <f t="array" ref="Q115">IF(OR($B115="",ISBLANK(XLOOKUP($B115,Números_Asignados,Nombres_Directorio,"",0))),"",XLOOKUP($B115,Números_Asignados,Nombres_Directorio,"",0))</f>
        <v>Irving Josue Vega Ibarra</v>
      </c>
      <c r="R115" s="5" t="str">
        <f t="array" ref="R115">IF(OR($B115="",ISBLANK(XLOOKUP($B115,Números_Asignados,Sucursal_Asignada,"",0))),"",XLOOKUP($B115,Números_Asignados,Sucursal_Asignada,"",0))</f>
        <v>Pénjamo</v>
      </c>
      <c r="S115" s="5" t="str">
        <f t="array" ref="S115">IF(OR($B115="",ISBLANK(XLOOKUP($B115,Números_Asignados,Departamento_Asignado,"",0))),"",XLOOKUP($B115,Números_Asignados,Departamento_Asignado,"",0))</f>
        <v>Maquinaria Agrícola</v>
      </c>
      <c r="T115" s="5" t="str">
        <f t="array" ref="T115">IF(OR($B115="",ISBLANK(XLOOKUP($B115,Números_Asignados,Puesto_Asignado,"",0))),"",XLOOKUP($B115,Números_Asignados,Puesto_Asignado,"",0))</f>
        <v>Asesor de Ventas</v>
      </c>
      <c r="U115" s="5" t="str">
        <f t="array" ref="U115">IF(OR($B115="",ISBLANK(XLOOKUP($B115,Números_Asignados,Correos_Gmail,"",0))),"",XLOOKUP($B115,Números_Asignados,Correos_Gmail,"",0))</f>
        <v>zonabajiopj18@agrocisa.com.mx</v>
      </c>
      <c r="V115" s="5" t="str">
        <f t="array" ref="V115">IF(OR($B115="",ISBLANK(XLOOKUP($B115,Números_Asignados,Correos_Institucionales,"",0))),"",XLOOKUP($B115,Números_Asignados,Correos_Institucionales,"",0))</f>
        <v>zonabajiopj18@agrocisa.com.mx</v>
      </c>
    </row>
    <row r="116" ht="15.75" customHeight="1">
      <c r="A116" s="5">
        <v>4.433031171E9</v>
      </c>
      <c r="B116" s="5">
        <v>4.433031171E9</v>
      </c>
      <c r="C116" s="5">
        <v>4.0</v>
      </c>
      <c r="D116" s="17">
        <v>599.0</v>
      </c>
      <c r="E116" s="5">
        <v>22.5</v>
      </c>
      <c r="F116" s="17" t="s">
        <v>780</v>
      </c>
      <c r="G116" s="23">
        <v>3.57369477238776E14</v>
      </c>
      <c r="H116" s="5" t="s">
        <v>1014</v>
      </c>
      <c r="I116" s="5" t="s">
        <v>1015</v>
      </c>
      <c r="J116" s="5" t="s">
        <v>776</v>
      </c>
      <c r="K116" s="5" t="s">
        <v>777</v>
      </c>
      <c r="L116" s="22" t="s">
        <v>778</v>
      </c>
      <c r="M116" s="39">
        <v>46147.0</v>
      </c>
      <c r="N116" s="22" t="s">
        <v>779</v>
      </c>
      <c r="O116" s="5"/>
      <c r="P116" s="38">
        <f t="array" ref="P116">XLOOKUP(F116,Lista_Equipos_2026,Precio_Equipos_2026," *** OJO *** ",0)</f>
        <v>10999</v>
      </c>
      <c r="Q116" s="5" t="str">
        <f t="array" ref="Q116">IF(OR($B116="",ISBLANK(XLOOKUP($B116,Números_Asignados,Nombres_Directorio,"",0))),"",XLOOKUP($B116,Números_Asignados,Nombres_Directorio,"",0))</f>
        <v>Rodolfo Rico Uribe</v>
      </c>
      <c r="R116" s="5" t="str">
        <f t="array" ref="R116">IF(OR($B116="",ISBLANK(XLOOKUP($B116,Números_Asignados,Sucursal_Asignada,"",0))),"",XLOOKUP($B116,Números_Asignados,Sucursal_Asignada,"",0))</f>
        <v>Pénjamo</v>
      </c>
      <c r="S116" s="5" t="str">
        <f t="array" ref="S116">IF(OR($B116="",ISBLANK(XLOOKUP($B116,Números_Asignados,Departamento_Asignado,"",0))),"",XLOOKUP($B116,Números_Asignados,Departamento_Asignado,"",0))</f>
        <v>Maquinaria Agrícola</v>
      </c>
      <c r="T116" s="5" t="str">
        <f t="array" ref="T116">IF(OR($B116="",ISBLANK(XLOOKUP($B116,Números_Asignados,Puesto_Asignado,"",0))),"",XLOOKUP($B116,Números_Asignados,Puesto_Asignado,"",0))</f>
        <v>Asesor de Ventas</v>
      </c>
      <c r="U116" s="5" t="str">
        <f t="array" ref="U116">IF(OR($B116="",ISBLANK(XLOOKUP($B116,Números_Asignados,Correos_Gmail,"",0))),"",XLOOKUP($B116,Números_Asignados,Correos_Gmail,"",0))</f>
        <v>zonabajiopj16@agrocisa.com.mx</v>
      </c>
      <c r="V116" s="5" t="str">
        <f t="array" ref="V116">IF(OR($B116="",ISBLANK(XLOOKUP($B116,Números_Asignados,Correos_Institucionales,"",0))),"",XLOOKUP($B116,Números_Asignados,Correos_Institucionales,"",0))</f>
        <v>rodolfo.rico@agrocisa.com.mx</v>
      </c>
    </row>
    <row r="117" ht="15.75" customHeight="1">
      <c r="A117" s="5">
        <v>3.316106051E9</v>
      </c>
      <c r="B117" s="5">
        <v>3.316106051E9</v>
      </c>
      <c r="C117" s="5">
        <v>4.0</v>
      </c>
      <c r="D117" s="17">
        <v>599.0</v>
      </c>
      <c r="E117" s="5">
        <v>22.5</v>
      </c>
      <c r="F117" s="17" t="s">
        <v>780</v>
      </c>
      <c r="G117" s="23">
        <v>3.57369477205973E14</v>
      </c>
      <c r="H117" s="23" t="s">
        <v>1016</v>
      </c>
      <c r="I117" s="5" t="s">
        <v>1017</v>
      </c>
      <c r="J117" s="5" t="s">
        <v>776</v>
      </c>
      <c r="K117" s="23" t="s">
        <v>777</v>
      </c>
      <c r="L117" s="22" t="s">
        <v>778</v>
      </c>
      <c r="M117" s="39">
        <v>46147.0</v>
      </c>
      <c r="N117" s="22" t="s">
        <v>779</v>
      </c>
      <c r="O117" s="5"/>
      <c r="P117" s="38">
        <f t="array" ref="P117">XLOOKUP(F117,Lista_Equipos_2026,Precio_Equipos_2026," *** OJO *** ",0)</f>
        <v>10999</v>
      </c>
      <c r="Q117" s="5" t="str">
        <f t="array" ref="Q117">IF(OR($B117="",ISBLANK(XLOOKUP($B117,Números_Asignados,Nombres_Directorio,"",0))),"",XLOOKUP($B117,Números_Asignados,Nombres_Directorio,"",0))</f>
        <v>Santiago Cruz Elizarraraz</v>
      </c>
      <c r="R117" s="5" t="str">
        <f t="array" ref="R117">IF(OR($B117="",ISBLANK(XLOOKUP($B117,Números_Asignados,Sucursal_Asignada,"",0))),"",XLOOKUP($B117,Números_Asignados,Sucursal_Asignada,"",0))</f>
        <v>Pénjamo</v>
      </c>
      <c r="S117" s="5" t="str">
        <f t="array" ref="S117">IF(OR($B117="",ISBLANK(XLOOKUP($B117,Números_Asignados,Departamento_Asignado,"",0))),"",XLOOKUP($B117,Números_Asignados,Departamento_Asignado,"",0))</f>
        <v>Maquinaria Agrícola</v>
      </c>
      <c r="T117" s="5" t="str">
        <f t="array" ref="T117">IF(OR($B117="",ISBLANK(XLOOKUP($B117,Números_Asignados,Puesto_Asignado,"",0))),"",XLOOKUP($B117,Números_Asignados,Puesto_Asignado,"",0))</f>
        <v>Asesor de Ventas</v>
      </c>
      <c r="U117" s="5" t="str">
        <f t="array" ref="U117">IF(OR($B117="",ISBLANK(XLOOKUP($B117,Números_Asignados,Correos_Gmail,"",0))),"",XLOOKUP($B117,Números_Asignados,Correos_Gmail,"",0))</f>
        <v>scruz.agrocisa@gmail.com</v>
      </c>
      <c r="V117" s="5" t="str">
        <f t="array" ref="V117">IF(OR($B117="",ISBLANK(XLOOKUP($B117,Números_Asignados,Correos_Institucionales,"",0))),"",XLOOKUP($B117,Números_Asignados,Correos_Institucionales,"",0))</f>
        <v>santiago.cruz@agrocisa.com.mx</v>
      </c>
    </row>
    <row r="118" ht="15.75" customHeight="1">
      <c r="A118" s="5">
        <v>4.691215969E9</v>
      </c>
      <c r="B118" s="5">
        <v>4.691215969E9</v>
      </c>
      <c r="C118" s="5">
        <v>4.0</v>
      </c>
      <c r="D118" s="17">
        <v>599.0</v>
      </c>
      <c r="E118" s="5">
        <v>22.5</v>
      </c>
      <c r="F118" s="17" t="s">
        <v>780</v>
      </c>
      <c r="G118" s="23">
        <v>3.57369477236291E14</v>
      </c>
      <c r="H118" s="5" t="s">
        <v>1018</v>
      </c>
      <c r="I118" s="5" t="s">
        <v>1019</v>
      </c>
      <c r="J118" s="5" t="s">
        <v>776</v>
      </c>
      <c r="K118" s="5" t="s">
        <v>777</v>
      </c>
      <c r="L118" s="22" t="s">
        <v>778</v>
      </c>
      <c r="M118" s="39">
        <v>46147.0</v>
      </c>
      <c r="N118" s="22" t="s">
        <v>779</v>
      </c>
      <c r="O118" s="5"/>
      <c r="P118" s="38">
        <f t="array" ref="P118">XLOOKUP(F118,Lista_Equipos_2026,Precio_Equipos_2026," *** OJO *** ",0)</f>
        <v>10999</v>
      </c>
      <c r="Q118" s="5" t="str">
        <f t="array" ref="Q118">IF(OR($B118="",ISBLANK(XLOOKUP($B118,Números_Asignados,Nombres_Directorio,"",0))),"",XLOOKUP($B118,Números_Asignados,Nombres_Directorio,"",0))</f>
        <v>Alan Ricardo Estrada Duarte</v>
      </c>
      <c r="R118" s="5" t="str">
        <f t="array" ref="R118">IF(OR($B118="",ISBLANK(XLOOKUP($B118,Números_Asignados,Sucursal_Asignada,"",0))),"",XLOOKUP($B118,Números_Asignados,Sucursal_Asignada,"",0))</f>
        <v>Pénjamo</v>
      </c>
      <c r="S118" s="5" t="str">
        <f t="array" ref="S118">IF(OR($B118="",ISBLANK(XLOOKUP($B118,Números_Asignados,Departamento_Asignado,"",0))),"",XLOOKUP($B118,Números_Asignados,Departamento_Asignado,"",0))</f>
        <v>Maquinaria Construcción</v>
      </c>
      <c r="T118" s="5" t="str">
        <f t="array" ref="T118">IF(OR($B118="",ISBLANK(XLOOKUP($B118,Números_Asignados,Puesto_Asignado,"",0))),"",XLOOKUP($B118,Números_Asignados,Puesto_Asignado,"",0))</f>
        <v>Asesor de Ventas</v>
      </c>
      <c r="U118" s="5" t="str">
        <f t="array" ref="U118">IF(OR($B118="",ISBLANK(XLOOKUP($B118,Números_Asignados,Correos_Gmail,"",0))),"",XLOOKUP($B118,Números_Asignados,Correos_Gmail,"",0))</f>
        <v>construccionpenjamo.agro@gmail.com</v>
      </c>
      <c r="V118" s="5" t="str">
        <f t="array" ref="V118">IF(OR($B118="",ISBLANK(XLOOKUP($B118,Números_Asignados,Correos_Institucionales,"",0))),"",XLOOKUP($B118,Números_Asignados,Correos_Institucionales,"",0))</f>
        <v>construccionpenjamo@agrocisa.com.mx</v>
      </c>
    </row>
    <row r="119" ht="15.75" customHeight="1">
      <c r="A119" s="5">
        <v>3.921057608E9</v>
      </c>
      <c r="B119" s="5">
        <v>3.921057608E9</v>
      </c>
      <c r="C119" s="5">
        <v>4.0</v>
      </c>
      <c r="D119" s="17">
        <v>599.0</v>
      </c>
      <c r="E119" s="5">
        <v>22.5</v>
      </c>
      <c r="F119" s="17" t="s">
        <v>780</v>
      </c>
      <c r="G119" s="23">
        <v>3.57369477215956E14</v>
      </c>
      <c r="H119" s="23" t="s">
        <v>1020</v>
      </c>
      <c r="I119" s="5" t="s">
        <v>1021</v>
      </c>
      <c r="J119" s="5" t="s">
        <v>776</v>
      </c>
      <c r="K119" s="23" t="s">
        <v>777</v>
      </c>
      <c r="L119" s="22" t="s">
        <v>778</v>
      </c>
      <c r="M119" s="39">
        <v>46147.0</v>
      </c>
      <c r="N119" s="22" t="s">
        <v>779</v>
      </c>
      <c r="O119" s="5"/>
      <c r="P119" s="38">
        <f t="array" ref="P119">XLOOKUP(F119,Lista_Equipos_2026,Precio_Equipos_2026," *** OJO *** ",0)</f>
        <v>10999</v>
      </c>
      <c r="Q119" s="5" t="str">
        <f t="array" ref="Q119">IF(OR($B119="",ISBLANK(XLOOKUP($B119,Números_Asignados,Nombres_Directorio,"",0))),"",XLOOKUP($B119,Números_Asignados,Nombres_Directorio,"",0))</f>
        <v>Juan Pablo Frausto Cervantes</v>
      </c>
      <c r="R119" s="5" t="str">
        <f t="array" ref="R119">IF(OR($B119="",ISBLANK(XLOOKUP($B119,Números_Asignados,Sucursal_Asignada,"",0))),"",XLOOKUP($B119,Números_Asignados,Sucursal_Asignada,"",0))</f>
        <v>Pénjamo</v>
      </c>
      <c r="S119" s="5" t="str">
        <f t="array" ref="S119">IF(OR($B119="",ISBLANK(XLOOKUP($B119,Números_Asignados,Departamento_Asignado,"",0))),"",XLOOKUP($B119,Números_Asignados,Departamento_Asignado,"",0))</f>
        <v>Maquinaria Construcción</v>
      </c>
      <c r="T119" s="5" t="str">
        <f t="array" ref="T119">IF(OR($B119="",ISBLANK(XLOOKUP($B119,Números_Asignados,Puesto_Asignado,"",0))),"",XLOOKUP($B119,Números_Asignados,Puesto_Asignado,"",0))</f>
        <v>Asesor de Ventas</v>
      </c>
      <c r="U119" s="5" t="str">
        <f t="array" ref="U119">IF(OR($B119="",ISBLANK(XLOOKUP($B119,Números_Asignados,Correos_Gmail,"",0))),"",XLOOKUP($B119,Números_Asignados,Correos_Gmail,"",0))</f>
        <v>construccionguanajuato@agrocisa.com.mx</v>
      </c>
      <c r="V119" s="5" t="str">
        <f t="array" ref="V119">IF(OR($B119="",ISBLANK(XLOOKUP($B119,Números_Asignados,Correos_Institucionales,"",0))),"",XLOOKUP($B119,Números_Asignados,Correos_Institucionales,"",0))</f>
        <v>construccionguanajuato@agrocisa.com.mx</v>
      </c>
    </row>
    <row r="120" ht="15.75" customHeight="1">
      <c r="A120" s="5">
        <v>3.931245173E9</v>
      </c>
      <c r="B120" s="5">
        <v>3.931245173E9</v>
      </c>
      <c r="C120" s="5">
        <v>4.0</v>
      </c>
      <c r="D120" s="17">
        <v>599.0</v>
      </c>
      <c r="E120" s="5">
        <v>22.5</v>
      </c>
      <c r="F120" s="17" t="s">
        <v>780</v>
      </c>
      <c r="G120" s="23">
        <v>3.57369477225021E14</v>
      </c>
      <c r="H120" s="23" t="s">
        <v>1022</v>
      </c>
      <c r="I120" s="5" t="s">
        <v>1023</v>
      </c>
      <c r="J120" s="5" t="s">
        <v>776</v>
      </c>
      <c r="K120" s="23" t="s">
        <v>777</v>
      </c>
      <c r="L120" s="22" t="s">
        <v>778</v>
      </c>
      <c r="M120" s="39">
        <v>46147.0</v>
      </c>
      <c r="N120" s="22" t="s">
        <v>779</v>
      </c>
      <c r="O120" s="5"/>
      <c r="P120" s="38">
        <f t="array" ref="P120">XLOOKUP(F120,Lista_Equipos_2026,Precio_Equipos_2026," *** OJO *** ",0)</f>
        <v>10999</v>
      </c>
      <c r="Q120" s="5" t="str">
        <f t="array" ref="Q120">IF(OR($B120="",ISBLANK(XLOOKUP($B120,Números_Asignados,Nombres_Directorio,"",0))),"",XLOOKUP($B120,Números_Asignados,Nombres_Directorio,"",0))</f>
        <v>Ángel Mauel Delgado Vázquez</v>
      </c>
      <c r="R120" s="5" t="str">
        <f t="array" ref="R120">IF(OR($B120="",ISBLANK(XLOOKUP($B120,Números_Asignados,Sucursal_Asignada,"",0))),"",XLOOKUP($B120,Números_Asignados,Sucursal_Asignada,"",0))</f>
        <v>Pénjamo</v>
      </c>
      <c r="S120" s="5" t="str">
        <f t="array" ref="S120">IF(OR($B120="",ISBLANK(XLOOKUP($B120,Números_Asignados,Departamento_Asignado,"",0))),"",XLOOKUP($B120,Números_Asignados,Departamento_Asignado,"",0))</f>
        <v>Refacciones</v>
      </c>
      <c r="T120" s="5" t="str">
        <f t="array" ref="T120">IF(OR($B120="",ISBLANK(XLOOKUP($B120,Números_Asignados,Puesto_Asignado,"",0))),"",XLOOKUP($B120,Números_Asignados,Puesto_Asignado,"",0))</f>
        <v>Asesor de Refacciones Campo</v>
      </c>
      <c r="U120" s="5" t="str">
        <f t="array" ref="U120">IF(OR($B120="",ISBLANK(XLOOKUP($B120,Números_Asignados,Correos_Gmail,"",0))),"",XLOOKUP($B120,Números_Asignados,Correos_Gmail,"",0))</f>
        <v>andelgado.agro@gmail.com</v>
      </c>
      <c r="V120" s="5" t="str">
        <f t="array" ref="V120">IF(OR($B120="",ISBLANK(XLOOKUP($B120,Números_Asignados,Correos_Institucionales,"",0))),"",XLOOKUP($B120,Números_Asignados,Correos_Institucionales,"",0))</f>
        <v>angel.delgado@agrocisa.com.mx</v>
      </c>
    </row>
    <row r="121" ht="15.75" customHeight="1">
      <c r="A121" s="5">
        <v>3.331523332E9</v>
      </c>
      <c r="B121" s="5">
        <v>3.331523332E9</v>
      </c>
      <c r="C121" s="5">
        <v>4.0</v>
      </c>
      <c r="D121" s="17">
        <v>599.0</v>
      </c>
      <c r="E121" s="5">
        <v>22.5</v>
      </c>
      <c r="F121" s="17" t="s">
        <v>780</v>
      </c>
      <c r="G121" s="23">
        <v>3.57369477209512E14</v>
      </c>
      <c r="H121" s="23" t="s">
        <v>1024</v>
      </c>
      <c r="I121" s="5" t="s">
        <v>1025</v>
      </c>
      <c r="J121" s="5" t="s">
        <v>776</v>
      </c>
      <c r="K121" s="23" t="s">
        <v>777</v>
      </c>
      <c r="L121" s="22" t="s">
        <v>778</v>
      </c>
      <c r="M121" s="39">
        <v>46147.0</v>
      </c>
      <c r="N121" s="22" t="s">
        <v>779</v>
      </c>
      <c r="O121" s="5"/>
      <c r="P121" s="38">
        <f t="array" ref="P121">XLOOKUP(F121,Lista_Equipos_2026,Precio_Equipos_2026," *** OJO *** ",0)</f>
        <v>10999</v>
      </c>
      <c r="Q121" s="5" t="str">
        <f t="array" ref="Q121">IF(OR($B121="",ISBLANK(XLOOKUP($B121,Números_Asignados,Nombres_Directorio,"",0))),"",XLOOKUP($B121,Números_Asignados,Nombres_Directorio,"",0))</f>
        <v>Uriel Martínez Martínez</v>
      </c>
      <c r="R121" s="5" t="str">
        <f t="array" ref="R121">IF(OR($B121="",ISBLANK(XLOOKUP($B121,Números_Asignados,Sucursal_Asignada,"",0))),"",XLOOKUP($B121,Números_Asignados,Sucursal_Asignada,"",0))</f>
        <v>Pénjamo</v>
      </c>
      <c r="S121" s="5" t="str">
        <f t="array" ref="S121">IF(OR($B121="",ISBLANK(XLOOKUP($B121,Números_Asignados,Departamento_Asignado,"",0))),"",XLOOKUP($B121,Números_Asignados,Departamento_Asignado,"",0))</f>
        <v>Refacciones</v>
      </c>
      <c r="T121" s="5" t="str">
        <f t="array" ref="T121">IF(OR($B121="",ISBLANK(XLOOKUP($B121,Números_Asignados,Puesto_Asignado,"",0))),"",XLOOKUP($B121,Números_Asignados,Puesto_Asignado,"",0))</f>
        <v>Asesor de Refacciones Campo</v>
      </c>
      <c r="U121" s="5" t="str">
        <f t="array" ref="U121">IF(OR($B121="",ISBLANK(XLOOKUP($B121,Números_Asignados,Correos_Gmail,"",0))),"",XLOOKUP($B121,Números_Asignados,Correos_Gmail,"",0))</f>
        <v>uriel.martinez@agrocisa.com.mx</v>
      </c>
      <c r="V121" s="5" t="str">
        <f t="array" ref="V121">IF(OR($B121="",ISBLANK(XLOOKUP($B121,Números_Asignados,Correos_Institucionales,"",0))),"",XLOOKUP($B121,Números_Asignados,Correos_Institucionales,"",0))</f>
        <v>uriel.martinez@agrocisa.com.mx</v>
      </c>
    </row>
    <row r="122" ht="15.75" customHeight="1">
      <c r="A122" s="5">
        <v>3.328358335E9</v>
      </c>
      <c r="B122" s="5">
        <v>3.328358335E9</v>
      </c>
      <c r="C122" s="5">
        <v>1.0</v>
      </c>
      <c r="D122" s="17">
        <v>269.0</v>
      </c>
      <c r="E122" s="5">
        <v>9.0</v>
      </c>
      <c r="F122" s="17" t="s">
        <v>780</v>
      </c>
      <c r="G122" s="23">
        <v>3.52010505738958E14</v>
      </c>
      <c r="H122" s="23" t="s">
        <v>1026</v>
      </c>
      <c r="I122" s="5" t="s">
        <v>1027</v>
      </c>
      <c r="J122" s="5" t="s">
        <v>776</v>
      </c>
      <c r="K122" s="5" t="s">
        <v>777</v>
      </c>
      <c r="L122" s="22" t="s">
        <v>778</v>
      </c>
      <c r="M122" s="39">
        <v>46147.0</v>
      </c>
      <c r="N122" s="22" t="s">
        <v>779</v>
      </c>
      <c r="O122" s="5"/>
      <c r="P122" s="38">
        <f t="array" ref="P122">XLOOKUP(F122,Lista_Equipos_2026,Precio_Equipos_2026," *** OJO *** ",0)</f>
        <v>10999</v>
      </c>
      <c r="Q122" s="5" t="str">
        <f t="array" ref="Q122">IF(OR($B122="",ISBLANK(XLOOKUP($B122,Números_Asignados,Nombres_Directorio,"",0))),"",XLOOKUP($B122,Números_Asignados,Nombres_Directorio,"",0))</f>
        <v>Brenda Alcocer Alcocer</v>
      </c>
      <c r="R122" s="5" t="str">
        <f t="array" ref="R122">IF(OR($B122="",ISBLANK(XLOOKUP($B122,Números_Asignados,Sucursal_Asignada,"",0))),"",XLOOKUP($B122,Números_Asignados,Sucursal_Asignada,"",0))</f>
        <v>Pénjamo</v>
      </c>
      <c r="S122" s="5" t="str">
        <f t="array" ref="S122">IF(OR($B122="",ISBLANK(XLOOKUP($B122,Números_Asignados,Departamento_Asignado,"",0))),"",XLOOKUP($B122,Números_Asignados,Departamento_Asignado,"",0))</f>
        <v>Refacciones</v>
      </c>
      <c r="T122" s="5" t="str">
        <f t="array" ref="T122">IF(OR($B122="",ISBLANK(XLOOKUP($B122,Números_Asignados,Puesto_Asignado,"",0))),"",XLOOKUP($B122,Números_Asignados,Puesto_Asignado,"",0))</f>
        <v>Asesor de Refacciones Mostrador</v>
      </c>
      <c r="U122" s="5" t="str">
        <f t="array" ref="U122">IF(OR($B122="",ISBLANK(XLOOKUP($B122,Números_Asignados,Correos_Gmail,"",0))),"",XLOOKUP($B122,Números_Asignados,Correos_Gmail,"",0))</f>
        <v>refapj.agro@gmail.com</v>
      </c>
      <c r="V122" s="5" t="str">
        <f t="array" ref="V122">IF(OR($B122="",ISBLANK(XLOOKUP($B122,Números_Asignados,Correos_Institucionales,"",0))),"",XLOOKUP($B122,Números_Asignados,Correos_Institucionales,"",0))</f>
        <v>brenda.alcocer@agrocisa.com.mx</v>
      </c>
    </row>
    <row r="123" ht="15.75" customHeight="1">
      <c r="A123" s="5">
        <v>3.337194517E9</v>
      </c>
      <c r="B123" s="5">
        <v>3.337194517E9</v>
      </c>
      <c r="C123" s="5">
        <v>4.0</v>
      </c>
      <c r="D123" s="17">
        <v>599.0</v>
      </c>
      <c r="E123" s="5">
        <v>22.5</v>
      </c>
      <c r="F123" s="17" t="s">
        <v>780</v>
      </c>
      <c r="G123" s="23">
        <v>3.57369477238297E14</v>
      </c>
      <c r="H123" s="23" t="s">
        <v>1028</v>
      </c>
      <c r="I123" s="5" t="s">
        <v>1029</v>
      </c>
      <c r="J123" s="5" t="s">
        <v>776</v>
      </c>
      <c r="K123" s="23" t="s">
        <v>777</v>
      </c>
      <c r="L123" s="22" t="s">
        <v>778</v>
      </c>
      <c r="M123" s="39">
        <v>46147.0</v>
      </c>
      <c r="N123" s="22" t="s">
        <v>779</v>
      </c>
      <c r="O123" s="5"/>
      <c r="P123" s="38">
        <f t="array" ref="P123">XLOOKUP(F123,Lista_Equipos_2026,Precio_Equipos_2026," *** OJO *** ",0)</f>
        <v>10999</v>
      </c>
      <c r="Q123" s="5" t="str">
        <f t="array" ref="Q123">IF(OR($B123="",ISBLANK(XLOOKUP($B123,Números_Asignados,Nombres_Directorio,"",0))),"",XLOOKUP($B123,Números_Asignados,Nombres_Directorio,"",0))</f>
        <v>Pedro Castañeda Vázquez</v>
      </c>
      <c r="R123" s="5" t="str">
        <f t="array" ref="R123">IF(OR($B123="",ISBLANK(XLOOKUP($B123,Números_Asignados,Sucursal_Asignada,"",0))),"",XLOOKUP($B123,Números_Asignados,Sucursal_Asignada,"",0))</f>
        <v>Pénjamo</v>
      </c>
      <c r="S123" s="5" t="str">
        <f t="array" ref="S123">IF(OR($B123="",ISBLANK(XLOOKUP($B123,Números_Asignados,Departamento_Asignado,"",0))),"",XLOOKUP($B123,Números_Asignados,Departamento_Asignado,"",0))</f>
        <v>Refacciones</v>
      </c>
      <c r="T123" s="5" t="str">
        <f t="array" ref="T123">IF(OR($B123="",ISBLANK(XLOOKUP($B123,Números_Asignados,Puesto_Asignado,"",0))),"",XLOOKUP($B123,Números_Asignados,Puesto_Asignado,"",0))</f>
        <v>Encargado de Refacciones Sucursal</v>
      </c>
      <c r="U123" s="5" t="str">
        <f t="array" ref="U123">IF(OR($B123="",ISBLANK(XLOOKUP($B123,Números_Asignados,Correos_Gmail,"",0))),"",XLOOKUP($B123,Números_Asignados,Correos_Gmail,"",0))</f>
        <v>pcastaneda.agro@gmail.com</v>
      </c>
      <c r="V123" s="5" t="str">
        <f t="array" ref="V123">IF(OR($B123="",ISBLANK(XLOOKUP($B123,Números_Asignados,Correos_Institucionales,"",0))),"",XLOOKUP($B123,Números_Asignados,Correos_Institucionales,"",0))</f>
        <v>pedro.castaneda@agrocisa.com.mx</v>
      </c>
      <c r="W123" s="4"/>
      <c r="X123" s="4"/>
      <c r="Y123" s="4"/>
      <c r="Z123" s="4"/>
    </row>
    <row r="124" ht="15.75" customHeight="1">
      <c r="A124" s="5">
        <v>3.316097918E9</v>
      </c>
      <c r="B124" s="5">
        <v>3.316097918E9</v>
      </c>
      <c r="C124" s="5">
        <v>1.0</v>
      </c>
      <c r="D124" s="17">
        <v>269.0</v>
      </c>
      <c r="E124" s="5">
        <v>9.0</v>
      </c>
      <c r="F124" s="17" t="s">
        <v>780</v>
      </c>
      <c r="G124" s="23">
        <v>3.57369477203861E14</v>
      </c>
      <c r="H124" s="23" t="s">
        <v>1030</v>
      </c>
      <c r="I124" s="5" t="s">
        <v>1031</v>
      </c>
      <c r="J124" s="23" t="s">
        <v>776</v>
      </c>
      <c r="K124" s="23" t="s">
        <v>777</v>
      </c>
      <c r="L124" s="22" t="s">
        <v>778</v>
      </c>
      <c r="M124" s="39">
        <v>46147.0</v>
      </c>
      <c r="N124" s="22" t="s">
        <v>779</v>
      </c>
      <c r="O124" s="5"/>
      <c r="P124" s="38">
        <f t="array" ref="P124">XLOOKUP(F124,Lista_Equipos_2026,Precio_Equipos_2026," *** OJO *** ",0)</f>
        <v>10999</v>
      </c>
      <c r="Q124" s="5" t="str">
        <f t="array" ref="Q124">IF(OR($B124="",ISBLANK(XLOOKUP($B124,Números_Asignados,Nombres_Directorio,"",0))),"",XLOOKUP($B124,Números_Asignados,Nombres_Directorio,"",0))</f>
        <v>Lorena González Macías</v>
      </c>
      <c r="R124" s="5" t="str">
        <f t="array" ref="R124">IF(OR($B124="",ISBLANK(XLOOKUP($B124,Números_Asignados,Sucursal_Asignada,"",0))),"",XLOOKUP($B124,Números_Asignados,Sucursal_Asignada,"",0))</f>
        <v>Pénjamo</v>
      </c>
      <c r="S124" s="5" t="str">
        <f t="array" ref="S124">IF(OR($B124="",ISBLANK(XLOOKUP($B124,Números_Asignados,Departamento_Asignado,"",0))),"",XLOOKUP($B124,Números_Asignados,Departamento_Asignado,"",0))</f>
        <v>Servicio</v>
      </c>
      <c r="T124" s="5" t="str">
        <f t="array" ref="T124">IF(OR($B124="",ISBLANK(XLOOKUP($B124,Números_Asignados,Puesto_Asignado,"",0))),"",XLOOKUP($B124,Números_Asignados,Puesto_Asignado,"",0))</f>
        <v>Auxiliar Administrativo</v>
      </c>
      <c r="U124" s="5" t="str">
        <f t="array" ref="U124">IF(OR($B124="",ISBLANK(XLOOKUP($B124,Números_Asignados,Correos_Gmail,"",0))),"",XLOOKUP($B124,Números_Asignados,Correos_Gmail,"",0))</f>
        <v>garantiaspj.agro@gmail.com</v>
      </c>
      <c r="V124" s="5" t="str">
        <f t="array" ref="V124">IF(OR($B124="",ISBLANK(XLOOKUP($B124,Números_Asignados,Correos_Institucionales,"",0))),"",XLOOKUP($B124,Números_Asignados,Correos_Institucionales,"",0))</f>
        <v>garantias.pj@agrocisa.com.mx</v>
      </c>
    </row>
    <row r="125" ht="15.75" customHeight="1">
      <c r="A125" s="5">
        <v>3.481044349E9</v>
      </c>
      <c r="B125" s="5">
        <v>3.481044349E9</v>
      </c>
      <c r="C125" s="5">
        <v>4.0</v>
      </c>
      <c r="D125" s="17">
        <v>599.0</v>
      </c>
      <c r="E125" s="5">
        <v>22.5</v>
      </c>
      <c r="F125" s="17" t="s">
        <v>780</v>
      </c>
      <c r="G125" s="23">
        <v>3.57369477212524E14</v>
      </c>
      <c r="H125" s="23" t="s">
        <v>1032</v>
      </c>
      <c r="I125" s="5" t="s">
        <v>1033</v>
      </c>
      <c r="J125" s="23" t="s">
        <v>776</v>
      </c>
      <c r="K125" s="23" t="s">
        <v>777</v>
      </c>
      <c r="L125" s="22" t="s">
        <v>778</v>
      </c>
      <c r="M125" s="39">
        <v>46147.0</v>
      </c>
      <c r="N125" s="22" t="s">
        <v>779</v>
      </c>
      <c r="O125" s="5"/>
      <c r="P125" s="38">
        <f t="array" ref="P125">XLOOKUP(F125,Lista_Equipos_2026,Precio_Equipos_2026," *** OJO *** ",0)</f>
        <v>10999</v>
      </c>
      <c r="Q125" s="5" t="str">
        <f t="array" ref="Q125">IF(OR($B125="",ISBLANK(XLOOKUP($B125,Números_Asignados,Nombres_Directorio,"",0))),"",XLOOKUP($B125,Números_Asignados,Nombres_Directorio,"",0))</f>
        <v>Martín Ceballos Castillo</v>
      </c>
      <c r="R125" s="5" t="str">
        <f t="array" ref="R125">IF(OR($B125="",ISBLANK(XLOOKUP($B125,Números_Asignados,Sucursal_Asignada,"",0))),"",XLOOKUP($B125,Números_Asignados,Sucursal_Asignada,"",0))</f>
        <v>Pénjamo</v>
      </c>
      <c r="S125" s="5" t="str">
        <f t="array" ref="S125">IF(OR($B125="",ISBLANK(XLOOKUP($B125,Números_Asignados,Departamento_Asignado,"",0))),"",XLOOKUP($B125,Números_Asignados,Departamento_Asignado,"",0))</f>
        <v>Servicio</v>
      </c>
      <c r="T125" s="5" t="str">
        <f t="array" ref="T125">IF(OR($B125="",ISBLANK(XLOOKUP($B125,Números_Asignados,Puesto_Asignado,"",0))),"",XLOOKUP($B125,Números_Asignados,Puesto_Asignado,"",0))</f>
        <v>Jefe de Taller</v>
      </c>
      <c r="U125" s="5" t="str">
        <f t="array" ref="U125">IF(OR($B125="",ISBLANK(XLOOKUP($B125,Números_Asignados,Correos_Gmail,"",0))),"",XLOOKUP($B125,Números_Asignados,Correos_Gmail,"",0))</f>
        <v>tallerpenjamo.agro@gmail.com</v>
      </c>
      <c r="V125" s="5" t="str">
        <f t="array" ref="V125">IF(OR($B125="",ISBLANK(XLOOKUP($B125,Números_Asignados,Correos_Institucionales,"",0))),"",XLOOKUP($B125,Números_Asignados,Correos_Institucionales,"",0))</f>
        <v>tallerpenjamo@agrocisa.com.mx</v>
      </c>
    </row>
    <row r="126" ht="15.75" customHeight="1">
      <c r="A126" s="5">
        <v>3.316092786E9</v>
      </c>
      <c r="B126" s="5">
        <v>3.316092786E9</v>
      </c>
      <c r="C126" s="5">
        <v>4.0</v>
      </c>
      <c r="D126" s="17">
        <v>599.0</v>
      </c>
      <c r="E126" s="5">
        <v>22.5</v>
      </c>
      <c r="F126" s="17" t="s">
        <v>773</v>
      </c>
      <c r="G126" s="23">
        <v>3.55174187709286E14</v>
      </c>
      <c r="H126" s="23" t="s">
        <v>1034</v>
      </c>
      <c r="I126" s="5" t="s">
        <v>1035</v>
      </c>
      <c r="J126" s="5" t="s">
        <v>776</v>
      </c>
      <c r="K126" s="23" t="s">
        <v>777</v>
      </c>
      <c r="L126" s="22" t="s">
        <v>778</v>
      </c>
      <c r="M126" s="39">
        <v>46147.0</v>
      </c>
      <c r="N126" s="22" t="s">
        <v>779</v>
      </c>
      <c r="O126" s="5"/>
      <c r="P126" s="38">
        <f t="array" ref="P126">XLOOKUP(F126,Lista_Equipos_2026,Precio_Equipos_2026," *** OJO *** ",0)</f>
        <v>7499</v>
      </c>
      <c r="Q126" s="5" t="str">
        <f t="array" ref="Q126">IF(OR($B126="",ISBLANK(XLOOKUP($B126,Números_Asignados,Nombres_Directorio,"",0))),"",XLOOKUP($B126,Números_Asignados,Nombres_Directorio,"",0))</f>
        <v>Natanael Bravo Gallardo</v>
      </c>
      <c r="R126" s="5" t="str">
        <f t="array" ref="R126">IF(OR($B126="",ISBLANK(XLOOKUP($B126,Números_Asignados,Sucursal_Asignada,"",0))),"",XLOOKUP($B126,Números_Asignados,Sucursal_Asignada,"",0))</f>
        <v>Pénjamo</v>
      </c>
      <c r="S126" s="5" t="str">
        <f t="array" ref="S126">IF(OR($B126="",ISBLANK(XLOOKUP($B126,Números_Asignados,Departamento_Asignado,"",0))),"",XLOOKUP($B126,Números_Asignados,Departamento_Asignado,"",0))</f>
        <v>Servicio</v>
      </c>
      <c r="T126" s="5" t="str">
        <f t="array" ref="T126">IF(OR($B126="",ISBLANK(XLOOKUP($B126,Números_Asignados,Puesto_Asignado,"",0))),"",XLOOKUP($B126,Números_Asignados,Puesto_Asignado,"",0))</f>
        <v>Promotor de Servicio</v>
      </c>
      <c r="U126" s="5" t="str">
        <f t="array" ref="U126">IF(OR($B126="",ISBLANK(XLOOKUP($B126,Números_Asignados,Correos_Gmail,"",0))),"",XLOOKUP($B126,Números_Asignados,Correos_Gmail,"",0))</f>
        <v>promotorpenjamo@agrocisa.com.mx</v>
      </c>
      <c r="V126" s="5" t="str">
        <f t="array" ref="V126">IF(OR($B126="",ISBLANK(XLOOKUP($B126,Números_Asignados,Correos_Institucionales,"",0))),"",XLOOKUP($B126,Números_Asignados,Correos_Institucionales,"",0))</f>
        <v>promotorpenjamo@agrocisa.com.mx</v>
      </c>
    </row>
    <row r="127" ht="15.75" customHeight="1">
      <c r="A127" s="5">
        <v>3.931196103E9</v>
      </c>
      <c r="B127" s="5">
        <v>3.931196103E9</v>
      </c>
      <c r="C127" s="5">
        <v>1.0</v>
      </c>
      <c r="D127" s="17">
        <v>269.0</v>
      </c>
      <c r="E127" s="5">
        <v>9.0</v>
      </c>
      <c r="F127" s="17" t="s">
        <v>780</v>
      </c>
      <c r="G127" s="23">
        <v>3.52010505764004E14</v>
      </c>
      <c r="H127" s="23" t="s">
        <v>1036</v>
      </c>
      <c r="I127" s="5" t="s">
        <v>1037</v>
      </c>
      <c r="J127" s="5" t="s">
        <v>776</v>
      </c>
      <c r="K127" s="23" t="s">
        <v>777</v>
      </c>
      <c r="L127" s="22" t="s">
        <v>778</v>
      </c>
      <c r="M127" s="39">
        <v>46149.0</v>
      </c>
      <c r="N127" s="22" t="s">
        <v>779</v>
      </c>
      <c r="O127" s="5"/>
      <c r="P127" s="38">
        <f t="array" ref="P127">XLOOKUP(F127,Lista_Equipos_2026,Precio_Equipos_2026," *** OJO *** ",0)</f>
        <v>10999</v>
      </c>
      <c r="Q127" s="5" t="str">
        <f t="array" ref="Q127">IF(OR($B127="",ISBLANK(XLOOKUP($B127,Números_Asignados,Nombres_Directorio,"",0))),"",XLOOKUP($B127,Números_Asignados,Nombres_Directorio,"",0))</f>
        <v>Airam Monserrat Vázquez Segura</v>
      </c>
      <c r="R127" s="5" t="str">
        <f t="array" ref="R127">IF(OR($B127="",ISBLANK(XLOOKUP($B127,Números_Asignados,Sucursal_Asignada,"",0))),"",XLOOKUP($B127,Números_Asignados,Sucursal_Asignada,"",0))</f>
        <v>Poncitlán</v>
      </c>
      <c r="S127" s="5" t="str">
        <f t="array" ref="S127">IF(OR($B127="",ISBLANK(XLOOKUP($B127,Números_Asignados,Departamento_Asignado,"",0))),"",XLOOKUP($B127,Números_Asignados,Departamento_Asignado,"",0))</f>
        <v>Maquinaria</v>
      </c>
      <c r="T127" s="5" t="str">
        <f t="array" ref="T127">IF(OR($B127="",ISBLANK(XLOOKUP($B127,Números_Asignados,Puesto_Asignado,"",0))),"",XLOOKUP($B127,Números_Asignados,Puesto_Asignado,"",0))</f>
        <v>Auxiliar Administrativo</v>
      </c>
      <c r="U127" s="5" t="str">
        <f t="array" ref="U127">IF(OR($B127="",ISBLANK(XLOOKUP($B127,Números_Asignados,Correos_Gmail,"",0))),"",XLOOKUP($B127,Números_Asignados,Correos_Gmail,"",0))</f>
        <v>ventasponci.agrocisa@gmail.com</v>
      </c>
      <c r="V127" s="5" t="str">
        <f t="array" ref="V127">IF(OR($B127="",ISBLANK(XLOOKUP($B127,Números_Asignados,Correos_Institucionales,"",0))),"",XLOOKUP($B127,Números_Asignados,Correos_Institucionales,"",0))</f>
        <v>airam.vazquez@agrocisa.com.mx</v>
      </c>
    </row>
    <row r="128" ht="15.75" customHeight="1">
      <c r="A128" s="5">
        <v>3.931073857E9</v>
      </c>
      <c r="B128" s="5">
        <v>3.931073857E9</v>
      </c>
      <c r="C128" s="5">
        <v>4.0</v>
      </c>
      <c r="D128" s="17">
        <v>599.0</v>
      </c>
      <c r="E128" s="5">
        <v>22.5</v>
      </c>
      <c r="F128" s="17" t="s">
        <v>785</v>
      </c>
      <c r="G128" s="23">
        <v>3.52242801086366E14</v>
      </c>
      <c r="H128" s="23" t="s">
        <v>1038</v>
      </c>
      <c r="I128" s="5" t="s">
        <v>1039</v>
      </c>
      <c r="J128" s="23" t="s">
        <v>776</v>
      </c>
      <c r="K128" s="23" t="s">
        <v>777</v>
      </c>
      <c r="L128" s="22" t="s">
        <v>778</v>
      </c>
      <c r="M128" s="39">
        <v>46150.0</v>
      </c>
      <c r="N128" s="22" t="s">
        <v>779</v>
      </c>
      <c r="O128" s="5"/>
      <c r="P128" s="38">
        <f t="array" ref="P128">XLOOKUP(F128,Lista_Equipos_2026,Precio_Equipos_2026," *** OJO *** ",0)</f>
        <v>15499</v>
      </c>
      <c r="Q128" s="5" t="str">
        <f t="array" ref="Q128">IF(OR($B128="",ISBLANK(XLOOKUP($B128,Números_Asignados,Nombres_Directorio,"",0))),"",XLOOKUP($B128,Números_Asignados,Nombres_Directorio,"",0))</f>
        <v>Moisés Alberto González Mendoza</v>
      </c>
      <c r="R128" s="5" t="str">
        <f t="array" ref="R128">IF(OR($B128="",ISBLANK(XLOOKUP($B128,Números_Asignados,Sucursal_Asignada,"",0))),"",XLOOKUP($B128,Números_Asignados,Sucursal_Asignada,"",0))</f>
        <v>Poncitlán</v>
      </c>
      <c r="S128" s="5" t="str">
        <f t="array" ref="S128">IF(OR($B128="",ISBLANK(XLOOKUP($B128,Números_Asignados,Departamento_Asignado,"",0))),"",XLOOKUP($B128,Números_Asignados,Departamento_Asignado,"",0))</f>
        <v>Maquinaria</v>
      </c>
      <c r="T128" s="5" t="str">
        <f t="array" ref="T128">IF(OR($B128="",ISBLANK(XLOOKUP($B128,Números_Asignados,Puesto_Asignado,"",0))),"",XLOOKUP($B128,Números_Asignados,Puesto_Asignado,"",0))</f>
        <v>Gerente de Sucursal</v>
      </c>
      <c r="U128" s="5" t="str">
        <f t="array" ref="U128">IF(OR($B128="",ISBLANK(XLOOKUP($B128,Números_Asignados,Correos_Gmail,"",0))),"",XLOOKUP($B128,Números_Asignados,Correos_Gmail,"",0))</f>
        <v>mgonzalez.agrocisa@gmail.com</v>
      </c>
      <c r="V128" s="5" t="str">
        <f t="array" ref="V128">IF(OR($B128="",ISBLANK(XLOOKUP($B128,Números_Asignados,Correos_Institucionales,"",0))),"",XLOOKUP($B128,Números_Asignados,Correos_Institucionales,"",0))</f>
        <v>moises.gonzalez@agrocisa.com.mx</v>
      </c>
    </row>
    <row r="129" ht="15.75" customHeight="1">
      <c r="A129" s="5">
        <v>3.521250804E9</v>
      </c>
      <c r="B129" s="5"/>
      <c r="C129" s="5">
        <v>2.0</v>
      </c>
      <c r="D129" s="17">
        <v>329.0</v>
      </c>
      <c r="E129" s="5">
        <v>7.5</v>
      </c>
      <c r="F129" s="5" t="s">
        <v>799</v>
      </c>
      <c r="G129" s="23">
        <v>3.54142524780717E14</v>
      </c>
      <c r="H129" s="5" t="s">
        <v>1040</v>
      </c>
      <c r="I129" s="5" t="s">
        <v>1041</v>
      </c>
      <c r="J129" s="5" t="s">
        <v>776</v>
      </c>
      <c r="K129" s="5" t="s">
        <v>777</v>
      </c>
      <c r="L129" s="22" t="s">
        <v>778</v>
      </c>
      <c r="M129" s="39">
        <v>46150.0</v>
      </c>
      <c r="N129" s="22" t="s">
        <v>779</v>
      </c>
      <c r="O129" s="5"/>
      <c r="P129" s="38">
        <f t="array" ref="P129">XLOOKUP(F129,Lista_Equipos_2026,Precio_Equipos_2026," *** OJO *** ",0)</f>
        <v>19999</v>
      </c>
      <c r="Q129" s="5" t="s">
        <v>704</v>
      </c>
      <c r="R129" s="5" t="s">
        <v>691</v>
      </c>
      <c r="S129" s="5" t="s">
        <v>483</v>
      </c>
      <c r="T129" s="5" t="s">
        <v>491</v>
      </c>
      <c r="U129" s="5" t="s">
        <v>758</v>
      </c>
      <c r="V129" s="5" t="s">
        <v>758</v>
      </c>
    </row>
    <row r="130" ht="15.75" customHeight="1">
      <c r="A130" s="5">
        <v>3.931196087E9</v>
      </c>
      <c r="B130" s="5">
        <v>3.931196087E9</v>
      </c>
      <c r="C130" s="5">
        <v>4.0</v>
      </c>
      <c r="D130" s="17">
        <v>599.0</v>
      </c>
      <c r="E130" s="5">
        <v>22.5</v>
      </c>
      <c r="F130" s="17" t="s">
        <v>780</v>
      </c>
      <c r="G130" s="23">
        <v>3.57369477221749E14</v>
      </c>
      <c r="H130" s="23" t="s">
        <v>1042</v>
      </c>
      <c r="I130" s="5" t="s">
        <v>1043</v>
      </c>
      <c r="J130" s="23" t="s">
        <v>776</v>
      </c>
      <c r="K130" s="23" t="s">
        <v>777</v>
      </c>
      <c r="L130" s="22" t="s">
        <v>778</v>
      </c>
      <c r="M130" s="39">
        <v>46149.0</v>
      </c>
      <c r="N130" s="22" t="s">
        <v>779</v>
      </c>
      <c r="O130" s="5"/>
      <c r="P130" s="38">
        <f t="array" ref="P130">XLOOKUP(F130,Lista_Equipos_2026,Precio_Equipos_2026," *** OJO *** ",0)</f>
        <v>10999</v>
      </c>
      <c r="Q130" s="5" t="str">
        <f t="array" ref="Q130">IF(OR($B130="",ISBLANK(XLOOKUP($B130,Números_Asignados,Nombres_Directorio,"",0))),"",XLOOKUP($B130,Números_Asignados,Nombres_Directorio,"",0))</f>
        <v>Gerardo Isaac Godínez Ramírez</v>
      </c>
      <c r="R130" s="5" t="str">
        <f t="array" ref="R130">IF(OR($B130="",ISBLANK(XLOOKUP($B130,Números_Asignados,Sucursal_Asignada,"",0))),"",XLOOKUP($B130,Números_Asignados,Sucursal_Asignada,"",0))</f>
        <v>Poncitlán</v>
      </c>
      <c r="S130" s="5" t="str">
        <f t="array" ref="S130">IF(OR($B130="",ISBLANK(XLOOKUP($B130,Números_Asignados,Departamento_Asignado,"",0))),"",XLOOKUP($B130,Números_Asignados,Departamento_Asignado,"",0))</f>
        <v>Maquinaria Agrícola</v>
      </c>
      <c r="T130" s="5" t="str">
        <f t="array" ref="T130">IF(OR($B130="",ISBLANK(XLOOKUP($B130,Números_Asignados,Puesto_Asignado,"",0))),"",XLOOKUP($B130,Números_Asignados,Puesto_Asignado,"",0))</f>
        <v>Asesor de Ventas</v>
      </c>
      <c r="U130" s="5" t="str">
        <f t="array" ref="U130">IF(OR($B130="",ISBLANK(XLOOKUP($B130,Números_Asignados,Correos_Gmail,"",0))),"",XLOOKUP($B130,Números_Asignados,Correos_Gmail,"",0))</f>
        <v>agricolazonapn08.agrocisa@gmail.com</v>
      </c>
      <c r="V130" s="5" t="str">
        <f t="array" ref="V130">IF(OR($B130="",ISBLANK(XLOOKUP($B130,Números_Asignados,Correos_Institucionales,"",0))),"",XLOOKUP($B130,Números_Asignados,Correos_Institucionales,"",0))</f>
        <v>gerardo.godinez@agrocisa.com.mx</v>
      </c>
    </row>
    <row r="131" ht="15.75" customHeight="1">
      <c r="A131" s="5">
        <v>3.316098052E9</v>
      </c>
      <c r="B131" s="5">
        <v>3.316098052E9</v>
      </c>
      <c r="C131" s="5">
        <v>4.0</v>
      </c>
      <c r="D131" s="17">
        <v>599.0</v>
      </c>
      <c r="E131" s="5">
        <v>22.5</v>
      </c>
      <c r="F131" s="17" t="s">
        <v>780</v>
      </c>
      <c r="G131" s="23">
        <v>3.57369477205734E14</v>
      </c>
      <c r="H131" s="23" t="s">
        <v>1044</v>
      </c>
      <c r="I131" s="5" t="s">
        <v>1045</v>
      </c>
      <c r="J131" s="23" t="s">
        <v>776</v>
      </c>
      <c r="K131" s="23" t="s">
        <v>777</v>
      </c>
      <c r="L131" s="22" t="s">
        <v>778</v>
      </c>
      <c r="M131" s="39">
        <v>46150.0</v>
      </c>
      <c r="N131" s="22" t="s">
        <v>779</v>
      </c>
      <c r="O131" s="5"/>
      <c r="P131" s="38">
        <f t="array" ref="P131">XLOOKUP(F131,Lista_Equipos_2026,Precio_Equipos_2026," *** OJO *** ",0)</f>
        <v>10999</v>
      </c>
      <c r="Q131" s="5" t="str">
        <f t="array" ref="Q131">IF(OR($B131="",ISBLANK(XLOOKUP($B131,Números_Asignados,Nombres_Directorio,"",0))),"",XLOOKUP($B131,Números_Asignados,Nombres_Directorio,"",0))</f>
        <v>José Alfredo Macías Plascencia</v>
      </c>
      <c r="R131" s="5" t="str">
        <f t="array" ref="R131">IF(OR($B131="",ISBLANK(XLOOKUP($B131,Números_Asignados,Sucursal_Asignada,"",0))),"",XLOOKUP($B131,Números_Asignados,Sucursal_Asignada,"",0))</f>
        <v>Poncitlán</v>
      </c>
      <c r="S131" s="5" t="str">
        <f t="array" ref="S131">IF(OR($B131="",ISBLANK(XLOOKUP($B131,Números_Asignados,Departamento_Asignado,"",0))),"",XLOOKUP($B131,Números_Asignados,Departamento_Asignado,"",0))</f>
        <v>Maquinaria Agrícola</v>
      </c>
      <c r="T131" s="5" t="str">
        <f t="array" ref="T131">IF(OR($B131="",ISBLANK(XLOOKUP($B131,Números_Asignados,Puesto_Asignado,"",0))),"",XLOOKUP($B131,Números_Asignados,Puesto_Asignado,"",0))</f>
        <v>Asesor de Ventas</v>
      </c>
      <c r="U131" s="5" t="str">
        <f t="array" ref="U131">IF(OR($B131="",ISBLANK(XLOOKUP($B131,Números_Asignados,Correos_Gmail,"",0))),"",XLOOKUP($B131,Números_Asignados,Correos_Gmail,"",0))</f>
        <v>alfredomacias.agro@gmail.com</v>
      </c>
      <c r="V131" s="5" t="str">
        <f t="array" ref="V131">IF(OR($B131="",ISBLANK(XLOOKUP($B131,Números_Asignados,Correos_Institucionales,"",0))),"",XLOOKUP($B131,Números_Asignados,Correos_Institucionales,"",0))</f>
        <v>jose.macias@agrocisa.com.mx</v>
      </c>
    </row>
    <row r="132" ht="15.75" customHeight="1">
      <c r="A132" s="5">
        <v>3.316097179E9</v>
      </c>
      <c r="B132" s="5">
        <v>3.316097179E9</v>
      </c>
      <c r="C132" s="5">
        <v>4.0</v>
      </c>
      <c r="D132" s="17">
        <v>599.0</v>
      </c>
      <c r="E132" s="5">
        <v>22.5</v>
      </c>
      <c r="F132" s="17" t="s">
        <v>780</v>
      </c>
      <c r="G132" s="23">
        <v>3.57369477204778E14</v>
      </c>
      <c r="H132" s="23" t="s">
        <v>1046</v>
      </c>
      <c r="I132" s="5" t="s">
        <v>1047</v>
      </c>
      <c r="J132" s="5" t="s">
        <v>776</v>
      </c>
      <c r="K132" s="23" t="s">
        <v>777</v>
      </c>
      <c r="L132" s="22" t="s">
        <v>778</v>
      </c>
      <c r="M132" s="39">
        <v>46207.0</v>
      </c>
      <c r="N132" s="22" t="s">
        <v>779</v>
      </c>
      <c r="O132" s="5"/>
      <c r="P132" s="38">
        <f t="array" ref="P132">XLOOKUP(F132,Lista_Equipos_2026,Precio_Equipos_2026," *** OJO *** ",0)</f>
        <v>10999</v>
      </c>
      <c r="Q132" s="5" t="str">
        <f t="array" ref="Q132">IF(OR($B132="",ISBLANK(XLOOKUP($B132,Números_Asignados,Nombres_Directorio,"",0))),"",XLOOKUP($B132,Números_Asignados,Nombres_Directorio,"",0))</f>
        <v>Luis Felipe Tinoco Solorzano</v>
      </c>
      <c r="R132" s="5" t="str">
        <f t="array" ref="R132">IF(OR($B132="",ISBLANK(XLOOKUP($B132,Números_Asignados,Sucursal_Asignada,"",0))),"",XLOOKUP($B132,Números_Asignados,Sucursal_Asignada,"",0))</f>
        <v>Poncitlán</v>
      </c>
      <c r="S132" s="5" t="str">
        <f t="array" ref="S132">IF(OR($B132="",ISBLANK(XLOOKUP($B132,Números_Asignados,Departamento_Asignado,"",0))),"",XLOOKUP($B132,Números_Asignados,Departamento_Asignado,"",0))</f>
        <v>Maquinaria Agrícola</v>
      </c>
      <c r="T132" s="5" t="str">
        <f t="array" ref="T132">IF(OR($B132="",ISBLANK(XLOOKUP($B132,Números_Asignados,Puesto_Asignado,"",0))),"",XLOOKUP($B132,Números_Asignados,Puesto_Asignado,"",0))</f>
        <v>Asesor de Ventas</v>
      </c>
      <c r="U132" s="5" t="str">
        <f t="array" ref="U132">IF(OR($B132="",ISBLANK(XLOOKUP($B132,Números_Asignados,Correos_Gmail,"",0))),"",XLOOKUP($B132,Números_Asignados,Correos_Gmail,"",0))</f>
        <v>zonacienegapn09.agro@gmail.com</v>
      </c>
      <c r="V132" s="5" t="str">
        <f t="array" ref="V132">IF(OR($B132="",ISBLANK(XLOOKUP($B132,Números_Asignados,Correos_Institucionales,"",0))),"",XLOOKUP($B132,Números_Asignados,Correos_Institucionales,"",0))</f>
        <v>zonacienegapn09@agrocisa.com.mx</v>
      </c>
    </row>
    <row r="133" ht="15.75" customHeight="1">
      <c r="A133" s="5">
        <v>3.318934914E9</v>
      </c>
      <c r="B133" s="5">
        <v>3.318934914E9</v>
      </c>
      <c r="C133" s="5">
        <v>4.0</v>
      </c>
      <c r="D133" s="17">
        <v>599.0</v>
      </c>
      <c r="E133" s="5">
        <v>22.5</v>
      </c>
      <c r="F133" s="17" t="s">
        <v>780</v>
      </c>
      <c r="G133" s="23">
        <v>3.57369477209355E14</v>
      </c>
      <c r="H133" s="23" t="s">
        <v>1048</v>
      </c>
      <c r="I133" s="5" t="s">
        <v>1049</v>
      </c>
      <c r="J133" s="5" t="s">
        <v>776</v>
      </c>
      <c r="K133" s="23" t="s">
        <v>777</v>
      </c>
      <c r="L133" s="22" t="s">
        <v>778</v>
      </c>
      <c r="M133" s="39">
        <v>46148.0</v>
      </c>
      <c r="N133" s="22" t="s">
        <v>779</v>
      </c>
      <c r="O133" s="5"/>
      <c r="P133" s="38">
        <f t="array" ref="P133">XLOOKUP(F133,Lista_Equipos_2026,Precio_Equipos_2026," *** OJO *** ",0)</f>
        <v>10999</v>
      </c>
      <c r="Q133" s="5" t="str">
        <f t="array" ref="Q133">IF(OR($B133="",ISBLANK(XLOOKUP($B133,Números_Asignados,Nombres_Directorio,"",0))),"",XLOOKUP($B133,Números_Asignados,Nombres_Directorio,"",0))</f>
        <v>Luis Gustavo Soto Ibarra</v>
      </c>
      <c r="R133" s="5" t="str">
        <f t="array" ref="R133">IF(OR($B133="",ISBLANK(XLOOKUP($B133,Números_Asignados,Sucursal_Asignada,"",0))),"",XLOOKUP($B133,Números_Asignados,Sucursal_Asignada,"",0))</f>
        <v>Poncitlán</v>
      </c>
      <c r="S133" s="5" t="str">
        <f t="array" ref="S133">IF(OR($B133="",ISBLANK(XLOOKUP($B133,Números_Asignados,Departamento_Asignado,"",0))),"",XLOOKUP($B133,Números_Asignados,Departamento_Asignado,"",0))</f>
        <v>Maquinaria Construcción</v>
      </c>
      <c r="T133" s="5" t="str">
        <f t="array" ref="T133">IF(OR($B133="",ISBLANK(XLOOKUP($B133,Números_Asignados,Puesto_Asignado,"",0))),"",XLOOKUP($B133,Números_Asignados,Puesto_Asignado,"",0))</f>
        <v>Asesor de Ventas</v>
      </c>
      <c r="U133" s="5" t="str">
        <f t="array" ref="U133">IF(OR($B133="",ISBLANK(XLOOKUP($B133,Números_Asignados,Correos_Gmail,"",0))),"",XLOOKUP($B133,Números_Asignados,Correos_Gmail,"",0))</f>
        <v>construccionponcitlan.agro@gmail.com</v>
      </c>
      <c r="V133" s="5" t="str">
        <f t="array" ref="V133">IF(OR($B133="",ISBLANK(XLOOKUP($B133,Números_Asignados,Correos_Institucionales,"",0))),"",XLOOKUP($B133,Números_Asignados,Correos_Institucionales,"",0))</f>
        <v>construccionponcitlan@agrocisa.com.mx</v>
      </c>
    </row>
    <row r="134" ht="15.75" customHeight="1">
      <c r="A134" s="5">
        <v>3.931245176E9</v>
      </c>
      <c r="B134" s="5">
        <v>3.931245176E9</v>
      </c>
      <c r="C134" s="5">
        <v>4.0</v>
      </c>
      <c r="D134" s="17">
        <v>599.0</v>
      </c>
      <c r="E134" s="5">
        <v>22.5</v>
      </c>
      <c r="F134" s="17" t="s">
        <v>780</v>
      </c>
      <c r="G134" s="23">
        <v>3.57369477226557E14</v>
      </c>
      <c r="H134" s="23" t="s">
        <v>1050</v>
      </c>
      <c r="I134" s="5" t="s">
        <v>1051</v>
      </c>
      <c r="J134" s="5" t="s">
        <v>776</v>
      </c>
      <c r="K134" s="23" t="s">
        <v>777</v>
      </c>
      <c r="L134" s="22" t="s">
        <v>778</v>
      </c>
      <c r="M134" s="39">
        <v>46149.0</v>
      </c>
      <c r="N134" s="22" t="s">
        <v>779</v>
      </c>
      <c r="O134" s="5"/>
      <c r="P134" s="38">
        <f t="array" ref="P134">XLOOKUP(F134,Lista_Equipos_2026,Precio_Equipos_2026," *** OJO *** ",0)</f>
        <v>10999</v>
      </c>
      <c r="Q134" s="5" t="str">
        <f t="array" ref="Q134">IF(OR($B134="",ISBLANK(XLOOKUP($B134,Números_Asignados,Nombres_Directorio,"",0))),"",XLOOKUP($B134,Números_Asignados,Nombres_Directorio,"",0))</f>
        <v>Bryan Arturo Ramírez Alonso</v>
      </c>
      <c r="R134" s="5" t="str">
        <f t="array" ref="R134">IF(OR($B134="",ISBLANK(XLOOKUP($B134,Números_Asignados,Sucursal_Asignada,"",0))),"",XLOOKUP($B134,Números_Asignados,Sucursal_Asignada,"",0))</f>
        <v>Poncitlán</v>
      </c>
      <c r="S134" s="5" t="str">
        <f t="array" ref="S134">IF(OR($B134="",ISBLANK(XLOOKUP($B134,Números_Asignados,Departamento_Asignado,"",0))),"",XLOOKUP($B134,Números_Asignados,Departamento_Asignado,"",0))</f>
        <v>Refacciones</v>
      </c>
      <c r="T134" s="5" t="str">
        <f t="array" ref="T134">IF(OR($B134="",ISBLANK(XLOOKUP($B134,Números_Asignados,Puesto_Asignado,"",0))),"",XLOOKUP($B134,Números_Asignados,Puesto_Asignado,"",0))</f>
        <v>Asesor de Refacciones Campo</v>
      </c>
      <c r="U134" s="5" t="str">
        <f t="array" ref="U134">IF(OR($B134="",ISBLANK(XLOOKUP($B134,Números_Asignados,Correos_Gmail,"",0))),"",XLOOKUP($B134,Números_Asignados,Correos_Gmail,"",0))</f>
        <v>bryan.ramirez@agrocisa.com.mx</v>
      </c>
      <c r="V134" s="5" t="str">
        <f t="array" ref="V134">IF(OR($B134="",ISBLANK(XLOOKUP($B134,Números_Asignados,Correos_Institucionales,"",0))),"",XLOOKUP($B134,Números_Asignados,Correos_Institucionales,"",0))</f>
        <v>bryan.ramirez@agrocisa.com.mx</v>
      </c>
      <c r="W134" s="4"/>
    </row>
    <row r="135" ht="15.75" customHeight="1">
      <c r="A135" s="5">
        <v>3.781868864E9</v>
      </c>
      <c r="B135" s="5">
        <v>3.781868864E9</v>
      </c>
      <c r="C135" s="5">
        <v>4.0</v>
      </c>
      <c r="D135" s="17">
        <v>599.0</v>
      </c>
      <c r="E135" s="5">
        <v>22.5</v>
      </c>
      <c r="F135" s="17" t="s">
        <v>780</v>
      </c>
      <c r="G135" s="23">
        <v>3.57369477215154E14</v>
      </c>
      <c r="H135" s="23" t="s">
        <v>1052</v>
      </c>
      <c r="I135" s="5" t="s">
        <v>1053</v>
      </c>
      <c r="J135" s="5" t="s">
        <v>776</v>
      </c>
      <c r="K135" s="23" t="s">
        <v>777</v>
      </c>
      <c r="L135" s="22" t="s">
        <v>778</v>
      </c>
      <c r="M135" s="39">
        <v>46149.0</v>
      </c>
      <c r="N135" s="22" t="s">
        <v>779</v>
      </c>
      <c r="O135" s="5"/>
      <c r="P135" s="38">
        <f t="array" ref="P135">XLOOKUP(F135,Lista_Equipos_2026,Precio_Equipos_2026," *** OJO *** ",0)</f>
        <v>10999</v>
      </c>
      <c r="Q135" s="5" t="str">
        <f t="array" ref="Q135">IF(OR($B135="",ISBLANK(XLOOKUP($B135,Números_Asignados,Nombres_Directorio,"",0))),"",XLOOKUP($B135,Números_Asignados,Nombres_Directorio,"",0))</f>
        <v>Orlando Yael Ceja Briseño</v>
      </c>
      <c r="R135" s="5" t="str">
        <f t="array" ref="R135">IF(OR($B135="",ISBLANK(XLOOKUP($B135,Números_Asignados,Sucursal_Asignada,"",0))),"",XLOOKUP($B135,Números_Asignados,Sucursal_Asignada,"",0))</f>
        <v>Poncitlán</v>
      </c>
      <c r="S135" s="5" t="str">
        <f t="array" ref="S135">IF(OR($B135="",ISBLANK(XLOOKUP($B135,Números_Asignados,Departamento_Asignado,"",0))),"",XLOOKUP($B135,Números_Asignados,Departamento_Asignado,"",0))</f>
        <v>Refacciones</v>
      </c>
      <c r="T135" s="5" t="str">
        <f t="array" ref="T135">IF(OR($B135="",ISBLANK(XLOOKUP($B135,Números_Asignados,Puesto_Asignado,"",0))),"",XLOOKUP($B135,Números_Asignados,Puesto_Asignado,"",0))</f>
        <v>Encargado de Refacciones Sucursal</v>
      </c>
      <c r="U135" s="5" t="str">
        <f t="array" ref="U135">IF(OR($B135="",ISBLANK(XLOOKUP($B135,Números_Asignados,Correos_Gmail,"",0))),"",XLOOKUP($B135,Números_Asignados,Correos_Gmail,"",0))</f>
        <v>orlando.ceja@agrocisa.com.mx</v>
      </c>
      <c r="V135" s="5" t="str">
        <f t="array" ref="V135">IF(OR($B135="",ISBLANK(XLOOKUP($B135,Números_Asignados,Correos_Institucionales,"",0))),"",XLOOKUP($B135,Números_Asignados,Correos_Institucionales,"",0))</f>
        <v>orlando.ceja@agrocisa.com.mx</v>
      </c>
    </row>
    <row r="136" ht="15.75" customHeight="1">
      <c r="A136" s="5">
        <v>3.316091879E9</v>
      </c>
      <c r="B136" s="5">
        <v>3.316091879E9</v>
      </c>
      <c r="C136" s="5">
        <v>1.0</v>
      </c>
      <c r="D136" s="17">
        <v>269.0</v>
      </c>
      <c r="E136" s="5">
        <v>9.0</v>
      </c>
      <c r="F136" s="17" t="s">
        <v>780</v>
      </c>
      <c r="G136" s="23">
        <v>3.52010505765308E14</v>
      </c>
      <c r="H136" s="23" t="s">
        <v>1054</v>
      </c>
      <c r="I136" s="5" t="s">
        <v>1055</v>
      </c>
      <c r="J136" s="5" t="s">
        <v>776</v>
      </c>
      <c r="K136" s="23" t="s">
        <v>777</v>
      </c>
      <c r="L136" s="22" t="s">
        <v>778</v>
      </c>
      <c r="M136" s="39">
        <v>46149.0</v>
      </c>
      <c r="N136" s="22" t="s">
        <v>779</v>
      </c>
      <c r="O136" s="5"/>
      <c r="P136" s="38">
        <f t="array" ref="P136">XLOOKUP(F136,Lista_Equipos_2026,Precio_Equipos_2026," *** OJO *** ",0)</f>
        <v>10999</v>
      </c>
      <c r="Q136" s="5" t="str">
        <f t="array" ref="Q136">IF(OR($B136="",ISBLANK(XLOOKUP($B136,Números_Asignados,Nombres_Directorio,"",0))),"",XLOOKUP($B136,Números_Asignados,Nombres_Directorio,"",0))</f>
        <v>Patricia Yunuen Vázquez Villa </v>
      </c>
      <c r="R136" s="5" t="str">
        <f t="array" ref="R136">IF(OR($B136="",ISBLANK(XLOOKUP($B136,Números_Asignados,Sucursal_Asignada,"",0))),"",XLOOKUP($B136,Números_Asignados,Sucursal_Asignada,"",0))</f>
        <v>Poncitlán</v>
      </c>
      <c r="S136" s="5" t="str">
        <f t="array" ref="S136">IF(OR($B136="",ISBLANK(XLOOKUP($B136,Números_Asignados,Departamento_Asignado,"",0))),"",XLOOKUP($B136,Números_Asignados,Departamento_Asignado,"",0))</f>
        <v>Servicio</v>
      </c>
      <c r="T136" s="5" t="str">
        <f t="array" ref="T136">IF(OR($B136="",ISBLANK(XLOOKUP($B136,Números_Asignados,Puesto_Asignado,"",0))),"",XLOOKUP($B136,Números_Asignados,Puesto_Asignado,"",0))</f>
        <v>Auxiliar Administrativo</v>
      </c>
      <c r="U136" s="5" t="str">
        <f t="array" ref="U136">IF(OR($B136="",ISBLANK(XLOOKUP($B136,Números_Asignados,Correos_Gmail,"",0))),"",XLOOKUP($B136,Números_Asignados,Correos_Gmail,"",0))</f>
        <v>pvazquez.agro@gmail.com</v>
      </c>
      <c r="V136" s="5" t="str">
        <f t="array" ref="V136">IF(OR($B136="",ISBLANK(XLOOKUP($B136,Números_Asignados,Correos_Institucionales,"",0))),"",XLOOKUP($B136,Números_Asignados,Correos_Institucionales,"",0))</f>
        <v>patricia.vazquez@agrocisa.com.mx</v>
      </c>
      <c r="W136" s="4"/>
    </row>
    <row r="137" ht="15.75" customHeight="1">
      <c r="A137" s="5">
        <v>3.931001479E9</v>
      </c>
      <c r="B137" s="5">
        <v>3.931001479E9</v>
      </c>
      <c r="C137" s="5">
        <v>4.0</v>
      </c>
      <c r="D137" s="17">
        <v>599.0</v>
      </c>
      <c r="E137" s="5">
        <v>22.5</v>
      </c>
      <c r="F137" s="17" t="s">
        <v>780</v>
      </c>
      <c r="G137" s="23">
        <v>3.57369477216293E14</v>
      </c>
      <c r="H137" s="23" t="s">
        <v>1056</v>
      </c>
      <c r="I137" s="5" t="s">
        <v>1057</v>
      </c>
      <c r="J137" s="5" t="s">
        <v>776</v>
      </c>
      <c r="K137" s="23" t="s">
        <v>777</v>
      </c>
      <c r="L137" s="22" t="s">
        <v>778</v>
      </c>
      <c r="M137" s="39">
        <v>46149.0</v>
      </c>
      <c r="N137" s="22" t="s">
        <v>779</v>
      </c>
      <c r="O137" s="5"/>
      <c r="P137" s="38">
        <f t="array" ref="P137">XLOOKUP(F137,Lista_Equipos_2026,Precio_Equipos_2026," *** OJO *** ",0)</f>
        <v>10999</v>
      </c>
      <c r="Q137" s="5" t="str">
        <f t="array" ref="Q137">IF(OR($B137="",ISBLANK(XLOOKUP($B137,Números_Asignados,Nombres_Directorio,"",0))),"",XLOOKUP($B137,Números_Asignados,Nombres_Directorio,"",0))</f>
        <v>César Enrique Flores Franco</v>
      </c>
      <c r="R137" s="5" t="str">
        <f t="array" ref="R137">IF(OR($B137="",ISBLANK(XLOOKUP($B137,Números_Asignados,Sucursal_Asignada,"",0))),"",XLOOKUP($B137,Números_Asignados,Sucursal_Asignada,"",0))</f>
        <v>Poncitlán</v>
      </c>
      <c r="S137" s="5" t="str">
        <f t="array" ref="S137">IF(OR($B137="",ISBLANK(XLOOKUP($B137,Números_Asignados,Departamento_Asignado,"",0))),"",XLOOKUP($B137,Números_Asignados,Departamento_Asignado,"",0))</f>
        <v>Servicio</v>
      </c>
      <c r="T137" s="5" t="str">
        <f t="array" ref="T137">IF(OR($B137="",ISBLANK(XLOOKUP($B137,Números_Asignados,Puesto_Asignado,"",0))),"",XLOOKUP($B137,Números_Asignados,Puesto_Asignado,"",0))</f>
        <v>Jefe de Taller</v>
      </c>
      <c r="U137" s="5" t="str">
        <f t="array" ref="U137">IF(OR($B137="",ISBLANK(XLOOKUP($B137,Números_Asignados,Correos_Gmail,"",0))),"",XLOOKUP($B137,Números_Asignados,Correos_Gmail,"",0))</f>
        <v>tallerponcitlan@agrocisa.com.mx</v>
      </c>
      <c r="V137" s="5" t="str">
        <f t="array" ref="V137">IF(OR($B137="",ISBLANK(XLOOKUP($B137,Números_Asignados,Correos_Institucionales,"",0))),"",XLOOKUP($B137,Números_Asignados,Correos_Institucionales,"",0))</f>
        <v>tallerponcitlan@agrocisa.com.mx</v>
      </c>
      <c r="W137" s="4"/>
    </row>
    <row r="138" ht="15.75" customHeight="1">
      <c r="A138" s="5">
        <v>3.316132351E9</v>
      </c>
      <c r="B138" s="5">
        <v>3.316132351E9</v>
      </c>
      <c r="C138" s="5">
        <v>4.0</v>
      </c>
      <c r="D138" s="17">
        <v>599.0</v>
      </c>
      <c r="E138" s="5">
        <v>22.5</v>
      </c>
      <c r="F138" s="17" t="s">
        <v>785</v>
      </c>
      <c r="G138" s="23">
        <v>3.52242801089477E14</v>
      </c>
      <c r="H138" s="23" t="s">
        <v>1058</v>
      </c>
      <c r="I138" s="5" t="s">
        <v>1059</v>
      </c>
      <c r="J138" s="5" t="s">
        <v>776</v>
      </c>
      <c r="K138" s="23" t="s">
        <v>777</v>
      </c>
      <c r="L138" s="22" t="s">
        <v>778</v>
      </c>
      <c r="M138" s="39">
        <v>46142.0</v>
      </c>
      <c r="N138" s="22" t="s">
        <v>779</v>
      </c>
      <c r="O138" s="5"/>
      <c r="P138" s="38">
        <f t="array" ref="P138">XLOOKUP(F138,Lista_Equipos_2026,Precio_Equipos_2026," *** OJO *** ",0)</f>
        <v>15499</v>
      </c>
      <c r="Q138" s="5" t="str">
        <f t="array" ref="Q138">IF(OR($B138="",ISBLANK(XLOOKUP($B138,Números_Asignados,Nombres_Directorio,"",0))),"",XLOOKUP($B138,Números_Asignados,Nombres_Directorio,"",0))</f>
        <v>Martín Salcedo Vargas</v>
      </c>
      <c r="R138" s="5" t="str">
        <f t="array" ref="R138">IF(OR($B138="",ISBLANK(XLOOKUP($B138,Números_Asignados,Sucursal_Asignada,"",0))),"",XLOOKUP($B138,Números_Asignados,Sucursal_Asignada,"",0))</f>
        <v>Zona Altos</v>
      </c>
      <c r="S138" s="5" t="str">
        <f t="array" ref="S138">IF(OR($B138="",ISBLANK(XLOOKUP($B138,Números_Asignados,Departamento_Asignado,"",0))),"",XLOOKUP($B138,Números_Asignados,Departamento_Asignado,"",0))</f>
        <v>Maquinaria</v>
      </c>
      <c r="T138" s="5" t="str">
        <f t="array" ref="T138">IF(OR($B138="",ISBLANK(XLOOKUP($B138,Números_Asignados,Puesto_Asignado,"",0))),"",XLOOKUP($B138,Números_Asignados,Puesto_Asignado,"",0))</f>
        <v>Gerente de Sucursal</v>
      </c>
      <c r="U138" s="5" t="str">
        <f t="array" ref="U138">IF(OR($B138="",ISBLANK(XLOOKUP($B138,Números_Asignados,Correos_Gmail,"",0))),"",XLOOKUP($B138,Números_Asignados,Correos_Gmail,"",0))</f>
        <v>martin.salcedo@agrocisa.com.mx</v>
      </c>
      <c r="V138" s="5" t="str">
        <f t="array" ref="V138">IF(OR($B138="",ISBLANK(XLOOKUP($B138,Números_Asignados,Correos_Institucionales,"",0))),"",XLOOKUP($B138,Números_Asignados,Correos_Institucionales,"",0))</f>
        <v>martin.salcedo@agrocisa.com.mx</v>
      </c>
      <c r="W138" s="4"/>
    </row>
    <row r="139" ht="15.75" customHeight="1">
      <c r="A139" s="5">
        <v>3.78186886E9</v>
      </c>
      <c r="B139" s="5">
        <v>3.78186886E9</v>
      </c>
      <c r="C139" s="5">
        <v>4.0</v>
      </c>
      <c r="D139" s="17">
        <v>599.0</v>
      </c>
      <c r="E139" s="5">
        <v>22.5</v>
      </c>
      <c r="F139" s="17" t="s">
        <v>780</v>
      </c>
      <c r="G139" s="23">
        <v>3.57369477215014E14</v>
      </c>
      <c r="H139" s="23" t="s">
        <v>1060</v>
      </c>
      <c r="I139" s="5" t="s">
        <v>1061</v>
      </c>
      <c r="J139" s="23" t="s">
        <v>776</v>
      </c>
      <c r="K139" s="23" t="s">
        <v>777</v>
      </c>
      <c r="L139" s="22" t="s">
        <v>778</v>
      </c>
      <c r="M139" s="39">
        <v>46174.0</v>
      </c>
      <c r="N139" s="22" t="s">
        <v>779</v>
      </c>
      <c r="O139" s="5"/>
      <c r="P139" s="38">
        <f t="array" ref="P139">XLOOKUP(F139,Lista_Equipos_2026,Precio_Equipos_2026," *** OJO *** ",0)</f>
        <v>10999</v>
      </c>
      <c r="Q139" s="5" t="str">
        <f t="array" ref="Q139">IF(OR($B139="",ISBLANK(XLOOKUP($B139,Números_Asignados,Nombres_Directorio,"",0))),"",XLOOKUP($B139,Números_Asignados,Nombres_Directorio,"",0))</f>
        <v>María Guadalupe Díaz Hernández</v>
      </c>
      <c r="R139" s="5" t="str">
        <f t="array" ref="R139">IF(OR($B139="",ISBLANK(XLOOKUP($B139,Números_Asignados,Sucursal_Asignada,"",0))),"",XLOOKUP($B139,Números_Asignados,Sucursal_Asignada,"",0))</f>
        <v>Zona Altos</v>
      </c>
      <c r="S139" s="5" t="str">
        <f t="array" ref="S139">IF(OR($B139="",ISBLANK(XLOOKUP($B139,Números_Asignados,Departamento_Asignado,"",0))),"",XLOOKUP($B139,Números_Asignados,Departamento_Asignado,"",0))</f>
        <v>Maquinaria Agrícola y Construcción</v>
      </c>
      <c r="T139" s="5" t="str">
        <f t="array" ref="T139">IF(OR($B139="",ISBLANK(XLOOKUP($B139,Números_Asignados,Puesto_Asignado,"",0))),"",XLOOKUP($B139,Números_Asignados,Puesto_Asignado,"",0))</f>
        <v>Asesor de Ventas</v>
      </c>
      <c r="U139" s="5" t="str">
        <f t="array" ref="U139">IF(OR($B139="",ISBLANK(XLOOKUP($B139,Números_Asignados,Correos_Gmail,"",0))),"",XLOOKUP($B139,Números_Asignados,Correos_Gmail,"",0))</f>
        <v>ventaszonatepa@agrocisa.com.mx</v>
      </c>
      <c r="V139" s="5" t="str">
        <f t="array" ref="V139">IF(OR($B139="",ISBLANK(XLOOKUP($B139,Números_Asignados,Correos_Institucionales,"",0))),"",XLOOKUP($B139,Números_Asignados,Correos_Institucionales,"",0))</f>
        <v>maria.diaz@agrocisa.com.mx</v>
      </c>
    </row>
    <row r="140" ht="15.75" customHeight="1">
      <c r="A140" s="5">
        <v>3.952680842E9</v>
      </c>
      <c r="B140" s="5">
        <v>3.952680842E9</v>
      </c>
      <c r="C140" s="5">
        <v>4.0</v>
      </c>
      <c r="D140" s="17">
        <v>599.0</v>
      </c>
      <c r="E140" s="5">
        <v>22.5</v>
      </c>
      <c r="F140" s="17" t="s">
        <v>780</v>
      </c>
      <c r="G140" s="23">
        <v>3.57369477228686E14</v>
      </c>
      <c r="H140" s="5" t="s">
        <v>1062</v>
      </c>
      <c r="I140" s="5" t="s">
        <v>1063</v>
      </c>
      <c r="J140" s="5" t="s">
        <v>776</v>
      </c>
      <c r="K140" s="5" t="s">
        <v>777</v>
      </c>
      <c r="L140" s="22" t="s">
        <v>778</v>
      </c>
      <c r="M140" s="39">
        <v>46160.0</v>
      </c>
      <c r="N140" s="22" t="s">
        <v>779</v>
      </c>
      <c r="O140" s="5"/>
      <c r="P140" s="38">
        <f t="array" ref="P140">XLOOKUP(F140,Lista_Equipos_2026,Precio_Equipos_2026," *** OJO *** ",0)</f>
        <v>10999</v>
      </c>
      <c r="Q140" s="5" t="str">
        <f t="array" ref="Q140">IF(OR($B140="",ISBLANK(XLOOKUP($B140,Números_Asignados,Nombres_Directorio,"",0))),"",XLOOKUP($B140,Números_Asignados,Nombres_Directorio,"",0))</f>
        <v>Pablo Arturo Maldonado Ponce</v>
      </c>
      <c r="R140" s="5" t="str">
        <f t="array" ref="R140">IF(OR($B140="",ISBLANK(XLOOKUP($B140,Números_Asignados,Sucursal_Asignada,"",0))),"",XLOOKUP($B140,Números_Asignados,Sucursal_Asignada,"",0))</f>
        <v>Zona Altos</v>
      </c>
      <c r="S140" s="5" t="str">
        <f t="array" ref="S140">IF(OR($B140="",ISBLANK(XLOOKUP($B140,Números_Asignados,Departamento_Asignado,"",0))),"",XLOOKUP($B140,Números_Asignados,Departamento_Asignado,"",0))</f>
        <v>Maquinaria Agrícola y Construcción</v>
      </c>
      <c r="T140" s="5" t="str">
        <f t="array" ref="T140">IF(OR($B140="",ISBLANK(XLOOKUP($B140,Números_Asignados,Puesto_Asignado,"",0))),"",XLOOKUP($B140,Números_Asignados,Puesto_Asignado,"",0))</f>
        <v>Asesor de Ventas</v>
      </c>
      <c r="U140" s="5" t="str">
        <f t="array" ref="U140">IF(OR($B140="",ISBLANK(XLOOKUP($B140,Números_Asignados,Correos_Gmail,"",0))),"",XLOOKUP($B140,Números_Asignados,Correos_Gmail,"",0))</f>
        <v>pablo.maldonado@agrocisa.com.mx</v>
      </c>
      <c r="V140" s="5" t="str">
        <f t="array" ref="V140">IF(OR($B140="",ISBLANK(XLOOKUP($B140,Números_Asignados,Correos_Institucionales,"",0))),"",XLOOKUP($B140,Números_Asignados,Correos_Institucionales,"",0))</f>
        <v>pablo.maldonado@agrocisa.com.mx</v>
      </c>
    </row>
    <row r="141" ht="15.75" customHeight="1">
      <c r="A141" s="5"/>
      <c r="B141" s="22">
        <v>4.432725034E9</v>
      </c>
      <c r="C141" s="5">
        <v>1.0</v>
      </c>
      <c r="D141" s="17">
        <v>269.0</v>
      </c>
      <c r="E141" s="5">
        <v>9.0</v>
      </c>
      <c r="F141" s="44" t="s">
        <v>1064</v>
      </c>
      <c r="G141" s="28">
        <v>8.63736063191378E14</v>
      </c>
      <c r="H141" s="22" t="s">
        <v>1065</v>
      </c>
      <c r="I141" s="22" t="s">
        <v>1066</v>
      </c>
      <c r="J141" s="5"/>
      <c r="K141" s="5"/>
      <c r="L141" s="22"/>
      <c r="M141" s="39">
        <v>46189.0</v>
      </c>
      <c r="N141" s="22"/>
      <c r="O141" s="5"/>
      <c r="P141" s="47">
        <v>800.0</v>
      </c>
      <c r="Q141" s="5" t="str">
        <f t="array" ref="Q141">IF(OR($B141="",ISBLANK(XLOOKUP($B141,Números_Asignados,Nombres_Directorio,"",0))),"",XLOOKUP($B141,Números_Asignados,Nombres_Directorio,"",0))</f>
        <v>Joel Velázquez Jaime</v>
      </c>
      <c r="R141" s="5" t="str">
        <f t="array" ref="R141">IF(OR($B141="",ISBLANK(XLOOKUP($B141,Números_Asignados,Sucursal_Asignada,"",0))),"",XLOOKUP($B141,Números_Asignados,Sucursal_Asignada,"",0))</f>
        <v>Morelia</v>
      </c>
      <c r="S141" s="5" t="str">
        <f t="array" ref="S141">IF(OR($B141="",ISBLANK(XLOOKUP($B141,Números_Asignados,Departamento_Asignado,"",0))),"",XLOOKUP($B141,Números_Asignados,Departamento_Asignado,"",0))</f>
        <v>Maquinaria Agrícola</v>
      </c>
      <c r="T141" s="5" t="str">
        <f t="array" ref="T141">IF(OR($B141="",ISBLANK(XLOOKUP($B141,Números_Asignados,Puesto_Asignado,"",0))),"",XLOOKUP($B141,Números_Asignados,Puesto_Asignado,"",0))</f>
        <v>Asesor de Ventas</v>
      </c>
      <c r="U141" s="5" t="str">
        <f t="array" ref="U141">IF(OR($B141="",ISBLANK(XLOOKUP($B141,Números_Asignados,Correos_Gmail,"",0))),"",XLOOKUP($B141,Números_Asignados,Correos_Gmail,"",0))</f>
        <v>joel.velazquez@agrocisa.com.mx</v>
      </c>
      <c r="V141" s="5" t="str">
        <f t="array" ref="V141">IF(OR($B141="",ISBLANK(XLOOKUP($B141,Números_Asignados,Correos_Institucionales,"",0))),"",XLOOKUP($B141,Números_Asignados,Correos_Institucionales,"",0))</f>
        <v>joel.velazquez@agrocisa.com.mx</v>
      </c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9"/>
      <c r="N142" s="49"/>
      <c r="O142" s="49"/>
      <c r="P142" s="48"/>
      <c r="Q142" s="48"/>
      <c r="R142" s="48"/>
      <c r="S142" s="48"/>
      <c r="T142" s="48"/>
      <c r="U142" s="48"/>
      <c r="V142" s="48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9"/>
      <c r="N143" s="49"/>
      <c r="O143" s="49"/>
      <c r="P143" s="48"/>
      <c r="Q143" s="48"/>
      <c r="R143" s="48"/>
      <c r="S143" s="48"/>
      <c r="T143" s="48"/>
      <c r="U143" s="48"/>
      <c r="V143" s="48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9"/>
      <c r="N144" s="49"/>
      <c r="O144" s="49"/>
      <c r="P144" s="48"/>
      <c r="Q144" s="48"/>
      <c r="R144" s="48"/>
      <c r="S144" s="48"/>
      <c r="T144" s="48"/>
      <c r="U144" s="48"/>
      <c r="V144" s="48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9"/>
      <c r="N145" s="49"/>
      <c r="O145" s="49"/>
      <c r="P145" s="48"/>
      <c r="Q145" s="48"/>
      <c r="R145" s="48"/>
      <c r="S145" s="48"/>
      <c r="T145" s="48"/>
      <c r="U145" s="48"/>
      <c r="V145" s="48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9"/>
      <c r="N146" s="49"/>
      <c r="O146" s="49"/>
      <c r="P146" s="48"/>
      <c r="Q146" s="48"/>
      <c r="R146" s="48"/>
      <c r="S146" s="48"/>
      <c r="T146" s="48"/>
      <c r="U146" s="48"/>
      <c r="V146" s="48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9"/>
      <c r="N147" s="49"/>
      <c r="O147" s="49"/>
      <c r="P147" s="48"/>
      <c r="Q147" s="48"/>
      <c r="R147" s="48"/>
      <c r="S147" s="48"/>
      <c r="T147" s="48"/>
      <c r="U147" s="48"/>
      <c r="V147" s="48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9"/>
      <c r="N148" s="49"/>
      <c r="O148" s="49"/>
      <c r="P148" s="48"/>
      <c r="Q148" s="48"/>
      <c r="R148" s="48"/>
      <c r="S148" s="48"/>
      <c r="T148" s="48"/>
      <c r="U148" s="48"/>
      <c r="V148" s="48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9"/>
      <c r="N149" s="49"/>
      <c r="O149" s="49"/>
      <c r="P149" s="48"/>
      <c r="Q149" s="48"/>
      <c r="R149" s="48"/>
      <c r="S149" s="48"/>
      <c r="T149" s="48"/>
      <c r="U149" s="48"/>
      <c r="V149" s="48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9"/>
      <c r="N150" s="49"/>
      <c r="O150" s="49"/>
      <c r="P150" s="48"/>
      <c r="Q150" s="48"/>
      <c r="R150" s="48"/>
      <c r="S150" s="48"/>
      <c r="T150" s="48"/>
      <c r="U150" s="48"/>
      <c r="V150" s="48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9"/>
      <c r="N151" s="49"/>
      <c r="O151" s="49"/>
      <c r="P151" s="48"/>
      <c r="Q151" s="48"/>
      <c r="R151" s="48"/>
      <c r="S151" s="48"/>
      <c r="T151" s="48"/>
      <c r="U151" s="48"/>
      <c r="V151" s="48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9"/>
      <c r="N152" s="49"/>
      <c r="O152" s="49"/>
      <c r="P152" s="48"/>
      <c r="Q152" s="48"/>
      <c r="R152" s="48"/>
      <c r="S152" s="48"/>
      <c r="T152" s="48"/>
      <c r="U152" s="48"/>
      <c r="V152" s="48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9"/>
      <c r="N153" s="49"/>
      <c r="O153" s="49"/>
      <c r="P153" s="48"/>
      <c r="Q153" s="48"/>
      <c r="R153" s="48"/>
      <c r="S153" s="48"/>
      <c r="T153" s="48"/>
      <c r="U153" s="48"/>
      <c r="V153" s="48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9"/>
      <c r="N154" s="49"/>
      <c r="O154" s="49"/>
      <c r="P154" s="48"/>
      <c r="Q154" s="48"/>
      <c r="R154" s="48"/>
      <c r="S154" s="48"/>
      <c r="T154" s="48"/>
      <c r="U154" s="48"/>
      <c r="V154" s="48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9"/>
      <c r="N155" s="49"/>
      <c r="O155" s="49"/>
      <c r="P155" s="48"/>
      <c r="Q155" s="48"/>
      <c r="R155" s="48"/>
      <c r="S155" s="48"/>
      <c r="T155" s="48"/>
      <c r="U155" s="48"/>
      <c r="V155" s="48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9"/>
      <c r="N156" s="49"/>
      <c r="O156" s="49"/>
      <c r="P156" s="48"/>
      <c r="Q156" s="48"/>
      <c r="R156" s="48"/>
      <c r="S156" s="48"/>
      <c r="T156" s="48"/>
      <c r="U156" s="48"/>
      <c r="V156" s="48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9"/>
      <c r="N157" s="49"/>
      <c r="O157" s="49"/>
      <c r="P157" s="48"/>
      <c r="Q157" s="48"/>
      <c r="R157" s="48"/>
      <c r="S157" s="48"/>
      <c r="T157" s="48"/>
      <c r="U157" s="48"/>
      <c r="V157" s="48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9"/>
      <c r="N158" s="49"/>
      <c r="O158" s="49"/>
      <c r="P158" s="48"/>
      <c r="Q158" s="48"/>
      <c r="R158" s="48"/>
      <c r="S158" s="48"/>
      <c r="T158" s="48"/>
      <c r="U158" s="48"/>
      <c r="V158" s="48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9"/>
      <c r="N159" s="49"/>
      <c r="O159" s="49"/>
      <c r="P159" s="48"/>
      <c r="Q159" s="48"/>
      <c r="R159" s="48"/>
      <c r="S159" s="48"/>
      <c r="T159" s="48"/>
      <c r="U159" s="48"/>
      <c r="V159" s="48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9"/>
      <c r="N160" s="49"/>
      <c r="O160" s="49"/>
      <c r="P160" s="48"/>
      <c r="Q160" s="48"/>
      <c r="R160" s="48"/>
      <c r="S160" s="48"/>
      <c r="T160" s="48"/>
      <c r="U160" s="48"/>
      <c r="V160" s="48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9"/>
      <c r="N161" s="49"/>
      <c r="O161" s="49"/>
      <c r="P161" s="48"/>
      <c r="Q161" s="48"/>
      <c r="R161" s="48"/>
      <c r="S161" s="48"/>
      <c r="T161" s="48"/>
      <c r="U161" s="48"/>
      <c r="V161" s="48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9"/>
      <c r="N162" s="49"/>
      <c r="O162" s="49"/>
      <c r="P162" s="48"/>
      <c r="Q162" s="48"/>
      <c r="R162" s="48"/>
      <c r="S162" s="48"/>
      <c r="T162" s="48"/>
      <c r="U162" s="48"/>
      <c r="V162" s="48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9"/>
      <c r="N163" s="49"/>
      <c r="O163" s="49"/>
      <c r="P163" s="48"/>
      <c r="Q163" s="48"/>
      <c r="R163" s="48"/>
      <c r="S163" s="48"/>
      <c r="T163" s="48"/>
      <c r="U163" s="48"/>
      <c r="V163" s="48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9"/>
      <c r="N164" s="49"/>
      <c r="O164" s="49"/>
      <c r="P164" s="48"/>
      <c r="Q164" s="48"/>
      <c r="R164" s="48"/>
      <c r="S164" s="48"/>
      <c r="T164" s="48"/>
      <c r="U164" s="48"/>
      <c r="V164" s="48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9"/>
      <c r="N165" s="49"/>
      <c r="O165" s="49"/>
      <c r="P165" s="48"/>
      <c r="Q165" s="48"/>
      <c r="R165" s="48"/>
      <c r="S165" s="48"/>
      <c r="T165" s="48"/>
      <c r="U165" s="48"/>
      <c r="V165" s="48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9"/>
      <c r="N166" s="49"/>
      <c r="O166" s="49"/>
      <c r="P166" s="48"/>
      <c r="Q166" s="48"/>
      <c r="R166" s="48"/>
      <c r="S166" s="48"/>
      <c r="T166" s="48"/>
      <c r="U166" s="48"/>
      <c r="V166" s="48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9"/>
      <c r="N167" s="49"/>
      <c r="O167" s="49"/>
      <c r="P167" s="48"/>
      <c r="Q167" s="48"/>
      <c r="R167" s="48"/>
      <c r="S167" s="48"/>
      <c r="T167" s="48"/>
      <c r="U167" s="48"/>
      <c r="V167" s="48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9"/>
      <c r="N168" s="49"/>
      <c r="O168" s="49"/>
      <c r="P168" s="48"/>
      <c r="Q168" s="48"/>
      <c r="R168" s="48"/>
      <c r="S168" s="48"/>
      <c r="T168" s="48"/>
      <c r="U168" s="48"/>
      <c r="V168" s="48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9"/>
      <c r="N169" s="49"/>
      <c r="O169" s="49"/>
      <c r="P169" s="48"/>
      <c r="Q169" s="48"/>
      <c r="R169" s="48"/>
      <c r="S169" s="48"/>
      <c r="T169" s="48"/>
      <c r="U169" s="48"/>
      <c r="V169" s="48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9"/>
      <c r="N170" s="49"/>
      <c r="O170" s="49"/>
      <c r="P170" s="48"/>
      <c r="Q170" s="48"/>
      <c r="R170" s="48"/>
      <c r="S170" s="48"/>
      <c r="T170" s="48"/>
      <c r="U170" s="48"/>
      <c r="V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9"/>
      <c r="N171" s="49"/>
      <c r="O171" s="49"/>
      <c r="P171" s="48"/>
      <c r="Q171" s="48"/>
      <c r="R171" s="48"/>
      <c r="S171" s="48"/>
      <c r="T171" s="48"/>
      <c r="U171" s="48"/>
      <c r="V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9"/>
      <c r="N172" s="49"/>
      <c r="O172" s="49"/>
      <c r="P172" s="48"/>
      <c r="Q172" s="48"/>
      <c r="R172" s="48"/>
      <c r="S172" s="48"/>
      <c r="T172" s="48"/>
      <c r="U172" s="48"/>
      <c r="V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9"/>
      <c r="N173" s="49"/>
      <c r="O173" s="49"/>
      <c r="P173" s="48"/>
      <c r="Q173" s="48"/>
      <c r="R173" s="48"/>
      <c r="S173" s="48"/>
      <c r="T173" s="48"/>
      <c r="U173" s="48"/>
      <c r="V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9"/>
      <c r="N174" s="49"/>
      <c r="O174" s="49"/>
      <c r="P174" s="48"/>
      <c r="Q174" s="48"/>
      <c r="R174" s="48"/>
      <c r="S174" s="48"/>
      <c r="T174" s="48"/>
      <c r="U174" s="48"/>
      <c r="V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9"/>
      <c r="N175" s="49"/>
      <c r="O175" s="49"/>
      <c r="P175" s="48"/>
      <c r="Q175" s="48"/>
      <c r="R175" s="48"/>
      <c r="S175" s="48"/>
      <c r="T175" s="48"/>
      <c r="U175" s="48"/>
      <c r="V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9"/>
      <c r="N176" s="49"/>
      <c r="O176" s="49"/>
      <c r="P176" s="48"/>
      <c r="Q176" s="48"/>
      <c r="R176" s="48"/>
      <c r="S176" s="48"/>
      <c r="T176" s="48"/>
      <c r="U176" s="48"/>
      <c r="V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9"/>
      <c r="N177" s="49"/>
      <c r="O177" s="49"/>
      <c r="P177" s="48"/>
      <c r="Q177" s="48"/>
      <c r="R177" s="48"/>
      <c r="S177" s="48"/>
      <c r="T177" s="48"/>
      <c r="U177" s="48"/>
      <c r="V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9"/>
      <c r="N178" s="49"/>
      <c r="O178" s="49"/>
      <c r="P178" s="48"/>
      <c r="Q178" s="48"/>
      <c r="R178" s="48"/>
      <c r="S178" s="48"/>
      <c r="T178" s="48"/>
      <c r="U178" s="48"/>
      <c r="V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9"/>
      <c r="N179" s="49"/>
      <c r="O179" s="49"/>
      <c r="P179" s="48"/>
      <c r="Q179" s="48"/>
      <c r="R179" s="48"/>
      <c r="S179" s="48"/>
      <c r="T179" s="48"/>
      <c r="U179" s="48"/>
      <c r="V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9"/>
      <c r="N180" s="49"/>
      <c r="O180" s="49"/>
      <c r="P180" s="48"/>
      <c r="Q180" s="48"/>
      <c r="R180" s="48"/>
      <c r="S180" s="48"/>
      <c r="T180" s="48"/>
      <c r="U180" s="48"/>
      <c r="V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9"/>
      <c r="N181" s="49"/>
      <c r="O181" s="49"/>
      <c r="P181" s="48"/>
      <c r="Q181" s="48"/>
      <c r="R181" s="48"/>
      <c r="S181" s="48"/>
      <c r="T181" s="48"/>
      <c r="U181" s="48"/>
      <c r="V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9"/>
      <c r="N182" s="49"/>
      <c r="O182" s="49"/>
      <c r="P182" s="48"/>
      <c r="Q182" s="48"/>
      <c r="R182" s="48"/>
      <c r="S182" s="48"/>
      <c r="T182" s="48"/>
      <c r="U182" s="48"/>
      <c r="V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9"/>
      <c r="N183" s="49"/>
      <c r="O183" s="49"/>
      <c r="P183" s="48"/>
      <c r="Q183" s="48"/>
      <c r="R183" s="48"/>
      <c r="S183" s="48"/>
      <c r="T183" s="48"/>
      <c r="U183" s="48"/>
      <c r="V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9"/>
      <c r="N184" s="49"/>
      <c r="O184" s="49"/>
      <c r="P184" s="48"/>
      <c r="Q184" s="48"/>
      <c r="R184" s="48"/>
      <c r="S184" s="48"/>
      <c r="T184" s="48"/>
      <c r="U184" s="48"/>
      <c r="V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9"/>
      <c r="N185" s="49"/>
      <c r="O185" s="49"/>
      <c r="P185" s="48"/>
      <c r="Q185" s="48"/>
      <c r="R185" s="48"/>
      <c r="S185" s="48"/>
      <c r="T185" s="48"/>
      <c r="U185" s="48"/>
      <c r="V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9"/>
      <c r="N186" s="49"/>
      <c r="O186" s="49"/>
      <c r="P186" s="48"/>
      <c r="Q186" s="48"/>
      <c r="R186" s="48"/>
      <c r="S186" s="48"/>
      <c r="T186" s="48"/>
      <c r="U186" s="48"/>
      <c r="V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9"/>
      <c r="N187" s="49"/>
      <c r="O187" s="49"/>
      <c r="P187" s="48"/>
      <c r="Q187" s="48"/>
      <c r="R187" s="48"/>
      <c r="S187" s="48"/>
      <c r="T187" s="48"/>
      <c r="U187" s="48"/>
      <c r="V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9"/>
      <c r="N188" s="49"/>
      <c r="O188" s="49"/>
      <c r="P188" s="48"/>
      <c r="Q188" s="48"/>
      <c r="R188" s="48"/>
      <c r="S188" s="48"/>
      <c r="T188" s="48"/>
      <c r="U188" s="48"/>
      <c r="V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9"/>
      <c r="N189" s="49"/>
      <c r="O189" s="49"/>
      <c r="P189" s="48"/>
      <c r="Q189" s="48"/>
      <c r="R189" s="48"/>
      <c r="S189" s="48"/>
      <c r="T189" s="48"/>
      <c r="U189" s="48"/>
      <c r="V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9"/>
      <c r="N190" s="49"/>
      <c r="O190" s="49"/>
      <c r="P190" s="48"/>
      <c r="Q190" s="48"/>
      <c r="R190" s="48"/>
      <c r="S190" s="48"/>
      <c r="T190" s="48"/>
      <c r="U190" s="48"/>
      <c r="V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9"/>
      <c r="N191" s="49"/>
      <c r="O191" s="49"/>
      <c r="P191" s="48"/>
      <c r="Q191" s="48"/>
      <c r="R191" s="48"/>
      <c r="S191" s="48"/>
      <c r="T191" s="48"/>
      <c r="U191" s="48"/>
      <c r="V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9"/>
      <c r="N192" s="49"/>
      <c r="O192" s="49"/>
      <c r="P192" s="48"/>
      <c r="Q192" s="48"/>
      <c r="R192" s="48"/>
      <c r="S192" s="48"/>
      <c r="T192" s="48"/>
      <c r="U192" s="48"/>
      <c r="V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9"/>
      <c r="N193" s="49"/>
      <c r="O193" s="49"/>
      <c r="P193" s="48"/>
      <c r="Q193" s="48"/>
      <c r="R193" s="48"/>
      <c r="S193" s="48"/>
      <c r="T193" s="48"/>
      <c r="U193" s="48"/>
      <c r="V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9"/>
      <c r="N194" s="49"/>
      <c r="O194" s="49"/>
      <c r="P194" s="48"/>
      <c r="Q194" s="48"/>
      <c r="R194" s="48"/>
      <c r="S194" s="48"/>
      <c r="T194" s="48"/>
      <c r="U194" s="48"/>
      <c r="V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9"/>
      <c r="N195" s="49"/>
      <c r="O195" s="49"/>
      <c r="P195" s="48"/>
      <c r="Q195" s="48"/>
      <c r="R195" s="48"/>
      <c r="S195" s="48"/>
      <c r="T195" s="48"/>
      <c r="U195" s="48"/>
      <c r="V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9"/>
      <c r="N196" s="49"/>
      <c r="O196" s="49"/>
      <c r="P196" s="48"/>
      <c r="Q196" s="48"/>
      <c r="R196" s="48"/>
      <c r="S196" s="48"/>
      <c r="T196" s="48"/>
      <c r="U196" s="48"/>
      <c r="V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9"/>
      <c r="N197" s="49"/>
      <c r="O197" s="49"/>
      <c r="P197" s="48"/>
      <c r="Q197" s="48"/>
      <c r="R197" s="48"/>
      <c r="S197" s="48"/>
      <c r="T197" s="48"/>
      <c r="U197" s="48"/>
      <c r="V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9"/>
      <c r="N198" s="49"/>
      <c r="O198" s="49"/>
      <c r="P198" s="48"/>
      <c r="Q198" s="48"/>
      <c r="R198" s="48"/>
      <c r="S198" s="48"/>
      <c r="T198" s="48"/>
      <c r="U198" s="48"/>
      <c r="V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9"/>
      <c r="N199" s="49"/>
      <c r="O199" s="49"/>
      <c r="P199" s="48"/>
      <c r="Q199" s="48"/>
      <c r="R199" s="48"/>
      <c r="S199" s="48"/>
      <c r="T199" s="48"/>
      <c r="U199" s="48"/>
      <c r="V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9"/>
      <c r="N200" s="49"/>
      <c r="O200" s="49"/>
      <c r="P200" s="48"/>
      <c r="Q200" s="48"/>
      <c r="R200" s="48"/>
      <c r="S200" s="48"/>
      <c r="T200" s="48"/>
      <c r="U200" s="48"/>
      <c r="V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9"/>
      <c r="N201" s="49"/>
      <c r="O201" s="49"/>
      <c r="P201" s="48"/>
      <c r="Q201" s="48"/>
      <c r="R201" s="48"/>
      <c r="S201" s="48"/>
      <c r="T201" s="48"/>
      <c r="U201" s="48"/>
      <c r="V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9"/>
      <c r="N202" s="49"/>
      <c r="O202" s="49"/>
      <c r="P202" s="48"/>
      <c r="Q202" s="48"/>
      <c r="R202" s="48"/>
      <c r="S202" s="48"/>
      <c r="T202" s="48"/>
      <c r="U202" s="48"/>
      <c r="V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9"/>
      <c r="N203" s="49"/>
      <c r="O203" s="49"/>
      <c r="P203" s="48"/>
      <c r="Q203" s="48"/>
      <c r="R203" s="48"/>
      <c r="S203" s="48"/>
      <c r="T203" s="48"/>
      <c r="U203" s="48"/>
      <c r="V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9"/>
      <c r="N204" s="49"/>
      <c r="O204" s="49"/>
      <c r="P204" s="48"/>
      <c r="Q204" s="48"/>
      <c r="R204" s="48"/>
      <c r="S204" s="48"/>
      <c r="T204" s="48"/>
      <c r="U204" s="48"/>
      <c r="V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9"/>
      <c r="N205" s="49"/>
      <c r="O205" s="49"/>
      <c r="P205" s="48"/>
      <c r="Q205" s="48"/>
      <c r="R205" s="48"/>
      <c r="S205" s="48"/>
      <c r="T205" s="48"/>
      <c r="U205" s="48"/>
      <c r="V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9"/>
      <c r="N206" s="49"/>
      <c r="O206" s="49"/>
      <c r="P206" s="48"/>
      <c r="Q206" s="48"/>
      <c r="R206" s="48"/>
      <c r="S206" s="48"/>
      <c r="T206" s="48"/>
      <c r="U206" s="48"/>
      <c r="V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9"/>
      <c r="N207" s="49"/>
      <c r="O207" s="49"/>
      <c r="P207" s="48"/>
      <c r="Q207" s="48"/>
      <c r="R207" s="48"/>
      <c r="S207" s="48"/>
      <c r="T207" s="48"/>
      <c r="U207" s="48"/>
      <c r="V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9"/>
      <c r="N208" s="49"/>
      <c r="O208" s="49"/>
      <c r="P208" s="48"/>
      <c r="Q208" s="48"/>
      <c r="R208" s="48"/>
      <c r="S208" s="48"/>
      <c r="T208" s="48"/>
      <c r="U208" s="48"/>
      <c r="V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9"/>
      <c r="N209" s="49"/>
      <c r="O209" s="49"/>
      <c r="P209" s="48"/>
      <c r="Q209" s="48"/>
      <c r="R209" s="48"/>
      <c r="S209" s="48"/>
      <c r="T209" s="48"/>
      <c r="U209" s="48"/>
      <c r="V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9"/>
      <c r="N210" s="49"/>
      <c r="O210" s="49"/>
      <c r="P210" s="48"/>
      <c r="Q210" s="48"/>
      <c r="R210" s="48"/>
      <c r="S210" s="48"/>
      <c r="T210" s="48"/>
      <c r="U210" s="48"/>
      <c r="V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9"/>
      <c r="N211" s="49"/>
      <c r="O211" s="49"/>
      <c r="P211" s="48"/>
      <c r="Q211" s="48"/>
      <c r="R211" s="48"/>
      <c r="S211" s="48"/>
      <c r="T211" s="48"/>
      <c r="U211" s="48"/>
      <c r="V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9"/>
      <c r="N212" s="49"/>
      <c r="O212" s="49"/>
      <c r="P212" s="48"/>
      <c r="Q212" s="48"/>
      <c r="R212" s="48"/>
      <c r="S212" s="48"/>
      <c r="T212" s="48"/>
      <c r="U212" s="48"/>
      <c r="V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9"/>
      <c r="N213" s="49"/>
      <c r="O213" s="49"/>
      <c r="P213" s="48"/>
      <c r="Q213" s="48"/>
      <c r="R213" s="48"/>
      <c r="S213" s="48"/>
      <c r="T213" s="48"/>
      <c r="U213" s="48"/>
      <c r="V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9"/>
      <c r="N214" s="49"/>
      <c r="O214" s="49"/>
      <c r="P214" s="48"/>
      <c r="Q214" s="48"/>
      <c r="R214" s="48"/>
      <c r="S214" s="48"/>
      <c r="T214" s="48"/>
      <c r="U214" s="48"/>
      <c r="V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9"/>
      <c r="N215" s="49"/>
      <c r="O215" s="49"/>
      <c r="P215" s="48"/>
      <c r="Q215" s="48"/>
      <c r="R215" s="48"/>
      <c r="S215" s="48"/>
      <c r="T215" s="48"/>
      <c r="U215" s="48"/>
      <c r="V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9"/>
      <c r="N216" s="49"/>
      <c r="O216" s="49"/>
      <c r="P216" s="48"/>
      <c r="Q216" s="48"/>
      <c r="R216" s="48"/>
      <c r="S216" s="48"/>
      <c r="T216" s="48"/>
      <c r="U216" s="48"/>
      <c r="V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9"/>
      <c r="N217" s="49"/>
      <c r="O217" s="49"/>
      <c r="P217" s="48"/>
      <c r="Q217" s="48"/>
      <c r="R217" s="48"/>
      <c r="S217" s="48"/>
      <c r="T217" s="48"/>
      <c r="U217" s="48"/>
      <c r="V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9"/>
      <c r="N218" s="49"/>
      <c r="O218" s="49"/>
      <c r="P218" s="48"/>
      <c r="Q218" s="48"/>
      <c r="R218" s="48"/>
      <c r="S218" s="48"/>
      <c r="T218" s="48"/>
      <c r="U218" s="48"/>
      <c r="V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9"/>
      <c r="N219" s="49"/>
      <c r="O219" s="49"/>
      <c r="P219" s="48"/>
      <c r="Q219" s="48"/>
      <c r="R219" s="48"/>
      <c r="S219" s="48"/>
      <c r="T219" s="48"/>
      <c r="U219" s="48"/>
      <c r="V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9"/>
      <c r="N220" s="49"/>
      <c r="O220" s="49"/>
      <c r="P220" s="48"/>
      <c r="Q220" s="48"/>
      <c r="R220" s="48"/>
      <c r="S220" s="48"/>
      <c r="T220" s="48"/>
      <c r="U220" s="48"/>
      <c r="V220" s="48"/>
    </row>
    <row r="221" ht="15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9"/>
      <c r="N221" s="49"/>
      <c r="O221" s="49"/>
      <c r="P221" s="48"/>
      <c r="Q221" s="48"/>
      <c r="R221" s="48"/>
      <c r="S221" s="48"/>
      <c r="T221" s="48"/>
      <c r="U221" s="48"/>
      <c r="V221" s="48"/>
    </row>
    <row r="222" ht="15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9"/>
      <c r="N222" s="49"/>
      <c r="O222" s="49"/>
      <c r="P222" s="48"/>
      <c r="Q222" s="48"/>
      <c r="R222" s="48"/>
      <c r="S222" s="48"/>
      <c r="T222" s="48"/>
      <c r="U222" s="48"/>
      <c r="V222" s="48"/>
    </row>
    <row r="223" ht="15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9"/>
      <c r="N223" s="49"/>
      <c r="O223" s="49"/>
      <c r="P223" s="48"/>
      <c r="Q223" s="48"/>
      <c r="R223" s="48"/>
      <c r="S223" s="48"/>
      <c r="T223" s="48"/>
      <c r="U223" s="48"/>
      <c r="V223" s="48"/>
    </row>
    <row r="224" ht="15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9"/>
      <c r="N224" s="49"/>
      <c r="O224" s="49"/>
      <c r="P224" s="48"/>
      <c r="Q224" s="48"/>
      <c r="R224" s="48"/>
      <c r="S224" s="48"/>
      <c r="T224" s="48"/>
      <c r="U224" s="48"/>
      <c r="V224" s="48"/>
    </row>
    <row r="225" ht="15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9"/>
      <c r="N225" s="49"/>
      <c r="O225" s="49"/>
      <c r="P225" s="48"/>
      <c r="Q225" s="48"/>
      <c r="R225" s="48"/>
      <c r="S225" s="48"/>
      <c r="T225" s="48"/>
      <c r="U225" s="48"/>
      <c r="V225" s="48"/>
    </row>
    <row r="226" ht="15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9"/>
      <c r="N226" s="49"/>
      <c r="O226" s="49"/>
      <c r="P226" s="48"/>
      <c r="Q226" s="48"/>
      <c r="R226" s="48"/>
      <c r="S226" s="48"/>
      <c r="T226" s="48"/>
      <c r="U226" s="48"/>
      <c r="V226" s="48"/>
    </row>
    <row r="227" ht="15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9"/>
      <c r="N227" s="49"/>
      <c r="O227" s="49"/>
      <c r="P227" s="48"/>
      <c r="Q227" s="48"/>
      <c r="R227" s="48"/>
      <c r="S227" s="48"/>
      <c r="T227" s="48"/>
      <c r="U227" s="48"/>
      <c r="V227" s="48"/>
    </row>
    <row r="228" ht="15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9"/>
      <c r="N228" s="49"/>
      <c r="O228" s="49"/>
      <c r="P228" s="48"/>
      <c r="Q228" s="48"/>
      <c r="R228" s="48"/>
      <c r="S228" s="48"/>
      <c r="T228" s="48"/>
      <c r="U228" s="48"/>
      <c r="V228" s="48"/>
    </row>
    <row r="229" ht="15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9"/>
      <c r="N229" s="49"/>
      <c r="O229" s="49"/>
      <c r="P229" s="48"/>
      <c r="Q229" s="48"/>
      <c r="R229" s="48"/>
      <c r="S229" s="48"/>
      <c r="T229" s="48"/>
      <c r="U229" s="48"/>
      <c r="V229" s="48"/>
    </row>
    <row r="230" ht="15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9"/>
      <c r="N230" s="49"/>
      <c r="O230" s="49"/>
      <c r="P230" s="48"/>
      <c r="Q230" s="48"/>
      <c r="R230" s="48"/>
      <c r="S230" s="48"/>
      <c r="T230" s="48"/>
      <c r="U230" s="48"/>
      <c r="V230" s="48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9"/>
      <c r="N231" s="49"/>
      <c r="O231" s="49"/>
      <c r="P231" s="48"/>
      <c r="Q231" s="48"/>
      <c r="R231" s="48"/>
      <c r="S231" s="48"/>
      <c r="T231" s="48"/>
      <c r="U231" s="48"/>
      <c r="V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9"/>
      <c r="N232" s="49"/>
      <c r="O232" s="49"/>
      <c r="P232" s="48"/>
      <c r="Q232" s="48"/>
      <c r="R232" s="48"/>
      <c r="S232" s="48"/>
      <c r="T232" s="48"/>
      <c r="U232" s="48"/>
      <c r="V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9"/>
      <c r="N233" s="49"/>
      <c r="O233" s="49"/>
      <c r="P233" s="48"/>
      <c r="Q233" s="48"/>
      <c r="R233" s="48"/>
      <c r="S233" s="48"/>
      <c r="T233" s="48"/>
      <c r="U233" s="48"/>
      <c r="V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9"/>
      <c r="N234" s="49"/>
      <c r="O234" s="49"/>
      <c r="P234" s="48"/>
      <c r="Q234" s="48"/>
      <c r="R234" s="48"/>
      <c r="S234" s="48"/>
      <c r="T234" s="48"/>
      <c r="U234" s="48"/>
      <c r="V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9"/>
      <c r="N235" s="49"/>
      <c r="O235" s="49"/>
      <c r="P235" s="48"/>
      <c r="Q235" s="48"/>
      <c r="R235" s="48"/>
      <c r="S235" s="48"/>
      <c r="T235" s="48"/>
      <c r="U235" s="48"/>
      <c r="V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9"/>
      <c r="N236" s="49"/>
      <c r="O236" s="49"/>
      <c r="P236" s="48"/>
      <c r="Q236" s="48"/>
      <c r="R236" s="48"/>
      <c r="S236" s="48"/>
      <c r="T236" s="48"/>
      <c r="U236" s="48"/>
      <c r="V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9"/>
      <c r="N237" s="49"/>
      <c r="O237" s="49"/>
      <c r="P237" s="48"/>
      <c r="Q237" s="48"/>
      <c r="R237" s="48"/>
      <c r="S237" s="48"/>
      <c r="T237" s="48"/>
      <c r="U237" s="48"/>
      <c r="V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9"/>
      <c r="N238" s="49"/>
      <c r="O238" s="49"/>
      <c r="P238" s="48"/>
      <c r="Q238" s="48"/>
      <c r="R238" s="48"/>
      <c r="S238" s="48"/>
      <c r="T238" s="48"/>
      <c r="U238" s="48"/>
      <c r="V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9"/>
      <c r="N239" s="49"/>
      <c r="O239" s="49"/>
      <c r="P239" s="48"/>
      <c r="Q239" s="48"/>
      <c r="R239" s="48"/>
      <c r="S239" s="48"/>
      <c r="T239" s="48"/>
      <c r="U239" s="48"/>
      <c r="V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9"/>
      <c r="N240" s="49"/>
      <c r="O240" s="49"/>
      <c r="P240" s="48"/>
      <c r="Q240" s="48"/>
      <c r="R240" s="48"/>
      <c r="S240" s="48"/>
      <c r="T240" s="48"/>
      <c r="U240" s="48"/>
      <c r="V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9"/>
      <c r="N241" s="49"/>
      <c r="O241" s="49"/>
      <c r="P241" s="48"/>
      <c r="Q241" s="48"/>
      <c r="R241" s="48"/>
      <c r="S241" s="48"/>
      <c r="T241" s="48"/>
      <c r="U241" s="48"/>
      <c r="V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9"/>
      <c r="N242" s="49"/>
      <c r="O242" s="49"/>
      <c r="P242" s="48"/>
      <c r="Q242" s="48"/>
      <c r="R242" s="48"/>
      <c r="S242" s="48"/>
      <c r="T242" s="48"/>
      <c r="U242" s="48"/>
      <c r="V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9"/>
      <c r="N243" s="49"/>
      <c r="O243" s="49"/>
      <c r="P243" s="48"/>
      <c r="Q243" s="48"/>
      <c r="R243" s="48"/>
      <c r="S243" s="48"/>
      <c r="T243" s="48"/>
      <c r="U243" s="48"/>
      <c r="V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9"/>
      <c r="N244" s="49"/>
      <c r="O244" s="49"/>
      <c r="P244" s="48"/>
      <c r="Q244" s="48"/>
      <c r="R244" s="48"/>
      <c r="S244" s="48"/>
      <c r="T244" s="48"/>
      <c r="U244" s="48"/>
      <c r="V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9"/>
      <c r="N245" s="49"/>
      <c r="O245" s="49"/>
      <c r="P245" s="48"/>
      <c r="Q245" s="48"/>
      <c r="R245" s="48"/>
      <c r="S245" s="48"/>
      <c r="T245" s="48"/>
      <c r="U245" s="48"/>
      <c r="V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9"/>
      <c r="N246" s="49"/>
      <c r="O246" s="49"/>
      <c r="P246" s="48"/>
      <c r="Q246" s="48"/>
      <c r="R246" s="48"/>
      <c r="S246" s="48"/>
      <c r="T246" s="48"/>
      <c r="U246" s="48"/>
      <c r="V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9"/>
      <c r="N247" s="49"/>
      <c r="O247" s="49"/>
      <c r="P247" s="48"/>
      <c r="Q247" s="48"/>
      <c r="R247" s="48"/>
      <c r="S247" s="48"/>
      <c r="T247" s="48"/>
      <c r="U247" s="48"/>
      <c r="V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9"/>
      <c r="N248" s="49"/>
      <c r="O248" s="49"/>
      <c r="P248" s="48"/>
      <c r="Q248" s="48"/>
      <c r="R248" s="48"/>
      <c r="S248" s="48"/>
      <c r="T248" s="48"/>
      <c r="U248" s="48"/>
      <c r="V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9"/>
      <c r="N249" s="49"/>
      <c r="O249" s="49"/>
      <c r="P249" s="48"/>
      <c r="Q249" s="48"/>
      <c r="R249" s="48"/>
      <c r="S249" s="48"/>
      <c r="T249" s="48"/>
      <c r="U249" s="48"/>
      <c r="V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9"/>
      <c r="N250" s="49"/>
      <c r="O250" s="49"/>
      <c r="P250" s="48"/>
      <c r="Q250" s="48"/>
      <c r="R250" s="48"/>
      <c r="S250" s="48"/>
      <c r="T250" s="48"/>
      <c r="U250" s="48"/>
      <c r="V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9"/>
      <c r="N251" s="49"/>
      <c r="O251" s="49"/>
      <c r="P251" s="48"/>
      <c r="Q251" s="48"/>
      <c r="R251" s="48"/>
      <c r="S251" s="48"/>
      <c r="T251" s="48"/>
      <c r="U251" s="48"/>
      <c r="V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9"/>
      <c r="N252" s="49"/>
      <c r="O252" s="49"/>
      <c r="P252" s="48"/>
      <c r="Q252" s="48"/>
      <c r="R252" s="48"/>
      <c r="S252" s="48"/>
      <c r="T252" s="48"/>
      <c r="U252" s="48"/>
      <c r="V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9"/>
      <c r="N253" s="49"/>
      <c r="O253" s="49"/>
      <c r="P253" s="48"/>
      <c r="Q253" s="48"/>
      <c r="R253" s="48"/>
      <c r="S253" s="48"/>
      <c r="T253" s="48"/>
      <c r="U253" s="48"/>
      <c r="V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9"/>
      <c r="N254" s="49"/>
      <c r="O254" s="49"/>
      <c r="P254" s="48"/>
      <c r="Q254" s="48"/>
      <c r="R254" s="48"/>
      <c r="S254" s="48"/>
      <c r="T254" s="48"/>
      <c r="U254" s="48"/>
      <c r="V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9"/>
      <c r="N255" s="49"/>
      <c r="O255" s="49"/>
      <c r="P255" s="48"/>
      <c r="Q255" s="48"/>
      <c r="R255" s="48"/>
      <c r="S255" s="48"/>
      <c r="T255" s="48"/>
      <c r="U255" s="48"/>
      <c r="V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9"/>
      <c r="N256" s="49"/>
      <c r="O256" s="49"/>
      <c r="P256" s="48"/>
      <c r="Q256" s="48"/>
      <c r="R256" s="48"/>
      <c r="S256" s="48"/>
      <c r="T256" s="48"/>
      <c r="U256" s="48"/>
      <c r="V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9"/>
      <c r="N257" s="49"/>
      <c r="O257" s="49"/>
      <c r="P257" s="48"/>
      <c r="Q257" s="48"/>
      <c r="R257" s="48"/>
      <c r="S257" s="48"/>
      <c r="T257" s="48"/>
      <c r="U257" s="48"/>
      <c r="V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9"/>
      <c r="N258" s="49"/>
      <c r="O258" s="49"/>
      <c r="P258" s="48"/>
      <c r="Q258" s="48"/>
      <c r="R258" s="48"/>
      <c r="S258" s="48"/>
      <c r="T258" s="48"/>
      <c r="U258" s="48"/>
      <c r="V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9"/>
      <c r="N259" s="49"/>
      <c r="O259" s="49"/>
      <c r="P259" s="48"/>
      <c r="Q259" s="48"/>
      <c r="R259" s="48"/>
      <c r="S259" s="48"/>
      <c r="T259" s="48"/>
      <c r="U259" s="48"/>
      <c r="V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9"/>
      <c r="N260" s="49"/>
      <c r="O260" s="49"/>
      <c r="P260" s="48"/>
      <c r="Q260" s="48"/>
      <c r="R260" s="48"/>
      <c r="S260" s="48"/>
      <c r="T260" s="48"/>
      <c r="U260" s="48"/>
      <c r="V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9"/>
      <c r="N261" s="49"/>
      <c r="O261" s="49"/>
      <c r="P261" s="48"/>
      <c r="Q261" s="48"/>
      <c r="R261" s="48"/>
      <c r="S261" s="48"/>
      <c r="T261" s="48"/>
      <c r="U261" s="48"/>
      <c r="V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9"/>
      <c r="N262" s="49"/>
      <c r="O262" s="49"/>
      <c r="P262" s="48"/>
      <c r="Q262" s="48"/>
      <c r="R262" s="48"/>
      <c r="S262" s="48"/>
      <c r="T262" s="48"/>
      <c r="U262" s="48"/>
      <c r="V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9"/>
      <c r="N263" s="49"/>
      <c r="O263" s="49"/>
      <c r="P263" s="48"/>
      <c r="Q263" s="48"/>
      <c r="R263" s="48"/>
      <c r="S263" s="48"/>
      <c r="T263" s="48"/>
      <c r="U263" s="48"/>
      <c r="V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9"/>
      <c r="N264" s="49"/>
      <c r="O264" s="49"/>
      <c r="P264" s="48"/>
      <c r="Q264" s="48"/>
      <c r="R264" s="48"/>
      <c r="S264" s="48"/>
      <c r="T264" s="48"/>
      <c r="U264" s="48"/>
      <c r="V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9"/>
      <c r="N265" s="49"/>
      <c r="O265" s="49"/>
      <c r="P265" s="48"/>
      <c r="Q265" s="48"/>
      <c r="R265" s="48"/>
      <c r="S265" s="48"/>
      <c r="T265" s="48"/>
      <c r="U265" s="48"/>
      <c r="V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9"/>
      <c r="N266" s="49"/>
      <c r="O266" s="49"/>
      <c r="P266" s="48"/>
      <c r="Q266" s="48"/>
      <c r="R266" s="48"/>
      <c r="S266" s="48"/>
      <c r="T266" s="48"/>
      <c r="U266" s="48"/>
      <c r="V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9"/>
      <c r="N267" s="49"/>
      <c r="O267" s="49"/>
      <c r="P267" s="48"/>
      <c r="Q267" s="48"/>
      <c r="R267" s="48"/>
      <c r="S267" s="48"/>
      <c r="T267" s="48"/>
      <c r="U267" s="48"/>
      <c r="V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9"/>
      <c r="N268" s="49"/>
      <c r="O268" s="49"/>
      <c r="P268" s="48"/>
      <c r="Q268" s="48"/>
      <c r="R268" s="48"/>
      <c r="S268" s="48"/>
      <c r="T268" s="48"/>
      <c r="U268" s="48"/>
      <c r="V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9"/>
      <c r="N269" s="49"/>
      <c r="O269" s="49"/>
      <c r="P269" s="48"/>
      <c r="Q269" s="48"/>
      <c r="R269" s="48"/>
      <c r="S269" s="48"/>
      <c r="T269" s="48"/>
      <c r="U269" s="48"/>
      <c r="V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9"/>
      <c r="N270" s="49"/>
      <c r="O270" s="49"/>
      <c r="P270" s="48"/>
      <c r="Q270" s="48"/>
      <c r="R270" s="48"/>
      <c r="S270" s="48"/>
      <c r="T270" s="48"/>
      <c r="U270" s="48"/>
      <c r="V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9"/>
      <c r="N271" s="49"/>
      <c r="O271" s="49"/>
      <c r="P271" s="48"/>
      <c r="Q271" s="48"/>
      <c r="R271" s="48"/>
      <c r="S271" s="48"/>
      <c r="T271" s="48"/>
      <c r="U271" s="48"/>
      <c r="V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9"/>
      <c r="N272" s="49"/>
      <c r="O272" s="49"/>
      <c r="P272" s="48"/>
      <c r="Q272" s="48"/>
      <c r="R272" s="48"/>
      <c r="S272" s="48"/>
      <c r="T272" s="48"/>
      <c r="U272" s="48"/>
      <c r="V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9"/>
      <c r="N273" s="49"/>
      <c r="O273" s="49"/>
      <c r="P273" s="48"/>
      <c r="Q273" s="48"/>
      <c r="R273" s="48"/>
      <c r="S273" s="48"/>
      <c r="T273" s="48"/>
      <c r="U273" s="48"/>
      <c r="V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9"/>
      <c r="N274" s="49"/>
      <c r="O274" s="49"/>
      <c r="P274" s="48"/>
      <c r="Q274" s="48"/>
      <c r="R274" s="48"/>
      <c r="S274" s="48"/>
      <c r="T274" s="48"/>
      <c r="U274" s="48"/>
      <c r="V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9"/>
      <c r="N275" s="49"/>
      <c r="O275" s="49"/>
      <c r="P275" s="48"/>
      <c r="Q275" s="48"/>
      <c r="R275" s="48"/>
      <c r="S275" s="48"/>
      <c r="T275" s="48"/>
      <c r="U275" s="48"/>
      <c r="V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9"/>
      <c r="N276" s="49"/>
      <c r="O276" s="49"/>
      <c r="P276" s="48"/>
      <c r="Q276" s="48"/>
      <c r="R276" s="48"/>
      <c r="S276" s="48"/>
      <c r="T276" s="48"/>
      <c r="U276" s="48"/>
      <c r="V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9"/>
      <c r="N277" s="49"/>
      <c r="O277" s="49"/>
      <c r="P277" s="48"/>
      <c r="Q277" s="48"/>
      <c r="R277" s="48"/>
      <c r="S277" s="48"/>
      <c r="T277" s="48"/>
      <c r="U277" s="48"/>
      <c r="V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9"/>
      <c r="N278" s="49"/>
      <c r="O278" s="49"/>
      <c r="P278" s="48"/>
      <c r="Q278" s="48"/>
      <c r="R278" s="48"/>
      <c r="S278" s="48"/>
      <c r="T278" s="48"/>
      <c r="U278" s="48"/>
      <c r="V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9"/>
      <c r="N279" s="49"/>
      <c r="O279" s="49"/>
      <c r="P279" s="48"/>
      <c r="Q279" s="48"/>
      <c r="R279" s="48"/>
      <c r="S279" s="48"/>
      <c r="T279" s="48"/>
      <c r="U279" s="48"/>
      <c r="V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9"/>
      <c r="N280" s="49"/>
      <c r="O280" s="49"/>
      <c r="P280" s="48"/>
      <c r="Q280" s="48"/>
      <c r="R280" s="48"/>
      <c r="S280" s="48"/>
      <c r="T280" s="48"/>
      <c r="U280" s="48"/>
      <c r="V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9"/>
      <c r="N281" s="49"/>
      <c r="O281" s="49"/>
      <c r="P281" s="48"/>
      <c r="Q281" s="48"/>
      <c r="R281" s="48"/>
      <c r="S281" s="48"/>
      <c r="T281" s="48"/>
      <c r="U281" s="48"/>
      <c r="V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9"/>
      <c r="N282" s="49"/>
      <c r="O282" s="49"/>
      <c r="P282" s="48"/>
      <c r="Q282" s="48"/>
      <c r="R282" s="48"/>
      <c r="S282" s="48"/>
      <c r="T282" s="48"/>
      <c r="U282" s="48"/>
      <c r="V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9"/>
      <c r="N283" s="49"/>
      <c r="O283" s="49"/>
      <c r="P283" s="48"/>
      <c r="Q283" s="48"/>
      <c r="R283" s="48"/>
      <c r="S283" s="48"/>
      <c r="T283" s="48"/>
      <c r="U283" s="48"/>
      <c r="V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9"/>
      <c r="N284" s="49"/>
      <c r="O284" s="49"/>
      <c r="P284" s="48"/>
      <c r="Q284" s="48"/>
      <c r="R284" s="48"/>
      <c r="S284" s="48"/>
      <c r="T284" s="48"/>
      <c r="U284" s="48"/>
      <c r="V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9"/>
      <c r="N285" s="49"/>
      <c r="O285" s="49"/>
      <c r="P285" s="48"/>
      <c r="Q285" s="48"/>
      <c r="R285" s="48"/>
      <c r="S285" s="48"/>
      <c r="T285" s="48"/>
      <c r="U285" s="48"/>
      <c r="V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9"/>
      <c r="N286" s="49"/>
      <c r="O286" s="49"/>
      <c r="P286" s="48"/>
      <c r="Q286" s="48"/>
      <c r="R286" s="48"/>
      <c r="S286" s="48"/>
      <c r="T286" s="48"/>
      <c r="U286" s="48"/>
      <c r="V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9"/>
      <c r="N287" s="49"/>
      <c r="O287" s="49"/>
      <c r="P287" s="48"/>
      <c r="Q287" s="48"/>
      <c r="R287" s="48"/>
      <c r="S287" s="48"/>
      <c r="T287" s="48"/>
      <c r="U287" s="48"/>
      <c r="V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9"/>
      <c r="N288" s="49"/>
      <c r="O288" s="49"/>
      <c r="P288" s="48"/>
      <c r="Q288" s="48"/>
      <c r="R288" s="48"/>
      <c r="S288" s="48"/>
      <c r="T288" s="48"/>
      <c r="U288" s="48"/>
      <c r="V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9"/>
      <c r="N289" s="49"/>
      <c r="O289" s="49"/>
      <c r="P289" s="48"/>
      <c r="Q289" s="48"/>
      <c r="R289" s="48"/>
      <c r="S289" s="48"/>
      <c r="T289" s="48"/>
      <c r="U289" s="48"/>
      <c r="V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9"/>
      <c r="N290" s="49"/>
      <c r="O290" s="49"/>
      <c r="P290" s="48"/>
      <c r="Q290" s="48"/>
      <c r="R290" s="48"/>
      <c r="S290" s="48"/>
      <c r="T290" s="48"/>
      <c r="U290" s="48"/>
      <c r="V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9"/>
      <c r="N291" s="49"/>
      <c r="O291" s="49"/>
      <c r="P291" s="48"/>
      <c r="Q291" s="48"/>
      <c r="R291" s="48"/>
      <c r="S291" s="48"/>
      <c r="T291" s="48"/>
      <c r="U291" s="48"/>
      <c r="V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9"/>
      <c r="N292" s="49"/>
      <c r="O292" s="49"/>
      <c r="P292" s="48"/>
      <c r="Q292" s="48"/>
      <c r="R292" s="48"/>
      <c r="S292" s="48"/>
      <c r="T292" s="48"/>
      <c r="U292" s="48"/>
      <c r="V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9"/>
      <c r="N293" s="49"/>
      <c r="O293" s="49"/>
      <c r="P293" s="48"/>
      <c r="Q293" s="48"/>
      <c r="R293" s="48"/>
      <c r="S293" s="48"/>
      <c r="T293" s="48"/>
      <c r="U293" s="48"/>
      <c r="V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9"/>
      <c r="N294" s="49"/>
      <c r="O294" s="49"/>
      <c r="P294" s="48"/>
      <c r="Q294" s="48"/>
      <c r="R294" s="48"/>
      <c r="S294" s="48"/>
      <c r="T294" s="48"/>
      <c r="U294" s="48"/>
      <c r="V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9"/>
      <c r="N295" s="49"/>
      <c r="O295" s="49"/>
      <c r="P295" s="48"/>
      <c r="Q295" s="48"/>
      <c r="R295" s="48"/>
      <c r="S295" s="48"/>
      <c r="T295" s="48"/>
      <c r="U295" s="48"/>
      <c r="V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9"/>
      <c r="N296" s="49"/>
      <c r="O296" s="49"/>
      <c r="P296" s="48"/>
      <c r="Q296" s="48"/>
      <c r="R296" s="48"/>
      <c r="S296" s="48"/>
      <c r="T296" s="48"/>
      <c r="U296" s="48"/>
      <c r="V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9"/>
      <c r="N297" s="49"/>
      <c r="O297" s="49"/>
      <c r="P297" s="48"/>
      <c r="Q297" s="48"/>
      <c r="R297" s="48"/>
      <c r="S297" s="48"/>
      <c r="T297" s="48"/>
      <c r="U297" s="48"/>
      <c r="V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9"/>
      <c r="N298" s="49"/>
      <c r="O298" s="49"/>
      <c r="P298" s="48"/>
      <c r="Q298" s="48"/>
      <c r="R298" s="48"/>
      <c r="S298" s="48"/>
      <c r="T298" s="48"/>
      <c r="U298" s="48"/>
      <c r="V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9"/>
      <c r="N299" s="49"/>
      <c r="O299" s="49"/>
      <c r="P299" s="48"/>
      <c r="Q299" s="48"/>
      <c r="R299" s="48"/>
      <c r="S299" s="48"/>
      <c r="T299" s="48"/>
      <c r="U299" s="48"/>
      <c r="V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9"/>
      <c r="N300" s="49"/>
      <c r="O300" s="49"/>
      <c r="P300" s="48"/>
      <c r="Q300" s="48"/>
      <c r="R300" s="48"/>
      <c r="S300" s="48"/>
      <c r="T300" s="48"/>
      <c r="U300" s="48"/>
      <c r="V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9"/>
      <c r="N301" s="49"/>
      <c r="O301" s="49"/>
      <c r="P301" s="48"/>
      <c r="Q301" s="48"/>
      <c r="R301" s="48"/>
      <c r="S301" s="48"/>
      <c r="T301" s="48"/>
      <c r="U301" s="48"/>
      <c r="V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9"/>
      <c r="N302" s="49"/>
      <c r="O302" s="49"/>
      <c r="P302" s="48"/>
      <c r="Q302" s="48"/>
      <c r="R302" s="48"/>
      <c r="S302" s="48"/>
      <c r="T302" s="48"/>
      <c r="U302" s="48"/>
      <c r="V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9"/>
      <c r="N303" s="49"/>
      <c r="O303" s="49"/>
      <c r="P303" s="48"/>
      <c r="Q303" s="48"/>
      <c r="R303" s="48"/>
      <c r="S303" s="48"/>
      <c r="T303" s="48"/>
      <c r="U303" s="48"/>
      <c r="V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9"/>
      <c r="N304" s="49"/>
      <c r="O304" s="49"/>
      <c r="P304" s="48"/>
      <c r="Q304" s="48"/>
      <c r="R304" s="48"/>
      <c r="S304" s="48"/>
      <c r="T304" s="48"/>
      <c r="U304" s="48"/>
      <c r="V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9"/>
      <c r="N305" s="49"/>
      <c r="O305" s="49"/>
      <c r="P305" s="48"/>
      <c r="Q305" s="48"/>
      <c r="R305" s="48"/>
      <c r="S305" s="48"/>
      <c r="T305" s="48"/>
      <c r="U305" s="48"/>
      <c r="V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9"/>
      <c r="N306" s="49"/>
      <c r="O306" s="49"/>
      <c r="P306" s="48"/>
      <c r="Q306" s="48"/>
      <c r="R306" s="48"/>
      <c r="S306" s="48"/>
      <c r="T306" s="48"/>
      <c r="U306" s="48"/>
      <c r="V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9"/>
      <c r="N307" s="49"/>
      <c r="O307" s="49"/>
      <c r="P307" s="48"/>
      <c r="Q307" s="48"/>
      <c r="R307" s="48"/>
      <c r="S307" s="48"/>
      <c r="T307" s="48"/>
      <c r="U307" s="48"/>
      <c r="V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9"/>
      <c r="N308" s="49"/>
      <c r="O308" s="49"/>
      <c r="P308" s="48"/>
      <c r="Q308" s="48"/>
      <c r="R308" s="48"/>
      <c r="S308" s="48"/>
      <c r="T308" s="48"/>
      <c r="U308" s="48"/>
      <c r="V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9"/>
      <c r="N309" s="49"/>
      <c r="O309" s="49"/>
      <c r="P309" s="48"/>
      <c r="Q309" s="48"/>
      <c r="R309" s="48"/>
      <c r="S309" s="48"/>
      <c r="T309" s="48"/>
      <c r="U309" s="48"/>
      <c r="V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9"/>
      <c r="N310" s="49"/>
      <c r="O310" s="49"/>
      <c r="P310" s="48"/>
      <c r="Q310" s="48"/>
      <c r="R310" s="48"/>
      <c r="S310" s="48"/>
      <c r="T310" s="48"/>
      <c r="U310" s="48"/>
      <c r="V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9"/>
      <c r="N311" s="49"/>
      <c r="O311" s="49"/>
      <c r="P311" s="48"/>
      <c r="Q311" s="48"/>
      <c r="R311" s="48"/>
      <c r="S311" s="48"/>
      <c r="T311" s="48"/>
      <c r="U311" s="48"/>
      <c r="V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9"/>
      <c r="N312" s="49"/>
      <c r="O312" s="49"/>
      <c r="P312" s="48"/>
      <c r="Q312" s="48"/>
      <c r="R312" s="48"/>
      <c r="S312" s="48"/>
      <c r="T312" s="48"/>
      <c r="U312" s="48"/>
      <c r="V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9"/>
      <c r="N313" s="49"/>
      <c r="O313" s="49"/>
      <c r="P313" s="48"/>
      <c r="Q313" s="48"/>
      <c r="R313" s="48"/>
      <c r="S313" s="48"/>
      <c r="T313" s="48"/>
      <c r="U313" s="48"/>
      <c r="V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9"/>
      <c r="N314" s="49"/>
      <c r="O314" s="49"/>
      <c r="P314" s="48"/>
      <c r="Q314" s="48"/>
      <c r="R314" s="48"/>
      <c r="S314" s="48"/>
      <c r="T314" s="48"/>
      <c r="U314" s="48"/>
      <c r="V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9"/>
      <c r="N315" s="49"/>
      <c r="O315" s="49"/>
      <c r="P315" s="48"/>
      <c r="Q315" s="48"/>
      <c r="R315" s="48"/>
      <c r="S315" s="48"/>
      <c r="T315" s="48"/>
      <c r="U315" s="48"/>
      <c r="V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9"/>
      <c r="N316" s="49"/>
      <c r="O316" s="49"/>
      <c r="P316" s="48"/>
      <c r="Q316" s="48"/>
      <c r="R316" s="48"/>
      <c r="S316" s="48"/>
      <c r="T316" s="48"/>
      <c r="U316" s="48"/>
      <c r="V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9"/>
      <c r="N317" s="49"/>
      <c r="O317" s="49"/>
      <c r="P317" s="48"/>
      <c r="Q317" s="48"/>
      <c r="R317" s="48"/>
      <c r="S317" s="48"/>
      <c r="T317" s="48"/>
      <c r="U317" s="48"/>
      <c r="V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9"/>
      <c r="N318" s="49"/>
      <c r="O318" s="49"/>
      <c r="P318" s="48"/>
      <c r="Q318" s="48"/>
      <c r="R318" s="48"/>
      <c r="S318" s="48"/>
      <c r="T318" s="48"/>
      <c r="U318" s="48"/>
      <c r="V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9"/>
      <c r="N319" s="49"/>
      <c r="O319" s="49"/>
      <c r="P319" s="48"/>
      <c r="Q319" s="48"/>
      <c r="R319" s="48"/>
      <c r="S319" s="48"/>
      <c r="T319" s="48"/>
      <c r="U319" s="48"/>
      <c r="V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9"/>
      <c r="N320" s="49"/>
      <c r="O320" s="49"/>
      <c r="P320" s="48"/>
      <c r="Q320" s="48"/>
      <c r="R320" s="48"/>
      <c r="S320" s="48"/>
      <c r="T320" s="48"/>
      <c r="U320" s="48"/>
      <c r="V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9"/>
      <c r="N321" s="49"/>
      <c r="O321" s="49"/>
      <c r="P321" s="48"/>
      <c r="Q321" s="48"/>
      <c r="R321" s="48"/>
      <c r="S321" s="48"/>
      <c r="T321" s="48"/>
      <c r="U321" s="48"/>
      <c r="V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9"/>
      <c r="N322" s="49"/>
      <c r="O322" s="49"/>
      <c r="P322" s="48"/>
      <c r="Q322" s="48"/>
      <c r="R322" s="48"/>
      <c r="S322" s="48"/>
      <c r="T322" s="48"/>
      <c r="U322" s="48"/>
      <c r="V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9"/>
      <c r="N323" s="49"/>
      <c r="O323" s="49"/>
      <c r="P323" s="48"/>
      <c r="Q323" s="48"/>
      <c r="R323" s="48"/>
      <c r="S323" s="48"/>
      <c r="T323" s="48"/>
      <c r="U323" s="48"/>
      <c r="V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9"/>
      <c r="N324" s="49"/>
      <c r="O324" s="49"/>
      <c r="P324" s="48"/>
      <c r="Q324" s="48"/>
      <c r="R324" s="48"/>
      <c r="S324" s="48"/>
      <c r="T324" s="48"/>
      <c r="U324" s="48"/>
      <c r="V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9"/>
      <c r="N325" s="49"/>
      <c r="O325" s="49"/>
      <c r="P325" s="48"/>
      <c r="Q325" s="48"/>
      <c r="R325" s="48"/>
      <c r="S325" s="48"/>
      <c r="T325" s="48"/>
      <c r="U325" s="48"/>
      <c r="V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9"/>
      <c r="N326" s="49"/>
      <c r="O326" s="49"/>
      <c r="P326" s="48"/>
      <c r="Q326" s="48"/>
      <c r="R326" s="48"/>
      <c r="S326" s="48"/>
      <c r="T326" s="48"/>
      <c r="U326" s="48"/>
      <c r="V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9"/>
      <c r="N327" s="49"/>
      <c r="O327" s="49"/>
      <c r="P327" s="48"/>
      <c r="Q327" s="48"/>
      <c r="R327" s="48"/>
      <c r="S327" s="48"/>
      <c r="T327" s="48"/>
      <c r="U327" s="48"/>
      <c r="V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9"/>
      <c r="N328" s="49"/>
      <c r="O328" s="49"/>
      <c r="P328" s="48"/>
      <c r="Q328" s="48"/>
      <c r="R328" s="48"/>
      <c r="S328" s="48"/>
      <c r="T328" s="48"/>
      <c r="U328" s="48"/>
      <c r="V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9"/>
      <c r="N329" s="49"/>
      <c r="O329" s="49"/>
      <c r="P329" s="48"/>
      <c r="Q329" s="48"/>
      <c r="R329" s="48"/>
      <c r="S329" s="48"/>
      <c r="T329" s="48"/>
      <c r="U329" s="48"/>
      <c r="V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9"/>
      <c r="N330" s="49"/>
      <c r="O330" s="49"/>
      <c r="P330" s="48"/>
      <c r="Q330" s="48"/>
      <c r="R330" s="48"/>
      <c r="S330" s="48"/>
      <c r="T330" s="48"/>
      <c r="U330" s="48"/>
      <c r="V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9"/>
      <c r="N331" s="49"/>
      <c r="O331" s="49"/>
      <c r="P331" s="48"/>
      <c r="Q331" s="48"/>
      <c r="R331" s="48"/>
      <c r="S331" s="48"/>
      <c r="T331" s="48"/>
      <c r="U331" s="48"/>
      <c r="V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9"/>
      <c r="N332" s="49"/>
      <c r="O332" s="49"/>
      <c r="P332" s="48"/>
      <c r="Q332" s="48"/>
      <c r="R332" s="48"/>
      <c r="S332" s="48"/>
      <c r="T332" s="48"/>
      <c r="U332" s="48"/>
      <c r="V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9"/>
      <c r="N333" s="49"/>
      <c r="O333" s="49"/>
      <c r="P333" s="48"/>
      <c r="Q333" s="48"/>
      <c r="R333" s="48"/>
      <c r="S333" s="48"/>
      <c r="T333" s="48"/>
      <c r="U333" s="48"/>
      <c r="V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9"/>
      <c r="N334" s="49"/>
      <c r="O334" s="49"/>
      <c r="P334" s="48"/>
      <c r="Q334" s="48"/>
      <c r="R334" s="48"/>
      <c r="S334" s="48"/>
      <c r="T334" s="48"/>
      <c r="U334" s="48"/>
      <c r="V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9"/>
      <c r="N335" s="49"/>
      <c r="O335" s="49"/>
      <c r="P335" s="48"/>
      <c r="Q335" s="48"/>
      <c r="R335" s="48"/>
      <c r="S335" s="48"/>
      <c r="T335" s="48"/>
      <c r="U335" s="48"/>
      <c r="V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9"/>
      <c r="N336" s="49"/>
      <c r="O336" s="49"/>
      <c r="P336" s="48"/>
      <c r="Q336" s="48"/>
      <c r="R336" s="48"/>
      <c r="S336" s="48"/>
      <c r="T336" s="48"/>
      <c r="U336" s="48"/>
      <c r="V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9"/>
      <c r="N337" s="49"/>
      <c r="O337" s="49"/>
      <c r="P337" s="48"/>
      <c r="Q337" s="48"/>
      <c r="R337" s="48"/>
      <c r="S337" s="48"/>
      <c r="T337" s="48"/>
      <c r="U337" s="48"/>
      <c r="V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9"/>
      <c r="N338" s="49"/>
      <c r="O338" s="49"/>
      <c r="P338" s="48"/>
      <c r="Q338" s="48"/>
      <c r="R338" s="48"/>
      <c r="S338" s="48"/>
      <c r="T338" s="48"/>
      <c r="U338" s="48"/>
      <c r="V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9"/>
      <c r="N339" s="49"/>
      <c r="O339" s="49"/>
      <c r="P339" s="48"/>
      <c r="Q339" s="48"/>
      <c r="R339" s="48"/>
      <c r="S339" s="48"/>
      <c r="T339" s="48"/>
      <c r="U339" s="48"/>
      <c r="V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9"/>
      <c r="N340" s="49"/>
      <c r="O340" s="49"/>
      <c r="P340" s="48"/>
      <c r="Q340" s="48"/>
      <c r="R340" s="48"/>
      <c r="S340" s="48"/>
      <c r="T340" s="48"/>
      <c r="U340" s="48"/>
      <c r="V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9"/>
      <c r="N341" s="49"/>
      <c r="O341" s="49"/>
      <c r="P341" s="48"/>
      <c r="Q341" s="48"/>
      <c r="R341" s="48"/>
      <c r="S341" s="48"/>
      <c r="T341" s="48"/>
      <c r="U341" s="48"/>
      <c r="V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9"/>
      <c r="N342" s="49"/>
      <c r="O342" s="49"/>
      <c r="P342" s="48"/>
      <c r="Q342" s="48"/>
      <c r="R342" s="48"/>
      <c r="S342" s="48"/>
      <c r="T342" s="48"/>
      <c r="U342" s="48"/>
      <c r="V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9"/>
      <c r="N343" s="49"/>
      <c r="O343" s="49"/>
      <c r="P343" s="48"/>
      <c r="Q343" s="48"/>
      <c r="R343" s="48"/>
      <c r="S343" s="48"/>
      <c r="T343" s="48"/>
      <c r="U343" s="48"/>
      <c r="V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9"/>
      <c r="N344" s="49"/>
      <c r="O344" s="49"/>
      <c r="P344" s="48"/>
      <c r="Q344" s="48"/>
      <c r="R344" s="48"/>
      <c r="S344" s="48"/>
      <c r="T344" s="48"/>
      <c r="U344" s="48"/>
      <c r="V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9"/>
      <c r="N345" s="49"/>
      <c r="O345" s="49"/>
      <c r="P345" s="48"/>
      <c r="Q345" s="48"/>
      <c r="R345" s="48"/>
      <c r="S345" s="48"/>
      <c r="T345" s="48"/>
      <c r="U345" s="48"/>
      <c r="V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9"/>
      <c r="N346" s="49"/>
      <c r="O346" s="49"/>
      <c r="P346" s="48"/>
      <c r="Q346" s="48"/>
      <c r="R346" s="48"/>
      <c r="S346" s="48"/>
      <c r="T346" s="48"/>
      <c r="U346" s="48"/>
      <c r="V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9"/>
      <c r="N347" s="49"/>
      <c r="O347" s="49"/>
      <c r="P347" s="48"/>
      <c r="Q347" s="48"/>
      <c r="R347" s="48"/>
      <c r="S347" s="48"/>
      <c r="T347" s="48"/>
      <c r="U347" s="48"/>
      <c r="V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9"/>
      <c r="N348" s="49"/>
      <c r="O348" s="49"/>
      <c r="P348" s="48"/>
      <c r="Q348" s="48"/>
      <c r="R348" s="48"/>
      <c r="S348" s="48"/>
      <c r="T348" s="48"/>
      <c r="U348" s="48"/>
      <c r="V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9"/>
      <c r="N349" s="49"/>
      <c r="O349" s="49"/>
      <c r="P349" s="48"/>
      <c r="Q349" s="48"/>
      <c r="R349" s="48"/>
      <c r="S349" s="48"/>
      <c r="T349" s="48"/>
      <c r="U349" s="48"/>
      <c r="V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9"/>
      <c r="N350" s="49"/>
      <c r="O350" s="49"/>
      <c r="P350" s="48"/>
      <c r="Q350" s="48"/>
      <c r="R350" s="48"/>
      <c r="S350" s="48"/>
      <c r="T350" s="48"/>
      <c r="U350" s="48"/>
      <c r="V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9"/>
      <c r="N351" s="49"/>
      <c r="O351" s="49"/>
      <c r="P351" s="48"/>
      <c r="Q351" s="48"/>
      <c r="R351" s="48"/>
      <c r="S351" s="48"/>
      <c r="T351" s="48"/>
      <c r="U351" s="48"/>
      <c r="V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9"/>
      <c r="N352" s="49"/>
      <c r="O352" s="49"/>
      <c r="P352" s="48"/>
      <c r="Q352" s="48"/>
      <c r="R352" s="48"/>
      <c r="S352" s="48"/>
      <c r="T352" s="48"/>
      <c r="U352" s="48"/>
      <c r="V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9"/>
      <c r="N353" s="49"/>
      <c r="O353" s="49"/>
      <c r="P353" s="48"/>
      <c r="Q353" s="48"/>
      <c r="R353" s="48"/>
      <c r="S353" s="48"/>
      <c r="T353" s="48"/>
      <c r="U353" s="48"/>
      <c r="V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9"/>
      <c r="N354" s="49"/>
      <c r="O354" s="49"/>
      <c r="P354" s="48"/>
      <c r="Q354" s="48"/>
      <c r="R354" s="48"/>
      <c r="S354" s="48"/>
      <c r="T354" s="48"/>
      <c r="U354" s="48"/>
      <c r="V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9"/>
      <c r="N355" s="49"/>
      <c r="O355" s="49"/>
      <c r="P355" s="48"/>
      <c r="Q355" s="48"/>
      <c r="R355" s="48"/>
      <c r="S355" s="48"/>
      <c r="T355" s="48"/>
      <c r="U355" s="48"/>
      <c r="V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9"/>
      <c r="N356" s="49"/>
      <c r="O356" s="49"/>
      <c r="P356" s="48"/>
      <c r="Q356" s="48"/>
      <c r="R356" s="48"/>
      <c r="S356" s="48"/>
      <c r="T356" s="48"/>
      <c r="U356" s="48"/>
      <c r="V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9"/>
      <c r="N357" s="49"/>
      <c r="O357" s="49"/>
      <c r="P357" s="48"/>
      <c r="Q357" s="48"/>
      <c r="R357" s="48"/>
      <c r="S357" s="48"/>
      <c r="T357" s="48"/>
      <c r="U357" s="48"/>
      <c r="V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9"/>
      <c r="N358" s="49"/>
      <c r="O358" s="49"/>
      <c r="P358" s="48"/>
      <c r="Q358" s="48"/>
      <c r="R358" s="48"/>
      <c r="S358" s="48"/>
      <c r="T358" s="48"/>
      <c r="U358" s="48"/>
      <c r="V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9"/>
      <c r="N359" s="49"/>
      <c r="O359" s="49"/>
      <c r="P359" s="48"/>
      <c r="Q359" s="48"/>
      <c r="R359" s="48"/>
      <c r="S359" s="48"/>
      <c r="T359" s="48"/>
      <c r="U359" s="48"/>
      <c r="V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9"/>
      <c r="N360" s="49"/>
      <c r="O360" s="49"/>
      <c r="P360" s="48"/>
      <c r="Q360" s="48"/>
      <c r="R360" s="48"/>
      <c r="S360" s="48"/>
      <c r="T360" s="48"/>
      <c r="U360" s="48"/>
      <c r="V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9"/>
      <c r="N361" s="49"/>
      <c r="O361" s="49"/>
      <c r="P361" s="48"/>
      <c r="Q361" s="48"/>
      <c r="R361" s="48"/>
      <c r="S361" s="48"/>
      <c r="T361" s="48"/>
      <c r="U361" s="48"/>
      <c r="V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9"/>
      <c r="N362" s="49"/>
      <c r="O362" s="49"/>
      <c r="P362" s="48"/>
      <c r="Q362" s="48"/>
      <c r="R362" s="48"/>
      <c r="S362" s="48"/>
      <c r="T362" s="48"/>
      <c r="U362" s="48"/>
      <c r="V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9"/>
      <c r="N363" s="49"/>
      <c r="O363" s="49"/>
      <c r="P363" s="48"/>
      <c r="Q363" s="48"/>
      <c r="R363" s="48"/>
      <c r="S363" s="48"/>
      <c r="T363" s="48"/>
      <c r="U363" s="48"/>
      <c r="V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9"/>
      <c r="N364" s="49"/>
      <c r="O364" s="49"/>
      <c r="P364" s="48"/>
      <c r="Q364" s="48"/>
      <c r="R364" s="48"/>
      <c r="S364" s="48"/>
      <c r="T364" s="48"/>
      <c r="U364" s="48"/>
      <c r="V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9"/>
      <c r="N365" s="49"/>
      <c r="O365" s="49"/>
      <c r="P365" s="48"/>
      <c r="Q365" s="48"/>
      <c r="R365" s="48"/>
      <c r="S365" s="48"/>
      <c r="T365" s="48"/>
      <c r="U365" s="48"/>
      <c r="V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9"/>
      <c r="N366" s="49"/>
      <c r="O366" s="49"/>
      <c r="P366" s="48"/>
      <c r="Q366" s="48"/>
      <c r="R366" s="48"/>
      <c r="S366" s="48"/>
      <c r="T366" s="48"/>
      <c r="U366" s="48"/>
      <c r="V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9"/>
      <c r="N367" s="49"/>
      <c r="O367" s="49"/>
      <c r="P367" s="48"/>
      <c r="Q367" s="48"/>
      <c r="R367" s="48"/>
      <c r="S367" s="48"/>
      <c r="T367" s="48"/>
      <c r="U367" s="48"/>
      <c r="V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9"/>
      <c r="N368" s="49"/>
      <c r="O368" s="49"/>
      <c r="P368" s="48"/>
      <c r="Q368" s="48"/>
      <c r="R368" s="48"/>
      <c r="S368" s="48"/>
      <c r="T368" s="48"/>
      <c r="U368" s="48"/>
      <c r="V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9"/>
      <c r="N369" s="49"/>
      <c r="O369" s="49"/>
      <c r="P369" s="48"/>
      <c r="Q369" s="48"/>
      <c r="R369" s="48"/>
      <c r="S369" s="48"/>
      <c r="T369" s="48"/>
      <c r="U369" s="48"/>
      <c r="V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9"/>
      <c r="N370" s="49"/>
      <c r="O370" s="49"/>
      <c r="P370" s="48"/>
      <c r="Q370" s="48"/>
      <c r="R370" s="48"/>
      <c r="S370" s="48"/>
      <c r="T370" s="48"/>
      <c r="U370" s="48"/>
      <c r="V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9"/>
      <c r="N371" s="49"/>
      <c r="O371" s="49"/>
      <c r="P371" s="48"/>
      <c r="Q371" s="48"/>
      <c r="R371" s="48"/>
      <c r="S371" s="48"/>
      <c r="T371" s="48"/>
      <c r="U371" s="48"/>
      <c r="V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9"/>
      <c r="N372" s="49"/>
      <c r="O372" s="49"/>
      <c r="P372" s="48"/>
      <c r="Q372" s="48"/>
      <c r="R372" s="48"/>
      <c r="S372" s="48"/>
      <c r="T372" s="48"/>
      <c r="U372" s="48"/>
      <c r="V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9"/>
      <c r="N373" s="49"/>
      <c r="O373" s="49"/>
      <c r="P373" s="48"/>
      <c r="Q373" s="48"/>
      <c r="R373" s="48"/>
      <c r="S373" s="48"/>
      <c r="T373" s="48"/>
      <c r="U373" s="48"/>
      <c r="V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9"/>
      <c r="N374" s="49"/>
      <c r="O374" s="49"/>
      <c r="P374" s="48"/>
      <c r="Q374" s="48"/>
      <c r="R374" s="48"/>
      <c r="S374" s="48"/>
      <c r="T374" s="48"/>
      <c r="U374" s="48"/>
      <c r="V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9"/>
      <c r="N375" s="49"/>
      <c r="O375" s="49"/>
      <c r="P375" s="48"/>
      <c r="Q375" s="48"/>
      <c r="R375" s="48"/>
      <c r="S375" s="48"/>
      <c r="T375" s="48"/>
      <c r="U375" s="48"/>
      <c r="V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9"/>
      <c r="N376" s="49"/>
      <c r="O376" s="49"/>
      <c r="P376" s="48"/>
      <c r="Q376" s="48"/>
      <c r="R376" s="48"/>
      <c r="S376" s="48"/>
      <c r="T376" s="48"/>
      <c r="U376" s="48"/>
      <c r="V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9"/>
      <c r="N377" s="49"/>
      <c r="O377" s="49"/>
      <c r="P377" s="48"/>
      <c r="Q377" s="48"/>
      <c r="R377" s="48"/>
      <c r="S377" s="48"/>
      <c r="T377" s="48"/>
      <c r="U377" s="48"/>
      <c r="V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9"/>
      <c r="N378" s="49"/>
      <c r="O378" s="49"/>
      <c r="P378" s="48"/>
      <c r="Q378" s="48"/>
      <c r="R378" s="48"/>
      <c r="S378" s="48"/>
      <c r="T378" s="48"/>
      <c r="U378" s="48"/>
      <c r="V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9"/>
      <c r="N379" s="49"/>
      <c r="O379" s="49"/>
      <c r="P379" s="48"/>
      <c r="Q379" s="48"/>
      <c r="R379" s="48"/>
      <c r="S379" s="48"/>
      <c r="T379" s="48"/>
      <c r="U379" s="48"/>
      <c r="V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9"/>
      <c r="N380" s="49"/>
      <c r="O380" s="49"/>
      <c r="P380" s="48"/>
      <c r="Q380" s="48"/>
      <c r="R380" s="48"/>
      <c r="S380" s="48"/>
      <c r="T380" s="48"/>
      <c r="U380" s="48"/>
      <c r="V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9"/>
      <c r="N381" s="49"/>
      <c r="O381" s="49"/>
      <c r="P381" s="48"/>
      <c r="Q381" s="48"/>
      <c r="R381" s="48"/>
      <c r="S381" s="48"/>
      <c r="T381" s="48"/>
      <c r="U381" s="48"/>
      <c r="V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9"/>
      <c r="N382" s="49"/>
      <c r="O382" s="49"/>
      <c r="P382" s="48"/>
      <c r="Q382" s="48"/>
      <c r="R382" s="48"/>
      <c r="S382" s="48"/>
      <c r="T382" s="48"/>
      <c r="U382" s="48"/>
      <c r="V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9"/>
      <c r="N383" s="49"/>
      <c r="O383" s="49"/>
      <c r="P383" s="48"/>
      <c r="Q383" s="48"/>
      <c r="R383" s="48"/>
      <c r="S383" s="48"/>
      <c r="T383" s="48"/>
      <c r="U383" s="48"/>
      <c r="V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9"/>
      <c r="N384" s="49"/>
      <c r="O384" s="49"/>
      <c r="P384" s="48"/>
      <c r="Q384" s="48"/>
      <c r="R384" s="48"/>
      <c r="S384" s="48"/>
      <c r="T384" s="48"/>
      <c r="U384" s="48"/>
      <c r="V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9"/>
      <c r="N385" s="49"/>
      <c r="O385" s="49"/>
      <c r="P385" s="48"/>
      <c r="Q385" s="48"/>
      <c r="R385" s="48"/>
      <c r="S385" s="48"/>
      <c r="T385" s="48"/>
      <c r="U385" s="48"/>
      <c r="V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9"/>
      <c r="N386" s="49"/>
      <c r="O386" s="49"/>
      <c r="P386" s="48"/>
      <c r="Q386" s="48"/>
      <c r="R386" s="48"/>
      <c r="S386" s="48"/>
      <c r="T386" s="48"/>
      <c r="U386" s="48"/>
      <c r="V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9"/>
      <c r="N387" s="49"/>
      <c r="O387" s="49"/>
      <c r="P387" s="48"/>
      <c r="Q387" s="48"/>
      <c r="R387" s="48"/>
      <c r="S387" s="48"/>
      <c r="T387" s="48"/>
      <c r="U387" s="48"/>
      <c r="V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9"/>
      <c r="N388" s="49"/>
      <c r="O388" s="49"/>
      <c r="P388" s="48"/>
      <c r="Q388" s="48"/>
      <c r="R388" s="48"/>
      <c r="S388" s="48"/>
      <c r="T388" s="48"/>
      <c r="U388" s="48"/>
      <c r="V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9"/>
      <c r="N389" s="49"/>
      <c r="O389" s="49"/>
      <c r="P389" s="48"/>
      <c r="Q389" s="48"/>
      <c r="R389" s="48"/>
      <c r="S389" s="48"/>
      <c r="T389" s="48"/>
      <c r="U389" s="48"/>
      <c r="V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9"/>
      <c r="N390" s="49"/>
      <c r="O390" s="49"/>
      <c r="P390" s="48"/>
      <c r="Q390" s="48"/>
      <c r="R390" s="48"/>
      <c r="S390" s="48"/>
      <c r="T390" s="48"/>
      <c r="U390" s="48"/>
      <c r="V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9"/>
      <c r="N391" s="49"/>
      <c r="O391" s="49"/>
      <c r="P391" s="48"/>
      <c r="Q391" s="48"/>
      <c r="R391" s="48"/>
      <c r="S391" s="48"/>
      <c r="T391" s="48"/>
      <c r="U391" s="48"/>
      <c r="V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9"/>
      <c r="N392" s="49"/>
      <c r="O392" s="49"/>
      <c r="P392" s="48"/>
      <c r="Q392" s="48"/>
      <c r="R392" s="48"/>
      <c r="S392" s="48"/>
      <c r="T392" s="48"/>
      <c r="U392" s="48"/>
      <c r="V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9"/>
      <c r="N393" s="49"/>
      <c r="O393" s="49"/>
      <c r="P393" s="48"/>
      <c r="Q393" s="48"/>
      <c r="R393" s="48"/>
      <c r="S393" s="48"/>
      <c r="T393" s="48"/>
      <c r="U393" s="48"/>
      <c r="V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9"/>
      <c r="N394" s="49"/>
      <c r="O394" s="49"/>
      <c r="P394" s="48"/>
      <c r="Q394" s="48"/>
      <c r="R394" s="48"/>
      <c r="S394" s="48"/>
      <c r="T394" s="48"/>
      <c r="U394" s="48"/>
      <c r="V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9"/>
      <c r="N395" s="49"/>
      <c r="O395" s="49"/>
      <c r="P395" s="48"/>
      <c r="Q395" s="48"/>
      <c r="R395" s="48"/>
      <c r="S395" s="48"/>
      <c r="T395" s="48"/>
      <c r="U395" s="48"/>
      <c r="V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9"/>
      <c r="N396" s="49"/>
      <c r="O396" s="49"/>
      <c r="P396" s="48"/>
      <c r="Q396" s="48"/>
      <c r="R396" s="48"/>
      <c r="S396" s="48"/>
      <c r="T396" s="48"/>
      <c r="U396" s="48"/>
      <c r="V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9"/>
      <c r="N397" s="49"/>
      <c r="O397" s="49"/>
      <c r="P397" s="48"/>
      <c r="Q397" s="48"/>
      <c r="R397" s="48"/>
      <c r="S397" s="48"/>
      <c r="T397" s="48"/>
      <c r="U397" s="48"/>
      <c r="V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9"/>
      <c r="N398" s="49"/>
      <c r="O398" s="49"/>
      <c r="P398" s="48"/>
      <c r="Q398" s="48"/>
      <c r="R398" s="48"/>
      <c r="S398" s="48"/>
      <c r="T398" s="48"/>
      <c r="U398" s="48"/>
      <c r="V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9"/>
      <c r="N399" s="49"/>
      <c r="O399" s="49"/>
      <c r="P399" s="48"/>
      <c r="Q399" s="48"/>
      <c r="R399" s="48"/>
      <c r="S399" s="48"/>
      <c r="T399" s="48"/>
      <c r="U399" s="48"/>
      <c r="V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9"/>
      <c r="N400" s="49"/>
      <c r="O400" s="49"/>
      <c r="P400" s="48"/>
      <c r="Q400" s="48"/>
      <c r="R400" s="48"/>
      <c r="S400" s="48"/>
      <c r="T400" s="48"/>
      <c r="U400" s="48"/>
      <c r="V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9"/>
      <c r="N401" s="49"/>
      <c r="O401" s="49"/>
      <c r="P401" s="48"/>
      <c r="Q401" s="48"/>
      <c r="R401" s="48"/>
      <c r="S401" s="48"/>
      <c r="T401" s="48"/>
      <c r="U401" s="48"/>
      <c r="V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9"/>
      <c r="N402" s="49"/>
      <c r="O402" s="49"/>
      <c r="P402" s="48"/>
      <c r="Q402" s="48"/>
      <c r="R402" s="48"/>
      <c r="S402" s="48"/>
      <c r="T402" s="48"/>
      <c r="U402" s="48"/>
      <c r="V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9"/>
      <c r="N403" s="49"/>
      <c r="O403" s="49"/>
      <c r="P403" s="48"/>
      <c r="Q403" s="48"/>
      <c r="R403" s="48"/>
      <c r="S403" s="48"/>
      <c r="T403" s="48"/>
      <c r="U403" s="48"/>
      <c r="V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9"/>
      <c r="N404" s="49"/>
      <c r="O404" s="49"/>
      <c r="P404" s="48"/>
      <c r="Q404" s="48"/>
      <c r="R404" s="48"/>
      <c r="S404" s="48"/>
      <c r="T404" s="48"/>
      <c r="U404" s="48"/>
      <c r="V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9"/>
      <c r="N405" s="49"/>
      <c r="O405" s="49"/>
      <c r="P405" s="48"/>
      <c r="Q405" s="48"/>
      <c r="R405" s="48"/>
      <c r="S405" s="48"/>
      <c r="T405" s="48"/>
      <c r="U405" s="48"/>
      <c r="V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9"/>
      <c r="N406" s="49"/>
      <c r="O406" s="49"/>
      <c r="P406" s="48"/>
      <c r="Q406" s="48"/>
      <c r="R406" s="48"/>
      <c r="S406" s="48"/>
      <c r="T406" s="48"/>
      <c r="U406" s="48"/>
      <c r="V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9"/>
      <c r="N407" s="49"/>
      <c r="O407" s="49"/>
      <c r="P407" s="48"/>
      <c r="Q407" s="48"/>
      <c r="R407" s="48"/>
      <c r="S407" s="48"/>
      <c r="T407" s="48"/>
      <c r="U407" s="48"/>
      <c r="V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9"/>
      <c r="N408" s="49"/>
      <c r="O408" s="49"/>
      <c r="P408" s="48"/>
      <c r="Q408" s="48"/>
      <c r="R408" s="48"/>
      <c r="S408" s="48"/>
      <c r="T408" s="48"/>
      <c r="U408" s="48"/>
      <c r="V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9"/>
      <c r="N409" s="49"/>
      <c r="O409" s="49"/>
      <c r="P409" s="48"/>
      <c r="Q409" s="48"/>
      <c r="R409" s="48"/>
      <c r="S409" s="48"/>
      <c r="T409" s="48"/>
      <c r="U409" s="48"/>
      <c r="V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9"/>
      <c r="N410" s="49"/>
      <c r="O410" s="49"/>
      <c r="P410" s="48"/>
      <c r="Q410" s="48"/>
      <c r="R410" s="48"/>
      <c r="S410" s="48"/>
      <c r="T410" s="48"/>
      <c r="U410" s="48"/>
      <c r="V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9"/>
      <c r="N411" s="49"/>
      <c r="O411" s="49"/>
      <c r="P411" s="48"/>
      <c r="Q411" s="48"/>
      <c r="R411" s="48"/>
      <c r="S411" s="48"/>
      <c r="T411" s="48"/>
      <c r="U411" s="48"/>
      <c r="V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9"/>
      <c r="N412" s="49"/>
      <c r="O412" s="49"/>
      <c r="P412" s="48"/>
      <c r="Q412" s="48"/>
      <c r="R412" s="48"/>
      <c r="S412" s="48"/>
      <c r="T412" s="48"/>
      <c r="U412" s="48"/>
      <c r="V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9"/>
      <c r="N413" s="49"/>
      <c r="O413" s="49"/>
      <c r="P413" s="48"/>
      <c r="Q413" s="48"/>
      <c r="R413" s="48"/>
      <c r="S413" s="48"/>
      <c r="T413" s="48"/>
      <c r="U413" s="48"/>
      <c r="V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9"/>
      <c r="N414" s="49"/>
      <c r="O414" s="49"/>
      <c r="P414" s="48"/>
      <c r="Q414" s="48"/>
      <c r="R414" s="48"/>
      <c r="S414" s="48"/>
      <c r="T414" s="48"/>
      <c r="U414" s="48"/>
      <c r="V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9"/>
      <c r="N415" s="49"/>
      <c r="O415" s="49"/>
      <c r="P415" s="48"/>
      <c r="Q415" s="48"/>
      <c r="R415" s="48"/>
      <c r="S415" s="48"/>
      <c r="T415" s="48"/>
      <c r="U415" s="48"/>
      <c r="V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9"/>
      <c r="N416" s="49"/>
      <c r="O416" s="49"/>
      <c r="P416" s="48"/>
      <c r="Q416" s="48"/>
      <c r="R416" s="48"/>
      <c r="S416" s="48"/>
      <c r="T416" s="48"/>
      <c r="U416" s="48"/>
      <c r="V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9"/>
      <c r="N417" s="49"/>
      <c r="O417" s="49"/>
      <c r="P417" s="48"/>
      <c r="Q417" s="48"/>
      <c r="R417" s="48"/>
      <c r="S417" s="48"/>
      <c r="T417" s="48"/>
      <c r="U417" s="48"/>
      <c r="V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9"/>
      <c r="N418" s="49"/>
      <c r="O418" s="49"/>
      <c r="P418" s="48"/>
      <c r="Q418" s="48"/>
      <c r="R418" s="48"/>
      <c r="S418" s="48"/>
      <c r="T418" s="48"/>
      <c r="U418" s="48"/>
      <c r="V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9"/>
      <c r="N419" s="49"/>
      <c r="O419" s="49"/>
      <c r="P419" s="48"/>
      <c r="Q419" s="48"/>
      <c r="R419" s="48"/>
      <c r="S419" s="48"/>
      <c r="T419" s="48"/>
      <c r="U419" s="48"/>
      <c r="V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9"/>
      <c r="N420" s="49"/>
      <c r="O420" s="49"/>
      <c r="P420" s="48"/>
      <c r="Q420" s="48"/>
      <c r="R420" s="48"/>
      <c r="S420" s="48"/>
      <c r="T420" s="48"/>
      <c r="U420" s="48"/>
      <c r="V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9"/>
      <c r="N421" s="49"/>
      <c r="O421" s="49"/>
      <c r="P421" s="48"/>
      <c r="Q421" s="48"/>
      <c r="R421" s="48"/>
      <c r="S421" s="48"/>
      <c r="T421" s="48"/>
      <c r="U421" s="48"/>
      <c r="V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9"/>
      <c r="N422" s="49"/>
      <c r="O422" s="49"/>
      <c r="P422" s="48"/>
      <c r="Q422" s="48"/>
      <c r="R422" s="48"/>
      <c r="S422" s="48"/>
      <c r="T422" s="48"/>
      <c r="U422" s="48"/>
      <c r="V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9"/>
      <c r="N423" s="49"/>
      <c r="O423" s="49"/>
      <c r="P423" s="48"/>
      <c r="Q423" s="48"/>
      <c r="R423" s="48"/>
      <c r="S423" s="48"/>
      <c r="T423" s="48"/>
      <c r="U423" s="48"/>
      <c r="V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9"/>
      <c r="N424" s="49"/>
      <c r="O424" s="49"/>
      <c r="P424" s="48"/>
      <c r="Q424" s="48"/>
      <c r="R424" s="48"/>
      <c r="S424" s="48"/>
      <c r="T424" s="48"/>
      <c r="U424" s="48"/>
      <c r="V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9"/>
      <c r="N425" s="49"/>
      <c r="O425" s="49"/>
      <c r="P425" s="48"/>
      <c r="Q425" s="48"/>
      <c r="R425" s="48"/>
      <c r="S425" s="48"/>
      <c r="T425" s="48"/>
      <c r="U425" s="48"/>
      <c r="V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9"/>
      <c r="N426" s="49"/>
      <c r="O426" s="49"/>
      <c r="P426" s="48"/>
      <c r="Q426" s="48"/>
      <c r="R426" s="48"/>
      <c r="S426" s="48"/>
      <c r="T426" s="48"/>
      <c r="U426" s="48"/>
      <c r="V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9"/>
      <c r="N427" s="49"/>
      <c r="O427" s="49"/>
      <c r="P427" s="48"/>
      <c r="Q427" s="48"/>
      <c r="R427" s="48"/>
      <c r="S427" s="48"/>
      <c r="T427" s="48"/>
      <c r="U427" s="48"/>
      <c r="V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9"/>
      <c r="N428" s="49"/>
      <c r="O428" s="49"/>
      <c r="P428" s="48"/>
      <c r="Q428" s="48"/>
      <c r="R428" s="48"/>
      <c r="S428" s="48"/>
      <c r="T428" s="48"/>
      <c r="U428" s="48"/>
      <c r="V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9"/>
      <c r="N429" s="49"/>
      <c r="O429" s="49"/>
      <c r="P429" s="48"/>
      <c r="Q429" s="48"/>
      <c r="R429" s="48"/>
      <c r="S429" s="48"/>
      <c r="T429" s="48"/>
      <c r="U429" s="48"/>
      <c r="V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9"/>
      <c r="N430" s="49"/>
      <c r="O430" s="49"/>
      <c r="P430" s="48"/>
      <c r="Q430" s="48"/>
      <c r="R430" s="48"/>
      <c r="S430" s="48"/>
      <c r="T430" s="48"/>
      <c r="U430" s="48"/>
      <c r="V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9"/>
      <c r="N431" s="49"/>
      <c r="O431" s="49"/>
      <c r="P431" s="48"/>
      <c r="Q431" s="48"/>
      <c r="R431" s="48"/>
      <c r="S431" s="48"/>
      <c r="T431" s="48"/>
      <c r="U431" s="48"/>
      <c r="V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9"/>
      <c r="N432" s="49"/>
      <c r="O432" s="49"/>
      <c r="P432" s="48"/>
      <c r="Q432" s="48"/>
      <c r="R432" s="48"/>
      <c r="S432" s="48"/>
      <c r="T432" s="48"/>
      <c r="U432" s="48"/>
      <c r="V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9"/>
      <c r="N433" s="49"/>
      <c r="O433" s="49"/>
      <c r="P433" s="48"/>
      <c r="Q433" s="48"/>
      <c r="R433" s="48"/>
      <c r="S433" s="48"/>
      <c r="T433" s="48"/>
      <c r="U433" s="48"/>
      <c r="V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9"/>
      <c r="N434" s="49"/>
      <c r="O434" s="49"/>
      <c r="P434" s="48"/>
      <c r="Q434" s="48"/>
      <c r="R434" s="48"/>
      <c r="S434" s="48"/>
      <c r="T434" s="48"/>
      <c r="U434" s="48"/>
      <c r="V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9"/>
      <c r="N435" s="49"/>
      <c r="O435" s="49"/>
      <c r="P435" s="48"/>
      <c r="Q435" s="48"/>
      <c r="R435" s="48"/>
      <c r="S435" s="48"/>
      <c r="T435" s="48"/>
      <c r="U435" s="48"/>
      <c r="V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9"/>
      <c r="N436" s="49"/>
      <c r="O436" s="49"/>
      <c r="P436" s="48"/>
      <c r="Q436" s="48"/>
      <c r="R436" s="48"/>
      <c r="S436" s="48"/>
      <c r="T436" s="48"/>
      <c r="U436" s="48"/>
      <c r="V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9"/>
      <c r="N437" s="49"/>
      <c r="O437" s="49"/>
      <c r="P437" s="48"/>
      <c r="Q437" s="48"/>
      <c r="R437" s="48"/>
      <c r="S437" s="48"/>
      <c r="T437" s="48"/>
      <c r="U437" s="48"/>
      <c r="V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9"/>
      <c r="N438" s="49"/>
      <c r="O438" s="49"/>
      <c r="P438" s="48"/>
      <c r="Q438" s="48"/>
      <c r="R438" s="48"/>
      <c r="S438" s="48"/>
      <c r="T438" s="48"/>
      <c r="U438" s="48"/>
      <c r="V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9"/>
      <c r="N439" s="49"/>
      <c r="O439" s="49"/>
      <c r="P439" s="48"/>
      <c r="Q439" s="48"/>
      <c r="R439" s="48"/>
      <c r="S439" s="48"/>
      <c r="T439" s="48"/>
      <c r="U439" s="48"/>
      <c r="V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9"/>
      <c r="N440" s="49"/>
      <c r="O440" s="49"/>
      <c r="P440" s="48"/>
      <c r="Q440" s="48"/>
      <c r="R440" s="48"/>
      <c r="S440" s="48"/>
      <c r="T440" s="48"/>
      <c r="U440" s="48"/>
      <c r="V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9"/>
      <c r="N441" s="49"/>
      <c r="O441" s="49"/>
      <c r="P441" s="48"/>
      <c r="Q441" s="48"/>
      <c r="R441" s="48"/>
      <c r="S441" s="48"/>
      <c r="T441" s="48"/>
      <c r="U441" s="48"/>
      <c r="V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9"/>
      <c r="N442" s="49"/>
      <c r="O442" s="49"/>
      <c r="P442" s="48"/>
      <c r="Q442" s="48"/>
      <c r="R442" s="48"/>
      <c r="S442" s="48"/>
      <c r="T442" s="48"/>
      <c r="U442" s="48"/>
      <c r="V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9"/>
      <c r="N443" s="49"/>
      <c r="O443" s="49"/>
      <c r="P443" s="48"/>
      <c r="Q443" s="48"/>
      <c r="R443" s="48"/>
      <c r="S443" s="48"/>
      <c r="T443" s="48"/>
      <c r="U443" s="48"/>
      <c r="V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9"/>
      <c r="N444" s="49"/>
      <c r="O444" s="49"/>
      <c r="P444" s="48"/>
      <c r="Q444" s="48"/>
      <c r="R444" s="48"/>
      <c r="S444" s="48"/>
      <c r="T444" s="48"/>
      <c r="U444" s="48"/>
      <c r="V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9"/>
      <c r="N445" s="49"/>
      <c r="O445" s="49"/>
      <c r="P445" s="48"/>
      <c r="Q445" s="48"/>
      <c r="R445" s="48"/>
      <c r="S445" s="48"/>
      <c r="T445" s="48"/>
      <c r="U445" s="48"/>
      <c r="V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9"/>
      <c r="N446" s="49"/>
      <c r="O446" s="49"/>
      <c r="P446" s="48"/>
      <c r="Q446" s="48"/>
      <c r="R446" s="48"/>
      <c r="S446" s="48"/>
      <c r="T446" s="48"/>
      <c r="U446" s="48"/>
      <c r="V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9"/>
      <c r="N447" s="49"/>
      <c r="O447" s="49"/>
      <c r="P447" s="48"/>
      <c r="Q447" s="48"/>
      <c r="R447" s="48"/>
      <c r="S447" s="48"/>
      <c r="T447" s="48"/>
      <c r="U447" s="48"/>
      <c r="V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9"/>
      <c r="N448" s="49"/>
      <c r="O448" s="49"/>
      <c r="P448" s="48"/>
      <c r="Q448" s="48"/>
      <c r="R448" s="48"/>
      <c r="S448" s="48"/>
      <c r="T448" s="48"/>
      <c r="U448" s="48"/>
      <c r="V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9"/>
      <c r="N449" s="49"/>
      <c r="O449" s="49"/>
      <c r="P449" s="48"/>
      <c r="Q449" s="48"/>
      <c r="R449" s="48"/>
      <c r="S449" s="48"/>
      <c r="T449" s="48"/>
      <c r="U449" s="48"/>
      <c r="V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9"/>
      <c r="N450" s="49"/>
      <c r="O450" s="49"/>
      <c r="P450" s="48"/>
      <c r="Q450" s="48"/>
      <c r="R450" s="48"/>
      <c r="S450" s="48"/>
      <c r="T450" s="48"/>
      <c r="U450" s="48"/>
      <c r="V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9"/>
      <c r="N451" s="49"/>
      <c r="O451" s="49"/>
      <c r="P451" s="48"/>
      <c r="Q451" s="48"/>
      <c r="R451" s="48"/>
      <c r="S451" s="48"/>
      <c r="T451" s="48"/>
      <c r="U451" s="48"/>
      <c r="V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9"/>
      <c r="N452" s="49"/>
      <c r="O452" s="49"/>
      <c r="P452" s="48"/>
      <c r="Q452" s="48"/>
      <c r="R452" s="48"/>
      <c r="S452" s="48"/>
      <c r="T452" s="48"/>
      <c r="U452" s="48"/>
      <c r="V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9"/>
      <c r="N453" s="49"/>
      <c r="O453" s="49"/>
      <c r="P453" s="48"/>
      <c r="Q453" s="48"/>
      <c r="R453" s="48"/>
      <c r="S453" s="48"/>
      <c r="T453" s="48"/>
      <c r="U453" s="48"/>
      <c r="V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9"/>
      <c r="N454" s="49"/>
      <c r="O454" s="49"/>
      <c r="P454" s="48"/>
      <c r="Q454" s="48"/>
      <c r="R454" s="48"/>
      <c r="S454" s="48"/>
      <c r="T454" s="48"/>
      <c r="U454" s="48"/>
      <c r="V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9"/>
      <c r="N455" s="49"/>
      <c r="O455" s="49"/>
      <c r="P455" s="48"/>
      <c r="Q455" s="48"/>
      <c r="R455" s="48"/>
      <c r="S455" s="48"/>
      <c r="T455" s="48"/>
      <c r="U455" s="48"/>
      <c r="V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9"/>
      <c r="N456" s="49"/>
      <c r="O456" s="49"/>
      <c r="P456" s="48"/>
      <c r="Q456" s="48"/>
      <c r="R456" s="48"/>
      <c r="S456" s="48"/>
      <c r="T456" s="48"/>
      <c r="U456" s="48"/>
      <c r="V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9"/>
      <c r="N457" s="49"/>
      <c r="O457" s="49"/>
      <c r="P457" s="48"/>
      <c r="Q457" s="48"/>
      <c r="R457" s="48"/>
      <c r="S457" s="48"/>
      <c r="T457" s="48"/>
      <c r="U457" s="48"/>
      <c r="V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9"/>
      <c r="N458" s="49"/>
      <c r="O458" s="49"/>
      <c r="P458" s="48"/>
      <c r="Q458" s="48"/>
      <c r="R458" s="48"/>
      <c r="S458" s="48"/>
      <c r="T458" s="48"/>
      <c r="U458" s="48"/>
      <c r="V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9"/>
      <c r="N459" s="49"/>
      <c r="O459" s="49"/>
      <c r="P459" s="48"/>
      <c r="Q459" s="48"/>
      <c r="R459" s="48"/>
      <c r="S459" s="48"/>
      <c r="T459" s="48"/>
      <c r="U459" s="48"/>
      <c r="V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9"/>
      <c r="N460" s="49"/>
      <c r="O460" s="49"/>
      <c r="P460" s="48"/>
      <c r="Q460" s="48"/>
      <c r="R460" s="48"/>
      <c r="S460" s="48"/>
      <c r="T460" s="48"/>
      <c r="U460" s="48"/>
      <c r="V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9"/>
      <c r="N461" s="49"/>
      <c r="O461" s="49"/>
      <c r="P461" s="48"/>
      <c r="Q461" s="48"/>
      <c r="R461" s="48"/>
      <c r="S461" s="48"/>
      <c r="T461" s="48"/>
      <c r="U461" s="48"/>
      <c r="V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9"/>
      <c r="N462" s="49"/>
      <c r="O462" s="49"/>
      <c r="P462" s="48"/>
      <c r="Q462" s="48"/>
      <c r="R462" s="48"/>
      <c r="S462" s="48"/>
      <c r="T462" s="48"/>
      <c r="U462" s="48"/>
      <c r="V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9"/>
      <c r="N463" s="49"/>
      <c r="O463" s="49"/>
      <c r="P463" s="48"/>
      <c r="Q463" s="48"/>
      <c r="R463" s="48"/>
      <c r="S463" s="48"/>
      <c r="T463" s="48"/>
      <c r="U463" s="48"/>
      <c r="V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9"/>
      <c r="N464" s="49"/>
      <c r="O464" s="49"/>
      <c r="P464" s="48"/>
      <c r="Q464" s="48"/>
      <c r="R464" s="48"/>
      <c r="S464" s="48"/>
      <c r="T464" s="48"/>
      <c r="U464" s="48"/>
      <c r="V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9"/>
      <c r="N465" s="49"/>
      <c r="O465" s="49"/>
      <c r="P465" s="48"/>
      <c r="Q465" s="48"/>
      <c r="R465" s="48"/>
      <c r="S465" s="48"/>
      <c r="T465" s="48"/>
      <c r="U465" s="48"/>
      <c r="V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9"/>
      <c r="N466" s="49"/>
      <c r="O466" s="49"/>
      <c r="P466" s="48"/>
      <c r="Q466" s="48"/>
      <c r="R466" s="48"/>
      <c r="S466" s="48"/>
      <c r="T466" s="48"/>
      <c r="U466" s="48"/>
      <c r="V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9"/>
      <c r="N467" s="49"/>
      <c r="O467" s="49"/>
      <c r="P467" s="48"/>
      <c r="Q467" s="48"/>
      <c r="R467" s="48"/>
      <c r="S467" s="48"/>
      <c r="T467" s="48"/>
      <c r="U467" s="48"/>
      <c r="V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9"/>
      <c r="N468" s="49"/>
      <c r="O468" s="49"/>
      <c r="P468" s="48"/>
      <c r="Q468" s="48"/>
      <c r="R468" s="48"/>
      <c r="S468" s="48"/>
      <c r="T468" s="48"/>
      <c r="U468" s="48"/>
      <c r="V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9"/>
      <c r="N469" s="49"/>
      <c r="O469" s="49"/>
      <c r="P469" s="48"/>
      <c r="Q469" s="48"/>
      <c r="R469" s="48"/>
      <c r="S469" s="48"/>
      <c r="T469" s="48"/>
      <c r="U469" s="48"/>
      <c r="V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9"/>
      <c r="N470" s="49"/>
      <c r="O470" s="49"/>
      <c r="P470" s="48"/>
      <c r="Q470" s="48"/>
      <c r="R470" s="48"/>
      <c r="S470" s="48"/>
      <c r="T470" s="48"/>
      <c r="U470" s="48"/>
      <c r="V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9"/>
      <c r="N471" s="49"/>
      <c r="O471" s="49"/>
      <c r="P471" s="48"/>
      <c r="Q471" s="48"/>
      <c r="R471" s="48"/>
      <c r="S471" s="48"/>
      <c r="T471" s="48"/>
      <c r="U471" s="48"/>
      <c r="V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9"/>
      <c r="N472" s="49"/>
      <c r="O472" s="49"/>
      <c r="P472" s="48"/>
      <c r="Q472" s="48"/>
      <c r="R472" s="48"/>
      <c r="S472" s="48"/>
      <c r="T472" s="48"/>
      <c r="U472" s="48"/>
      <c r="V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9"/>
      <c r="N473" s="49"/>
      <c r="O473" s="49"/>
      <c r="P473" s="48"/>
      <c r="Q473" s="48"/>
      <c r="R473" s="48"/>
      <c r="S473" s="48"/>
      <c r="T473" s="48"/>
      <c r="U473" s="48"/>
      <c r="V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9"/>
      <c r="N474" s="49"/>
      <c r="O474" s="49"/>
      <c r="P474" s="48"/>
      <c r="Q474" s="48"/>
      <c r="R474" s="48"/>
      <c r="S474" s="48"/>
      <c r="T474" s="48"/>
      <c r="U474" s="48"/>
      <c r="V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9"/>
      <c r="N475" s="49"/>
      <c r="O475" s="49"/>
      <c r="P475" s="48"/>
      <c r="Q475" s="48"/>
      <c r="R475" s="48"/>
      <c r="S475" s="48"/>
      <c r="T475" s="48"/>
      <c r="U475" s="48"/>
      <c r="V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9"/>
      <c r="N476" s="49"/>
      <c r="O476" s="49"/>
      <c r="P476" s="48"/>
      <c r="Q476" s="48"/>
      <c r="R476" s="48"/>
      <c r="S476" s="48"/>
      <c r="T476" s="48"/>
      <c r="U476" s="48"/>
      <c r="V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9"/>
      <c r="N477" s="49"/>
      <c r="O477" s="49"/>
      <c r="P477" s="48"/>
      <c r="Q477" s="48"/>
      <c r="R477" s="48"/>
      <c r="S477" s="48"/>
      <c r="T477" s="48"/>
      <c r="U477" s="48"/>
      <c r="V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9"/>
      <c r="N478" s="49"/>
      <c r="O478" s="49"/>
      <c r="P478" s="48"/>
      <c r="Q478" s="48"/>
      <c r="R478" s="48"/>
      <c r="S478" s="48"/>
      <c r="T478" s="48"/>
      <c r="U478" s="48"/>
      <c r="V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9"/>
      <c r="N479" s="49"/>
      <c r="O479" s="49"/>
      <c r="P479" s="48"/>
      <c r="Q479" s="48"/>
      <c r="R479" s="48"/>
      <c r="S479" s="48"/>
      <c r="T479" s="48"/>
      <c r="U479" s="48"/>
      <c r="V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9"/>
      <c r="N480" s="49"/>
      <c r="O480" s="49"/>
      <c r="P480" s="48"/>
      <c r="Q480" s="48"/>
      <c r="R480" s="48"/>
      <c r="S480" s="48"/>
      <c r="T480" s="48"/>
      <c r="U480" s="48"/>
      <c r="V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9"/>
      <c r="N481" s="49"/>
      <c r="O481" s="49"/>
      <c r="P481" s="48"/>
      <c r="Q481" s="48"/>
      <c r="R481" s="48"/>
      <c r="S481" s="48"/>
      <c r="T481" s="48"/>
      <c r="U481" s="48"/>
      <c r="V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9"/>
      <c r="N482" s="49"/>
      <c r="O482" s="49"/>
      <c r="P482" s="48"/>
      <c r="Q482" s="48"/>
      <c r="R482" s="48"/>
      <c r="S482" s="48"/>
      <c r="T482" s="48"/>
      <c r="U482" s="48"/>
      <c r="V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9"/>
      <c r="N483" s="49"/>
      <c r="O483" s="49"/>
      <c r="P483" s="48"/>
      <c r="Q483" s="48"/>
      <c r="R483" s="48"/>
      <c r="S483" s="48"/>
      <c r="T483" s="48"/>
      <c r="U483" s="48"/>
      <c r="V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9"/>
      <c r="N484" s="49"/>
      <c r="O484" s="49"/>
      <c r="P484" s="48"/>
      <c r="Q484" s="48"/>
      <c r="R484" s="48"/>
      <c r="S484" s="48"/>
      <c r="T484" s="48"/>
      <c r="U484" s="48"/>
      <c r="V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9"/>
      <c r="N485" s="49"/>
      <c r="O485" s="49"/>
      <c r="P485" s="48"/>
      <c r="Q485" s="48"/>
      <c r="R485" s="48"/>
      <c r="S485" s="48"/>
      <c r="T485" s="48"/>
      <c r="U485" s="48"/>
      <c r="V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9"/>
      <c r="N486" s="49"/>
      <c r="O486" s="49"/>
      <c r="P486" s="48"/>
      <c r="Q486" s="48"/>
      <c r="R486" s="48"/>
      <c r="S486" s="48"/>
      <c r="T486" s="48"/>
      <c r="U486" s="48"/>
      <c r="V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9"/>
      <c r="N487" s="49"/>
      <c r="O487" s="49"/>
      <c r="P487" s="48"/>
      <c r="Q487" s="48"/>
      <c r="R487" s="48"/>
      <c r="S487" s="48"/>
      <c r="T487" s="48"/>
      <c r="U487" s="48"/>
      <c r="V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9"/>
      <c r="N488" s="49"/>
      <c r="O488" s="49"/>
      <c r="P488" s="48"/>
      <c r="Q488" s="48"/>
      <c r="R488" s="48"/>
      <c r="S488" s="48"/>
      <c r="T488" s="48"/>
      <c r="U488" s="48"/>
      <c r="V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9"/>
      <c r="N489" s="49"/>
      <c r="O489" s="49"/>
      <c r="P489" s="48"/>
      <c r="Q489" s="48"/>
      <c r="R489" s="48"/>
      <c r="S489" s="48"/>
      <c r="T489" s="48"/>
      <c r="U489" s="48"/>
      <c r="V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9"/>
      <c r="N490" s="49"/>
      <c r="O490" s="49"/>
      <c r="P490" s="48"/>
      <c r="Q490" s="48"/>
      <c r="R490" s="48"/>
      <c r="S490" s="48"/>
      <c r="T490" s="48"/>
      <c r="U490" s="48"/>
      <c r="V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9"/>
      <c r="N491" s="49"/>
      <c r="O491" s="49"/>
      <c r="P491" s="48"/>
      <c r="Q491" s="48"/>
      <c r="R491" s="48"/>
      <c r="S491" s="48"/>
      <c r="T491" s="48"/>
      <c r="U491" s="48"/>
      <c r="V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9"/>
      <c r="N492" s="49"/>
      <c r="O492" s="49"/>
      <c r="P492" s="48"/>
      <c r="Q492" s="48"/>
      <c r="R492" s="48"/>
      <c r="S492" s="48"/>
      <c r="T492" s="48"/>
      <c r="U492" s="48"/>
      <c r="V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9"/>
      <c r="N493" s="49"/>
      <c r="O493" s="49"/>
      <c r="P493" s="48"/>
      <c r="Q493" s="48"/>
      <c r="R493" s="48"/>
      <c r="S493" s="48"/>
      <c r="T493" s="48"/>
      <c r="U493" s="48"/>
      <c r="V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9"/>
      <c r="N494" s="49"/>
      <c r="O494" s="49"/>
      <c r="P494" s="48"/>
      <c r="Q494" s="48"/>
      <c r="R494" s="48"/>
      <c r="S494" s="48"/>
      <c r="T494" s="48"/>
      <c r="U494" s="48"/>
      <c r="V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9"/>
      <c r="N495" s="49"/>
      <c r="O495" s="49"/>
      <c r="P495" s="48"/>
      <c r="Q495" s="48"/>
      <c r="R495" s="48"/>
      <c r="S495" s="48"/>
      <c r="T495" s="48"/>
      <c r="U495" s="48"/>
      <c r="V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9"/>
      <c r="N496" s="49"/>
      <c r="O496" s="49"/>
      <c r="P496" s="48"/>
      <c r="Q496" s="48"/>
      <c r="R496" s="48"/>
      <c r="S496" s="48"/>
      <c r="T496" s="48"/>
      <c r="U496" s="48"/>
      <c r="V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9"/>
      <c r="N497" s="49"/>
      <c r="O497" s="49"/>
      <c r="P497" s="48"/>
      <c r="Q497" s="48"/>
      <c r="R497" s="48"/>
      <c r="S497" s="48"/>
      <c r="T497" s="48"/>
      <c r="U497" s="48"/>
      <c r="V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9"/>
      <c r="N498" s="49"/>
      <c r="O498" s="49"/>
      <c r="P498" s="48"/>
      <c r="Q498" s="48"/>
      <c r="R498" s="48"/>
      <c r="S498" s="48"/>
      <c r="T498" s="48"/>
      <c r="U498" s="48"/>
      <c r="V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9"/>
      <c r="N499" s="49"/>
      <c r="O499" s="49"/>
      <c r="P499" s="48"/>
      <c r="Q499" s="48"/>
      <c r="R499" s="48"/>
      <c r="S499" s="48"/>
      <c r="T499" s="48"/>
      <c r="U499" s="48"/>
      <c r="V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9"/>
      <c r="N500" s="49"/>
      <c r="O500" s="49"/>
      <c r="P500" s="48"/>
      <c r="Q500" s="48"/>
      <c r="R500" s="48"/>
      <c r="S500" s="48"/>
      <c r="T500" s="48"/>
      <c r="U500" s="48"/>
      <c r="V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9"/>
      <c r="N501" s="49"/>
      <c r="O501" s="49"/>
      <c r="P501" s="48"/>
      <c r="Q501" s="48"/>
      <c r="R501" s="48"/>
      <c r="S501" s="48"/>
      <c r="T501" s="48"/>
      <c r="U501" s="48"/>
      <c r="V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9"/>
      <c r="N502" s="49"/>
      <c r="O502" s="49"/>
      <c r="P502" s="48"/>
      <c r="Q502" s="48"/>
      <c r="R502" s="48"/>
      <c r="S502" s="48"/>
      <c r="T502" s="48"/>
      <c r="U502" s="48"/>
      <c r="V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9"/>
      <c r="N503" s="49"/>
      <c r="O503" s="49"/>
      <c r="P503" s="48"/>
      <c r="Q503" s="48"/>
      <c r="R503" s="48"/>
      <c r="S503" s="48"/>
      <c r="T503" s="48"/>
      <c r="U503" s="48"/>
      <c r="V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9"/>
      <c r="N504" s="49"/>
      <c r="O504" s="49"/>
      <c r="P504" s="48"/>
      <c r="Q504" s="48"/>
      <c r="R504" s="48"/>
      <c r="S504" s="48"/>
      <c r="T504" s="48"/>
      <c r="U504" s="48"/>
      <c r="V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9"/>
      <c r="N505" s="49"/>
      <c r="O505" s="49"/>
      <c r="P505" s="48"/>
      <c r="Q505" s="48"/>
      <c r="R505" s="48"/>
      <c r="S505" s="48"/>
      <c r="T505" s="48"/>
      <c r="U505" s="48"/>
      <c r="V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9"/>
      <c r="N506" s="49"/>
      <c r="O506" s="49"/>
      <c r="P506" s="48"/>
      <c r="Q506" s="48"/>
      <c r="R506" s="48"/>
      <c r="S506" s="48"/>
      <c r="T506" s="48"/>
      <c r="U506" s="48"/>
      <c r="V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9"/>
      <c r="N507" s="49"/>
      <c r="O507" s="49"/>
      <c r="P507" s="48"/>
      <c r="Q507" s="48"/>
      <c r="R507" s="48"/>
      <c r="S507" s="48"/>
      <c r="T507" s="48"/>
      <c r="U507" s="48"/>
      <c r="V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9"/>
      <c r="N508" s="49"/>
      <c r="O508" s="49"/>
      <c r="P508" s="48"/>
      <c r="Q508" s="48"/>
      <c r="R508" s="48"/>
      <c r="S508" s="48"/>
      <c r="T508" s="48"/>
      <c r="U508" s="48"/>
      <c r="V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9"/>
      <c r="N509" s="49"/>
      <c r="O509" s="49"/>
      <c r="P509" s="48"/>
      <c r="Q509" s="48"/>
      <c r="R509" s="48"/>
      <c r="S509" s="48"/>
      <c r="T509" s="48"/>
      <c r="U509" s="48"/>
      <c r="V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9"/>
      <c r="N510" s="49"/>
      <c r="O510" s="49"/>
      <c r="P510" s="48"/>
      <c r="Q510" s="48"/>
      <c r="R510" s="48"/>
      <c r="S510" s="48"/>
      <c r="T510" s="48"/>
      <c r="U510" s="48"/>
      <c r="V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9"/>
      <c r="N511" s="49"/>
      <c r="O511" s="49"/>
      <c r="P511" s="48"/>
      <c r="Q511" s="48"/>
      <c r="R511" s="48"/>
      <c r="S511" s="48"/>
      <c r="T511" s="48"/>
      <c r="U511" s="48"/>
      <c r="V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9"/>
      <c r="N512" s="49"/>
      <c r="O512" s="49"/>
      <c r="P512" s="48"/>
      <c r="Q512" s="48"/>
      <c r="R512" s="48"/>
      <c r="S512" s="48"/>
      <c r="T512" s="48"/>
      <c r="U512" s="48"/>
      <c r="V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9"/>
      <c r="N513" s="49"/>
      <c r="O513" s="49"/>
      <c r="P513" s="48"/>
      <c r="Q513" s="48"/>
      <c r="R513" s="48"/>
      <c r="S513" s="48"/>
      <c r="T513" s="48"/>
      <c r="U513" s="48"/>
      <c r="V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9"/>
      <c r="N514" s="49"/>
      <c r="O514" s="49"/>
      <c r="P514" s="48"/>
      <c r="Q514" s="48"/>
      <c r="R514" s="48"/>
      <c r="S514" s="48"/>
      <c r="T514" s="48"/>
      <c r="U514" s="48"/>
      <c r="V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9"/>
      <c r="N515" s="49"/>
      <c r="O515" s="49"/>
      <c r="P515" s="48"/>
      <c r="Q515" s="48"/>
      <c r="R515" s="48"/>
      <c r="S515" s="48"/>
      <c r="T515" s="48"/>
      <c r="U515" s="48"/>
      <c r="V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9"/>
      <c r="N516" s="49"/>
      <c r="O516" s="49"/>
      <c r="P516" s="48"/>
      <c r="Q516" s="48"/>
      <c r="R516" s="48"/>
      <c r="S516" s="48"/>
      <c r="T516" s="48"/>
      <c r="U516" s="48"/>
      <c r="V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9"/>
      <c r="N517" s="49"/>
      <c r="O517" s="49"/>
      <c r="P517" s="48"/>
      <c r="Q517" s="48"/>
      <c r="R517" s="48"/>
      <c r="S517" s="48"/>
      <c r="T517" s="48"/>
      <c r="U517" s="48"/>
      <c r="V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9"/>
      <c r="N518" s="49"/>
      <c r="O518" s="49"/>
      <c r="P518" s="48"/>
      <c r="Q518" s="48"/>
      <c r="R518" s="48"/>
      <c r="S518" s="48"/>
      <c r="T518" s="48"/>
      <c r="U518" s="48"/>
      <c r="V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9"/>
      <c r="N519" s="49"/>
      <c r="O519" s="49"/>
      <c r="P519" s="48"/>
      <c r="Q519" s="48"/>
      <c r="R519" s="48"/>
      <c r="S519" s="48"/>
      <c r="T519" s="48"/>
      <c r="U519" s="48"/>
      <c r="V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9"/>
      <c r="N520" s="49"/>
      <c r="O520" s="49"/>
      <c r="P520" s="48"/>
      <c r="Q520" s="48"/>
      <c r="R520" s="48"/>
      <c r="S520" s="48"/>
      <c r="T520" s="48"/>
      <c r="U520" s="48"/>
      <c r="V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9"/>
      <c r="N521" s="49"/>
      <c r="O521" s="49"/>
      <c r="P521" s="48"/>
      <c r="Q521" s="48"/>
      <c r="R521" s="48"/>
      <c r="S521" s="48"/>
      <c r="T521" s="48"/>
      <c r="U521" s="48"/>
      <c r="V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9"/>
      <c r="N522" s="49"/>
      <c r="O522" s="49"/>
      <c r="P522" s="48"/>
      <c r="Q522" s="48"/>
      <c r="R522" s="48"/>
      <c r="S522" s="48"/>
      <c r="T522" s="48"/>
      <c r="U522" s="48"/>
      <c r="V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9"/>
      <c r="N523" s="49"/>
      <c r="O523" s="49"/>
      <c r="P523" s="48"/>
      <c r="Q523" s="48"/>
      <c r="R523" s="48"/>
      <c r="S523" s="48"/>
      <c r="T523" s="48"/>
      <c r="U523" s="48"/>
      <c r="V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9"/>
      <c r="N524" s="49"/>
      <c r="O524" s="49"/>
      <c r="P524" s="48"/>
      <c r="Q524" s="48"/>
      <c r="R524" s="48"/>
      <c r="S524" s="48"/>
      <c r="T524" s="48"/>
      <c r="U524" s="48"/>
      <c r="V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9"/>
      <c r="N525" s="49"/>
      <c r="O525" s="49"/>
      <c r="P525" s="48"/>
      <c r="Q525" s="48"/>
      <c r="R525" s="48"/>
      <c r="S525" s="48"/>
      <c r="T525" s="48"/>
      <c r="U525" s="48"/>
      <c r="V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9"/>
      <c r="N526" s="49"/>
      <c r="O526" s="49"/>
      <c r="P526" s="48"/>
      <c r="Q526" s="48"/>
      <c r="R526" s="48"/>
      <c r="S526" s="48"/>
      <c r="T526" s="48"/>
      <c r="U526" s="48"/>
      <c r="V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9"/>
      <c r="N527" s="49"/>
      <c r="O527" s="49"/>
      <c r="P527" s="48"/>
      <c r="Q527" s="48"/>
      <c r="R527" s="48"/>
      <c r="S527" s="48"/>
      <c r="T527" s="48"/>
      <c r="U527" s="48"/>
      <c r="V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9"/>
      <c r="N528" s="49"/>
      <c r="O528" s="49"/>
      <c r="P528" s="48"/>
      <c r="Q528" s="48"/>
      <c r="R528" s="48"/>
      <c r="S528" s="48"/>
      <c r="T528" s="48"/>
      <c r="U528" s="48"/>
      <c r="V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9"/>
      <c r="N529" s="49"/>
      <c r="O529" s="49"/>
      <c r="P529" s="48"/>
      <c r="Q529" s="48"/>
      <c r="R529" s="48"/>
      <c r="S529" s="48"/>
      <c r="T529" s="48"/>
      <c r="U529" s="48"/>
      <c r="V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9"/>
      <c r="N530" s="49"/>
      <c r="O530" s="49"/>
      <c r="P530" s="48"/>
      <c r="Q530" s="48"/>
      <c r="R530" s="48"/>
      <c r="S530" s="48"/>
      <c r="T530" s="48"/>
      <c r="U530" s="48"/>
      <c r="V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9"/>
      <c r="N531" s="49"/>
      <c r="O531" s="49"/>
      <c r="P531" s="48"/>
      <c r="Q531" s="48"/>
      <c r="R531" s="48"/>
      <c r="S531" s="48"/>
      <c r="T531" s="48"/>
      <c r="U531" s="48"/>
      <c r="V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9"/>
      <c r="N532" s="49"/>
      <c r="O532" s="49"/>
      <c r="P532" s="48"/>
      <c r="Q532" s="48"/>
      <c r="R532" s="48"/>
      <c r="S532" s="48"/>
      <c r="T532" s="48"/>
      <c r="U532" s="48"/>
      <c r="V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9"/>
      <c r="N533" s="49"/>
      <c r="O533" s="49"/>
      <c r="P533" s="48"/>
      <c r="Q533" s="48"/>
      <c r="R533" s="48"/>
      <c r="S533" s="48"/>
      <c r="T533" s="48"/>
      <c r="U533" s="48"/>
      <c r="V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9"/>
      <c r="N534" s="49"/>
      <c r="O534" s="49"/>
      <c r="P534" s="48"/>
      <c r="Q534" s="48"/>
      <c r="R534" s="48"/>
      <c r="S534" s="48"/>
      <c r="T534" s="48"/>
      <c r="U534" s="48"/>
      <c r="V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9"/>
      <c r="N535" s="49"/>
      <c r="O535" s="49"/>
      <c r="P535" s="48"/>
      <c r="Q535" s="48"/>
      <c r="R535" s="48"/>
      <c r="S535" s="48"/>
      <c r="T535" s="48"/>
      <c r="U535" s="48"/>
      <c r="V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9"/>
      <c r="N536" s="49"/>
      <c r="O536" s="49"/>
      <c r="P536" s="48"/>
      <c r="Q536" s="48"/>
      <c r="R536" s="48"/>
      <c r="S536" s="48"/>
      <c r="T536" s="48"/>
      <c r="U536" s="48"/>
      <c r="V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9"/>
      <c r="N537" s="49"/>
      <c r="O537" s="49"/>
      <c r="P537" s="48"/>
      <c r="Q537" s="48"/>
      <c r="R537" s="48"/>
      <c r="S537" s="48"/>
      <c r="T537" s="48"/>
      <c r="U537" s="48"/>
      <c r="V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9"/>
      <c r="N538" s="49"/>
      <c r="O538" s="49"/>
      <c r="P538" s="48"/>
      <c r="Q538" s="48"/>
      <c r="R538" s="48"/>
      <c r="S538" s="48"/>
      <c r="T538" s="48"/>
      <c r="U538" s="48"/>
      <c r="V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9"/>
      <c r="N539" s="49"/>
      <c r="O539" s="49"/>
      <c r="P539" s="48"/>
      <c r="Q539" s="48"/>
      <c r="R539" s="48"/>
      <c r="S539" s="48"/>
      <c r="T539" s="48"/>
      <c r="U539" s="48"/>
      <c r="V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9"/>
      <c r="N540" s="49"/>
      <c r="O540" s="49"/>
      <c r="P540" s="48"/>
      <c r="Q540" s="48"/>
      <c r="R540" s="48"/>
      <c r="S540" s="48"/>
      <c r="T540" s="48"/>
      <c r="U540" s="48"/>
      <c r="V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9"/>
      <c r="N541" s="49"/>
      <c r="O541" s="49"/>
      <c r="P541" s="48"/>
      <c r="Q541" s="48"/>
      <c r="R541" s="48"/>
      <c r="S541" s="48"/>
      <c r="T541" s="48"/>
      <c r="U541" s="48"/>
      <c r="V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9"/>
      <c r="N542" s="49"/>
      <c r="O542" s="49"/>
      <c r="P542" s="48"/>
      <c r="Q542" s="48"/>
      <c r="R542" s="48"/>
      <c r="S542" s="48"/>
      <c r="T542" s="48"/>
      <c r="U542" s="48"/>
      <c r="V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9"/>
      <c r="N543" s="49"/>
      <c r="O543" s="49"/>
      <c r="P543" s="48"/>
      <c r="Q543" s="48"/>
      <c r="R543" s="48"/>
      <c r="S543" s="48"/>
      <c r="T543" s="48"/>
      <c r="U543" s="48"/>
      <c r="V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9"/>
      <c r="N544" s="49"/>
      <c r="O544" s="49"/>
      <c r="P544" s="48"/>
      <c r="Q544" s="48"/>
      <c r="R544" s="48"/>
      <c r="S544" s="48"/>
      <c r="T544" s="48"/>
      <c r="U544" s="48"/>
      <c r="V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9"/>
      <c r="N545" s="49"/>
      <c r="O545" s="49"/>
      <c r="P545" s="48"/>
      <c r="Q545" s="48"/>
      <c r="R545" s="48"/>
      <c r="S545" s="48"/>
      <c r="T545" s="48"/>
      <c r="U545" s="48"/>
      <c r="V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9"/>
      <c r="N546" s="49"/>
      <c r="O546" s="49"/>
      <c r="P546" s="48"/>
      <c r="Q546" s="48"/>
      <c r="R546" s="48"/>
      <c r="S546" s="48"/>
      <c r="T546" s="48"/>
      <c r="U546" s="48"/>
      <c r="V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9"/>
      <c r="N547" s="49"/>
      <c r="O547" s="49"/>
      <c r="P547" s="48"/>
      <c r="Q547" s="48"/>
      <c r="R547" s="48"/>
      <c r="S547" s="48"/>
      <c r="T547" s="48"/>
      <c r="U547" s="48"/>
      <c r="V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9"/>
      <c r="N548" s="49"/>
      <c r="O548" s="49"/>
      <c r="P548" s="48"/>
      <c r="Q548" s="48"/>
      <c r="R548" s="48"/>
      <c r="S548" s="48"/>
      <c r="T548" s="48"/>
      <c r="U548" s="48"/>
      <c r="V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9"/>
      <c r="N549" s="49"/>
      <c r="O549" s="49"/>
      <c r="P549" s="48"/>
      <c r="Q549" s="48"/>
      <c r="R549" s="48"/>
      <c r="S549" s="48"/>
      <c r="T549" s="48"/>
      <c r="U549" s="48"/>
      <c r="V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9"/>
      <c r="N550" s="49"/>
      <c r="O550" s="49"/>
      <c r="P550" s="48"/>
      <c r="Q550" s="48"/>
      <c r="R550" s="48"/>
      <c r="S550" s="48"/>
      <c r="T550" s="48"/>
      <c r="U550" s="48"/>
      <c r="V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9"/>
      <c r="N551" s="49"/>
      <c r="O551" s="49"/>
      <c r="P551" s="48"/>
      <c r="Q551" s="48"/>
      <c r="R551" s="48"/>
      <c r="S551" s="48"/>
      <c r="T551" s="48"/>
      <c r="U551" s="48"/>
      <c r="V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9"/>
      <c r="N552" s="49"/>
      <c r="O552" s="49"/>
      <c r="P552" s="48"/>
      <c r="Q552" s="48"/>
      <c r="R552" s="48"/>
      <c r="S552" s="48"/>
      <c r="T552" s="48"/>
      <c r="U552" s="48"/>
      <c r="V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9"/>
      <c r="N553" s="49"/>
      <c r="O553" s="49"/>
      <c r="P553" s="48"/>
      <c r="Q553" s="48"/>
      <c r="R553" s="48"/>
      <c r="S553" s="48"/>
      <c r="T553" s="48"/>
      <c r="U553" s="48"/>
      <c r="V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9"/>
      <c r="N554" s="49"/>
      <c r="O554" s="49"/>
      <c r="P554" s="48"/>
      <c r="Q554" s="48"/>
      <c r="R554" s="48"/>
      <c r="S554" s="48"/>
      <c r="T554" s="48"/>
      <c r="U554" s="48"/>
      <c r="V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9"/>
      <c r="N555" s="49"/>
      <c r="O555" s="49"/>
      <c r="P555" s="48"/>
      <c r="Q555" s="48"/>
      <c r="R555" s="48"/>
      <c r="S555" s="48"/>
      <c r="T555" s="48"/>
      <c r="U555" s="48"/>
      <c r="V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9"/>
      <c r="N556" s="49"/>
      <c r="O556" s="49"/>
      <c r="P556" s="48"/>
      <c r="Q556" s="48"/>
      <c r="R556" s="48"/>
      <c r="S556" s="48"/>
      <c r="T556" s="48"/>
      <c r="U556" s="48"/>
      <c r="V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9"/>
      <c r="N557" s="49"/>
      <c r="O557" s="49"/>
      <c r="P557" s="48"/>
      <c r="Q557" s="48"/>
      <c r="R557" s="48"/>
      <c r="S557" s="48"/>
      <c r="T557" s="48"/>
      <c r="U557" s="48"/>
      <c r="V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9"/>
      <c r="N558" s="49"/>
      <c r="O558" s="49"/>
      <c r="P558" s="48"/>
      <c r="Q558" s="48"/>
      <c r="R558" s="48"/>
      <c r="S558" s="48"/>
      <c r="T558" s="48"/>
      <c r="U558" s="48"/>
      <c r="V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9"/>
      <c r="N559" s="49"/>
      <c r="O559" s="49"/>
      <c r="P559" s="48"/>
      <c r="Q559" s="48"/>
      <c r="R559" s="48"/>
      <c r="S559" s="48"/>
      <c r="T559" s="48"/>
      <c r="U559" s="48"/>
      <c r="V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9"/>
      <c r="N560" s="49"/>
      <c r="O560" s="49"/>
      <c r="P560" s="48"/>
      <c r="Q560" s="48"/>
      <c r="R560" s="48"/>
      <c r="S560" s="48"/>
      <c r="T560" s="48"/>
      <c r="U560" s="48"/>
      <c r="V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9"/>
      <c r="N561" s="49"/>
      <c r="O561" s="49"/>
      <c r="P561" s="48"/>
      <c r="Q561" s="48"/>
      <c r="R561" s="48"/>
      <c r="S561" s="48"/>
      <c r="T561" s="48"/>
      <c r="U561" s="48"/>
      <c r="V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9"/>
      <c r="N562" s="49"/>
      <c r="O562" s="49"/>
      <c r="P562" s="48"/>
      <c r="Q562" s="48"/>
      <c r="R562" s="48"/>
      <c r="S562" s="48"/>
      <c r="T562" s="48"/>
      <c r="U562" s="48"/>
      <c r="V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9"/>
      <c r="N563" s="49"/>
      <c r="O563" s="49"/>
      <c r="P563" s="48"/>
      <c r="Q563" s="48"/>
      <c r="R563" s="48"/>
      <c r="S563" s="48"/>
      <c r="T563" s="48"/>
      <c r="U563" s="48"/>
      <c r="V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9"/>
      <c r="N564" s="49"/>
      <c r="O564" s="49"/>
      <c r="P564" s="48"/>
      <c r="Q564" s="48"/>
      <c r="R564" s="48"/>
      <c r="S564" s="48"/>
      <c r="T564" s="48"/>
      <c r="U564" s="48"/>
      <c r="V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9"/>
      <c r="N565" s="49"/>
      <c r="O565" s="49"/>
      <c r="P565" s="48"/>
      <c r="Q565" s="48"/>
      <c r="R565" s="48"/>
      <c r="S565" s="48"/>
      <c r="T565" s="48"/>
      <c r="U565" s="48"/>
      <c r="V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9"/>
      <c r="N566" s="49"/>
      <c r="O566" s="49"/>
      <c r="P566" s="48"/>
      <c r="Q566" s="48"/>
      <c r="R566" s="48"/>
      <c r="S566" s="48"/>
      <c r="T566" s="48"/>
      <c r="U566" s="48"/>
      <c r="V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9"/>
      <c r="N567" s="49"/>
      <c r="O567" s="49"/>
      <c r="P567" s="48"/>
      <c r="Q567" s="48"/>
      <c r="R567" s="48"/>
      <c r="S567" s="48"/>
      <c r="T567" s="48"/>
      <c r="U567" s="48"/>
      <c r="V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9"/>
      <c r="N568" s="49"/>
      <c r="O568" s="49"/>
      <c r="P568" s="48"/>
      <c r="Q568" s="48"/>
      <c r="R568" s="48"/>
      <c r="S568" s="48"/>
      <c r="T568" s="48"/>
      <c r="U568" s="48"/>
      <c r="V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9"/>
      <c r="N569" s="49"/>
      <c r="O569" s="49"/>
      <c r="P569" s="48"/>
      <c r="Q569" s="48"/>
      <c r="R569" s="48"/>
      <c r="S569" s="48"/>
      <c r="T569" s="48"/>
      <c r="U569" s="48"/>
      <c r="V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9"/>
      <c r="N570" s="49"/>
      <c r="O570" s="49"/>
      <c r="P570" s="48"/>
      <c r="Q570" s="48"/>
      <c r="R570" s="48"/>
      <c r="S570" s="48"/>
      <c r="T570" s="48"/>
      <c r="U570" s="48"/>
      <c r="V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9"/>
      <c r="N571" s="49"/>
      <c r="O571" s="49"/>
      <c r="P571" s="48"/>
      <c r="Q571" s="48"/>
      <c r="R571" s="48"/>
      <c r="S571" s="48"/>
      <c r="T571" s="48"/>
      <c r="U571" s="48"/>
      <c r="V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9"/>
      <c r="N572" s="49"/>
      <c r="O572" s="49"/>
      <c r="P572" s="48"/>
      <c r="Q572" s="48"/>
      <c r="R572" s="48"/>
      <c r="S572" s="48"/>
      <c r="T572" s="48"/>
      <c r="U572" s="48"/>
      <c r="V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9"/>
      <c r="N573" s="49"/>
      <c r="O573" s="49"/>
      <c r="P573" s="48"/>
      <c r="Q573" s="48"/>
      <c r="R573" s="48"/>
      <c r="S573" s="48"/>
      <c r="T573" s="48"/>
      <c r="U573" s="48"/>
      <c r="V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9"/>
      <c r="N574" s="49"/>
      <c r="O574" s="49"/>
      <c r="P574" s="48"/>
      <c r="Q574" s="48"/>
      <c r="R574" s="48"/>
      <c r="S574" s="48"/>
      <c r="T574" s="48"/>
      <c r="U574" s="48"/>
      <c r="V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9"/>
      <c r="N575" s="49"/>
      <c r="O575" s="49"/>
      <c r="P575" s="48"/>
      <c r="Q575" s="48"/>
      <c r="R575" s="48"/>
      <c r="S575" s="48"/>
      <c r="T575" s="48"/>
      <c r="U575" s="48"/>
      <c r="V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9"/>
      <c r="N576" s="49"/>
      <c r="O576" s="49"/>
      <c r="P576" s="48"/>
      <c r="Q576" s="48"/>
      <c r="R576" s="48"/>
      <c r="S576" s="48"/>
      <c r="T576" s="48"/>
      <c r="U576" s="48"/>
      <c r="V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9"/>
      <c r="N577" s="49"/>
      <c r="O577" s="49"/>
      <c r="P577" s="48"/>
      <c r="Q577" s="48"/>
      <c r="R577" s="48"/>
      <c r="S577" s="48"/>
      <c r="T577" s="48"/>
      <c r="U577" s="48"/>
      <c r="V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9"/>
      <c r="N578" s="49"/>
      <c r="O578" s="49"/>
      <c r="P578" s="48"/>
      <c r="Q578" s="48"/>
      <c r="R578" s="48"/>
      <c r="S578" s="48"/>
      <c r="T578" s="48"/>
      <c r="U578" s="48"/>
      <c r="V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9"/>
      <c r="N579" s="49"/>
      <c r="O579" s="49"/>
      <c r="P579" s="48"/>
      <c r="Q579" s="48"/>
      <c r="R579" s="48"/>
      <c r="S579" s="48"/>
      <c r="T579" s="48"/>
      <c r="U579" s="48"/>
      <c r="V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9"/>
      <c r="N580" s="49"/>
      <c r="O580" s="49"/>
      <c r="P580" s="48"/>
      <c r="Q580" s="48"/>
      <c r="R580" s="48"/>
      <c r="S580" s="48"/>
      <c r="T580" s="48"/>
      <c r="U580" s="48"/>
      <c r="V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9"/>
      <c r="N581" s="49"/>
      <c r="O581" s="49"/>
      <c r="P581" s="48"/>
      <c r="Q581" s="48"/>
      <c r="R581" s="48"/>
      <c r="S581" s="48"/>
      <c r="T581" s="48"/>
      <c r="U581" s="48"/>
      <c r="V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9"/>
      <c r="N582" s="49"/>
      <c r="O582" s="49"/>
      <c r="P582" s="48"/>
      <c r="Q582" s="48"/>
      <c r="R582" s="48"/>
      <c r="S582" s="48"/>
      <c r="T582" s="48"/>
      <c r="U582" s="48"/>
      <c r="V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9"/>
      <c r="N583" s="49"/>
      <c r="O583" s="49"/>
      <c r="P583" s="48"/>
      <c r="Q583" s="48"/>
      <c r="R583" s="48"/>
      <c r="S583" s="48"/>
      <c r="T583" s="48"/>
      <c r="U583" s="48"/>
      <c r="V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9"/>
      <c r="N584" s="49"/>
      <c r="O584" s="49"/>
      <c r="P584" s="48"/>
      <c r="Q584" s="48"/>
      <c r="R584" s="48"/>
      <c r="S584" s="48"/>
      <c r="T584" s="48"/>
      <c r="U584" s="48"/>
      <c r="V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9"/>
      <c r="N585" s="49"/>
      <c r="O585" s="49"/>
      <c r="P585" s="48"/>
      <c r="Q585" s="48"/>
      <c r="R585" s="48"/>
      <c r="S585" s="48"/>
      <c r="T585" s="48"/>
      <c r="U585" s="48"/>
      <c r="V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9"/>
      <c r="N586" s="49"/>
      <c r="O586" s="49"/>
      <c r="P586" s="48"/>
      <c r="Q586" s="48"/>
      <c r="R586" s="48"/>
      <c r="S586" s="48"/>
      <c r="T586" s="48"/>
      <c r="U586" s="48"/>
      <c r="V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9"/>
      <c r="N587" s="49"/>
      <c r="O587" s="49"/>
      <c r="P587" s="48"/>
      <c r="Q587" s="48"/>
      <c r="R587" s="48"/>
      <c r="S587" s="48"/>
      <c r="T587" s="48"/>
      <c r="U587" s="48"/>
      <c r="V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9"/>
      <c r="N588" s="49"/>
      <c r="O588" s="49"/>
      <c r="P588" s="48"/>
      <c r="Q588" s="48"/>
      <c r="R588" s="48"/>
      <c r="S588" s="48"/>
      <c r="T588" s="48"/>
      <c r="U588" s="48"/>
      <c r="V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9"/>
      <c r="N589" s="49"/>
      <c r="O589" s="49"/>
      <c r="P589" s="48"/>
      <c r="Q589" s="48"/>
      <c r="R589" s="48"/>
      <c r="S589" s="48"/>
      <c r="T589" s="48"/>
      <c r="U589" s="48"/>
      <c r="V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9"/>
      <c r="N590" s="49"/>
      <c r="O590" s="49"/>
      <c r="P590" s="48"/>
      <c r="Q590" s="48"/>
      <c r="R590" s="48"/>
      <c r="S590" s="48"/>
      <c r="T590" s="48"/>
      <c r="U590" s="48"/>
      <c r="V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9"/>
      <c r="N591" s="49"/>
      <c r="O591" s="49"/>
      <c r="P591" s="48"/>
      <c r="Q591" s="48"/>
      <c r="R591" s="48"/>
      <c r="S591" s="48"/>
      <c r="T591" s="48"/>
      <c r="U591" s="48"/>
      <c r="V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9"/>
      <c r="N592" s="49"/>
      <c r="O592" s="49"/>
      <c r="P592" s="48"/>
      <c r="Q592" s="48"/>
      <c r="R592" s="48"/>
      <c r="S592" s="48"/>
      <c r="T592" s="48"/>
      <c r="U592" s="48"/>
      <c r="V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9"/>
      <c r="N593" s="49"/>
      <c r="O593" s="49"/>
      <c r="P593" s="48"/>
      <c r="Q593" s="48"/>
      <c r="R593" s="48"/>
      <c r="S593" s="48"/>
      <c r="T593" s="48"/>
      <c r="U593" s="48"/>
      <c r="V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9"/>
      <c r="N594" s="49"/>
      <c r="O594" s="49"/>
      <c r="P594" s="48"/>
      <c r="Q594" s="48"/>
      <c r="R594" s="48"/>
      <c r="S594" s="48"/>
      <c r="T594" s="48"/>
      <c r="U594" s="48"/>
      <c r="V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9"/>
      <c r="N595" s="49"/>
      <c r="O595" s="49"/>
      <c r="P595" s="48"/>
      <c r="Q595" s="48"/>
      <c r="R595" s="48"/>
      <c r="S595" s="48"/>
      <c r="T595" s="48"/>
      <c r="U595" s="48"/>
      <c r="V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9"/>
      <c r="N596" s="49"/>
      <c r="O596" s="49"/>
      <c r="P596" s="48"/>
      <c r="Q596" s="48"/>
      <c r="R596" s="48"/>
      <c r="S596" s="48"/>
      <c r="T596" s="48"/>
      <c r="U596" s="48"/>
      <c r="V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9"/>
      <c r="N597" s="49"/>
      <c r="O597" s="49"/>
      <c r="P597" s="48"/>
      <c r="Q597" s="48"/>
      <c r="R597" s="48"/>
      <c r="S597" s="48"/>
      <c r="T597" s="48"/>
      <c r="U597" s="48"/>
      <c r="V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9"/>
      <c r="N598" s="49"/>
      <c r="O598" s="49"/>
      <c r="P598" s="48"/>
      <c r="Q598" s="48"/>
      <c r="R598" s="48"/>
      <c r="S598" s="48"/>
      <c r="T598" s="48"/>
      <c r="U598" s="48"/>
      <c r="V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9"/>
      <c r="N599" s="49"/>
      <c r="O599" s="49"/>
      <c r="P599" s="48"/>
      <c r="Q599" s="48"/>
      <c r="R599" s="48"/>
      <c r="S599" s="48"/>
      <c r="T599" s="48"/>
      <c r="U599" s="48"/>
      <c r="V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9"/>
      <c r="N600" s="49"/>
      <c r="O600" s="49"/>
      <c r="P600" s="48"/>
      <c r="Q600" s="48"/>
      <c r="R600" s="48"/>
      <c r="S600" s="48"/>
      <c r="T600" s="48"/>
      <c r="U600" s="48"/>
      <c r="V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9"/>
      <c r="N601" s="49"/>
      <c r="O601" s="49"/>
      <c r="P601" s="48"/>
      <c r="Q601" s="48"/>
      <c r="R601" s="48"/>
      <c r="S601" s="48"/>
      <c r="T601" s="48"/>
      <c r="U601" s="48"/>
      <c r="V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9"/>
      <c r="N602" s="49"/>
      <c r="O602" s="49"/>
      <c r="P602" s="48"/>
      <c r="Q602" s="48"/>
      <c r="R602" s="48"/>
      <c r="S602" s="48"/>
      <c r="T602" s="48"/>
      <c r="U602" s="48"/>
      <c r="V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9"/>
      <c r="N603" s="49"/>
      <c r="O603" s="49"/>
      <c r="P603" s="48"/>
      <c r="Q603" s="48"/>
      <c r="R603" s="48"/>
      <c r="S603" s="48"/>
      <c r="T603" s="48"/>
      <c r="U603" s="48"/>
      <c r="V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9"/>
      <c r="N604" s="49"/>
      <c r="O604" s="49"/>
      <c r="P604" s="48"/>
      <c r="Q604" s="48"/>
      <c r="R604" s="48"/>
      <c r="S604" s="48"/>
      <c r="T604" s="48"/>
      <c r="U604" s="48"/>
      <c r="V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9"/>
      <c r="N605" s="49"/>
      <c r="O605" s="49"/>
      <c r="P605" s="48"/>
      <c r="Q605" s="48"/>
      <c r="R605" s="48"/>
      <c r="S605" s="48"/>
      <c r="T605" s="48"/>
      <c r="U605" s="48"/>
      <c r="V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9"/>
      <c r="N606" s="49"/>
      <c r="O606" s="49"/>
      <c r="P606" s="48"/>
      <c r="Q606" s="48"/>
      <c r="R606" s="48"/>
      <c r="S606" s="48"/>
      <c r="T606" s="48"/>
      <c r="U606" s="48"/>
      <c r="V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9"/>
      <c r="N607" s="49"/>
      <c r="O607" s="49"/>
      <c r="P607" s="48"/>
      <c r="Q607" s="48"/>
      <c r="R607" s="48"/>
      <c r="S607" s="48"/>
      <c r="T607" s="48"/>
      <c r="U607" s="48"/>
      <c r="V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9"/>
      <c r="N608" s="49"/>
      <c r="O608" s="49"/>
      <c r="P608" s="48"/>
      <c r="Q608" s="48"/>
      <c r="R608" s="48"/>
      <c r="S608" s="48"/>
      <c r="T608" s="48"/>
      <c r="U608" s="48"/>
      <c r="V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9"/>
      <c r="N609" s="49"/>
      <c r="O609" s="49"/>
      <c r="P609" s="48"/>
      <c r="Q609" s="48"/>
      <c r="R609" s="48"/>
      <c r="S609" s="48"/>
      <c r="T609" s="48"/>
      <c r="U609" s="48"/>
      <c r="V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9"/>
      <c r="N610" s="49"/>
      <c r="O610" s="49"/>
      <c r="P610" s="48"/>
      <c r="Q610" s="48"/>
      <c r="R610" s="48"/>
      <c r="S610" s="48"/>
      <c r="T610" s="48"/>
      <c r="U610" s="48"/>
      <c r="V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9"/>
      <c r="N611" s="49"/>
      <c r="O611" s="49"/>
      <c r="P611" s="48"/>
      <c r="Q611" s="48"/>
      <c r="R611" s="48"/>
      <c r="S611" s="48"/>
      <c r="T611" s="48"/>
      <c r="U611" s="48"/>
      <c r="V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9"/>
      <c r="N612" s="49"/>
      <c r="O612" s="49"/>
      <c r="P612" s="48"/>
      <c r="Q612" s="48"/>
      <c r="R612" s="48"/>
      <c r="S612" s="48"/>
      <c r="T612" s="48"/>
      <c r="U612" s="48"/>
      <c r="V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9"/>
      <c r="N613" s="49"/>
      <c r="O613" s="49"/>
      <c r="P613" s="48"/>
      <c r="Q613" s="48"/>
      <c r="R613" s="48"/>
      <c r="S613" s="48"/>
      <c r="T613" s="48"/>
      <c r="U613" s="48"/>
      <c r="V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9"/>
      <c r="N614" s="49"/>
      <c r="O614" s="49"/>
      <c r="P614" s="48"/>
      <c r="Q614" s="48"/>
      <c r="R614" s="48"/>
      <c r="S614" s="48"/>
      <c r="T614" s="48"/>
      <c r="U614" s="48"/>
      <c r="V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9"/>
      <c r="N615" s="49"/>
      <c r="O615" s="49"/>
      <c r="P615" s="48"/>
      <c r="Q615" s="48"/>
      <c r="R615" s="48"/>
      <c r="S615" s="48"/>
      <c r="T615" s="48"/>
      <c r="U615" s="48"/>
      <c r="V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9"/>
      <c r="N616" s="49"/>
      <c r="O616" s="49"/>
      <c r="P616" s="48"/>
      <c r="Q616" s="48"/>
      <c r="R616" s="48"/>
      <c r="S616" s="48"/>
      <c r="T616" s="48"/>
      <c r="U616" s="48"/>
      <c r="V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9"/>
      <c r="N617" s="49"/>
      <c r="O617" s="49"/>
      <c r="P617" s="48"/>
      <c r="Q617" s="48"/>
      <c r="R617" s="48"/>
      <c r="S617" s="48"/>
      <c r="T617" s="48"/>
      <c r="U617" s="48"/>
      <c r="V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9"/>
      <c r="N618" s="49"/>
      <c r="O618" s="49"/>
      <c r="P618" s="48"/>
      <c r="Q618" s="48"/>
      <c r="R618" s="48"/>
      <c r="S618" s="48"/>
      <c r="T618" s="48"/>
      <c r="U618" s="48"/>
      <c r="V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9"/>
      <c r="N619" s="49"/>
      <c r="O619" s="49"/>
      <c r="P619" s="48"/>
      <c r="Q619" s="48"/>
      <c r="R619" s="48"/>
      <c r="S619" s="48"/>
      <c r="T619" s="48"/>
      <c r="U619" s="48"/>
      <c r="V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9"/>
      <c r="N620" s="49"/>
      <c r="O620" s="49"/>
      <c r="P620" s="48"/>
      <c r="Q620" s="48"/>
      <c r="R620" s="48"/>
      <c r="S620" s="48"/>
      <c r="T620" s="48"/>
      <c r="U620" s="48"/>
      <c r="V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9"/>
      <c r="N621" s="49"/>
      <c r="O621" s="49"/>
      <c r="P621" s="48"/>
      <c r="Q621" s="48"/>
      <c r="R621" s="48"/>
      <c r="S621" s="48"/>
      <c r="T621" s="48"/>
      <c r="U621" s="48"/>
      <c r="V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9"/>
      <c r="N622" s="49"/>
      <c r="O622" s="49"/>
      <c r="P622" s="48"/>
      <c r="Q622" s="48"/>
      <c r="R622" s="48"/>
      <c r="S622" s="48"/>
      <c r="T622" s="48"/>
      <c r="U622" s="48"/>
      <c r="V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9"/>
      <c r="N623" s="49"/>
      <c r="O623" s="49"/>
      <c r="P623" s="48"/>
      <c r="Q623" s="48"/>
      <c r="R623" s="48"/>
      <c r="S623" s="48"/>
      <c r="T623" s="48"/>
      <c r="U623" s="48"/>
      <c r="V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9"/>
      <c r="N624" s="49"/>
      <c r="O624" s="49"/>
      <c r="P624" s="48"/>
      <c r="Q624" s="48"/>
      <c r="R624" s="48"/>
      <c r="S624" s="48"/>
      <c r="T624" s="48"/>
      <c r="U624" s="48"/>
      <c r="V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9"/>
      <c r="N625" s="49"/>
      <c r="O625" s="49"/>
      <c r="P625" s="48"/>
      <c r="Q625" s="48"/>
      <c r="R625" s="48"/>
      <c r="S625" s="48"/>
      <c r="T625" s="48"/>
      <c r="U625" s="48"/>
      <c r="V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9"/>
      <c r="N626" s="49"/>
      <c r="O626" s="49"/>
      <c r="P626" s="48"/>
      <c r="Q626" s="48"/>
      <c r="R626" s="48"/>
      <c r="S626" s="48"/>
      <c r="T626" s="48"/>
      <c r="U626" s="48"/>
      <c r="V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9"/>
      <c r="N627" s="49"/>
      <c r="O627" s="49"/>
      <c r="P627" s="48"/>
      <c r="Q627" s="48"/>
      <c r="R627" s="48"/>
      <c r="S627" s="48"/>
      <c r="T627" s="48"/>
      <c r="U627" s="48"/>
      <c r="V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9"/>
      <c r="N628" s="49"/>
      <c r="O628" s="49"/>
      <c r="P628" s="48"/>
      <c r="Q628" s="48"/>
      <c r="R628" s="48"/>
      <c r="S628" s="48"/>
      <c r="T628" s="48"/>
      <c r="U628" s="48"/>
      <c r="V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9"/>
      <c r="N629" s="49"/>
      <c r="O629" s="49"/>
      <c r="P629" s="48"/>
      <c r="Q629" s="48"/>
      <c r="R629" s="48"/>
      <c r="S629" s="48"/>
      <c r="T629" s="48"/>
      <c r="U629" s="48"/>
      <c r="V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9"/>
      <c r="N630" s="49"/>
      <c r="O630" s="49"/>
      <c r="P630" s="48"/>
      <c r="Q630" s="48"/>
      <c r="R630" s="48"/>
      <c r="S630" s="48"/>
      <c r="T630" s="48"/>
      <c r="U630" s="48"/>
      <c r="V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9"/>
      <c r="N631" s="49"/>
      <c r="O631" s="49"/>
      <c r="P631" s="48"/>
      <c r="Q631" s="48"/>
      <c r="R631" s="48"/>
      <c r="S631" s="48"/>
      <c r="T631" s="48"/>
      <c r="U631" s="48"/>
      <c r="V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9"/>
      <c r="N632" s="49"/>
      <c r="O632" s="49"/>
      <c r="P632" s="48"/>
      <c r="Q632" s="48"/>
      <c r="R632" s="48"/>
      <c r="S632" s="48"/>
      <c r="T632" s="48"/>
      <c r="U632" s="48"/>
      <c r="V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9"/>
      <c r="N633" s="49"/>
      <c r="O633" s="49"/>
      <c r="P633" s="48"/>
      <c r="Q633" s="48"/>
      <c r="R633" s="48"/>
      <c r="S633" s="48"/>
      <c r="T633" s="48"/>
      <c r="U633" s="48"/>
      <c r="V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9"/>
      <c r="N634" s="49"/>
      <c r="O634" s="49"/>
      <c r="P634" s="48"/>
      <c r="Q634" s="48"/>
      <c r="R634" s="48"/>
      <c r="S634" s="48"/>
      <c r="T634" s="48"/>
      <c r="U634" s="48"/>
      <c r="V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9"/>
      <c r="N635" s="49"/>
      <c r="O635" s="49"/>
      <c r="P635" s="48"/>
      <c r="Q635" s="48"/>
      <c r="R635" s="48"/>
      <c r="S635" s="48"/>
      <c r="T635" s="48"/>
      <c r="U635" s="48"/>
      <c r="V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9"/>
      <c r="N636" s="49"/>
      <c r="O636" s="49"/>
      <c r="P636" s="48"/>
      <c r="Q636" s="48"/>
      <c r="R636" s="48"/>
      <c r="S636" s="48"/>
      <c r="T636" s="48"/>
      <c r="U636" s="48"/>
      <c r="V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9"/>
      <c r="N637" s="49"/>
      <c r="O637" s="49"/>
      <c r="P637" s="48"/>
      <c r="Q637" s="48"/>
      <c r="R637" s="48"/>
      <c r="S637" s="48"/>
      <c r="T637" s="48"/>
      <c r="U637" s="48"/>
      <c r="V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9"/>
      <c r="N638" s="49"/>
      <c r="O638" s="49"/>
      <c r="P638" s="48"/>
      <c r="Q638" s="48"/>
      <c r="R638" s="48"/>
      <c r="S638" s="48"/>
      <c r="T638" s="48"/>
      <c r="U638" s="48"/>
      <c r="V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9"/>
      <c r="N639" s="49"/>
      <c r="O639" s="49"/>
      <c r="P639" s="48"/>
      <c r="Q639" s="48"/>
      <c r="R639" s="48"/>
      <c r="S639" s="48"/>
      <c r="T639" s="48"/>
      <c r="U639" s="48"/>
      <c r="V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9"/>
      <c r="N640" s="49"/>
      <c r="O640" s="49"/>
      <c r="P640" s="48"/>
      <c r="Q640" s="48"/>
      <c r="R640" s="48"/>
      <c r="S640" s="48"/>
      <c r="T640" s="48"/>
      <c r="U640" s="48"/>
      <c r="V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9"/>
      <c r="N641" s="49"/>
      <c r="O641" s="49"/>
      <c r="P641" s="48"/>
      <c r="Q641" s="48"/>
      <c r="R641" s="48"/>
      <c r="S641" s="48"/>
      <c r="T641" s="48"/>
      <c r="U641" s="48"/>
      <c r="V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9"/>
      <c r="N642" s="49"/>
      <c r="O642" s="49"/>
      <c r="P642" s="48"/>
      <c r="Q642" s="48"/>
      <c r="R642" s="48"/>
      <c r="S642" s="48"/>
      <c r="T642" s="48"/>
      <c r="U642" s="48"/>
      <c r="V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9"/>
      <c r="N643" s="49"/>
      <c r="O643" s="49"/>
      <c r="P643" s="48"/>
      <c r="Q643" s="48"/>
      <c r="R643" s="48"/>
      <c r="S643" s="48"/>
      <c r="T643" s="48"/>
      <c r="U643" s="48"/>
      <c r="V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9"/>
      <c r="N644" s="49"/>
      <c r="O644" s="49"/>
      <c r="P644" s="48"/>
      <c r="Q644" s="48"/>
      <c r="R644" s="48"/>
      <c r="S644" s="48"/>
      <c r="T644" s="48"/>
      <c r="U644" s="48"/>
      <c r="V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9"/>
      <c r="N645" s="49"/>
      <c r="O645" s="49"/>
      <c r="P645" s="48"/>
      <c r="Q645" s="48"/>
      <c r="R645" s="48"/>
      <c r="S645" s="48"/>
      <c r="T645" s="48"/>
      <c r="U645" s="48"/>
      <c r="V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9"/>
      <c r="N646" s="49"/>
      <c r="O646" s="49"/>
      <c r="P646" s="48"/>
      <c r="Q646" s="48"/>
      <c r="R646" s="48"/>
      <c r="S646" s="48"/>
      <c r="T646" s="48"/>
      <c r="U646" s="48"/>
      <c r="V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9"/>
      <c r="N647" s="49"/>
      <c r="O647" s="49"/>
      <c r="P647" s="48"/>
      <c r="Q647" s="48"/>
      <c r="R647" s="48"/>
      <c r="S647" s="48"/>
      <c r="T647" s="48"/>
      <c r="U647" s="48"/>
      <c r="V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9"/>
      <c r="N648" s="49"/>
      <c r="O648" s="49"/>
      <c r="P648" s="48"/>
      <c r="Q648" s="48"/>
      <c r="R648" s="48"/>
      <c r="S648" s="48"/>
      <c r="T648" s="48"/>
      <c r="U648" s="48"/>
      <c r="V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9"/>
      <c r="N649" s="49"/>
      <c r="O649" s="49"/>
      <c r="P649" s="48"/>
      <c r="Q649" s="48"/>
      <c r="R649" s="48"/>
      <c r="S649" s="48"/>
      <c r="T649" s="48"/>
      <c r="U649" s="48"/>
      <c r="V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9"/>
      <c r="N650" s="49"/>
      <c r="O650" s="49"/>
      <c r="P650" s="48"/>
      <c r="Q650" s="48"/>
      <c r="R650" s="48"/>
      <c r="S650" s="48"/>
      <c r="T650" s="48"/>
      <c r="U650" s="48"/>
      <c r="V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9"/>
      <c r="N651" s="49"/>
      <c r="O651" s="49"/>
      <c r="P651" s="48"/>
      <c r="Q651" s="48"/>
      <c r="R651" s="48"/>
      <c r="S651" s="48"/>
      <c r="T651" s="48"/>
      <c r="U651" s="48"/>
      <c r="V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9"/>
      <c r="N652" s="49"/>
      <c r="O652" s="49"/>
      <c r="P652" s="48"/>
      <c r="Q652" s="48"/>
      <c r="R652" s="48"/>
      <c r="S652" s="48"/>
      <c r="T652" s="48"/>
      <c r="U652" s="48"/>
      <c r="V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9"/>
      <c r="N653" s="49"/>
      <c r="O653" s="49"/>
      <c r="P653" s="48"/>
      <c r="Q653" s="48"/>
      <c r="R653" s="48"/>
      <c r="S653" s="48"/>
      <c r="T653" s="48"/>
      <c r="U653" s="48"/>
      <c r="V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9"/>
      <c r="N654" s="49"/>
      <c r="O654" s="49"/>
      <c r="P654" s="48"/>
      <c r="Q654" s="48"/>
      <c r="R654" s="48"/>
      <c r="S654" s="48"/>
      <c r="T654" s="48"/>
      <c r="U654" s="48"/>
      <c r="V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9"/>
      <c r="N655" s="49"/>
      <c r="O655" s="49"/>
      <c r="P655" s="48"/>
      <c r="Q655" s="48"/>
      <c r="R655" s="48"/>
      <c r="S655" s="48"/>
      <c r="T655" s="48"/>
      <c r="U655" s="48"/>
      <c r="V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9"/>
      <c r="N656" s="49"/>
      <c r="O656" s="49"/>
      <c r="P656" s="48"/>
      <c r="Q656" s="48"/>
      <c r="R656" s="48"/>
      <c r="S656" s="48"/>
      <c r="T656" s="48"/>
      <c r="U656" s="48"/>
      <c r="V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9"/>
      <c r="N657" s="49"/>
      <c r="O657" s="49"/>
      <c r="P657" s="48"/>
      <c r="Q657" s="48"/>
      <c r="R657" s="48"/>
      <c r="S657" s="48"/>
      <c r="T657" s="48"/>
      <c r="U657" s="48"/>
      <c r="V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9"/>
      <c r="N658" s="49"/>
      <c r="O658" s="49"/>
      <c r="P658" s="48"/>
      <c r="Q658" s="48"/>
      <c r="R658" s="48"/>
      <c r="S658" s="48"/>
      <c r="T658" s="48"/>
      <c r="U658" s="48"/>
      <c r="V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9"/>
      <c r="N659" s="49"/>
      <c r="O659" s="49"/>
      <c r="P659" s="48"/>
      <c r="Q659" s="48"/>
      <c r="R659" s="48"/>
      <c r="S659" s="48"/>
      <c r="T659" s="48"/>
      <c r="U659" s="48"/>
      <c r="V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9"/>
      <c r="N660" s="49"/>
      <c r="O660" s="49"/>
      <c r="P660" s="48"/>
      <c r="Q660" s="48"/>
      <c r="R660" s="48"/>
      <c r="S660" s="48"/>
      <c r="T660" s="48"/>
      <c r="U660" s="48"/>
      <c r="V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9"/>
      <c r="N661" s="49"/>
      <c r="O661" s="49"/>
      <c r="P661" s="48"/>
      <c r="Q661" s="48"/>
      <c r="R661" s="48"/>
      <c r="S661" s="48"/>
      <c r="T661" s="48"/>
      <c r="U661" s="48"/>
      <c r="V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9"/>
      <c r="N662" s="49"/>
      <c r="O662" s="49"/>
      <c r="P662" s="48"/>
      <c r="Q662" s="48"/>
      <c r="R662" s="48"/>
      <c r="S662" s="48"/>
      <c r="T662" s="48"/>
      <c r="U662" s="48"/>
      <c r="V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9"/>
      <c r="N663" s="49"/>
      <c r="O663" s="49"/>
      <c r="P663" s="48"/>
      <c r="Q663" s="48"/>
      <c r="R663" s="48"/>
      <c r="S663" s="48"/>
      <c r="T663" s="48"/>
      <c r="U663" s="48"/>
      <c r="V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9"/>
      <c r="N664" s="49"/>
      <c r="O664" s="49"/>
      <c r="P664" s="48"/>
      <c r="Q664" s="48"/>
      <c r="R664" s="48"/>
      <c r="S664" s="48"/>
      <c r="T664" s="48"/>
      <c r="U664" s="48"/>
      <c r="V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9"/>
      <c r="N665" s="49"/>
      <c r="O665" s="49"/>
      <c r="P665" s="48"/>
      <c r="Q665" s="48"/>
      <c r="R665" s="48"/>
      <c r="S665" s="48"/>
      <c r="T665" s="48"/>
      <c r="U665" s="48"/>
      <c r="V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9"/>
      <c r="N666" s="49"/>
      <c r="O666" s="49"/>
      <c r="P666" s="48"/>
      <c r="Q666" s="48"/>
      <c r="R666" s="48"/>
      <c r="S666" s="48"/>
      <c r="T666" s="48"/>
      <c r="U666" s="48"/>
      <c r="V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9"/>
      <c r="N667" s="49"/>
      <c r="O667" s="49"/>
      <c r="P667" s="48"/>
      <c r="Q667" s="48"/>
      <c r="R667" s="48"/>
      <c r="S667" s="48"/>
      <c r="T667" s="48"/>
      <c r="U667" s="48"/>
      <c r="V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9"/>
      <c r="N668" s="49"/>
      <c r="O668" s="49"/>
      <c r="P668" s="48"/>
      <c r="Q668" s="48"/>
      <c r="R668" s="48"/>
      <c r="S668" s="48"/>
      <c r="T668" s="48"/>
      <c r="U668" s="48"/>
      <c r="V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9"/>
      <c r="N669" s="49"/>
      <c r="O669" s="49"/>
      <c r="P669" s="48"/>
      <c r="Q669" s="48"/>
      <c r="R669" s="48"/>
      <c r="S669" s="48"/>
      <c r="T669" s="48"/>
      <c r="U669" s="48"/>
      <c r="V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9"/>
      <c r="N670" s="49"/>
      <c r="O670" s="49"/>
      <c r="P670" s="48"/>
      <c r="Q670" s="48"/>
      <c r="R670" s="48"/>
      <c r="S670" s="48"/>
      <c r="T670" s="48"/>
      <c r="U670" s="48"/>
      <c r="V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9"/>
      <c r="N671" s="49"/>
      <c r="O671" s="49"/>
      <c r="P671" s="48"/>
      <c r="Q671" s="48"/>
      <c r="R671" s="48"/>
      <c r="S671" s="48"/>
      <c r="T671" s="48"/>
      <c r="U671" s="48"/>
      <c r="V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9"/>
      <c r="N672" s="49"/>
      <c r="O672" s="49"/>
      <c r="P672" s="48"/>
      <c r="Q672" s="48"/>
      <c r="R672" s="48"/>
      <c r="S672" s="48"/>
      <c r="T672" s="48"/>
      <c r="U672" s="48"/>
      <c r="V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9"/>
      <c r="N673" s="49"/>
      <c r="O673" s="49"/>
      <c r="P673" s="48"/>
      <c r="Q673" s="48"/>
      <c r="R673" s="48"/>
      <c r="S673" s="48"/>
      <c r="T673" s="48"/>
      <c r="U673" s="48"/>
      <c r="V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9"/>
      <c r="N674" s="49"/>
      <c r="O674" s="49"/>
      <c r="P674" s="48"/>
      <c r="Q674" s="48"/>
      <c r="R674" s="48"/>
      <c r="S674" s="48"/>
      <c r="T674" s="48"/>
      <c r="U674" s="48"/>
      <c r="V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9"/>
      <c r="N675" s="49"/>
      <c r="O675" s="49"/>
      <c r="P675" s="48"/>
      <c r="Q675" s="48"/>
      <c r="R675" s="48"/>
      <c r="S675" s="48"/>
      <c r="T675" s="48"/>
      <c r="U675" s="48"/>
      <c r="V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9"/>
      <c r="N676" s="49"/>
      <c r="O676" s="49"/>
      <c r="P676" s="48"/>
      <c r="Q676" s="48"/>
      <c r="R676" s="48"/>
      <c r="S676" s="48"/>
      <c r="T676" s="48"/>
      <c r="U676" s="48"/>
      <c r="V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9"/>
      <c r="N677" s="49"/>
      <c r="O677" s="49"/>
      <c r="P677" s="48"/>
      <c r="Q677" s="48"/>
      <c r="R677" s="48"/>
      <c r="S677" s="48"/>
      <c r="T677" s="48"/>
      <c r="U677" s="48"/>
      <c r="V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9"/>
      <c r="N678" s="49"/>
      <c r="O678" s="49"/>
      <c r="P678" s="48"/>
      <c r="Q678" s="48"/>
      <c r="R678" s="48"/>
      <c r="S678" s="48"/>
      <c r="T678" s="48"/>
      <c r="U678" s="48"/>
      <c r="V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9"/>
      <c r="N679" s="49"/>
      <c r="O679" s="49"/>
      <c r="P679" s="48"/>
      <c r="Q679" s="48"/>
      <c r="R679" s="48"/>
      <c r="S679" s="48"/>
      <c r="T679" s="48"/>
      <c r="U679" s="48"/>
      <c r="V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9"/>
      <c r="N680" s="49"/>
      <c r="O680" s="49"/>
      <c r="P680" s="48"/>
      <c r="Q680" s="48"/>
      <c r="R680" s="48"/>
      <c r="S680" s="48"/>
      <c r="T680" s="48"/>
      <c r="U680" s="48"/>
      <c r="V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9"/>
      <c r="N681" s="49"/>
      <c r="O681" s="49"/>
      <c r="P681" s="48"/>
      <c r="Q681" s="48"/>
      <c r="R681" s="48"/>
      <c r="S681" s="48"/>
      <c r="T681" s="48"/>
      <c r="U681" s="48"/>
      <c r="V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9"/>
      <c r="N682" s="49"/>
      <c r="O682" s="49"/>
      <c r="P682" s="48"/>
      <c r="Q682" s="48"/>
      <c r="R682" s="48"/>
      <c r="S682" s="48"/>
      <c r="T682" s="48"/>
      <c r="U682" s="48"/>
      <c r="V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9"/>
      <c r="N683" s="49"/>
      <c r="O683" s="49"/>
      <c r="P683" s="48"/>
      <c r="Q683" s="48"/>
      <c r="R683" s="48"/>
      <c r="S683" s="48"/>
      <c r="T683" s="48"/>
      <c r="U683" s="48"/>
      <c r="V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9"/>
      <c r="N684" s="49"/>
      <c r="O684" s="49"/>
      <c r="P684" s="48"/>
      <c r="Q684" s="48"/>
      <c r="R684" s="48"/>
      <c r="S684" s="48"/>
      <c r="T684" s="48"/>
      <c r="U684" s="48"/>
      <c r="V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9"/>
      <c r="N685" s="49"/>
      <c r="O685" s="49"/>
      <c r="P685" s="48"/>
      <c r="Q685" s="48"/>
      <c r="R685" s="48"/>
      <c r="S685" s="48"/>
      <c r="T685" s="48"/>
      <c r="U685" s="48"/>
      <c r="V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9"/>
      <c r="N686" s="49"/>
      <c r="O686" s="49"/>
      <c r="P686" s="48"/>
      <c r="Q686" s="48"/>
      <c r="R686" s="48"/>
      <c r="S686" s="48"/>
      <c r="T686" s="48"/>
      <c r="U686" s="48"/>
      <c r="V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9"/>
      <c r="N687" s="49"/>
      <c r="O687" s="49"/>
      <c r="P687" s="48"/>
      <c r="Q687" s="48"/>
      <c r="R687" s="48"/>
      <c r="S687" s="48"/>
      <c r="T687" s="48"/>
      <c r="U687" s="48"/>
      <c r="V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9"/>
      <c r="N688" s="49"/>
      <c r="O688" s="49"/>
      <c r="P688" s="48"/>
      <c r="Q688" s="48"/>
      <c r="R688" s="48"/>
      <c r="S688" s="48"/>
      <c r="T688" s="48"/>
      <c r="U688" s="48"/>
      <c r="V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9"/>
      <c r="N689" s="49"/>
      <c r="O689" s="49"/>
      <c r="P689" s="48"/>
      <c r="Q689" s="48"/>
      <c r="R689" s="48"/>
      <c r="S689" s="48"/>
      <c r="T689" s="48"/>
      <c r="U689" s="48"/>
      <c r="V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9"/>
      <c r="N690" s="49"/>
      <c r="O690" s="49"/>
      <c r="P690" s="48"/>
      <c r="Q690" s="48"/>
      <c r="R690" s="48"/>
      <c r="S690" s="48"/>
      <c r="T690" s="48"/>
      <c r="U690" s="48"/>
      <c r="V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9"/>
      <c r="N691" s="49"/>
      <c r="O691" s="49"/>
      <c r="P691" s="48"/>
      <c r="Q691" s="48"/>
      <c r="R691" s="48"/>
      <c r="S691" s="48"/>
      <c r="T691" s="48"/>
      <c r="U691" s="48"/>
      <c r="V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9"/>
      <c r="N692" s="49"/>
      <c r="O692" s="49"/>
      <c r="P692" s="48"/>
      <c r="Q692" s="48"/>
      <c r="R692" s="48"/>
      <c r="S692" s="48"/>
      <c r="T692" s="48"/>
      <c r="U692" s="48"/>
      <c r="V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9"/>
      <c r="N693" s="49"/>
      <c r="O693" s="49"/>
      <c r="P693" s="48"/>
      <c r="Q693" s="48"/>
      <c r="R693" s="48"/>
      <c r="S693" s="48"/>
      <c r="T693" s="48"/>
      <c r="U693" s="48"/>
      <c r="V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9"/>
      <c r="N694" s="49"/>
      <c r="O694" s="49"/>
      <c r="P694" s="48"/>
      <c r="Q694" s="48"/>
      <c r="R694" s="48"/>
      <c r="S694" s="48"/>
      <c r="T694" s="48"/>
      <c r="U694" s="48"/>
      <c r="V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9"/>
      <c r="N695" s="49"/>
      <c r="O695" s="49"/>
      <c r="P695" s="48"/>
      <c r="Q695" s="48"/>
      <c r="R695" s="48"/>
      <c r="S695" s="48"/>
      <c r="T695" s="48"/>
      <c r="U695" s="48"/>
      <c r="V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9"/>
      <c r="N696" s="49"/>
      <c r="O696" s="49"/>
      <c r="P696" s="48"/>
      <c r="Q696" s="48"/>
      <c r="R696" s="48"/>
      <c r="S696" s="48"/>
      <c r="T696" s="48"/>
      <c r="U696" s="48"/>
      <c r="V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9"/>
      <c r="N697" s="49"/>
      <c r="O697" s="49"/>
      <c r="P697" s="48"/>
      <c r="Q697" s="48"/>
      <c r="R697" s="48"/>
      <c r="S697" s="48"/>
      <c r="T697" s="48"/>
      <c r="U697" s="48"/>
      <c r="V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9"/>
      <c r="N698" s="49"/>
      <c r="O698" s="49"/>
      <c r="P698" s="48"/>
      <c r="Q698" s="48"/>
      <c r="R698" s="48"/>
      <c r="S698" s="48"/>
      <c r="T698" s="48"/>
      <c r="U698" s="48"/>
      <c r="V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9"/>
      <c r="N699" s="49"/>
      <c r="O699" s="49"/>
      <c r="P699" s="48"/>
      <c r="Q699" s="48"/>
      <c r="R699" s="48"/>
      <c r="S699" s="48"/>
      <c r="T699" s="48"/>
      <c r="U699" s="48"/>
      <c r="V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9"/>
      <c r="N700" s="49"/>
      <c r="O700" s="49"/>
      <c r="P700" s="48"/>
      <c r="Q700" s="48"/>
      <c r="R700" s="48"/>
      <c r="S700" s="48"/>
      <c r="T700" s="48"/>
      <c r="U700" s="48"/>
      <c r="V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9"/>
      <c r="N701" s="49"/>
      <c r="O701" s="49"/>
      <c r="P701" s="48"/>
      <c r="Q701" s="48"/>
      <c r="R701" s="48"/>
      <c r="S701" s="48"/>
      <c r="T701" s="48"/>
      <c r="U701" s="48"/>
      <c r="V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9"/>
      <c r="N702" s="49"/>
      <c r="O702" s="49"/>
      <c r="P702" s="48"/>
      <c r="Q702" s="48"/>
      <c r="R702" s="48"/>
      <c r="S702" s="48"/>
      <c r="T702" s="48"/>
      <c r="U702" s="48"/>
      <c r="V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9"/>
      <c r="N703" s="49"/>
      <c r="O703" s="49"/>
      <c r="P703" s="48"/>
      <c r="Q703" s="48"/>
      <c r="R703" s="48"/>
      <c r="S703" s="48"/>
      <c r="T703" s="48"/>
      <c r="U703" s="48"/>
      <c r="V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9"/>
      <c r="N704" s="49"/>
      <c r="O704" s="49"/>
      <c r="P704" s="48"/>
      <c r="Q704" s="48"/>
      <c r="R704" s="48"/>
      <c r="S704" s="48"/>
      <c r="T704" s="48"/>
      <c r="U704" s="48"/>
      <c r="V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9"/>
      <c r="N705" s="49"/>
      <c r="O705" s="49"/>
      <c r="P705" s="48"/>
      <c r="Q705" s="48"/>
      <c r="R705" s="48"/>
      <c r="S705" s="48"/>
      <c r="T705" s="48"/>
      <c r="U705" s="48"/>
      <c r="V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9"/>
      <c r="N706" s="49"/>
      <c r="O706" s="49"/>
      <c r="P706" s="48"/>
      <c r="Q706" s="48"/>
      <c r="R706" s="48"/>
      <c r="S706" s="48"/>
      <c r="T706" s="48"/>
      <c r="U706" s="48"/>
      <c r="V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9"/>
      <c r="N707" s="49"/>
      <c r="O707" s="49"/>
      <c r="P707" s="48"/>
      <c r="Q707" s="48"/>
      <c r="R707" s="48"/>
      <c r="S707" s="48"/>
      <c r="T707" s="48"/>
      <c r="U707" s="48"/>
      <c r="V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9"/>
      <c r="N708" s="49"/>
      <c r="O708" s="49"/>
      <c r="P708" s="48"/>
      <c r="Q708" s="48"/>
      <c r="R708" s="48"/>
      <c r="S708" s="48"/>
      <c r="T708" s="48"/>
      <c r="U708" s="48"/>
      <c r="V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9"/>
      <c r="N709" s="49"/>
      <c r="O709" s="49"/>
      <c r="P709" s="48"/>
      <c r="Q709" s="48"/>
      <c r="R709" s="48"/>
      <c r="S709" s="48"/>
      <c r="T709" s="48"/>
      <c r="U709" s="48"/>
      <c r="V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9"/>
      <c r="N710" s="49"/>
      <c r="O710" s="49"/>
      <c r="P710" s="48"/>
      <c r="Q710" s="48"/>
      <c r="R710" s="48"/>
      <c r="S710" s="48"/>
      <c r="T710" s="48"/>
      <c r="U710" s="48"/>
      <c r="V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9"/>
      <c r="N711" s="49"/>
      <c r="O711" s="49"/>
      <c r="P711" s="48"/>
      <c r="Q711" s="48"/>
      <c r="R711" s="48"/>
      <c r="S711" s="48"/>
      <c r="T711" s="48"/>
      <c r="U711" s="48"/>
      <c r="V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9"/>
      <c r="N712" s="49"/>
      <c r="O712" s="49"/>
      <c r="P712" s="48"/>
      <c r="Q712" s="48"/>
      <c r="R712" s="48"/>
      <c r="S712" s="48"/>
      <c r="T712" s="48"/>
      <c r="U712" s="48"/>
      <c r="V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9"/>
      <c r="N713" s="49"/>
      <c r="O713" s="49"/>
      <c r="P713" s="48"/>
      <c r="Q713" s="48"/>
      <c r="R713" s="48"/>
      <c r="S713" s="48"/>
      <c r="T713" s="48"/>
      <c r="U713" s="48"/>
      <c r="V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9"/>
      <c r="N714" s="49"/>
      <c r="O714" s="49"/>
      <c r="P714" s="48"/>
      <c r="Q714" s="48"/>
      <c r="R714" s="48"/>
      <c r="S714" s="48"/>
      <c r="T714" s="48"/>
      <c r="U714" s="48"/>
      <c r="V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9"/>
      <c r="N715" s="49"/>
      <c r="O715" s="49"/>
      <c r="P715" s="48"/>
      <c r="Q715" s="48"/>
      <c r="R715" s="48"/>
      <c r="S715" s="48"/>
      <c r="T715" s="48"/>
      <c r="U715" s="48"/>
      <c r="V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9"/>
      <c r="N716" s="49"/>
      <c r="O716" s="49"/>
      <c r="P716" s="48"/>
      <c r="Q716" s="48"/>
      <c r="R716" s="48"/>
      <c r="S716" s="48"/>
      <c r="T716" s="48"/>
      <c r="U716" s="48"/>
      <c r="V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9"/>
      <c r="N717" s="49"/>
      <c r="O717" s="49"/>
      <c r="P717" s="48"/>
      <c r="Q717" s="48"/>
      <c r="R717" s="48"/>
      <c r="S717" s="48"/>
      <c r="T717" s="48"/>
      <c r="U717" s="48"/>
      <c r="V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9"/>
      <c r="N718" s="49"/>
      <c r="O718" s="49"/>
      <c r="P718" s="48"/>
      <c r="Q718" s="48"/>
      <c r="R718" s="48"/>
      <c r="S718" s="48"/>
      <c r="T718" s="48"/>
      <c r="U718" s="48"/>
      <c r="V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9"/>
      <c r="N719" s="49"/>
      <c r="O719" s="49"/>
      <c r="P719" s="48"/>
      <c r="Q719" s="48"/>
      <c r="R719" s="48"/>
      <c r="S719" s="48"/>
      <c r="T719" s="48"/>
      <c r="U719" s="48"/>
      <c r="V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9"/>
      <c r="N720" s="49"/>
      <c r="O720" s="49"/>
      <c r="P720" s="48"/>
      <c r="Q720" s="48"/>
      <c r="R720" s="48"/>
      <c r="S720" s="48"/>
      <c r="T720" s="48"/>
      <c r="U720" s="48"/>
      <c r="V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9"/>
      <c r="N721" s="49"/>
      <c r="O721" s="49"/>
      <c r="P721" s="48"/>
      <c r="Q721" s="48"/>
      <c r="R721" s="48"/>
      <c r="S721" s="48"/>
      <c r="T721" s="48"/>
      <c r="U721" s="48"/>
      <c r="V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9"/>
      <c r="N722" s="49"/>
      <c r="O722" s="49"/>
      <c r="P722" s="48"/>
      <c r="Q722" s="48"/>
      <c r="R722" s="48"/>
      <c r="S722" s="48"/>
      <c r="T722" s="48"/>
      <c r="U722" s="48"/>
      <c r="V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9"/>
      <c r="N723" s="49"/>
      <c r="O723" s="49"/>
      <c r="P723" s="48"/>
      <c r="Q723" s="48"/>
      <c r="R723" s="48"/>
      <c r="S723" s="48"/>
      <c r="T723" s="48"/>
      <c r="U723" s="48"/>
      <c r="V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9"/>
      <c r="N724" s="49"/>
      <c r="O724" s="49"/>
      <c r="P724" s="48"/>
      <c r="Q724" s="48"/>
      <c r="R724" s="48"/>
      <c r="S724" s="48"/>
      <c r="T724" s="48"/>
      <c r="U724" s="48"/>
      <c r="V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9"/>
      <c r="N725" s="49"/>
      <c r="O725" s="49"/>
      <c r="P725" s="48"/>
      <c r="Q725" s="48"/>
      <c r="R725" s="48"/>
      <c r="S725" s="48"/>
      <c r="T725" s="48"/>
      <c r="U725" s="48"/>
      <c r="V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9"/>
      <c r="N726" s="49"/>
      <c r="O726" s="49"/>
      <c r="P726" s="48"/>
      <c r="Q726" s="48"/>
      <c r="R726" s="48"/>
      <c r="S726" s="48"/>
      <c r="T726" s="48"/>
      <c r="U726" s="48"/>
      <c r="V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9"/>
      <c r="N727" s="49"/>
      <c r="O727" s="49"/>
      <c r="P727" s="48"/>
      <c r="Q727" s="48"/>
      <c r="R727" s="48"/>
      <c r="S727" s="48"/>
      <c r="T727" s="48"/>
      <c r="U727" s="48"/>
      <c r="V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9"/>
      <c r="N728" s="49"/>
      <c r="O728" s="49"/>
      <c r="P728" s="48"/>
      <c r="Q728" s="48"/>
      <c r="R728" s="48"/>
      <c r="S728" s="48"/>
      <c r="T728" s="48"/>
      <c r="U728" s="48"/>
      <c r="V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9"/>
      <c r="N729" s="49"/>
      <c r="O729" s="49"/>
      <c r="P729" s="48"/>
      <c r="Q729" s="48"/>
      <c r="R729" s="48"/>
      <c r="S729" s="48"/>
      <c r="T729" s="48"/>
      <c r="U729" s="48"/>
      <c r="V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9"/>
      <c r="N730" s="49"/>
      <c r="O730" s="49"/>
      <c r="P730" s="48"/>
      <c r="Q730" s="48"/>
      <c r="R730" s="48"/>
      <c r="S730" s="48"/>
      <c r="T730" s="48"/>
      <c r="U730" s="48"/>
      <c r="V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9"/>
      <c r="N731" s="49"/>
      <c r="O731" s="49"/>
      <c r="P731" s="48"/>
      <c r="Q731" s="48"/>
      <c r="R731" s="48"/>
      <c r="S731" s="48"/>
      <c r="T731" s="48"/>
      <c r="U731" s="48"/>
      <c r="V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9"/>
      <c r="N732" s="49"/>
      <c r="O732" s="49"/>
      <c r="P732" s="48"/>
      <c r="Q732" s="48"/>
      <c r="R732" s="48"/>
      <c r="S732" s="48"/>
      <c r="T732" s="48"/>
      <c r="U732" s="48"/>
      <c r="V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9"/>
      <c r="N733" s="49"/>
      <c r="O733" s="49"/>
      <c r="P733" s="48"/>
      <c r="Q733" s="48"/>
      <c r="R733" s="48"/>
      <c r="S733" s="48"/>
      <c r="T733" s="48"/>
      <c r="U733" s="48"/>
      <c r="V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9"/>
      <c r="N734" s="49"/>
      <c r="O734" s="49"/>
      <c r="P734" s="48"/>
      <c r="Q734" s="48"/>
      <c r="R734" s="48"/>
      <c r="S734" s="48"/>
      <c r="T734" s="48"/>
      <c r="U734" s="48"/>
      <c r="V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9"/>
      <c r="N735" s="49"/>
      <c r="O735" s="49"/>
      <c r="P735" s="48"/>
      <c r="Q735" s="48"/>
      <c r="R735" s="48"/>
      <c r="S735" s="48"/>
      <c r="T735" s="48"/>
      <c r="U735" s="48"/>
      <c r="V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9"/>
      <c r="N736" s="49"/>
      <c r="O736" s="49"/>
      <c r="P736" s="48"/>
      <c r="Q736" s="48"/>
      <c r="R736" s="48"/>
      <c r="S736" s="48"/>
      <c r="T736" s="48"/>
      <c r="U736" s="48"/>
      <c r="V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9"/>
      <c r="N737" s="49"/>
      <c r="O737" s="49"/>
      <c r="P737" s="48"/>
      <c r="Q737" s="48"/>
      <c r="R737" s="48"/>
      <c r="S737" s="48"/>
      <c r="T737" s="48"/>
      <c r="U737" s="48"/>
      <c r="V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9"/>
      <c r="N738" s="49"/>
      <c r="O738" s="49"/>
      <c r="P738" s="48"/>
      <c r="Q738" s="48"/>
      <c r="R738" s="48"/>
      <c r="S738" s="48"/>
      <c r="T738" s="48"/>
      <c r="U738" s="48"/>
      <c r="V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9"/>
      <c r="N739" s="49"/>
      <c r="O739" s="49"/>
      <c r="P739" s="48"/>
      <c r="Q739" s="48"/>
      <c r="R739" s="48"/>
      <c r="S739" s="48"/>
      <c r="T739" s="48"/>
      <c r="U739" s="48"/>
      <c r="V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9"/>
      <c r="N740" s="49"/>
      <c r="O740" s="49"/>
      <c r="P740" s="48"/>
      <c r="Q740" s="48"/>
      <c r="R740" s="48"/>
      <c r="S740" s="48"/>
      <c r="T740" s="48"/>
      <c r="U740" s="48"/>
      <c r="V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9"/>
      <c r="N741" s="49"/>
      <c r="O741" s="49"/>
      <c r="P741" s="48"/>
      <c r="Q741" s="48"/>
      <c r="R741" s="48"/>
      <c r="S741" s="48"/>
      <c r="T741" s="48"/>
      <c r="U741" s="48"/>
      <c r="V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9"/>
      <c r="N742" s="49"/>
      <c r="O742" s="49"/>
      <c r="P742" s="48"/>
      <c r="Q742" s="48"/>
      <c r="R742" s="48"/>
      <c r="S742" s="48"/>
      <c r="T742" s="48"/>
      <c r="U742" s="48"/>
      <c r="V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9"/>
      <c r="N743" s="49"/>
      <c r="O743" s="49"/>
      <c r="P743" s="48"/>
      <c r="Q743" s="48"/>
      <c r="R743" s="48"/>
      <c r="S743" s="48"/>
      <c r="T743" s="48"/>
      <c r="U743" s="48"/>
      <c r="V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9"/>
      <c r="N744" s="49"/>
      <c r="O744" s="49"/>
      <c r="P744" s="48"/>
      <c r="Q744" s="48"/>
      <c r="R744" s="48"/>
      <c r="S744" s="48"/>
      <c r="T744" s="48"/>
      <c r="U744" s="48"/>
      <c r="V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9"/>
      <c r="N745" s="49"/>
      <c r="O745" s="49"/>
      <c r="P745" s="48"/>
      <c r="Q745" s="48"/>
      <c r="R745" s="48"/>
      <c r="S745" s="48"/>
      <c r="T745" s="48"/>
      <c r="U745" s="48"/>
      <c r="V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9"/>
      <c r="N746" s="49"/>
      <c r="O746" s="49"/>
      <c r="P746" s="48"/>
      <c r="Q746" s="48"/>
      <c r="R746" s="48"/>
      <c r="S746" s="48"/>
      <c r="T746" s="48"/>
      <c r="U746" s="48"/>
      <c r="V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9"/>
      <c r="N747" s="49"/>
      <c r="O747" s="49"/>
      <c r="P747" s="48"/>
      <c r="Q747" s="48"/>
      <c r="R747" s="48"/>
      <c r="S747" s="48"/>
      <c r="T747" s="48"/>
      <c r="U747" s="48"/>
      <c r="V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9"/>
      <c r="N748" s="49"/>
      <c r="O748" s="49"/>
      <c r="P748" s="48"/>
      <c r="Q748" s="48"/>
      <c r="R748" s="48"/>
      <c r="S748" s="48"/>
      <c r="T748" s="48"/>
      <c r="U748" s="48"/>
      <c r="V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9"/>
      <c r="N749" s="49"/>
      <c r="O749" s="49"/>
      <c r="P749" s="48"/>
      <c r="Q749" s="48"/>
      <c r="R749" s="48"/>
      <c r="S749" s="48"/>
      <c r="T749" s="48"/>
      <c r="U749" s="48"/>
      <c r="V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9"/>
      <c r="N750" s="49"/>
      <c r="O750" s="49"/>
      <c r="P750" s="48"/>
      <c r="Q750" s="48"/>
      <c r="R750" s="48"/>
      <c r="S750" s="48"/>
      <c r="T750" s="48"/>
      <c r="U750" s="48"/>
      <c r="V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9"/>
      <c r="N751" s="49"/>
      <c r="O751" s="49"/>
      <c r="P751" s="48"/>
      <c r="Q751" s="48"/>
      <c r="R751" s="48"/>
      <c r="S751" s="48"/>
      <c r="T751" s="48"/>
      <c r="U751" s="48"/>
      <c r="V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9"/>
      <c r="N752" s="49"/>
      <c r="O752" s="49"/>
      <c r="P752" s="48"/>
      <c r="Q752" s="48"/>
      <c r="R752" s="48"/>
      <c r="S752" s="48"/>
      <c r="T752" s="48"/>
      <c r="U752" s="48"/>
      <c r="V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9"/>
      <c r="N753" s="49"/>
      <c r="O753" s="49"/>
      <c r="P753" s="48"/>
      <c r="Q753" s="48"/>
      <c r="R753" s="48"/>
      <c r="S753" s="48"/>
      <c r="T753" s="48"/>
      <c r="U753" s="48"/>
      <c r="V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9"/>
      <c r="N754" s="49"/>
      <c r="O754" s="49"/>
      <c r="P754" s="48"/>
      <c r="Q754" s="48"/>
      <c r="R754" s="48"/>
      <c r="S754" s="48"/>
      <c r="T754" s="48"/>
      <c r="U754" s="48"/>
      <c r="V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9"/>
      <c r="N755" s="49"/>
      <c r="O755" s="49"/>
      <c r="P755" s="48"/>
      <c r="Q755" s="48"/>
      <c r="R755" s="48"/>
      <c r="S755" s="48"/>
      <c r="T755" s="48"/>
      <c r="U755" s="48"/>
      <c r="V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9"/>
      <c r="N756" s="49"/>
      <c r="O756" s="49"/>
      <c r="P756" s="48"/>
      <c r="Q756" s="48"/>
      <c r="R756" s="48"/>
      <c r="S756" s="48"/>
      <c r="T756" s="48"/>
      <c r="U756" s="48"/>
      <c r="V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9"/>
      <c r="N757" s="49"/>
      <c r="O757" s="49"/>
      <c r="P757" s="48"/>
      <c r="Q757" s="48"/>
      <c r="R757" s="48"/>
      <c r="S757" s="48"/>
      <c r="T757" s="48"/>
      <c r="U757" s="48"/>
      <c r="V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9"/>
      <c r="N758" s="49"/>
      <c r="O758" s="49"/>
      <c r="P758" s="48"/>
      <c r="Q758" s="48"/>
      <c r="R758" s="48"/>
      <c r="S758" s="48"/>
      <c r="T758" s="48"/>
      <c r="U758" s="48"/>
      <c r="V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9"/>
      <c r="N759" s="49"/>
      <c r="O759" s="49"/>
      <c r="P759" s="48"/>
      <c r="Q759" s="48"/>
      <c r="R759" s="48"/>
      <c r="S759" s="48"/>
      <c r="T759" s="48"/>
      <c r="U759" s="48"/>
      <c r="V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9"/>
      <c r="N760" s="49"/>
      <c r="O760" s="49"/>
      <c r="P760" s="48"/>
      <c r="Q760" s="48"/>
      <c r="R760" s="48"/>
      <c r="S760" s="48"/>
      <c r="T760" s="48"/>
      <c r="U760" s="48"/>
      <c r="V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9"/>
      <c r="N761" s="49"/>
      <c r="O761" s="49"/>
      <c r="P761" s="48"/>
      <c r="Q761" s="48"/>
      <c r="R761" s="48"/>
      <c r="S761" s="48"/>
      <c r="T761" s="48"/>
      <c r="U761" s="48"/>
      <c r="V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9"/>
      <c r="N762" s="49"/>
      <c r="O762" s="49"/>
      <c r="P762" s="48"/>
      <c r="Q762" s="48"/>
      <c r="R762" s="48"/>
      <c r="S762" s="48"/>
      <c r="T762" s="48"/>
      <c r="U762" s="48"/>
      <c r="V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9"/>
      <c r="N763" s="49"/>
      <c r="O763" s="49"/>
      <c r="P763" s="48"/>
      <c r="Q763" s="48"/>
      <c r="R763" s="48"/>
      <c r="S763" s="48"/>
      <c r="T763" s="48"/>
      <c r="U763" s="48"/>
      <c r="V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9"/>
      <c r="N764" s="49"/>
      <c r="O764" s="49"/>
      <c r="P764" s="48"/>
      <c r="Q764" s="48"/>
      <c r="R764" s="48"/>
      <c r="S764" s="48"/>
      <c r="T764" s="48"/>
      <c r="U764" s="48"/>
      <c r="V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9"/>
      <c r="N765" s="49"/>
      <c r="O765" s="49"/>
      <c r="P765" s="48"/>
      <c r="Q765" s="48"/>
      <c r="R765" s="48"/>
      <c r="S765" s="48"/>
      <c r="T765" s="48"/>
      <c r="U765" s="48"/>
      <c r="V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9"/>
      <c r="N766" s="49"/>
      <c r="O766" s="49"/>
      <c r="P766" s="48"/>
      <c r="Q766" s="48"/>
      <c r="R766" s="48"/>
      <c r="S766" s="48"/>
      <c r="T766" s="48"/>
      <c r="U766" s="48"/>
      <c r="V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9"/>
      <c r="N767" s="49"/>
      <c r="O767" s="49"/>
      <c r="P767" s="48"/>
      <c r="Q767" s="48"/>
      <c r="R767" s="48"/>
      <c r="S767" s="48"/>
      <c r="T767" s="48"/>
      <c r="U767" s="48"/>
      <c r="V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9"/>
      <c r="N768" s="49"/>
      <c r="O768" s="49"/>
      <c r="P768" s="48"/>
      <c r="Q768" s="48"/>
      <c r="R768" s="48"/>
      <c r="S768" s="48"/>
      <c r="T768" s="48"/>
      <c r="U768" s="48"/>
      <c r="V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9"/>
      <c r="N769" s="49"/>
      <c r="O769" s="49"/>
      <c r="P769" s="48"/>
      <c r="Q769" s="48"/>
      <c r="R769" s="48"/>
      <c r="S769" s="48"/>
      <c r="T769" s="48"/>
      <c r="U769" s="48"/>
      <c r="V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9"/>
      <c r="N770" s="49"/>
      <c r="O770" s="49"/>
      <c r="P770" s="48"/>
      <c r="Q770" s="48"/>
      <c r="R770" s="48"/>
      <c r="S770" s="48"/>
      <c r="T770" s="48"/>
      <c r="U770" s="48"/>
      <c r="V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9"/>
      <c r="N771" s="49"/>
      <c r="O771" s="49"/>
      <c r="P771" s="48"/>
      <c r="Q771" s="48"/>
      <c r="R771" s="48"/>
      <c r="S771" s="48"/>
      <c r="T771" s="48"/>
      <c r="U771" s="48"/>
      <c r="V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9"/>
      <c r="N772" s="49"/>
      <c r="O772" s="49"/>
      <c r="P772" s="48"/>
      <c r="Q772" s="48"/>
      <c r="R772" s="48"/>
      <c r="S772" s="48"/>
      <c r="T772" s="48"/>
      <c r="U772" s="48"/>
      <c r="V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9"/>
      <c r="N773" s="49"/>
      <c r="O773" s="49"/>
      <c r="P773" s="48"/>
      <c r="Q773" s="48"/>
      <c r="R773" s="48"/>
      <c r="S773" s="48"/>
      <c r="T773" s="48"/>
      <c r="U773" s="48"/>
      <c r="V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9"/>
      <c r="N774" s="49"/>
      <c r="O774" s="49"/>
      <c r="P774" s="48"/>
      <c r="Q774" s="48"/>
      <c r="R774" s="48"/>
      <c r="S774" s="48"/>
      <c r="T774" s="48"/>
      <c r="U774" s="48"/>
      <c r="V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9"/>
      <c r="N775" s="49"/>
      <c r="O775" s="49"/>
      <c r="P775" s="48"/>
      <c r="Q775" s="48"/>
      <c r="R775" s="48"/>
      <c r="S775" s="48"/>
      <c r="T775" s="48"/>
      <c r="U775" s="48"/>
      <c r="V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9"/>
      <c r="N776" s="49"/>
      <c r="O776" s="49"/>
      <c r="P776" s="48"/>
      <c r="Q776" s="48"/>
      <c r="R776" s="48"/>
      <c r="S776" s="48"/>
      <c r="T776" s="48"/>
      <c r="U776" s="48"/>
      <c r="V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9"/>
      <c r="N777" s="49"/>
      <c r="O777" s="49"/>
      <c r="P777" s="48"/>
      <c r="Q777" s="48"/>
      <c r="R777" s="48"/>
      <c r="S777" s="48"/>
      <c r="T777" s="48"/>
      <c r="U777" s="48"/>
      <c r="V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9"/>
      <c r="N778" s="49"/>
      <c r="O778" s="49"/>
      <c r="P778" s="48"/>
      <c r="Q778" s="48"/>
      <c r="R778" s="48"/>
      <c r="S778" s="48"/>
      <c r="T778" s="48"/>
      <c r="U778" s="48"/>
      <c r="V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9"/>
      <c r="N779" s="49"/>
      <c r="O779" s="49"/>
      <c r="P779" s="48"/>
      <c r="Q779" s="48"/>
      <c r="R779" s="48"/>
      <c r="S779" s="48"/>
      <c r="T779" s="48"/>
      <c r="U779" s="48"/>
      <c r="V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9"/>
      <c r="N780" s="49"/>
      <c r="O780" s="49"/>
      <c r="P780" s="48"/>
      <c r="Q780" s="48"/>
      <c r="R780" s="48"/>
      <c r="S780" s="48"/>
      <c r="T780" s="48"/>
      <c r="U780" s="48"/>
      <c r="V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9"/>
      <c r="N781" s="49"/>
      <c r="O781" s="49"/>
      <c r="P781" s="48"/>
      <c r="Q781" s="48"/>
      <c r="R781" s="48"/>
      <c r="S781" s="48"/>
      <c r="T781" s="48"/>
      <c r="U781" s="48"/>
      <c r="V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9"/>
      <c r="N782" s="49"/>
      <c r="O782" s="49"/>
      <c r="P782" s="48"/>
      <c r="Q782" s="48"/>
      <c r="R782" s="48"/>
      <c r="S782" s="48"/>
      <c r="T782" s="48"/>
      <c r="U782" s="48"/>
      <c r="V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9"/>
      <c r="N783" s="49"/>
      <c r="O783" s="49"/>
      <c r="P783" s="48"/>
      <c r="Q783" s="48"/>
      <c r="R783" s="48"/>
      <c r="S783" s="48"/>
      <c r="T783" s="48"/>
      <c r="U783" s="48"/>
      <c r="V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9"/>
      <c r="N784" s="49"/>
      <c r="O784" s="49"/>
      <c r="P784" s="48"/>
      <c r="Q784" s="48"/>
      <c r="R784" s="48"/>
      <c r="S784" s="48"/>
      <c r="T784" s="48"/>
      <c r="U784" s="48"/>
      <c r="V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9"/>
      <c r="N785" s="49"/>
      <c r="O785" s="49"/>
      <c r="P785" s="48"/>
      <c r="Q785" s="48"/>
      <c r="R785" s="48"/>
      <c r="S785" s="48"/>
      <c r="T785" s="48"/>
      <c r="U785" s="48"/>
      <c r="V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9"/>
      <c r="N786" s="49"/>
      <c r="O786" s="49"/>
      <c r="P786" s="48"/>
      <c r="Q786" s="48"/>
      <c r="R786" s="48"/>
      <c r="S786" s="48"/>
      <c r="T786" s="48"/>
      <c r="U786" s="48"/>
      <c r="V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9"/>
      <c r="N787" s="49"/>
      <c r="O787" s="49"/>
      <c r="P787" s="48"/>
      <c r="Q787" s="48"/>
      <c r="R787" s="48"/>
      <c r="S787" s="48"/>
      <c r="T787" s="48"/>
      <c r="U787" s="48"/>
      <c r="V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9"/>
      <c r="N788" s="49"/>
      <c r="O788" s="49"/>
      <c r="P788" s="48"/>
      <c r="Q788" s="48"/>
      <c r="R788" s="48"/>
      <c r="S788" s="48"/>
      <c r="T788" s="48"/>
      <c r="U788" s="48"/>
      <c r="V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9"/>
      <c r="N789" s="49"/>
      <c r="O789" s="49"/>
      <c r="P789" s="48"/>
      <c r="Q789" s="48"/>
      <c r="R789" s="48"/>
      <c r="S789" s="48"/>
      <c r="T789" s="48"/>
      <c r="U789" s="48"/>
      <c r="V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9"/>
      <c r="N790" s="49"/>
      <c r="O790" s="49"/>
      <c r="P790" s="48"/>
      <c r="Q790" s="48"/>
      <c r="R790" s="48"/>
      <c r="S790" s="48"/>
      <c r="T790" s="48"/>
      <c r="U790" s="48"/>
      <c r="V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9"/>
      <c r="N791" s="49"/>
      <c r="O791" s="49"/>
      <c r="P791" s="48"/>
      <c r="Q791" s="48"/>
      <c r="R791" s="48"/>
      <c r="S791" s="48"/>
      <c r="T791" s="48"/>
      <c r="U791" s="48"/>
      <c r="V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9"/>
      <c r="N792" s="49"/>
      <c r="O792" s="49"/>
      <c r="P792" s="48"/>
      <c r="Q792" s="48"/>
      <c r="R792" s="48"/>
      <c r="S792" s="48"/>
      <c r="T792" s="48"/>
      <c r="U792" s="48"/>
      <c r="V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9"/>
      <c r="N793" s="49"/>
      <c r="O793" s="49"/>
      <c r="P793" s="48"/>
      <c r="Q793" s="48"/>
      <c r="R793" s="48"/>
      <c r="S793" s="48"/>
      <c r="T793" s="48"/>
      <c r="U793" s="48"/>
      <c r="V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9"/>
      <c r="N794" s="49"/>
      <c r="O794" s="49"/>
      <c r="P794" s="48"/>
      <c r="Q794" s="48"/>
      <c r="R794" s="48"/>
      <c r="S794" s="48"/>
      <c r="T794" s="48"/>
      <c r="U794" s="48"/>
      <c r="V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9"/>
      <c r="N795" s="49"/>
      <c r="O795" s="49"/>
      <c r="P795" s="48"/>
      <c r="Q795" s="48"/>
      <c r="R795" s="48"/>
      <c r="S795" s="48"/>
      <c r="T795" s="48"/>
      <c r="U795" s="48"/>
      <c r="V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9"/>
      <c r="N796" s="49"/>
      <c r="O796" s="49"/>
      <c r="P796" s="48"/>
      <c r="Q796" s="48"/>
      <c r="R796" s="48"/>
      <c r="S796" s="48"/>
      <c r="T796" s="48"/>
      <c r="U796" s="48"/>
      <c r="V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9"/>
      <c r="N797" s="49"/>
      <c r="O797" s="49"/>
      <c r="P797" s="48"/>
      <c r="Q797" s="48"/>
      <c r="R797" s="48"/>
      <c r="S797" s="48"/>
      <c r="T797" s="48"/>
      <c r="U797" s="48"/>
      <c r="V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9"/>
      <c r="N798" s="49"/>
      <c r="O798" s="49"/>
      <c r="P798" s="48"/>
      <c r="Q798" s="48"/>
      <c r="R798" s="48"/>
      <c r="S798" s="48"/>
      <c r="T798" s="48"/>
      <c r="U798" s="48"/>
      <c r="V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9"/>
      <c r="N799" s="49"/>
      <c r="O799" s="49"/>
      <c r="P799" s="48"/>
      <c r="Q799" s="48"/>
      <c r="R799" s="48"/>
      <c r="S799" s="48"/>
      <c r="T799" s="48"/>
      <c r="U799" s="48"/>
      <c r="V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9"/>
      <c r="N800" s="49"/>
      <c r="O800" s="49"/>
      <c r="P800" s="48"/>
      <c r="Q800" s="48"/>
      <c r="R800" s="48"/>
      <c r="S800" s="48"/>
      <c r="T800" s="48"/>
      <c r="U800" s="48"/>
      <c r="V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9"/>
      <c r="N801" s="49"/>
      <c r="O801" s="49"/>
      <c r="P801" s="48"/>
      <c r="Q801" s="48"/>
      <c r="R801" s="48"/>
      <c r="S801" s="48"/>
      <c r="T801" s="48"/>
      <c r="U801" s="48"/>
      <c r="V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9"/>
      <c r="N802" s="49"/>
      <c r="O802" s="49"/>
      <c r="P802" s="48"/>
      <c r="Q802" s="48"/>
      <c r="R802" s="48"/>
      <c r="S802" s="48"/>
      <c r="T802" s="48"/>
      <c r="U802" s="48"/>
      <c r="V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9"/>
      <c r="N803" s="49"/>
      <c r="O803" s="49"/>
      <c r="P803" s="48"/>
      <c r="Q803" s="48"/>
      <c r="R803" s="48"/>
      <c r="S803" s="48"/>
      <c r="T803" s="48"/>
      <c r="U803" s="48"/>
      <c r="V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9"/>
      <c r="N804" s="49"/>
      <c r="O804" s="49"/>
      <c r="P804" s="48"/>
      <c r="Q804" s="48"/>
      <c r="R804" s="48"/>
      <c r="S804" s="48"/>
      <c r="T804" s="48"/>
      <c r="U804" s="48"/>
      <c r="V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9"/>
      <c r="N805" s="49"/>
      <c r="O805" s="49"/>
      <c r="P805" s="48"/>
      <c r="Q805" s="48"/>
      <c r="R805" s="48"/>
      <c r="S805" s="48"/>
      <c r="T805" s="48"/>
      <c r="U805" s="48"/>
      <c r="V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9"/>
      <c r="N806" s="49"/>
      <c r="O806" s="49"/>
      <c r="P806" s="48"/>
      <c r="Q806" s="48"/>
      <c r="R806" s="48"/>
      <c r="S806" s="48"/>
      <c r="T806" s="48"/>
      <c r="U806" s="48"/>
      <c r="V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9"/>
      <c r="N807" s="49"/>
      <c r="O807" s="49"/>
      <c r="P807" s="48"/>
      <c r="Q807" s="48"/>
      <c r="R807" s="48"/>
      <c r="S807" s="48"/>
      <c r="T807" s="48"/>
      <c r="U807" s="48"/>
      <c r="V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9"/>
      <c r="N808" s="49"/>
      <c r="O808" s="49"/>
      <c r="P808" s="48"/>
      <c r="Q808" s="48"/>
      <c r="R808" s="48"/>
      <c r="S808" s="48"/>
      <c r="T808" s="48"/>
      <c r="U808" s="48"/>
      <c r="V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9"/>
      <c r="N809" s="49"/>
      <c r="O809" s="49"/>
      <c r="P809" s="48"/>
      <c r="Q809" s="48"/>
      <c r="R809" s="48"/>
      <c r="S809" s="48"/>
      <c r="T809" s="48"/>
      <c r="U809" s="48"/>
      <c r="V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9"/>
      <c r="N810" s="49"/>
      <c r="O810" s="49"/>
      <c r="P810" s="48"/>
      <c r="Q810" s="48"/>
      <c r="R810" s="48"/>
      <c r="S810" s="48"/>
      <c r="T810" s="48"/>
      <c r="U810" s="48"/>
      <c r="V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9"/>
      <c r="N811" s="49"/>
      <c r="O811" s="49"/>
      <c r="P811" s="48"/>
      <c r="Q811" s="48"/>
      <c r="R811" s="48"/>
      <c r="S811" s="48"/>
      <c r="T811" s="48"/>
      <c r="U811" s="48"/>
      <c r="V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9"/>
      <c r="N812" s="49"/>
      <c r="O812" s="49"/>
      <c r="P812" s="48"/>
      <c r="Q812" s="48"/>
      <c r="R812" s="48"/>
      <c r="S812" s="48"/>
      <c r="T812" s="48"/>
      <c r="U812" s="48"/>
      <c r="V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9"/>
      <c r="N813" s="49"/>
      <c r="O813" s="49"/>
      <c r="P813" s="48"/>
      <c r="Q813" s="48"/>
      <c r="R813" s="48"/>
      <c r="S813" s="48"/>
      <c r="T813" s="48"/>
      <c r="U813" s="48"/>
      <c r="V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9"/>
      <c r="N814" s="49"/>
      <c r="O814" s="49"/>
      <c r="P814" s="48"/>
      <c r="Q814" s="48"/>
      <c r="R814" s="48"/>
      <c r="S814" s="48"/>
      <c r="T814" s="48"/>
      <c r="U814" s="48"/>
      <c r="V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9"/>
      <c r="N815" s="49"/>
      <c r="O815" s="49"/>
      <c r="P815" s="48"/>
      <c r="Q815" s="48"/>
      <c r="R815" s="48"/>
      <c r="S815" s="48"/>
      <c r="T815" s="48"/>
      <c r="U815" s="48"/>
      <c r="V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9"/>
      <c r="N816" s="49"/>
      <c r="O816" s="49"/>
      <c r="P816" s="48"/>
      <c r="Q816" s="48"/>
      <c r="R816" s="48"/>
      <c r="S816" s="48"/>
      <c r="T816" s="48"/>
      <c r="U816" s="48"/>
      <c r="V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9"/>
      <c r="N817" s="49"/>
      <c r="O817" s="49"/>
      <c r="P817" s="48"/>
      <c r="Q817" s="48"/>
      <c r="R817" s="48"/>
      <c r="S817" s="48"/>
      <c r="T817" s="48"/>
      <c r="U817" s="48"/>
      <c r="V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9"/>
      <c r="N818" s="49"/>
      <c r="O818" s="49"/>
      <c r="P818" s="48"/>
      <c r="Q818" s="48"/>
      <c r="R818" s="48"/>
      <c r="S818" s="48"/>
      <c r="T818" s="48"/>
      <c r="U818" s="48"/>
      <c r="V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9"/>
      <c r="N819" s="49"/>
      <c r="O819" s="49"/>
      <c r="P819" s="48"/>
      <c r="Q819" s="48"/>
      <c r="R819" s="48"/>
      <c r="S819" s="48"/>
      <c r="T819" s="48"/>
      <c r="U819" s="48"/>
      <c r="V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9"/>
      <c r="N820" s="49"/>
      <c r="O820" s="49"/>
      <c r="P820" s="48"/>
      <c r="Q820" s="48"/>
      <c r="R820" s="48"/>
      <c r="S820" s="48"/>
      <c r="T820" s="48"/>
      <c r="U820" s="48"/>
      <c r="V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9"/>
      <c r="N821" s="49"/>
      <c r="O821" s="49"/>
      <c r="P821" s="48"/>
      <c r="Q821" s="48"/>
      <c r="R821" s="48"/>
      <c r="S821" s="48"/>
      <c r="T821" s="48"/>
      <c r="U821" s="48"/>
      <c r="V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9"/>
      <c r="N822" s="49"/>
      <c r="O822" s="49"/>
      <c r="P822" s="48"/>
      <c r="Q822" s="48"/>
      <c r="R822" s="48"/>
      <c r="S822" s="48"/>
      <c r="T822" s="48"/>
      <c r="U822" s="48"/>
      <c r="V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9"/>
      <c r="N823" s="49"/>
      <c r="O823" s="49"/>
      <c r="P823" s="48"/>
      <c r="Q823" s="48"/>
      <c r="R823" s="48"/>
      <c r="S823" s="48"/>
      <c r="T823" s="48"/>
      <c r="U823" s="48"/>
      <c r="V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9"/>
      <c r="N824" s="49"/>
      <c r="O824" s="49"/>
      <c r="P824" s="48"/>
      <c r="Q824" s="48"/>
      <c r="R824" s="48"/>
      <c r="S824" s="48"/>
      <c r="T824" s="48"/>
      <c r="U824" s="48"/>
      <c r="V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9"/>
      <c r="N825" s="49"/>
      <c r="O825" s="49"/>
      <c r="P825" s="48"/>
      <c r="Q825" s="48"/>
      <c r="R825" s="48"/>
      <c r="S825" s="48"/>
      <c r="T825" s="48"/>
      <c r="U825" s="48"/>
      <c r="V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9"/>
      <c r="N826" s="49"/>
      <c r="O826" s="49"/>
      <c r="P826" s="48"/>
      <c r="Q826" s="48"/>
      <c r="R826" s="48"/>
      <c r="S826" s="48"/>
      <c r="T826" s="48"/>
      <c r="U826" s="48"/>
      <c r="V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9"/>
      <c r="N827" s="49"/>
      <c r="O827" s="49"/>
      <c r="P827" s="48"/>
      <c r="Q827" s="48"/>
      <c r="R827" s="48"/>
      <c r="S827" s="48"/>
      <c r="T827" s="48"/>
      <c r="U827" s="48"/>
      <c r="V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9"/>
      <c r="N828" s="49"/>
      <c r="O828" s="49"/>
      <c r="P828" s="48"/>
      <c r="Q828" s="48"/>
      <c r="R828" s="48"/>
      <c r="S828" s="48"/>
      <c r="T828" s="48"/>
      <c r="U828" s="48"/>
      <c r="V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9"/>
      <c r="N829" s="49"/>
      <c r="O829" s="49"/>
      <c r="P829" s="48"/>
      <c r="Q829" s="48"/>
      <c r="R829" s="48"/>
      <c r="S829" s="48"/>
      <c r="T829" s="48"/>
      <c r="U829" s="48"/>
      <c r="V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9"/>
      <c r="N830" s="49"/>
      <c r="O830" s="49"/>
      <c r="P830" s="48"/>
      <c r="Q830" s="48"/>
      <c r="R830" s="48"/>
      <c r="S830" s="48"/>
      <c r="T830" s="48"/>
      <c r="U830" s="48"/>
      <c r="V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9"/>
      <c r="N831" s="49"/>
      <c r="O831" s="49"/>
      <c r="P831" s="48"/>
      <c r="Q831" s="48"/>
      <c r="R831" s="48"/>
      <c r="S831" s="48"/>
      <c r="T831" s="48"/>
      <c r="U831" s="48"/>
      <c r="V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9"/>
      <c r="N832" s="49"/>
      <c r="O832" s="49"/>
      <c r="P832" s="48"/>
      <c r="Q832" s="48"/>
      <c r="R832" s="48"/>
      <c r="S832" s="48"/>
      <c r="T832" s="48"/>
      <c r="U832" s="48"/>
      <c r="V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9"/>
      <c r="N833" s="49"/>
      <c r="O833" s="49"/>
      <c r="P833" s="48"/>
      <c r="Q833" s="48"/>
      <c r="R833" s="48"/>
      <c r="S833" s="48"/>
      <c r="T833" s="48"/>
      <c r="U833" s="48"/>
      <c r="V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9"/>
      <c r="N834" s="49"/>
      <c r="O834" s="49"/>
      <c r="P834" s="48"/>
      <c r="Q834" s="48"/>
      <c r="R834" s="48"/>
      <c r="S834" s="48"/>
      <c r="T834" s="48"/>
      <c r="U834" s="48"/>
      <c r="V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9"/>
      <c r="N835" s="49"/>
      <c r="O835" s="49"/>
      <c r="P835" s="48"/>
      <c r="Q835" s="48"/>
      <c r="R835" s="48"/>
      <c r="S835" s="48"/>
      <c r="T835" s="48"/>
      <c r="U835" s="48"/>
      <c r="V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9"/>
      <c r="N836" s="49"/>
      <c r="O836" s="49"/>
      <c r="P836" s="48"/>
      <c r="Q836" s="48"/>
      <c r="R836" s="48"/>
      <c r="S836" s="48"/>
      <c r="T836" s="48"/>
      <c r="U836" s="48"/>
      <c r="V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9"/>
      <c r="N837" s="49"/>
      <c r="O837" s="49"/>
      <c r="P837" s="48"/>
      <c r="Q837" s="48"/>
      <c r="R837" s="48"/>
      <c r="S837" s="48"/>
      <c r="T837" s="48"/>
      <c r="U837" s="48"/>
      <c r="V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9"/>
      <c r="N838" s="49"/>
      <c r="O838" s="49"/>
      <c r="P838" s="48"/>
      <c r="Q838" s="48"/>
      <c r="R838" s="48"/>
      <c r="S838" s="48"/>
      <c r="T838" s="48"/>
      <c r="U838" s="48"/>
      <c r="V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9"/>
      <c r="N839" s="49"/>
      <c r="O839" s="49"/>
      <c r="P839" s="48"/>
      <c r="Q839" s="48"/>
      <c r="R839" s="48"/>
      <c r="S839" s="48"/>
      <c r="T839" s="48"/>
      <c r="U839" s="48"/>
      <c r="V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9"/>
      <c r="N840" s="49"/>
      <c r="O840" s="49"/>
      <c r="P840" s="48"/>
      <c r="Q840" s="48"/>
      <c r="R840" s="48"/>
      <c r="S840" s="48"/>
      <c r="T840" s="48"/>
      <c r="U840" s="48"/>
      <c r="V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9"/>
      <c r="N841" s="49"/>
      <c r="O841" s="49"/>
      <c r="P841" s="48"/>
      <c r="Q841" s="48"/>
      <c r="R841" s="48"/>
      <c r="S841" s="48"/>
      <c r="T841" s="48"/>
      <c r="U841" s="48"/>
      <c r="V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9"/>
      <c r="N842" s="49"/>
      <c r="O842" s="49"/>
      <c r="P842" s="48"/>
      <c r="Q842" s="48"/>
      <c r="R842" s="48"/>
      <c r="S842" s="48"/>
      <c r="T842" s="48"/>
      <c r="U842" s="48"/>
      <c r="V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9"/>
      <c r="N843" s="49"/>
      <c r="O843" s="49"/>
      <c r="P843" s="48"/>
      <c r="Q843" s="48"/>
      <c r="R843" s="48"/>
      <c r="S843" s="48"/>
      <c r="T843" s="48"/>
      <c r="U843" s="48"/>
      <c r="V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9"/>
      <c r="N844" s="49"/>
      <c r="O844" s="49"/>
      <c r="P844" s="48"/>
      <c r="Q844" s="48"/>
      <c r="R844" s="48"/>
      <c r="S844" s="48"/>
      <c r="T844" s="48"/>
      <c r="U844" s="48"/>
      <c r="V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9"/>
      <c r="N845" s="49"/>
      <c r="O845" s="49"/>
      <c r="P845" s="48"/>
      <c r="Q845" s="48"/>
      <c r="R845" s="48"/>
      <c r="S845" s="48"/>
      <c r="T845" s="48"/>
      <c r="U845" s="48"/>
      <c r="V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9"/>
      <c r="N846" s="49"/>
      <c r="O846" s="49"/>
      <c r="P846" s="48"/>
      <c r="Q846" s="48"/>
      <c r="R846" s="48"/>
      <c r="S846" s="48"/>
      <c r="T846" s="48"/>
      <c r="U846" s="48"/>
      <c r="V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9"/>
      <c r="N847" s="49"/>
      <c r="O847" s="49"/>
      <c r="P847" s="48"/>
      <c r="Q847" s="48"/>
      <c r="R847" s="48"/>
      <c r="S847" s="48"/>
      <c r="T847" s="48"/>
      <c r="U847" s="48"/>
      <c r="V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9"/>
      <c r="N848" s="49"/>
      <c r="O848" s="49"/>
      <c r="P848" s="48"/>
      <c r="Q848" s="48"/>
      <c r="R848" s="48"/>
      <c r="S848" s="48"/>
      <c r="T848" s="48"/>
      <c r="U848" s="48"/>
      <c r="V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9"/>
      <c r="N849" s="49"/>
      <c r="O849" s="49"/>
      <c r="P849" s="48"/>
      <c r="Q849" s="48"/>
      <c r="R849" s="48"/>
      <c r="S849" s="48"/>
      <c r="T849" s="48"/>
      <c r="U849" s="48"/>
      <c r="V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9"/>
      <c r="N850" s="49"/>
      <c r="O850" s="49"/>
      <c r="P850" s="48"/>
      <c r="Q850" s="48"/>
      <c r="R850" s="48"/>
      <c r="S850" s="48"/>
      <c r="T850" s="48"/>
      <c r="U850" s="48"/>
      <c r="V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9"/>
      <c r="N851" s="49"/>
      <c r="O851" s="49"/>
      <c r="P851" s="48"/>
      <c r="Q851" s="48"/>
      <c r="R851" s="48"/>
      <c r="S851" s="48"/>
      <c r="T851" s="48"/>
      <c r="U851" s="48"/>
      <c r="V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9"/>
      <c r="N852" s="49"/>
      <c r="O852" s="49"/>
      <c r="P852" s="48"/>
      <c r="Q852" s="48"/>
      <c r="R852" s="48"/>
      <c r="S852" s="48"/>
      <c r="T852" s="48"/>
      <c r="U852" s="48"/>
      <c r="V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9"/>
      <c r="N853" s="49"/>
      <c r="O853" s="49"/>
      <c r="P853" s="48"/>
      <c r="Q853" s="48"/>
      <c r="R853" s="48"/>
      <c r="S853" s="48"/>
      <c r="T853" s="48"/>
      <c r="U853" s="48"/>
      <c r="V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9"/>
      <c r="N854" s="49"/>
      <c r="O854" s="49"/>
      <c r="P854" s="48"/>
      <c r="Q854" s="48"/>
      <c r="R854" s="48"/>
      <c r="S854" s="48"/>
      <c r="T854" s="48"/>
      <c r="U854" s="48"/>
      <c r="V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9"/>
      <c r="N855" s="49"/>
      <c r="O855" s="49"/>
      <c r="P855" s="48"/>
      <c r="Q855" s="48"/>
      <c r="R855" s="48"/>
      <c r="S855" s="48"/>
      <c r="T855" s="48"/>
      <c r="U855" s="48"/>
      <c r="V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9"/>
      <c r="N856" s="49"/>
      <c r="O856" s="49"/>
      <c r="P856" s="48"/>
      <c r="Q856" s="48"/>
      <c r="R856" s="48"/>
      <c r="S856" s="48"/>
      <c r="T856" s="48"/>
      <c r="U856" s="48"/>
      <c r="V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9"/>
      <c r="N857" s="49"/>
      <c r="O857" s="49"/>
      <c r="P857" s="48"/>
      <c r="Q857" s="48"/>
      <c r="R857" s="48"/>
      <c r="S857" s="48"/>
      <c r="T857" s="48"/>
      <c r="U857" s="48"/>
      <c r="V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9"/>
      <c r="N858" s="49"/>
      <c r="O858" s="49"/>
      <c r="P858" s="48"/>
      <c r="Q858" s="48"/>
      <c r="R858" s="48"/>
      <c r="S858" s="48"/>
      <c r="T858" s="48"/>
      <c r="U858" s="48"/>
      <c r="V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9"/>
      <c r="N859" s="49"/>
      <c r="O859" s="49"/>
      <c r="P859" s="48"/>
      <c r="Q859" s="48"/>
      <c r="R859" s="48"/>
      <c r="S859" s="48"/>
      <c r="T859" s="48"/>
      <c r="U859" s="48"/>
      <c r="V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9"/>
      <c r="N860" s="49"/>
      <c r="O860" s="49"/>
      <c r="P860" s="48"/>
      <c r="Q860" s="48"/>
      <c r="R860" s="48"/>
      <c r="S860" s="48"/>
      <c r="T860" s="48"/>
      <c r="U860" s="48"/>
      <c r="V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9"/>
      <c r="N861" s="49"/>
      <c r="O861" s="49"/>
      <c r="P861" s="48"/>
      <c r="Q861" s="48"/>
      <c r="R861" s="48"/>
      <c r="S861" s="48"/>
      <c r="T861" s="48"/>
      <c r="U861" s="48"/>
      <c r="V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9"/>
      <c r="N862" s="49"/>
      <c r="O862" s="49"/>
      <c r="P862" s="48"/>
      <c r="Q862" s="48"/>
      <c r="R862" s="48"/>
      <c r="S862" s="48"/>
      <c r="T862" s="48"/>
      <c r="U862" s="48"/>
      <c r="V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9"/>
      <c r="N863" s="49"/>
      <c r="O863" s="49"/>
      <c r="P863" s="48"/>
      <c r="Q863" s="48"/>
      <c r="R863" s="48"/>
      <c r="S863" s="48"/>
      <c r="T863" s="48"/>
      <c r="U863" s="48"/>
      <c r="V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9"/>
      <c r="N864" s="49"/>
      <c r="O864" s="49"/>
      <c r="P864" s="48"/>
      <c r="Q864" s="48"/>
      <c r="R864" s="48"/>
      <c r="S864" s="48"/>
      <c r="T864" s="48"/>
      <c r="U864" s="48"/>
      <c r="V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9"/>
      <c r="N865" s="49"/>
      <c r="O865" s="49"/>
      <c r="P865" s="48"/>
      <c r="Q865" s="48"/>
      <c r="R865" s="48"/>
      <c r="S865" s="48"/>
      <c r="T865" s="48"/>
      <c r="U865" s="48"/>
      <c r="V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9"/>
      <c r="N866" s="49"/>
      <c r="O866" s="49"/>
      <c r="P866" s="48"/>
      <c r="Q866" s="48"/>
      <c r="R866" s="48"/>
      <c r="S866" s="48"/>
      <c r="T866" s="48"/>
      <c r="U866" s="48"/>
      <c r="V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9"/>
      <c r="N867" s="49"/>
      <c r="O867" s="49"/>
      <c r="P867" s="48"/>
      <c r="Q867" s="48"/>
      <c r="R867" s="48"/>
      <c r="S867" s="48"/>
      <c r="T867" s="48"/>
      <c r="U867" s="48"/>
      <c r="V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9"/>
      <c r="N868" s="49"/>
      <c r="O868" s="49"/>
      <c r="P868" s="48"/>
      <c r="Q868" s="48"/>
      <c r="R868" s="48"/>
      <c r="S868" s="48"/>
      <c r="T868" s="48"/>
      <c r="U868" s="48"/>
      <c r="V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9"/>
      <c r="N869" s="49"/>
      <c r="O869" s="49"/>
      <c r="P869" s="48"/>
      <c r="Q869" s="48"/>
      <c r="R869" s="48"/>
      <c r="S869" s="48"/>
      <c r="T869" s="48"/>
      <c r="U869" s="48"/>
      <c r="V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9"/>
      <c r="N870" s="49"/>
      <c r="O870" s="49"/>
      <c r="P870" s="48"/>
      <c r="Q870" s="48"/>
      <c r="R870" s="48"/>
      <c r="S870" s="48"/>
      <c r="T870" s="48"/>
      <c r="U870" s="48"/>
      <c r="V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9"/>
      <c r="N871" s="49"/>
      <c r="O871" s="49"/>
      <c r="P871" s="48"/>
      <c r="Q871" s="48"/>
      <c r="R871" s="48"/>
      <c r="S871" s="48"/>
      <c r="T871" s="48"/>
      <c r="U871" s="48"/>
      <c r="V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9"/>
      <c r="N872" s="49"/>
      <c r="O872" s="49"/>
      <c r="P872" s="48"/>
      <c r="Q872" s="48"/>
      <c r="R872" s="48"/>
      <c r="S872" s="48"/>
      <c r="T872" s="48"/>
      <c r="U872" s="48"/>
      <c r="V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9"/>
      <c r="N873" s="49"/>
      <c r="O873" s="49"/>
      <c r="P873" s="48"/>
      <c r="Q873" s="48"/>
      <c r="R873" s="48"/>
      <c r="S873" s="48"/>
      <c r="T873" s="48"/>
      <c r="U873" s="48"/>
      <c r="V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9"/>
      <c r="N874" s="49"/>
      <c r="O874" s="49"/>
      <c r="P874" s="48"/>
      <c r="Q874" s="48"/>
      <c r="R874" s="48"/>
      <c r="S874" s="48"/>
      <c r="T874" s="48"/>
      <c r="U874" s="48"/>
      <c r="V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9"/>
      <c r="N875" s="49"/>
      <c r="O875" s="49"/>
      <c r="P875" s="48"/>
      <c r="Q875" s="48"/>
      <c r="R875" s="48"/>
      <c r="S875" s="48"/>
      <c r="T875" s="48"/>
      <c r="U875" s="48"/>
      <c r="V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9"/>
      <c r="N876" s="49"/>
      <c r="O876" s="49"/>
      <c r="P876" s="48"/>
      <c r="Q876" s="48"/>
      <c r="R876" s="48"/>
      <c r="S876" s="48"/>
      <c r="T876" s="48"/>
      <c r="U876" s="48"/>
      <c r="V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9"/>
      <c r="N877" s="49"/>
      <c r="O877" s="49"/>
      <c r="P877" s="48"/>
      <c r="Q877" s="48"/>
      <c r="R877" s="48"/>
      <c r="S877" s="48"/>
      <c r="T877" s="48"/>
      <c r="U877" s="48"/>
      <c r="V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9"/>
      <c r="N878" s="49"/>
      <c r="O878" s="49"/>
      <c r="P878" s="48"/>
      <c r="Q878" s="48"/>
      <c r="R878" s="48"/>
      <c r="S878" s="48"/>
      <c r="T878" s="48"/>
      <c r="U878" s="48"/>
      <c r="V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9"/>
      <c r="N879" s="49"/>
      <c r="O879" s="49"/>
      <c r="P879" s="48"/>
      <c r="Q879" s="48"/>
      <c r="R879" s="48"/>
      <c r="S879" s="48"/>
      <c r="T879" s="48"/>
      <c r="U879" s="48"/>
      <c r="V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9"/>
      <c r="N880" s="49"/>
      <c r="O880" s="49"/>
      <c r="P880" s="48"/>
      <c r="Q880" s="48"/>
      <c r="R880" s="48"/>
      <c r="S880" s="48"/>
      <c r="T880" s="48"/>
      <c r="U880" s="48"/>
      <c r="V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9"/>
      <c r="N881" s="49"/>
      <c r="O881" s="49"/>
      <c r="P881" s="48"/>
      <c r="Q881" s="48"/>
      <c r="R881" s="48"/>
      <c r="S881" s="48"/>
      <c r="T881" s="48"/>
      <c r="U881" s="48"/>
      <c r="V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9"/>
      <c r="N882" s="49"/>
      <c r="O882" s="49"/>
      <c r="P882" s="48"/>
      <c r="Q882" s="48"/>
      <c r="R882" s="48"/>
      <c r="S882" s="48"/>
      <c r="T882" s="48"/>
      <c r="U882" s="48"/>
      <c r="V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9"/>
      <c r="N883" s="49"/>
      <c r="O883" s="49"/>
      <c r="P883" s="48"/>
      <c r="Q883" s="48"/>
      <c r="R883" s="48"/>
      <c r="S883" s="48"/>
      <c r="T883" s="48"/>
      <c r="U883" s="48"/>
      <c r="V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9"/>
      <c r="N884" s="49"/>
      <c r="O884" s="49"/>
      <c r="P884" s="48"/>
      <c r="Q884" s="48"/>
      <c r="R884" s="48"/>
      <c r="S884" s="48"/>
      <c r="T884" s="48"/>
      <c r="U884" s="48"/>
      <c r="V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9"/>
      <c r="N885" s="49"/>
      <c r="O885" s="49"/>
      <c r="P885" s="48"/>
      <c r="Q885" s="48"/>
      <c r="R885" s="48"/>
      <c r="S885" s="48"/>
      <c r="T885" s="48"/>
      <c r="U885" s="48"/>
      <c r="V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9"/>
      <c r="N886" s="49"/>
      <c r="O886" s="49"/>
      <c r="P886" s="48"/>
      <c r="Q886" s="48"/>
      <c r="R886" s="48"/>
      <c r="S886" s="48"/>
      <c r="T886" s="48"/>
      <c r="U886" s="48"/>
      <c r="V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9"/>
      <c r="N887" s="49"/>
      <c r="O887" s="49"/>
      <c r="P887" s="48"/>
      <c r="Q887" s="48"/>
      <c r="R887" s="48"/>
      <c r="S887" s="48"/>
      <c r="T887" s="48"/>
      <c r="U887" s="48"/>
      <c r="V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9"/>
      <c r="N888" s="49"/>
      <c r="O888" s="49"/>
      <c r="P888" s="48"/>
      <c r="Q888" s="48"/>
      <c r="R888" s="48"/>
      <c r="S888" s="48"/>
      <c r="T888" s="48"/>
      <c r="U888" s="48"/>
      <c r="V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9"/>
      <c r="N889" s="49"/>
      <c r="O889" s="49"/>
      <c r="P889" s="48"/>
      <c r="Q889" s="48"/>
      <c r="R889" s="48"/>
      <c r="S889" s="48"/>
      <c r="T889" s="48"/>
      <c r="U889" s="48"/>
      <c r="V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9"/>
      <c r="N890" s="49"/>
      <c r="O890" s="49"/>
      <c r="P890" s="48"/>
      <c r="Q890" s="48"/>
      <c r="R890" s="48"/>
      <c r="S890" s="48"/>
      <c r="T890" s="48"/>
      <c r="U890" s="48"/>
      <c r="V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9"/>
      <c r="N891" s="49"/>
      <c r="O891" s="49"/>
      <c r="P891" s="48"/>
      <c r="Q891" s="48"/>
      <c r="R891" s="48"/>
      <c r="S891" s="48"/>
      <c r="T891" s="48"/>
      <c r="U891" s="48"/>
      <c r="V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9"/>
      <c r="N892" s="49"/>
      <c r="O892" s="49"/>
      <c r="P892" s="48"/>
      <c r="Q892" s="48"/>
      <c r="R892" s="48"/>
      <c r="S892" s="48"/>
      <c r="T892" s="48"/>
      <c r="U892" s="48"/>
      <c r="V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9"/>
      <c r="N893" s="49"/>
      <c r="O893" s="49"/>
      <c r="P893" s="48"/>
      <c r="Q893" s="48"/>
      <c r="R893" s="48"/>
      <c r="S893" s="48"/>
      <c r="T893" s="48"/>
      <c r="U893" s="48"/>
      <c r="V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9"/>
      <c r="N894" s="49"/>
      <c r="O894" s="49"/>
      <c r="P894" s="48"/>
      <c r="Q894" s="48"/>
      <c r="R894" s="48"/>
      <c r="S894" s="48"/>
      <c r="T894" s="48"/>
      <c r="U894" s="48"/>
      <c r="V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9"/>
      <c r="N895" s="49"/>
      <c r="O895" s="49"/>
      <c r="P895" s="48"/>
      <c r="Q895" s="48"/>
      <c r="R895" s="48"/>
      <c r="S895" s="48"/>
      <c r="T895" s="48"/>
      <c r="U895" s="48"/>
      <c r="V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9"/>
      <c r="N896" s="49"/>
      <c r="O896" s="49"/>
      <c r="P896" s="48"/>
      <c r="Q896" s="48"/>
      <c r="R896" s="48"/>
      <c r="S896" s="48"/>
      <c r="T896" s="48"/>
      <c r="U896" s="48"/>
      <c r="V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9"/>
      <c r="N897" s="49"/>
      <c r="O897" s="49"/>
      <c r="P897" s="48"/>
      <c r="Q897" s="48"/>
      <c r="R897" s="48"/>
      <c r="S897" s="48"/>
      <c r="T897" s="48"/>
      <c r="U897" s="48"/>
      <c r="V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9"/>
      <c r="N898" s="49"/>
      <c r="O898" s="49"/>
      <c r="P898" s="48"/>
      <c r="Q898" s="48"/>
      <c r="R898" s="48"/>
      <c r="S898" s="48"/>
      <c r="T898" s="48"/>
      <c r="U898" s="48"/>
      <c r="V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9"/>
      <c r="N899" s="49"/>
      <c r="O899" s="49"/>
      <c r="P899" s="48"/>
      <c r="Q899" s="48"/>
      <c r="R899" s="48"/>
      <c r="S899" s="48"/>
      <c r="T899" s="48"/>
      <c r="U899" s="48"/>
      <c r="V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9"/>
      <c r="N900" s="49"/>
      <c r="O900" s="49"/>
      <c r="P900" s="48"/>
      <c r="Q900" s="48"/>
      <c r="R900" s="48"/>
      <c r="S900" s="48"/>
      <c r="T900" s="48"/>
      <c r="U900" s="48"/>
      <c r="V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9"/>
      <c r="N901" s="49"/>
      <c r="O901" s="49"/>
      <c r="P901" s="48"/>
      <c r="Q901" s="48"/>
      <c r="R901" s="48"/>
      <c r="S901" s="48"/>
      <c r="T901" s="48"/>
      <c r="U901" s="48"/>
      <c r="V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9"/>
      <c r="N902" s="49"/>
      <c r="O902" s="49"/>
      <c r="P902" s="48"/>
      <c r="Q902" s="48"/>
      <c r="R902" s="48"/>
      <c r="S902" s="48"/>
      <c r="T902" s="48"/>
      <c r="U902" s="48"/>
      <c r="V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9"/>
      <c r="N903" s="49"/>
      <c r="O903" s="49"/>
      <c r="P903" s="48"/>
      <c r="Q903" s="48"/>
      <c r="R903" s="48"/>
      <c r="S903" s="48"/>
      <c r="T903" s="48"/>
      <c r="U903" s="48"/>
      <c r="V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9"/>
      <c r="N904" s="49"/>
      <c r="O904" s="49"/>
      <c r="P904" s="48"/>
      <c r="Q904" s="48"/>
      <c r="R904" s="48"/>
      <c r="S904" s="48"/>
      <c r="T904" s="48"/>
      <c r="U904" s="48"/>
      <c r="V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9"/>
      <c r="N905" s="49"/>
      <c r="O905" s="49"/>
      <c r="P905" s="48"/>
      <c r="Q905" s="48"/>
      <c r="R905" s="48"/>
      <c r="S905" s="48"/>
      <c r="T905" s="48"/>
      <c r="U905" s="48"/>
      <c r="V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9"/>
      <c r="N906" s="49"/>
      <c r="O906" s="49"/>
      <c r="P906" s="48"/>
      <c r="Q906" s="48"/>
      <c r="R906" s="48"/>
      <c r="S906" s="48"/>
      <c r="T906" s="48"/>
      <c r="U906" s="48"/>
      <c r="V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9"/>
      <c r="N907" s="49"/>
      <c r="O907" s="49"/>
      <c r="P907" s="48"/>
      <c r="Q907" s="48"/>
      <c r="R907" s="48"/>
      <c r="S907" s="48"/>
      <c r="T907" s="48"/>
      <c r="U907" s="48"/>
      <c r="V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9"/>
      <c r="N908" s="49"/>
      <c r="O908" s="49"/>
      <c r="P908" s="48"/>
      <c r="Q908" s="48"/>
      <c r="R908" s="48"/>
      <c r="S908" s="48"/>
      <c r="T908" s="48"/>
      <c r="U908" s="48"/>
      <c r="V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9"/>
      <c r="N909" s="49"/>
      <c r="O909" s="49"/>
      <c r="P909" s="48"/>
      <c r="Q909" s="48"/>
      <c r="R909" s="48"/>
      <c r="S909" s="48"/>
      <c r="T909" s="48"/>
      <c r="U909" s="48"/>
      <c r="V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9"/>
      <c r="N910" s="49"/>
      <c r="O910" s="49"/>
      <c r="P910" s="48"/>
      <c r="Q910" s="48"/>
      <c r="R910" s="48"/>
      <c r="S910" s="48"/>
      <c r="T910" s="48"/>
      <c r="U910" s="48"/>
      <c r="V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9"/>
      <c r="N911" s="49"/>
      <c r="O911" s="49"/>
      <c r="P911" s="48"/>
      <c r="Q911" s="48"/>
      <c r="R911" s="48"/>
      <c r="S911" s="48"/>
      <c r="T911" s="48"/>
      <c r="U911" s="48"/>
      <c r="V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9"/>
      <c r="N912" s="49"/>
      <c r="O912" s="49"/>
      <c r="P912" s="48"/>
      <c r="Q912" s="48"/>
      <c r="R912" s="48"/>
      <c r="S912" s="48"/>
      <c r="T912" s="48"/>
      <c r="U912" s="48"/>
      <c r="V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9"/>
      <c r="N913" s="49"/>
      <c r="O913" s="49"/>
      <c r="P913" s="48"/>
      <c r="Q913" s="48"/>
      <c r="R913" s="48"/>
      <c r="S913" s="48"/>
      <c r="T913" s="48"/>
      <c r="U913" s="48"/>
      <c r="V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9"/>
      <c r="N914" s="49"/>
      <c r="O914" s="49"/>
      <c r="P914" s="48"/>
      <c r="Q914" s="48"/>
      <c r="R914" s="48"/>
      <c r="S914" s="48"/>
      <c r="T914" s="48"/>
      <c r="U914" s="48"/>
      <c r="V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9"/>
      <c r="N915" s="49"/>
      <c r="O915" s="49"/>
      <c r="P915" s="48"/>
      <c r="Q915" s="48"/>
      <c r="R915" s="48"/>
      <c r="S915" s="48"/>
      <c r="T915" s="48"/>
      <c r="U915" s="48"/>
      <c r="V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9"/>
      <c r="N916" s="49"/>
      <c r="O916" s="49"/>
      <c r="P916" s="48"/>
      <c r="Q916" s="48"/>
      <c r="R916" s="48"/>
      <c r="S916" s="48"/>
      <c r="T916" s="48"/>
      <c r="U916" s="48"/>
      <c r="V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9"/>
      <c r="N917" s="49"/>
      <c r="O917" s="49"/>
      <c r="P917" s="48"/>
      <c r="Q917" s="48"/>
      <c r="R917" s="48"/>
      <c r="S917" s="48"/>
      <c r="T917" s="48"/>
      <c r="U917" s="48"/>
      <c r="V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9"/>
      <c r="N918" s="49"/>
      <c r="O918" s="49"/>
      <c r="P918" s="48"/>
      <c r="Q918" s="48"/>
      <c r="R918" s="48"/>
      <c r="S918" s="48"/>
      <c r="T918" s="48"/>
      <c r="U918" s="48"/>
      <c r="V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9"/>
      <c r="N919" s="49"/>
      <c r="O919" s="49"/>
      <c r="P919" s="48"/>
      <c r="Q919" s="48"/>
      <c r="R919" s="48"/>
      <c r="S919" s="48"/>
      <c r="T919" s="48"/>
      <c r="U919" s="48"/>
      <c r="V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9"/>
      <c r="N920" s="49"/>
      <c r="O920" s="49"/>
      <c r="P920" s="48"/>
      <c r="Q920" s="48"/>
      <c r="R920" s="48"/>
      <c r="S920" s="48"/>
      <c r="T920" s="48"/>
      <c r="U920" s="48"/>
      <c r="V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9"/>
      <c r="N921" s="49"/>
      <c r="O921" s="49"/>
      <c r="P921" s="48"/>
      <c r="Q921" s="48"/>
      <c r="R921" s="48"/>
      <c r="S921" s="48"/>
      <c r="T921" s="48"/>
      <c r="U921" s="48"/>
      <c r="V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9"/>
      <c r="N922" s="49"/>
      <c r="O922" s="49"/>
      <c r="P922" s="48"/>
      <c r="Q922" s="48"/>
      <c r="R922" s="48"/>
      <c r="S922" s="48"/>
      <c r="T922" s="48"/>
      <c r="U922" s="48"/>
      <c r="V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9"/>
      <c r="N923" s="49"/>
      <c r="O923" s="49"/>
      <c r="P923" s="48"/>
      <c r="Q923" s="48"/>
      <c r="R923" s="48"/>
      <c r="S923" s="48"/>
      <c r="T923" s="48"/>
      <c r="U923" s="48"/>
      <c r="V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9"/>
      <c r="N924" s="49"/>
      <c r="O924" s="49"/>
      <c r="P924" s="48"/>
      <c r="Q924" s="48"/>
      <c r="R924" s="48"/>
      <c r="S924" s="48"/>
      <c r="T924" s="48"/>
      <c r="U924" s="48"/>
      <c r="V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9"/>
      <c r="N925" s="49"/>
      <c r="O925" s="49"/>
      <c r="P925" s="48"/>
      <c r="Q925" s="48"/>
      <c r="R925" s="48"/>
      <c r="S925" s="48"/>
      <c r="T925" s="48"/>
      <c r="U925" s="48"/>
      <c r="V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9"/>
      <c r="N926" s="49"/>
      <c r="O926" s="49"/>
      <c r="P926" s="48"/>
      <c r="Q926" s="48"/>
      <c r="R926" s="48"/>
      <c r="S926" s="48"/>
      <c r="T926" s="48"/>
      <c r="U926" s="48"/>
      <c r="V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9"/>
      <c r="N927" s="49"/>
      <c r="O927" s="49"/>
      <c r="P927" s="48"/>
      <c r="Q927" s="48"/>
      <c r="R927" s="48"/>
      <c r="S927" s="48"/>
      <c r="T927" s="48"/>
      <c r="U927" s="48"/>
      <c r="V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9"/>
      <c r="N928" s="49"/>
      <c r="O928" s="49"/>
      <c r="P928" s="48"/>
      <c r="Q928" s="48"/>
      <c r="R928" s="48"/>
      <c r="S928" s="48"/>
      <c r="T928" s="48"/>
      <c r="U928" s="48"/>
      <c r="V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9"/>
      <c r="N929" s="49"/>
      <c r="O929" s="49"/>
      <c r="P929" s="48"/>
      <c r="Q929" s="48"/>
      <c r="R929" s="48"/>
      <c r="S929" s="48"/>
      <c r="T929" s="48"/>
      <c r="U929" s="48"/>
      <c r="V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9"/>
      <c r="N930" s="49"/>
      <c r="O930" s="49"/>
      <c r="P930" s="48"/>
      <c r="Q930" s="48"/>
      <c r="R930" s="48"/>
      <c r="S930" s="48"/>
      <c r="T930" s="48"/>
      <c r="U930" s="48"/>
      <c r="V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9"/>
      <c r="N931" s="49"/>
      <c r="O931" s="49"/>
      <c r="P931" s="48"/>
      <c r="Q931" s="48"/>
      <c r="R931" s="48"/>
      <c r="S931" s="48"/>
      <c r="T931" s="48"/>
      <c r="U931" s="48"/>
      <c r="V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9"/>
      <c r="N932" s="49"/>
      <c r="O932" s="49"/>
      <c r="P932" s="48"/>
      <c r="Q932" s="48"/>
      <c r="R932" s="48"/>
      <c r="S932" s="48"/>
      <c r="T932" s="48"/>
      <c r="U932" s="48"/>
      <c r="V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9"/>
      <c r="N933" s="49"/>
      <c r="O933" s="49"/>
      <c r="P933" s="48"/>
      <c r="Q933" s="48"/>
      <c r="R933" s="48"/>
      <c r="S933" s="48"/>
      <c r="T933" s="48"/>
      <c r="U933" s="48"/>
      <c r="V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9"/>
      <c r="N934" s="49"/>
      <c r="O934" s="49"/>
      <c r="P934" s="48"/>
      <c r="Q934" s="48"/>
      <c r="R934" s="48"/>
      <c r="S934" s="48"/>
      <c r="T934" s="48"/>
      <c r="U934" s="48"/>
      <c r="V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9"/>
      <c r="N935" s="49"/>
      <c r="O935" s="49"/>
      <c r="P935" s="48"/>
      <c r="Q935" s="48"/>
      <c r="R935" s="48"/>
      <c r="S935" s="48"/>
      <c r="T935" s="48"/>
      <c r="U935" s="48"/>
      <c r="V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9"/>
      <c r="N936" s="49"/>
      <c r="O936" s="49"/>
      <c r="P936" s="48"/>
      <c r="Q936" s="48"/>
      <c r="R936" s="48"/>
      <c r="S936" s="48"/>
      <c r="T936" s="48"/>
      <c r="U936" s="48"/>
      <c r="V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9"/>
      <c r="N937" s="49"/>
      <c r="O937" s="49"/>
      <c r="P937" s="48"/>
      <c r="Q937" s="48"/>
      <c r="R937" s="48"/>
      <c r="S937" s="48"/>
      <c r="T937" s="48"/>
      <c r="U937" s="48"/>
      <c r="V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9"/>
      <c r="N938" s="49"/>
      <c r="O938" s="49"/>
      <c r="P938" s="48"/>
      <c r="Q938" s="48"/>
      <c r="R938" s="48"/>
      <c r="S938" s="48"/>
      <c r="T938" s="48"/>
      <c r="U938" s="48"/>
      <c r="V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9"/>
      <c r="N939" s="49"/>
      <c r="O939" s="49"/>
      <c r="P939" s="48"/>
      <c r="Q939" s="48"/>
      <c r="R939" s="48"/>
      <c r="S939" s="48"/>
      <c r="T939" s="48"/>
      <c r="U939" s="48"/>
      <c r="V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9"/>
      <c r="N940" s="49"/>
      <c r="O940" s="49"/>
      <c r="P940" s="48"/>
      <c r="Q940" s="48"/>
      <c r="R940" s="48"/>
      <c r="S940" s="48"/>
      <c r="T940" s="48"/>
      <c r="U940" s="48"/>
      <c r="V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9"/>
      <c r="N941" s="49"/>
      <c r="O941" s="49"/>
      <c r="P941" s="48"/>
      <c r="Q941" s="48"/>
      <c r="R941" s="48"/>
      <c r="S941" s="48"/>
      <c r="T941" s="48"/>
      <c r="U941" s="48"/>
      <c r="V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9"/>
      <c r="N942" s="49"/>
      <c r="O942" s="49"/>
      <c r="P942" s="48"/>
      <c r="Q942" s="48"/>
      <c r="R942" s="48"/>
      <c r="S942" s="48"/>
      <c r="T942" s="48"/>
      <c r="U942" s="48"/>
      <c r="V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9"/>
      <c r="N943" s="49"/>
      <c r="O943" s="49"/>
      <c r="P943" s="48"/>
      <c r="Q943" s="48"/>
      <c r="R943" s="48"/>
      <c r="S943" s="48"/>
      <c r="T943" s="48"/>
      <c r="U943" s="48"/>
      <c r="V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9"/>
      <c r="N944" s="49"/>
      <c r="O944" s="49"/>
      <c r="P944" s="48"/>
      <c r="Q944" s="48"/>
      <c r="R944" s="48"/>
      <c r="S944" s="48"/>
      <c r="T944" s="48"/>
      <c r="U944" s="48"/>
      <c r="V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9"/>
      <c r="N945" s="49"/>
      <c r="O945" s="49"/>
      <c r="P945" s="48"/>
      <c r="Q945" s="48"/>
      <c r="R945" s="48"/>
      <c r="S945" s="48"/>
      <c r="T945" s="48"/>
      <c r="U945" s="48"/>
      <c r="V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9"/>
      <c r="N946" s="49"/>
      <c r="O946" s="49"/>
      <c r="P946" s="48"/>
      <c r="Q946" s="48"/>
      <c r="R946" s="48"/>
      <c r="S946" s="48"/>
      <c r="T946" s="48"/>
      <c r="U946" s="48"/>
      <c r="V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9"/>
      <c r="N947" s="49"/>
      <c r="O947" s="49"/>
      <c r="P947" s="48"/>
      <c r="Q947" s="48"/>
      <c r="R947" s="48"/>
      <c r="S947" s="48"/>
      <c r="T947" s="48"/>
      <c r="U947" s="48"/>
      <c r="V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9"/>
      <c r="N948" s="49"/>
      <c r="O948" s="49"/>
      <c r="P948" s="48"/>
      <c r="Q948" s="48"/>
      <c r="R948" s="48"/>
      <c r="S948" s="48"/>
      <c r="T948" s="48"/>
      <c r="U948" s="48"/>
      <c r="V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9"/>
      <c r="N949" s="49"/>
      <c r="O949" s="49"/>
      <c r="P949" s="48"/>
      <c r="Q949" s="48"/>
      <c r="R949" s="48"/>
      <c r="S949" s="48"/>
      <c r="T949" s="48"/>
      <c r="U949" s="48"/>
      <c r="V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9"/>
      <c r="N950" s="49"/>
      <c r="O950" s="49"/>
      <c r="P950" s="48"/>
      <c r="Q950" s="48"/>
      <c r="R950" s="48"/>
      <c r="S950" s="48"/>
      <c r="T950" s="48"/>
      <c r="U950" s="48"/>
      <c r="V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9"/>
      <c r="N951" s="49"/>
      <c r="O951" s="49"/>
      <c r="P951" s="48"/>
      <c r="Q951" s="48"/>
      <c r="R951" s="48"/>
      <c r="S951" s="48"/>
      <c r="T951" s="48"/>
      <c r="U951" s="48"/>
      <c r="V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9"/>
      <c r="N952" s="49"/>
      <c r="O952" s="49"/>
      <c r="P952" s="48"/>
      <c r="Q952" s="48"/>
      <c r="R952" s="48"/>
      <c r="S952" s="48"/>
      <c r="T952" s="48"/>
      <c r="U952" s="48"/>
      <c r="V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9"/>
      <c r="N953" s="49"/>
      <c r="O953" s="49"/>
      <c r="P953" s="48"/>
      <c r="Q953" s="48"/>
      <c r="R953" s="48"/>
      <c r="S953" s="48"/>
      <c r="T953" s="48"/>
      <c r="U953" s="48"/>
      <c r="V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9"/>
      <c r="N954" s="49"/>
      <c r="O954" s="49"/>
      <c r="P954" s="48"/>
      <c r="Q954" s="48"/>
      <c r="R954" s="48"/>
      <c r="S954" s="48"/>
      <c r="T954" s="48"/>
      <c r="U954" s="48"/>
      <c r="V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9"/>
      <c r="N955" s="49"/>
      <c r="O955" s="49"/>
      <c r="P955" s="48"/>
      <c r="Q955" s="48"/>
      <c r="R955" s="48"/>
      <c r="S955" s="48"/>
      <c r="T955" s="48"/>
      <c r="U955" s="48"/>
      <c r="V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9"/>
      <c r="N956" s="49"/>
      <c r="O956" s="49"/>
      <c r="P956" s="48"/>
      <c r="Q956" s="48"/>
      <c r="R956" s="48"/>
      <c r="S956" s="48"/>
      <c r="T956" s="48"/>
      <c r="U956" s="48"/>
      <c r="V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9"/>
      <c r="N957" s="49"/>
      <c r="O957" s="49"/>
      <c r="P957" s="48"/>
      <c r="Q957" s="48"/>
      <c r="R957" s="48"/>
      <c r="S957" s="48"/>
      <c r="T957" s="48"/>
      <c r="U957" s="48"/>
      <c r="V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9"/>
      <c r="N958" s="49"/>
      <c r="O958" s="49"/>
      <c r="P958" s="48"/>
      <c r="Q958" s="48"/>
      <c r="R958" s="48"/>
      <c r="S958" s="48"/>
      <c r="T958" s="48"/>
      <c r="U958" s="48"/>
      <c r="V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9"/>
      <c r="N959" s="49"/>
      <c r="O959" s="49"/>
      <c r="P959" s="48"/>
      <c r="Q959" s="48"/>
      <c r="R959" s="48"/>
      <c r="S959" s="48"/>
      <c r="T959" s="48"/>
      <c r="U959" s="48"/>
      <c r="V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9"/>
      <c r="N960" s="49"/>
      <c r="O960" s="49"/>
      <c r="P960" s="48"/>
      <c r="Q960" s="48"/>
      <c r="R960" s="48"/>
      <c r="S960" s="48"/>
      <c r="T960" s="48"/>
      <c r="U960" s="48"/>
      <c r="V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9"/>
      <c r="N961" s="49"/>
      <c r="O961" s="49"/>
      <c r="P961" s="48"/>
      <c r="Q961" s="48"/>
      <c r="R961" s="48"/>
      <c r="S961" s="48"/>
      <c r="T961" s="48"/>
      <c r="U961" s="48"/>
      <c r="V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9"/>
      <c r="N962" s="49"/>
      <c r="O962" s="49"/>
      <c r="P962" s="48"/>
      <c r="Q962" s="48"/>
      <c r="R962" s="48"/>
      <c r="S962" s="48"/>
      <c r="T962" s="48"/>
      <c r="U962" s="48"/>
      <c r="V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9"/>
      <c r="N963" s="49"/>
      <c r="O963" s="49"/>
      <c r="P963" s="48"/>
      <c r="Q963" s="48"/>
      <c r="R963" s="48"/>
      <c r="S963" s="48"/>
      <c r="T963" s="48"/>
      <c r="U963" s="48"/>
      <c r="V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9"/>
      <c r="N964" s="49"/>
      <c r="O964" s="49"/>
      <c r="P964" s="48"/>
      <c r="Q964" s="48"/>
      <c r="R964" s="48"/>
      <c r="S964" s="48"/>
      <c r="T964" s="48"/>
      <c r="U964" s="48"/>
      <c r="V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9"/>
      <c r="N965" s="49"/>
      <c r="O965" s="49"/>
      <c r="P965" s="48"/>
      <c r="Q965" s="48"/>
      <c r="R965" s="48"/>
      <c r="S965" s="48"/>
      <c r="T965" s="48"/>
      <c r="U965" s="48"/>
      <c r="V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9"/>
      <c r="N966" s="49"/>
      <c r="O966" s="49"/>
      <c r="P966" s="48"/>
      <c r="Q966" s="48"/>
      <c r="R966" s="48"/>
      <c r="S966" s="48"/>
      <c r="T966" s="48"/>
      <c r="U966" s="48"/>
      <c r="V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9"/>
      <c r="N967" s="49"/>
      <c r="O967" s="49"/>
      <c r="P967" s="48"/>
      <c r="Q967" s="48"/>
      <c r="R967" s="48"/>
      <c r="S967" s="48"/>
      <c r="T967" s="48"/>
      <c r="U967" s="48"/>
      <c r="V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9"/>
      <c r="N968" s="49"/>
      <c r="O968" s="49"/>
      <c r="P968" s="48"/>
      <c r="Q968" s="48"/>
      <c r="R968" s="48"/>
      <c r="S968" s="48"/>
      <c r="T968" s="48"/>
      <c r="U968" s="48"/>
      <c r="V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9"/>
      <c r="N969" s="49"/>
      <c r="O969" s="49"/>
      <c r="P969" s="48"/>
      <c r="Q969" s="48"/>
      <c r="R969" s="48"/>
      <c r="S969" s="48"/>
      <c r="T969" s="48"/>
      <c r="U969" s="48"/>
      <c r="V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9"/>
      <c r="N970" s="49"/>
      <c r="O970" s="49"/>
      <c r="P970" s="48"/>
      <c r="Q970" s="48"/>
      <c r="R970" s="48"/>
      <c r="S970" s="48"/>
      <c r="T970" s="48"/>
      <c r="U970" s="48"/>
      <c r="V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9"/>
      <c r="N971" s="49"/>
      <c r="O971" s="49"/>
      <c r="P971" s="48"/>
      <c r="Q971" s="48"/>
      <c r="R971" s="48"/>
      <c r="S971" s="48"/>
      <c r="T971" s="48"/>
      <c r="U971" s="48"/>
      <c r="V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9"/>
      <c r="N972" s="49"/>
      <c r="O972" s="49"/>
      <c r="P972" s="48"/>
      <c r="Q972" s="48"/>
      <c r="R972" s="48"/>
      <c r="S972" s="48"/>
      <c r="T972" s="48"/>
      <c r="U972" s="48"/>
      <c r="V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9"/>
      <c r="N973" s="49"/>
      <c r="O973" s="49"/>
      <c r="P973" s="48"/>
      <c r="Q973" s="48"/>
      <c r="R973" s="48"/>
      <c r="S973" s="48"/>
      <c r="T973" s="48"/>
      <c r="U973" s="48"/>
      <c r="V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9"/>
      <c r="N974" s="49"/>
      <c r="O974" s="49"/>
      <c r="P974" s="48"/>
      <c r="Q974" s="48"/>
      <c r="R974" s="48"/>
      <c r="S974" s="48"/>
      <c r="T974" s="48"/>
      <c r="U974" s="48"/>
      <c r="V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9"/>
      <c r="N975" s="49"/>
      <c r="O975" s="49"/>
      <c r="P975" s="48"/>
      <c r="Q975" s="48"/>
      <c r="R975" s="48"/>
      <c r="S975" s="48"/>
      <c r="T975" s="48"/>
      <c r="U975" s="48"/>
      <c r="V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</row>
  </sheetData>
  <autoFilter ref="$A$1:$V$141"/>
  <dataValidations>
    <dataValidation type="list" allowBlank="1" showErrorMessage="1" sqref="L2:L50 L52:L140">
      <formula1>Caja</formula1>
    </dataValidation>
    <dataValidation type="list" allowBlank="1" showErrorMessage="1" sqref="J2:J50 J52:J140">
      <formula1>Condición</formula1>
    </dataValidation>
    <dataValidation type="list" allowBlank="1" showErrorMessage="1" sqref="K2:K50 K52:K140">
      <formula1>Cargadores</formula1>
    </dataValidation>
    <dataValidation type="list" allowBlank="1" showErrorMessage="1" sqref="B2:B140">
      <formula1>Lista_Números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86"/>
    <col customWidth="1" min="2" max="2" width="14.29"/>
    <col customWidth="1" min="3" max="3" width="9.71"/>
    <col customWidth="1" min="4" max="4" width="17.86"/>
    <col customWidth="1" min="5" max="5" width="26.86"/>
    <col customWidth="1" min="6" max="6" width="35.0"/>
    <col customWidth="1" min="7" max="7" width="30.29"/>
    <col customWidth="1" min="8" max="8" width="8.71"/>
    <col customWidth="1" min="9" max="9" width="48.57"/>
    <col customWidth="1" min="10" max="10" width="18.86"/>
    <col customWidth="1" min="11" max="11" width="11.71"/>
    <col customWidth="1" min="12" max="12" width="11.29"/>
    <col customWidth="1" min="13" max="13" width="23.29"/>
    <col customWidth="1" min="14" max="14" width="18.0"/>
    <col customWidth="1" min="15" max="15" width="16.86"/>
    <col customWidth="1" min="16" max="16" width="30.86"/>
    <col customWidth="1" min="17" max="17" width="36.57"/>
    <col customWidth="1" min="18" max="18" width="11.57"/>
    <col customWidth="1" min="19" max="19" width="31.86"/>
    <col customWidth="1" min="20" max="20" width="36.57"/>
    <col customWidth="1" min="21" max="21" width="34.14"/>
    <col customWidth="1" min="22" max="22" width="34.86"/>
  </cols>
  <sheetData>
    <row r="1">
      <c r="A1" s="15" t="s">
        <v>1067</v>
      </c>
      <c r="B1" s="15" t="s">
        <v>766</v>
      </c>
      <c r="C1" s="15" t="s">
        <v>1068</v>
      </c>
      <c r="D1" s="15" t="s">
        <v>1069</v>
      </c>
      <c r="E1" s="15" t="s">
        <v>769</v>
      </c>
      <c r="F1" s="15" t="s">
        <v>1070</v>
      </c>
      <c r="G1" s="15" t="s">
        <v>1071</v>
      </c>
      <c r="H1" s="15" t="s">
        <v>1072</v>
      </c>
      <c r="I1" s="15" t="s">
        <v>1073</v>
      </c>
      <c r="J1" s="15" t="s">
        <v>1074</v>
      </c>
      <c r="K1" s="15" t="s">
        <v>1075</v>
      </c>
      <c r="L1" s="15" t="s">
        <v>1076</v>
      </c>
      <c r="M1" s="15" t="s">
        <v>1077</v>
      </c>
      <c r="N1" s="15" t="s">
        <v>1078</v>
      </c>
      <c r="O1" s="15" t="s">
        <v>1079</v>
      </c>
      <c r="P1" s="15" t="s">
        <v>1080</v>
      </c>
      <c r="Q1" s="15" t="s">
        <v>6</v>
      </c>
      <c r="R1" s="15" t="s">
        <v>11</v>
      </c>
      <c r="S1" s="15" t="s">
        <v>28</v>
      </c>
      <c r="T1" s="15" t="s">
        <v>29</v>
      </c>
      <c r="U1" s="15" t="s">
        <v>60</v>
      </c>
      <c r="V1" s="15" t="s">
        <v>61</v>
      </c>
    </row>
    <row r="2">
      <c r="A2" s="50" t="s">
        <v>158</v>
      </c>
      <c r="B2" s="51"/>
      <c r="C2" s="51"/>
      <c r="D2" s="51"/>
      <c r="E2" s="52"/>
      <c r="F2" s="50"/>
      <c r="G2" s="50" t="s">
        <v>1081</v>
      </c>
      <c r="H2" s="50" t="s">
        <v>1082</v>
      </c>
      <c r="I2" s="50"/>
      <c r="J2" s="50"/>
      <c r="K2" s="50"/>
      <c r="L2" s="50"/>
      <c r="M2" s="50"/>
      <c r="N2" s="50" t="s">
        <v>1083</v>
      </c>
      <c r="O2" s="50"/>
      <c r="P2" s="53"/>
      <c r="Q2" s="50" t="str">
        <f t="array" ref="Q2">IF(OR($A2="",ISBLANK(XLOOKUP($A2,CPU_Asignado,Nombres_Directorio,"",0))),"",XLOOKUP($A2,CPU_Asignado,Nombres_Directorio,"",0))</f>
        <v>Ricardo Durán Ulloa</v>
      </c>
      <c r="R2" s="50" t="str">
        <f t="array" ref="R2">IF(OR($A2="",ISBLANK(XLOOKUP($A2,CPU_Asignado,Sucursal_Asignada,"",0))),"",XLOOKUP($A2,CPU_Asignado,Sucursal_Asignada,"",0))</f>
        <v>Corporativo</v>
      </c>
      <c r="S2" s="50" t="str">
        <f t="array" ref="S2">IF(OR($A2="",ISBLANK(XLOOKUP($A2,CPU_Asignado,Departamento_Asignado,"",0))),"",XLOOKUP($A2,CPU_Asignado,Departamento_Asignado,"",0))</f>
        <v>Contabilidad</v>
      </c>
      <c r="T2" s="50" t="str">
        <f t="array" ref="T2">IF(OR($A2="",ISBLANK(XLOOKUP($A2,CPU_Asignado,Nombres_Directorio,"",0))),"",XLOOKUP($A2,CPU_Asignado,Nombres_Directorio,"",0))</f>
        <v>Ricardo Durán Ulloa</v>
      </c>
      <c r="U2" s="50" t="str">
        <f t="array" ref="U2">IF(OR($A2="",ISBLANK(XLOOKUP($A2,CPU_Asignado,Correos_Gmail,"",0))),"",XLOOKUP($A2,CPU_Asignado,Correos_Gmail,"",0))</f>
        <v>rduran.agro@gmail.com</v>
      </c>
      <c r="V2" s="50" t="str">
        <f t="array" ref="V2">IF(OR($A2="",ISBLANK(XLOOKUP($A2,CPU_Asignado,Correos_Institucionales,"",0))),"",XLOOKUP($A2,CPU_Asignado,Correos_Institucionales,"",0))</f>
        <v>ricardo.duran@agrocisa.com.mx</v>
      </c>
    </row>
    <row r="3">
      <c r="A3" s="5" t="s">
        <v>210</v>
      </c>
      <c r="B3" s="54"/>
      <c r="C3" s="54"/>
      <c r="D3" s="54"/>
      <c r="E3" s="55" t="s">
        <v>1084</v>
      </c>
      <c r="F3" s="5" t="s">
        <v>1085</v>
      </c>
      <c r="G3" s="5" t="s">
        <v>1086</v>
      </c>
      <c r="H3" s="5" t="s">
        <v>1087</v>
      </c>
      <c r="I3" s="5" t="s">
        <v>1088</v>
      </c>
      <c r="J3" s="5" t="s">
        <v>1089</v>
      </c>
      <c r="K3" s="5" t="s">
        <v>1090</v>
      </c>
      <c r="L3" s="5" t="s">
        <v>1091</v>
      </c>
      <c r="M3" s="5" t="s">
        <v>1092</v>
      </c>
      <c r="N3" s="5" t="s">
        <v>1093</v>
      </c>
      <c r="O3" s="5"/>
      <c r="P3" s="5" t="s">
        <v>1094</v>
      </c>
      <c r="Q3" s="5" t="str">
        <f t="array" ref="Q3">IF(OR($A3="",ISBLANK(XLOOKUP($A3,CPU_Asignado,Nombres_Directorio,"",0))),"",XLOOKUP($A3,CPU_Asignado,Nombres_Directorio,"",0))</f>
        <v>Kathya Margarita Cerpa Velazco</v>
      </c>
      <c r="R3" s="5" t="str">
        <f t="array" ref="R3">IF(OR($A3="",ISBLANK(XLOOKUP($A3,CPU_Asignado,Sucursal_Asignada,"",0))),"",XLOOKUP($A3,CPU_Asignado,Sucursal_Asignada,"",0))</f>
        <v>Corporativo</v>
      </c>
      <c r="S3" s="5" t="str">
        <f t="array" ref="S3">IF(OR($A3="",ISBLANK(XLOOKUP($A3,CPU_Asignado,Departamento_Asignado,"",0))),"",XLOOKUP($A3,CPU_Asignado,Departamento_Asignado,"",0))</f>
        <v>Finanzas</v>
      </c>
      <c r="T3" s="5" t="str">
        <f t="array" ref="T3">IF(OR($A3="",ISBLANK(XLOOKUP($A3,CPU_Asignado,Nombres_Directorio,"",0))),"",XLOOKUP($A3,CPU_Asignado,Nombres_Directorio,"",0))</f>
        <v>Kathya Margarita Cerpa Velazco</v>
      </c>
      <c r="U3" s="5" t="str">
        <f t="array" ref="U3">IF(OR($A3="",ISBLANK(XLOOKUP($A3,CPU_Asignado,Correos_Gmail,"",0))),"",XLOOKUP($A3,CPU_Asignado,Correos_Gmail,"",0))</f>
        <v>kacerpa.agro@gmail.com</v>
      </c>
      <c r="V3" s="5" t="str">
        <f t="array" ref="V3">IF(OR($A3="",ISBLANK(XLOOKUP($A3,CPU_Asignado,Correos_Institucionales,"",0))),"",XLOOKUP($A3,CPU_Asignado,Correos_Institucionales,"",0))</f>
        <v>kathya.cerpa@agrocisa.com.mx</v>
      </c>
    </row>
    <row r="4">
      <c r="A4" s="5" t="s">
        <v>1095</v>
      </c>
      <c r="B4" s="54"/>
      <c r="C4" s="54"/>
      <c r="D4" s="54"/>
      <c r="E4" s="55" t="s">
        <v>1084</v>
      </c>
      <c r="F4" s="5" t="s">
        <v>1096</v>
      </c>
      <c r="G4" s="5" t="s">
        <v>1097</v>
      </c>
      <c r="H4" s="5" t="s">
        <v>1087</v>
      </c>
      <c r="I4" s="5" t="s">
        <v>1098</v>
      </c>
      <c r="J4" s="5" t="s">
        <v>1099</v>
      </c>
      <c r="K4" s="5" t="s">
        <v>1100</v>
      </c>
      <c r="L4" s="5" t="s">
        <v>223</v>
      </c>
      <c r="M4" s="5" t="s">
        <v>1101</v>
      </c>
      <c r="N4" s="5" t="s">
        <v>1102</v>
      </c>
      <c r="O4" s="5"/>
      <c r="P4" s="5" t="s">
        <v>1103</v>
      </c>
      <c r="Q4" s="5" t="str">
        <f t="array" ref="Q4">IF(OR($A4="",ISBLANK(XLOOKUP($A4,CPU_Asignado,Nombres_Directorio,"",0))),"",XLOOKUP($A4,CPU_Asignado,Nombres_Directorio,"",0))</f>
        <v/>
      </c>
      <c r="R4" s="5" t="str">
        <f t="array" ref="R4">IF(OR($A4="",ISBLANK(XLOOKUP($A4,CPU_Asignado,Sucursal_Asignada,"",0))),"",XLOOKUP($A4,CPU_Asignado,Sucursal_Asignada,"",0))</f>
        <v/>
      </c>
      <c r="S4" s="5" t="str">
        <f t="array" ref="S4">IF(OR($A4="",ISBLANK(XLOOKUP($A4,CPU_Asignado,Departamento_Asignado,"",0))),"",XLOOKUP($A4,CPU_Asignado,Departamento_Asignado,"",0))</f>
        <v/>
      </c>
      <c r="T4" s="5" t="str">
        <f t="array" ref="T4">IF(OR($A4="",ISBLANK(XLOOKUP($A4,CPU_Asignado,Nombres_Directorio,"",0))),"",XLOOKUP($A4,CPU_Asignado,Nombres_Directorio,"",0))</f>
        <v/>
      </c>
      <c r="U4" s="5" t="str">
        <f t="array" ref="U4">IF(OR($A4="",ISBLANK(XLOOKUP($A4,CPU_Asignado,Correos_Gmail,"",0))),"",XLOOKUP($A4,CPU_Asignado,Correos_Gmail,"",0))</f>
        <v/>
      </c>
      <c r="V4" s="5" t="str">
        <f t="array" ref="V4">IF(OR($A4="",ISBLANK(XLOOKUP($A4,CPU_Asignado,Correos_Institucionales,"",0))),"",XLOOKUP($A4,CPU_Asignado,Correos_Institucionales,"",0))</f>
        <v/>
      </c>
    </row>
    <row r="5">
      <c r="A5" s="5" t="s">
        <v>1104</v>
      </c>
      <c r="B5" s="54"/>
      <c r="C5" s="54"/>
      <c r="D5" s="54"/>
      <c r="E5" s="55" t="s">
        <v>1084</v>
      </c>
      <c r="F5" s="5" t="s">
        <v>1105</v>
      </c>
      <c r="G5" s="5" t="s">
        <v>1106</v>
      </c>
      <c r="H5" s="5" t="s">
        <v>1107</v>
      </c>
      <c r="I5" s="5" t="s">
        <v>1108</v>
      </c>
      <c r="J5" s="5" t="s">
        <v>1109</v>
      </c>
      <c r="K5" s="5" t="s">
        <v>1100</v>
      </c>
      <c r="L5" s="5" t="s">
        <v>223</v>
      </c>
      <c r="M5" s="5" t="s">
        <v>1101</v>
      </c>
      <c r="N5" s="5" t="s">
        <v>1110</v>
      </c>
      <c r="O5" s="5" t="s">
        <v>1111</v>
      </c>
      <c r="P5" s="5" t="s">
        <v>1103</v>
      </c>
      <c r="Q5" s="5" t="str">
        <f t="array" ref="Q5">IF(OR($A5="",ISBLANK(XLOOKUP($A5,CPU_Asignado,Nombres_Directorio,"",0))),"",XLOOKUP($A5,CPU_Asignado,Nombres_Directorio,"",0))</f>
        <v/>
      </c>
      <c r="R5" s="5" t="str">
        <f t="array" ref="R5">IF(OR($A5="",ISBLANK(XLOOKUP($A5,CPU_Asignado,Sucursal_Asignada,"",0))),"",XLOOKUP($A5,CPU_Asignado,Sucursal_Asignada,"",0))</f>
        <v/>
      </c>
      <c r="S5" s="5" t="str">
        <f t="array" ref="S5">IF(OR($A5="",ISBLANK(XLOOKUP($A5,CPU_Asignado,Departamento_Asignado,"",0))),"",XLOOKUP($A5,CPU_Asignado,Departamento_Asignado,"",0))</f>
        <v/>
      </c>
      <c r="T5" s="5" t="str">
        <f t="array" ref="T5">IF(OR($A5="",ISBLANK(XLOOKUP($A5,CPU_Asignado,Nombres_Directorio,"",0))),"",XLOOKUP($A5,CPU_Asignado,Nombres_Directorio,"",0))</f>
        <v/>
      </c>
      <c r="U5" s="5" t="str">
        <f t="array" ref="U5">IF(OR($A5="",ISBLANK(XLOOKUP($A5,CPU_Asignado,Correos_Gmail,"",0))),"",XLOOKUP($A5,CPU_Asignado,Correos_Gmail,"",0))</f>
        <v/>
      </c>
      <c r="V5" s="5" t="str">
        <f t="array" ref="V5">IF(OR($A5="",ISBLANK(XLOOKUP($A5,CPU_Asignado,Correos_Institucionales,"",0))),"",XLOOKUP($A5,CPU_Asignado,Correos_Institucionales,"",0))</f>
        <v/>
      </c>
    </row>
    <row r="6">
      <c r="A6" s="56" t="s">
        <v>377</v>
      </c>
      <c r="B6" s="57"/>
      <c r="C6" s="57"/>
      <c r="D6" s="57"/>
      <c r="E6" s="55" t="s">
        <v>1084</v>
      </c>
      <c r="F6" s="5" t="s">
        <v>1112</v>
      </c>
      <c r="G6" s="5" t="s">
        <v>1113</v>
      </c>
      <c r="H6" s="5" t="s">
        <v>1087</v>
      </c>
      <c r="I6" s="5" t="s">
        <v>1114</v>
      </c>
      <c r="J6" s="5" t="s">
        <v>1099</v>
      </c>
      <c r="K6" s="5" t="s">
        <v>1100</v>
      </c>
      <c r="L6" s="5" t="s">
        <v>1091</v>
      </c>
      <c r="M6" s="5" t="s">
        <v>1101</v>
      </c>
      <c r="N6" s="5" t="s">
        <v>1115</v>
      </c>
      <c r="O6" s="5"/>
      <c r="P6" s="5" t="s">
        <v>1116</v>
      </c>
      <c r="Q6" s="5" t="str">
        <f t="array" ref="Q6">IF(OR($A6="",ISBLANK(XLOOKUP($A6,CPU_Asignado,Nombres_Directorio,"",0))),"",XLOOKUP($A6,CPU_Asignado,Nombres_Directorio,"",0))</f>
        <v>Félix Antonio Román Becerra</v>
      </c>
      <c r="R6" s="5" t="str">
        <f t="array" ref="R6">IF(OR($A6="",ISBLANK(XLOOKUP($A6,CPU_Asignado,Sucursal_Asignada,"",0))),"",XLOOKUP($A6,CPU_Asignado,Sucursal_Asignada,"",0))</f>
        <v>Corporativo</v>
      </c>
      <c r="S6" s="5" t="str">
        <f t="array" ref="S6">IF(OR($A6="",ISBLANK(XLOOKUP($A6,CPU_Asignado,Departamento_Asignado,"",0))),"",XLOOKUP($A6,CPU_Asignado,Departamento_Asignado,"",0))</f>
        <v>Refacciones</v>
      </c>
      <c r="T6" s="5" t="str">
        <f t="array" ref="T6">IF(OR($A6="",ISBLANK(XLOOKUP($A6,CPU_Asignado,Nombres_Directorio,"",0))),"",XLOOKUP($A6,CPU_Asignado,Nombres_Directorio,"",0))</f>
        <v>Félix Antonio Román Becerra</v>
      </c>
      <c r="U6" s="5" t="str">
        <f t="array" ref="U6">IF(OR($A6="",ISBLANK(XLOOKUP($A6,CPU_Asignado,Correos_Gmail,"",0))),"",XLOOKUP($A6,CPU_Asignado,Correos_Gmail,"",0))</f>
        <v>felix.roman@agrocisa.com.mx</v>
      </c>
      <c r="V6" s="5" t="str">
        <f t="array" ref="V6">IF(OR($A6="",ISBLANK(XLOOKUP($A6,CPU_Asignado,Correos_Institucionales,"",0))),"",XLOOKUP($A6,CPU_Asignado,Correos_Institucionales,"",0))</f>
        <v>felix.roman@agrocisa.com.mx</v>
      </c>
    </row>
    <row r="7">
      <c r="A7" s="5" t="s">
        <v>282</v>
      </c>
      <c r="B7" s="54"/>
      <c r="C7" s="54"/>
      <c r="D7" s="54"/>
      <c r="E7" s="55" t="s">
        <v>1084</v>
      </c>
      <c r="F7" s="5" t="s">
        <v>1085</v>
      </c>
      <c r="G7" s="5" t="s">
        <v>1117</v>
      </c>
      <c r="H7" s="5" t="s">
        <v>1107</v>
      </c>
      <c r="I7" s="5" t="s">
        <v>1118</v>
      </c>
      <c r="J7" s="5" t="s">
        <v>1099</v>
      </c>
      <c r="K7" s="5" t="s">
        <v>1100</v>
      </c>
      <c r="L7" s="5" t="s">
        <v>1091</v>
      </c>
      <c r="M7" s="5" t="s">
        <v>1101</v>
      </c>
      <c r="N7" s="5" t="s">
        <v>1119</v>
      </c>
      <c r="O7" s="5"/>
      <c r="P7" s="5" t="s">
        <v>1120</v>
      </c>
      <c r="Q7" s="5" t="str">
        <f t="array" ref="Q7">IF(OR($A7="",ISBLANK(XLOOKUP($A7,CPU_Asignado,Nombres_Directorio,"",0))),"",XLOOKUP($A7,CPU_Asignado,Nombres_Directorio,"",0))</f>
        <v>Andrea Guadalupe Cárdenas Cárdenas</v>
      </c>
      <c r="R7" s="5" t="str">
        <f t="array" ref="R7">IF(OR($A7="",ISBLANK(XLOOKUP($A7,CPU_Asignado,Sucursal_Asignada,"",0))),"",XLOOKUP($A7,CPU_Asignado,Sucursal_Asignada,"",0))</f>
        <v>Corporativo</v>
      </c>
      <c r="S7" s="5" t="str">
        <f t="array" ref="S7">IF(OR($A7="",ISBLANK(XLOOKUP($A7,CPU_Asignado,Departamento_Asignado,"",0))),"",XLOOKUP($A7,CPU_Asignado,Departamento_Asignado,"",0))</f>
        <v>Maquinaria Agrícola y Construcción</v>
      </c>
      <c r="T7" s="5" t="str">
        <f t="array" ref="T7">IF(OR($A7="",ISBLANK(XLOOKUP($A7,CPU_Asignado,Nombres_Directorio,"",0))),"",XLOOKUP($A7,CPU_Asignado,Nombres_Directorio,"",0))</f>
        <v>Andrea Guadalupe Cárdenas Cárdenas</v>
      </c>
      <c r="U7" s="5" t="str">
        <f t="array" ref="U7">IF(OR($A7="",ISBLANK(XLOOKUP($A7,CPU_Asignado,Correos_Gmail,"",0))),"",XLOOKUP($A7,CPU_Asignado,Correos_Gmail,"",0))</f>
        <v>recepcion@agrocisa.com.mx</v>
      </c>
      <c r="V7" s="5" t="str">
        <f t="array" ref="V7">IF(OR($A7="",ISBLANK(XLOOKUP($A7,CPU_Asignado,Correos_Institucionales,"",0))),"",XLOOKUP($A7,CPU_Asignado,Correos_Institucionales,"",0))</f>
        <v>recepcion@agrocisa.com.mx</v>
      </c>
    </row>
    <row r="8">
      <c r="A8" s="56" t="s">
        <v>1121</v>
      </c>
      <c r="B8" s="57"/>
      <c r="C8" s="57"/>
      <c r="D8" s="57"/>
      <c r="E8" s="55" t="s">
        <v>1084</v>
      </c>
      <c r="F8" s="5" t="s">
        <v>1085</v>
      </c>
      <c r="G8" s="5" t="s">
        <v>1122</v>
      </c>
      <c r="H8" s="5" t="s">
        <v>1087</v>
      </c>
      <c r="I8" s="5" t="s">
        <v>1123</v>
      </c>
      <c r="J8" s="5" t="s">
        <v>1099</v>
      </c>
      <c r="K8" s="5" t="s">
        <v>1100</v>
      </c>
      <c r="L8" s="5" t="s">
        <v>1091</v>
      </c>
      <c r="M8" s="5" t="s">
        <v>1090</v>
      </c>
      <c r="N8" s="5" t="s">
        <v>1124</v>
      </c>
      <c r="O8" s="5" t="s">
        <v>1125</v>
      </c>
      <c r="P8" s="5" t="s">
        <v>1126</v>
      </c>
      <c r="Q8" s="5" t="str">
        <f t="array" ref="Q8">IF(OR($A8="",ISBLANK(XLOOKUP($A8,CPU_Asignado,Nombres_Directorio,"",0))),"",XLOOKUP($A8,CPU_Asignado,Nombres_Directorio,"",0))</f>
        <v/>
      </c>
      <c r="R8" s="5" t="str">
        <f t="array" ref="R8">IF(OR($A8="",ISBLANK(XLOOKUP($A8,CPU_Asignado,Sucursal_Asignada,"",0))),"",XLOOKUP($A8,CPU_Asignado,Sucursal_Asignada,"",0))</f>
        <v/>
      </c>
      <c r="S8" s="5" t="str">
        <f t="array" ref="S8">IF(OR($A8="",ISBLANK(XLOOKUP($A8,CPU_Asignado,Departamento_Asignado,"",0))),"",XLOOKUP($A8,CPU_Asignado,Departamento_Asignado,"",0))</f>
        <v/>
      </c>
      <c r="T8" s="5" t="str">
        <f t="array" ref="T8">IF(OR($A8="",ISBLANK(XLOOKUP($A8,CPU_Asignado,Nombres_Directorio,"",0))),"",XLOOKUP($A8,CPU_Asignado,Nombres_Directorio,"",0))</f>
        <v/>
      </c>
      <c r="U8" s="5" t="str">
        <f t="array" ref="U8">IF(OR($A8="",ISBLANK(XLOOKUP($A8,CPU_Asignado,Correos_Gmail,"",0))),"",XLOOKUP($A8,CPU_Asignado,Correos_Gmail,"",0))</f>
        <v/>
      </c>
      <c r="V8" s="5" t="str">
        <f t="array" ref="V8">IF(OR($A8="",ISBLANK(XLOOKUP($A8,CPU_Asignado,Correos_Institucionales,"",0))),"",XLOOKUP($A8,CPU_Asignado,Correos_Institucionales,"",0))</f>
        <v/>
      </c>
    </row>
    <row r="9">
      <c r="A9" s="5" t="s">
        <v>279</v>
      </c>
      <c r="B9" s="54"/>
      <c r="C9" s="54">
        <v>4500.0</v>
      </c>
      <c r="D9" s="54"/>
      <c r="E9" s="55" t="s">
        <v>1127</v>
      </c>
      <c r="F9" s="5" t="s">
        <v>1085</v>
      </c>
      <c r="G9" s="5" t="s">
        <v>1097</v>
      </c>
      <c r="H9" s="5" t="s">
        <v>1087</v>
      </c>
      <c r="I9" s="5" t="s">
        <v>1088</v>
      </c>
      <c r="J9" s="5" t="s">
        <v>1128</v>
      </c>
      <c r="K9" s="5" t="s">
        <v>1100</v>
      </c>
      <c r="L9" s="5" t="s">
        <v>1091</v>
      </c>
      <c r="M9" s="5" t="s">
        <v>1090</v>
      </c>
      <c r="N9" s="40" t="s">
        <v>1129</v>
      </c>
      <c r="O9" s="5"/>
      <c r="P9" s="5" t="s">
        <v>1130</v>
      </c>
      <c r="Q9" s="5" t="str">
        <f t="array" ref="Q9">IF(OR($A9="",ISBLANK(XLOOKUP($A9,CPU_Asignado,Nombres_Directorio,"",0))),"",XLOOKUP($A9,CPU_Asignado,Nombres_Directorio,"",0))</f>
        <v>Arleth Paola Martínez Carreón</v>
      </c>
      <c r="R9" s="5" t="str">
        <f t="array" ref="R9">IF(OR($A9="",ISBLANK(XLOOKUP($A9,CPU_Asignado,Sucursal_Asignada,"",0))),"",XLOOKUP($A9,CPU_Asignado,Sucursal_Asignada,"",0))</f>
        <v>Corporativo</v>
      </c>
      <c r="S9" s="5" t="str">
        <f t="array" ref="S9">IF(OR($A9="",ISBLANK(XLOOKUP($A9,CPU_Asignado,Departamento_Asignado,"",0))),"",XLOOKUP($A9,CPU_Asignado,Departamento_Asignado,"",0))</f>
        <v>Maquinaria Agrícola y Construcción</v>
      </c>
      <c r="T9" s="5" t="str">
        <f t="array" ref="T9">IF(OR($A9="",ISBLANK(XLOOKUP($A9,CPU_Asignado,Nombres_Directorio,"",0))),"",XLOOKUP($A9,CPU_Asignado,Nombres_Directorio,"",0))</f>
        <v>Arleth Paola Martínez Carreón</v>
      </c>
      <c r="U9" s="5" t="str">
        <f t="array" ref="U9">IF(OR($A9="",ISBLANK(XLOOKUP($A9,CPU_Asignado,Correos_Gmail,"",0))),"",XLOOKUP($A9,CPU_Asignado,Correos_Gmail,"",0))</f>
        <v>ventaslabarca@agrocisa.com.mx</v>
      </c>
      <c r="V9" s="5" t="str">
        <f t="array" ref="V9">IF(OR($A9="",ISBLANK(XLOOKUP($A9,CPU_Asignado,Correos_Institucionales,"",0))),"",XLOOKUP($A9,CPU_Asignado,Correos_Institucionales,"",0))</f>
        <v>ventaslabarca@agrocisa.com.mx</v>
      </c>
    </row>
    <row r="10">
      <c r="A10" s="5" t="s">
        <v>178</v>
      </c>
      <c r="B10" s="54"/>
      <c r="C10" s="54"/>
      <c r="D10" s="54"/>
      <c r="E10" s="55" t="s">
        <v>1084</v>
      </c>
      <c r="F10" s="5"/>
      <c r="G10" s="5"/>
      <c r="H10" s="5"/>
      <c r="I10" s="5"/>
      <c r="J10" s="5"/>
      <c r="K10" s="5"/>
      <c r="L10" s="5"/>
      <c r="M10" s="5"/>
      <c r="N10" s="5" t="s">
        <v>1131</v>
      </c>
      <c r="O10" s="5"/>
      <c r="P10" s="5" t="s">
        <v>1126</v>
      </c>
      <c r="Q10" s="5" t="str">
        <f t="array" ref="Q10">IF(OR($A10="",ISBLANK(XLOOKUP($A10,CPU_Asignado,Nombres_Directorio,"",0))),"",XLOOKUP($A10,CPU_Asignado,Nombres_Directorio,"",0))</f>
        <v>Lucia Barboza Santiago</v>
      </c>
      <c r="R10" s="5" t="str">
        <f t="array" ref="R10">IF(OR($A10="",ISBLANK(XLOOKUP($A10,CPU_Asignado,Sucursal_Asignada,"",0))),"",XLOOKUP($A10,CPU_Asignado,Sucursal_Asignada,"",0))</f>
        <v>Corporativo</v>
      </c>
      <c r="S10" s="5" t="str">
        <f t="array" ref="S10">IF(OR($A10="",ISBLANK(XLOOKUP($A10,CPU_Asignado,Departamento_Asignado,"",0))),"",XLOOKUP($A10,CPU_Asignado,Departamento_Asignado,"",0))</f>
        <v>Crédito y Cobranza</v>
      </c>
      <c r="T10" s="5" t="str">
        <f t="array" ref="T10">IF(OR($A10="",ISBLANK(XLOOKUP($A10,CPU_Asignado,Nombres_Directorio,"",0))),"",XLOOKUP($A10,CPU_Asignado,Nombres_Directorio,"",0))</f>
        <v>Lucia Barboza Santiago</v>
      </c>
      <c r="U10" s="5" t="str">
        <f t="array" ref="U10">IF(OR($A10="",ISBLANK(XLOOKUP($A10,CPU_Asignado,Correos_Gmail,"",0))),"",XLOOKUP($A10,CPU_Asignado,Correos_Gmail,"",0))</f>
        <v>lbarboza.agro@gmail.com</v>
      </c>
      <c r="V10" s="5" t="str">
        <f t="array" ref="V10">IF(OR($A10="",ISBLANK(XLOOKUP($A10,CPU_Asignado,Correos_Institucionales,"",0))),"",XLOOKUP($A10,CPU_Asignado,Correos_Institucionales,"",0))</f>
        <v>lucia.barboza@agrocisa.com.mx</v>
      </c>
    </row>
    <row r="11">
      <c r="A11" s="5" t="s">
        <v>513</v>
      </c>
      <c r="B11" s="54" t="s">
        <v>1132</v>
      </c>
      <c r="C11" s="54">
        <v>4500.0</v>
      </c>
      <c r="D11" s="54"/>
      <c r="E11" s="55" t="s">
        <v>1084</v>
      </c>
      <c r="F11" s="5" t="s">
        <v>1085</v>
      </c>
      <c r="G11" s="5" t="s">
        <v>1097</v>
      </c>
      <c r="H11" s="5" t="s">
        <v>1087</v>
      </c>
      <c r="I11" s="5" t="s">
        <v>1133</v>
      </c>
      <c r="J11" s="5" t="s">
        <v>1099</v>
      </c>
      <c r="K11" s="5" t="s">
        <v>1100</v>
      </c>
      <c r="L11" s="5" t="s">
        <v>1091</v>
      </c>
      <c r="M11" s="5" t="s">
        <v>1101</v>
      </c>
      <c r="N11" s="5" t="s">
        <v>1134</v>
      </c>
      <c r="O11" s="5"/>
      <c r="P11" s="5" t="s">
        <v>1116</v>
      </c>
      <c r="Q11" s="5" t="str">
        <f t="array" ref="Q11">IF(OR($A11="",ISBLANK(XLOOKUP($A11,CPU_Asignado,Nombres_Directorio,"",0))),"",XLOOKUP($A11,CPU_Asignado,Nombres_Directorio,"",0))</f>
        <v>Rafael Godínez Ramirez</v>
      </c>
      <c r="R11" s="5" t="str">
        <f t="array" ref="R11">IF(OR($A11="",ISBLANK(XLOOKUP($A11,CPU_Asignado,Sucursal_Asignada,"",0))),"",XLOOKUP($A11,CPU_Asignado,Sucursal_Asignada,"",0))</f>
        <v>La Piedad</v>
      </c>
      <c r="S11" s="5" t="str">
        <f t="array" ref="S11">IF(OR($A11="",ISBLANK(XLOOKUP($A11,CPU_Asignado,Departamento_Asignado,"",0))),"",XLOOKUP($A11,CPU_Asignado,Departamento_Asignado,"",0))</f>
        <v>Maquinaria Agrícola</v>
      </c>
      <c r="T11" s="5" t="str">
        <f t="array" ref="T11">IF(OR($A11="",ISBLANK(XLOOKUP($A11,CPU_Asignado,Nombres_Directorio,"",0))),"",XLOOKUP($A11,CPU_Asignado,Nombres_Directorio,"",0))</f>
        <v>Rafael Godínez Ramirez</v>
      </c>
      <c r="U11" s="5" t="str">
        <f t="array" ref="U11">IF(OR($A11="",ISBLANK(XLOOKUP($A11,CPU_Asignado,Correos_Gmail,"",0))),"",XLOOKUP($A11,CPU_Asignado,Correos_Gmail,"",0))</f>
        <v>zonabajiolp14@agrocisa.com.mx</v>
      </c>
      <c r="V11" s="5" t="str">
        <f t="array" ref="V11">IF(OR($A11="",ISBLANK(XLOOKUP($A11,CPU_Asignado,Correos_Institucionales,"",0))),"",XLOOKUP($A11,CPU_Asignado,Correos_Institucionales,"",0))</f>
        <v>zonabajiolp14@agrocisa.com.mx</v>
      </c>
    </row>
    <row r="12">
      <c r="A12" s="40" t="s">
        <v>138</v>
      </c>
      <c r="B12" s="58"/>
      <c r="C12" s="58"/>
      <c r="D12" s="58"/>
      <c r="E12" s="59" t="s">
        <v>1084</v>
      </c>
      <c r="F12" s="40"/>
      <c r="G12" s="40"/>
      <c r="H12" s="40"/>
      <c r="I12" s="40"/>
      <c r="J12" s="40"/>
      <c r="K12" s="40"/>
      <c r="L12" s="40"/>
      <c r="M12" s="40"/>
      <c r="N12" s="40" t="s">
        <v>1135</v>
      </c>
      <c r="O12" s="40"/>
      <c r="P12" s="40" t="s">
        <v>1136</v>
      </c>
      <c r="Q12" s="40" t="str">
        <f t="array" ref="Q12">IF(OR($A12="",ISBLANK(XLOOKUP($A12,CPU_Asignado,Nombres_Directorio,"",0))),"",XLOOKUP($A12,CPU_Asignado,Nombres_Directorio,"",0))</f>
        <v>Juan Antonio Lara Mendoza</v>
      </c>
      <c r="R12" s="40" t="str">
        <f t="array" ref="R12">IF(OR($A12="",ISBLANK(XLOOKUP($A12,CPU_Asignado,Sucursal_Asignada,"",0))),"",XLOOKUP($A12,CPU_Asignado,Sucursal_Asignada,"",0))</f>
        <v>Corporativo</v>
      </c>
      <c r="S12" s="40" t="str">
        <f t="array" ref="S12">IF(OR($A12="",ISBLANK(XLOOKUP($A12,CPU_Asignado,Departamento_Asignado,"",0))),"",XLOOKUP($A12,CPU_Asignado,Departamento_Asignado,"",0))</f>
        <v>Contabilidad</v>
      </c>
      <c r="T12" s="40" t="str">
        <f t="array" ref="T12">IF(OR($A12="",ISBLANK(XLOOKUP($A12,CPU_Asignado,Nombres_Directorio,"",0))),"",XLOOKUP($A12,CPU_Asignado,Nombres_Directorio,"",0))</f>
        <v>Juan Antonio Lara Mendoza</v>
      </c>
      <c r="U12" s="40" t="str">
        <f t="array" ref="U12">IF(OR($A12="",ISBLANK(XLOOKUP($A12,CPU_Asignado,Correos_Gmail,"",0))),"",XLOOKUP($A12,CPU_Asignado,Correos_Gmail,"",0))</f>
        <v>antonio.lara@agrocisa.com.mx</v>
      </c>
      <c r="V12" s="40" t="str">
        <f t="array" ref="V12">IF(OR($A12="",ISBLANK(XLOOKUP($A12,CPU_Asignado,Correos_Institucionales,"",0))),"",XLOOKUP($A12,CPU_Asignado,Correos_Institucionales,"",0))</f>
        <v>juan.lara@agrocisa.com.mx</v>
      </c>
    </row>
    <row r="13">
      <c r="A13" s="5" t="s">
        <v>147</v>
      </c>
      <c r="B13" s="54"/>
      <c r="C13" s="54"/>
      <c r="D13" s="54"/>
      <c r="E13" s="55" t="s">
        <v>1084</v>
      </c>
      <c r="F13" s="5" t="s">
        <v>1112</v>
      </c>
      <c r="G13" s="5" t="s">
        <v>1137</v>
      </c>
      <c r="H13" s="5" t="s">
        <v>1087</v>
      </c>
      <c r="I13" s="5" t="s">
        <v>1138</v>
      </c>
      <c r="J13" s="5" t="s">
        <v>1089</v>
      </c>
      <c r="K13" s="5" t="s">
        <v>1090</v>
      </c>
      <c r="L13" s="5" t="s">
        <v>1091</v>
      </c>
      <c r="M13" s="5" t="s">
        <v>1092</v>
      </c>
      <c r="N13" s="5" t="s">
        <v>1139</v>
      </c>
      <c r="O13" s="5"/>
      <c r="P13" s="5" t="s">
        <v>1136</v>
      </c>
      <c r="Q13" s="5" t="str">
        <f t="array" ref="Q13">IF(OR($A13="",ISBLANK(XLOOKUP($A13,CPU_Asignado,Nombres_Directorio,"",0))),"",XLOOKUP($A13,CPU_Asignado,Nombres_Directorio,"",0))</f>
        <v>Nancy Esmeralda Carrillo González</v>
      </c>
      <c r="R13" s="5" t="str">
        <f t="array" ref="R13">IF(OR($A13="",ISBLANK(XLOOKUP($A13,CPU_Asignado,Sucursal_Asignada,"",0))),"",XLOOKUP($A13,CPU_Asignado,Sucursal_Asignada,"",0))</f>
        <v>Corporativo</v>
      </c>
      <c r="S13" s="5" t="str">
        <f t="array" ref="S13">IF(OR($A13="",ISBLANK(XLOOKUP($A13,CPU_Asignado,Departamento_Asignado,"",0))),"",XLOOKUP($A13,CPU_Asignado,Departamento_Asignado,"",0))</f>
        <v>Contabilidad</v>
      </c>
      <c r="T13" s="5" t="str">
        <f t="array" ref="T13">IF(OR($A13="",ISBLANK(XLOOKUP($A13,CPU_Asignado,Nombres_Directorio,"",0))),"",XLOOKUP($A13,CPU_Asignado,Nombres_Directorio,"",0))</f>
        <v>Nancy Esmeralda Carrillo González</v>
      </c>
      <c r="U13" s="5" t="str">
        <f t="array" ref="U13">IF(OR($A13="",ISBLANK(XLOOKUP($A13,CPU_Asignado,Correos_Gmail,"",0))),"",XLOOKUP($A13,CPU_Asignado,Correos_Gmail,"",0))</f>
        <v>ncarrillo.agro@gmail.com</v>
      </c>
      <c r="V13" s="5" t="str">
        <f t="array" ref="V13">IF(OR($A13="",ISBLANK(XLOOKUP($A13,CPU_Asignado,Correos_Institucionales,"",0))),"",XLOOKUP($A13,CPU_Asignado,Correos_Institucionales,"",0))</f>
        <v>nancy.carrillo@agrocisa.com.mx</v>
      </c>
    </row>
    <row r="14">
      <c r="A14" s="40" t="s">
        <v>142</v>
      </c>
      <c r="B14" s="58"/>
      <c r="C14" s="58">
        <v>5000.0</v>
      </c>
      <c r="D14" s="58"/>
      <c r="E14" s="59" t="s">
        <v>1140</v>
      </c>
      <c r="F14" s="40"/>
      <c r="G14" s="40"/>
      <c r="H14" s="40"/>
      <c r="I14" s="40"/>
      <c r="J14" s="40"/>
      <c r="K14" s="40"/>
      <c r="L14" s="40"/>
      <c r="M14" s="40" t="s">
        <v>1092</v>
      </c>
      <c r="N14" s="40" t="s">
        <v>1141</v>
      </c>
      <c r="O14" s="40"/>
      <c r="P14" s="40" t="s">
        <v>1136</v>
      </c>
      <c r="Q14" s="40" t="str">
        <f t="array" ref="Q14">IF(OR($A14="",ISBLANK(XLOOKUP($A14,CPU_Asignado,Nombres_Directorio,"",0))),"",XLOOKUP($A14,CPU_Asignado,Nombres_Directorio,"",0))</f>
        <v>María Rodríguez González</v>
      </c>
      <c r="R14" s="40" t="str">
        <f t="array" ref="R14">IF(OR($A14="",ISBLANK(XLOOKUP($A14,CPU_Asignado,Sucursal_Asignada,"",0))),"",XLOOKUP($A14,CPU_Asignado,Sucursal_Asignada,"",0))</f>
        <v>Corporativo</v>
      </c>
      <c r="S14" s="40" t="str">
        <f t="array" ref="S14">IF(OR($A14="",ISBLANK(XLOOKUP($A14,CPU_Asignado,Departamento_Asignado,"",0))),"",XLOOKUP($A14,CPU_Asignado,Departamento_Asignado,"",0))</f>
        <v>Contabilidad</v>
      </c>
      <c r="T14" s="40" t="str">
        <f t="array" ref="T14">IF(OR($A14="",ISBLANK(XLOOKUP($A14,CPU_Asignado,Nombres_Directorio,"",0))),"",XLOOKUP($A14,CPU_Asignado,Nombres_Directorio,"",0))</f>
        <v>María Rodríguez González</v>
      </c>
      <c r="U14" s="40" t="str">
        <f t="array" ref="U14">IF(OR($A14="",ISBLANK(XLOOKUP($A14,CPU_Asignado,Correos_Gmail,"",0))),"",XLOOKUP($A14,CPU_Asignado,Correos_Gmail,"",0))</f>
        <v>mariarodriguez.agro@gmail.com</v>
      </c>
      <c r="V14" s="40" t="str">
        <f t="array" ref="V14">IF(OR($A14="",ISBLANK(XLOOKUP($A14,CPU_Asignado,Correos_Institucionales,"",0))),"",XLOOKUP($A14,CPU_Asignado,Correos_Institucionales,"",0))</f>
        <v>maria.rodriguez@agrocisa.com.mx</v>
      </c>
    </row>
    <row r="15">
      <c r="A15" s="40" t="s">
        <v>152</v>
      </c>
      <c r="B15" s="58"/>
      <c r="C15" s="58"/>
      <c r="D15" s="58"/>
      <c r="E15" s="59" t="s">
        <v>1084</v>
      </c>
      <c r="F15" s="40"/>
      <c r="G15" s="40"/>
      <c r="H15" s="40"/>
      <c r="I15" s="40"/>
      <c r="J15" s="40"/>
      <c r="K15" s="40"/>
      <c r="L15" s="40"/>
      <c r="M15" s="40" t="s">
        <v>1092</v>
      </c>
      <c r="N15" s="40" t="s">
        <v>1142</v>
      </c>
      <c r="O15" s="40"/>
      <c r="P15" s="40" t="s">
        <v>1136</v>
      </c>
      <c r="Q15" s="40" t="str">
        <f t="array" ref="Q15">IF(OR($A15="",ISBLANK(XLOOKUP($A15,CPU_Asignado,Nombres_Directorio,"",0))),"",XLOOKUP($A15,CPU_Asignado,Nombres_Directorio,"",0))</f>
        <v>Ramona Araceli Palos Chairez</v>
      </c>
      <c r="R15" s="40" t="str">
        <f t="array" ref="R15">IF(OR($A15="",ISBLANK(XLOOKUP($A15,CPU_Asignado,Sucursal_Asignada,"",0))),"",XLOOKUP($A15,CPU_Asignado,Sucursal_Asignada,"",0))</f>
        <v>Corporativo</v>
      </c>
      <c r="S15" s="40" t="str">
        <f t="array" ref="S15">IF(OR($A15="",ISBLANK(XLOOKUP($A15,CPU_Asignado,Departamento_Asignado,"",0))),"",XLOOKUP($A15,CPU_Asignado,Departamento_Asignado,"",0))</f>
        <v>Contabilidad</v>
      </c>
      <c r="T15" s="40" t="str">
        <f t="array" ref="T15">IF(OR($A15="",ISBLANK(XLOOKUP($A15,CPU_Asignado,Nombres_Directorio,"",0))),"",XLOOKUP($A15,CPU_Asignado,Nombres_Directorio,"",0))</f>
        <v>Ramona Araceli Palos Chairez</v>
      </c>
      <c r="U15" s="40" t="str">
        <f t="array" ref="U15">IF(OR($A15="",ISBLANK(XLOOKUP($A15,CPU_Asignado,Correos_Gmail,"",0))),"",XLOOKUP($A15,CPU_Asignado,Correos_Gmail,"",0))</f>
        <v>arpalos.agro@gmail.com</v>
      </c>
      <c r="V15" s="40" t="str">
        <f t="array" ref="V15">IF(OR($A15="",ISBLANK(XLOOKUP($A15,CPU_Asignado,Correos_Institucionales,"",0))),"",XLOOKUP($A15,CPU_Asignado,Correos_Institucionales,"",0))</f>
        <v>araceli.palos@agrocisa.com.mx</v>
      </c>
    </row>
    <row r="16">
      <c r="A16" s="5" t="s">
        <v>172</v>
      </c>
      <c r="B16" s="54"/>
      <c r="C16" s="54">
        <v>5600.0</v>
      </c>
      <c r="D16" s="54"/>
      <c r="E16" s="55" t="s">
        <v>1143</v>
      </c>
      <c r="F16" s="5" t="s">
        <v>1144</v>
      </c>
      <c r="G16" s="5" t="s">
        <v>1122</v>
      </c>
      <c r="H16" s="5" t="s">
        <v>1087</v>
      </c>
      <c r="I16" s="5" t="s">
        <v>1123</v>
      </c>
      <c r="J16" s="5" t="s">
        <v>1099</v>
      </c>
      <c r="K16" s="5" t="s">
        <v>1100</v>
      </c>
      <c r="L16" s="5" t="s">
        <v>1091</v>
      </c>
      <c r="M16" s="5" t="s">
        <v>1101</v>
      </c>
      <c r="N16" s="5" t="s">
        <v>1145</v>
      </c>
      <c r="O16" s="5"/>
      <c r="P16" s="5" t="s">
        <v>1130</v>
      </c>
      <c r="Q16" s="5" t="str">
        <f t="array" ref="Q16">IF(OR($A16="",ISBLANK(XLOOKUP($A16,CPU_Asignado,Nombres_Directorio,"",0))),"",XLOOKUP($A16,CPU_Asignado,Nombres_Directorio,"",0))</f>
        <v>Patricia Lorena Covarrubias Tello</v>
      </c>
      <c r="R16" s="5" t="str">
        <f t="array" ref="R16">IF(OR($A16="",ISBLANK(XLOOKUP($A16,CPU_Asignado,Sucursal_Asignada,"",0))),"",XLOOKUP($A16,CPU_Asignado,Sucursal_Asignada,"",0))</f>
        <v>Corporativo</v>
      </c>
      <c r="S16" s="5" t="str">
        <f t="array" ref="S16">IF(OR($A16="",ISBLANK(XLOOKUP($A16,CPU_Asignado,Departamento_Asignado,"",0))),"",XLOOKUP($A16,CPU_Asignado,Departamento_Asignado,"",0))</f>
        <v>Crédito y Cobranza</v>
      </c>
      <c r="T16" s="5" t="str">
        <f t="array" ref="T16">IF(OR($A16="",ISBLANK(XLOOKUP($A16,CPU_Asignado,Nombres_Directorio,"",0))),"",XLOOKUP($A16,CPU_Asignado,Nombres_Directorio,"",0))</f>
        <v>Patricia Lorena Covarrubias Tello</v>
      </c>
      <c r="U16" s="5" t="str">
        <f t="array" ref="U16">IF(OR($A16="",ISBLANK(XLOOKUP($A16,CPU_Asignado,Correos_Gmail,"",0))),"",XLOOKUP($A16,CPU_Asignado,Correos_Gmail,"",0))</f>
        <v>auxiliarcredito.agro@gmail.com</v>
      </c>
      <c r="V16" s="5" t="str">
        <f t="array" ref="V16">IF(OR($A16="",ISBLANK(XLOOKUP($A16,CPU_Asignado,Correos_Institucionales,"",0))),"",XLOOKUP($A16,CPU_Asignado,Correos_Institucionales,"",0))</f>
        <v>credito01@agrocisa.com.mx</v>
      </c>
    </row>
    <row r="17">
      <c r="A17" s="5" t="s">
        <v>168</v>
      </c>
      <c r="B17" s="54"/>
      <c r="C17" s="54"/>
      <c r="D17" s="54"/>
      <c r="E17" s="55" t="s">
        <v>1084</v>
      </c>
      <c r="F17" s="5" t="s">
        <v>1085</v>
      </c>
      <c r="G17" s="5" t="s">
        <v>1086</v>
      </c>
      <c r="H17" s="5" t="s">
        <v>1087</v>
      </c>
      <c r="I17" s="5" t="s">
        <v>1088</v>
      </c>
      <c r="J17" s="5" t="s">
        <v>1099</v>
      </c>
      <c r="K17" s="5" t="s">
        <v>1100</v>
      </c>
      <c r="L17" s="5" t="s">
        <v>1091</v>
      </c>
      <c r="M17" s="5" t="s">
        <v>1101</v>
      </c>
      <c r="N17" s="5" t="s">
        <v>1146</v>
      </c>
      <c r="O17" s="5"/>
      <c r="P17" s="5" t="s">
        <v>1103</v>
      </c>
      <c r="Q17" s="5" t="str">
        <f t="array" ref="Q17">IF(OR($A17="",ISBLANK(XLOOKUP($A17,CPU_Asignado,Nombres_Directorio,"",0))),"",XLOOKUP($A17,CPU_Asignado,Nombres_Directorio,"",0))</f>
        <v>Dulce Sahagún Serna</v>
      </c>
      <c r="R17" s="5" t="str">
        <f t="array" ref="R17">IF(OR($A17="",ISBLANK(XLOOKUP($A17,CPU_Asignado,Sucursal_Asignada,"",0))),"",XLOOKUP($A17,CPU_Asignado,Sucursal_Asignada,"",0))</f>
        <v>Corporativo</v>
      </c>
      <c r="S17" s="5" t="str">
        <f t="array" ref="S17">IF(OR($A17="",ISBLANK(XLOOKUP($A17,CPU_Asignado,Departamento_Asignado,"",0))),"",XLOOKUP($A17,CPU_Asignado,Departamento_Asignado,"",0))</f>
        <v>Crédito y Cobranza</v>
      </c>
      <c r="T17" s="5" t="str">
        <f t="array" ref="T17">IF(OR($A17="",ISBLANK(XLOOKUP($A17,CPU_Asignado,Nombres_Directorio,"",0))),"",XLOOKUP($A17,CPU_Asignado,Nombres_Directorio,"",0))</f>
        <v>Dulce Sahagún Serna</v>
      </c>
      <c r="U17" s="5" t="str">
        <f t="array" ref="U17">IF(OR($A17="",ISBLANK(XLOOKUP($A17,CPU_Asignado,Correos_Gmail,"",0))),"",XLOOKUP($A17,CPU_Asignado,Correos_Gmail,"",0))</f>
        <v>credito03.agro@gmail.com</v>
      </c>
      <c r="V17" s="5" t="str">
        <f t="array" ref="V17">IF(OR($A17="",ISBLANK(XLOOKUP($A17,CPU_Asignado,Correos_Institucionales,"",0))),"",XLOOKUP($A17,CPU_Asignado,Correos_Institucionales,"",0))</f>
        <v>credito03@agrocisa.com.mx</v>
      </c>
    </row>
    <row r="18">
      <c r="A18" s="5" t="s">
        <v>163</v>
      </c>
      <c r="B18" s="54"/>
      <c r="C18" s="54"/>
      <c r="D18" s="54"/>
      <c r="E18" s="55" t="s">
        <v>1084</v>
      </c>
      <c r="F18" s="5" t="s">
        <v>1147</v>
      </c>
      <c r="G18" s="5" t="s">
        <v>1148</v>
      </c>
      <c r="H18" s="5" t="s">
        <v>1087</v>
      </c>
      <c r="I18" s="5" t="s">
        <v>1149</v>
      </c>
      <c r="J18" s="5" t="s">
        <v>1099</v>
      </c>
      <c r="K18" s="5" t="s">
        <v>1100</v>
      </c>
      <c r="L18" s="5" t="s">
        <v>1091</v>
      </c>
      <c r="M18" s="5" t="s">
        <v>1150</v>
      </c>
      <c r="N18" s="5" t="s">
        <v>1151</v>
      </c>
      <c r="O18" s="5"/>
      <c r="P18" s="5" t="s">
        <v>1130</v>
      </c>
      <c r="Q18" s="5" t="str">
        <f t="array" ref="Q18">IF(OR($A18="",ISBLANK(XLOOKUP($A18,CPU_Asignado,Nombres_Directorio,"",0))),"",XLOOKUP($A18,CPU_Asignado,Nombres_Directorio,"",0))</f>
        <v>Brenda Guadalupe Martínez Aguilar</v>
      </c>
      <c r="R18" s="5" t="str">
        <f t="array" ref="R18">IF(OR($A18="",ISBLANK(XLOOKUP($A18,CPU_Asignado,Sucursal_Asignada,"",0))),"",XLOOKUP($A18,CPU_Asignado,Sucursal_Asignada,"",0))</f>
        <v>Corporativo</v>
      </c>
      <c r="S18" s="5" t="str">
        <f t="array" ref="S18">IF(OR($A18="",ISBLANK(XLOOKUP($A18,CPU_Asignado,Departamento_Asignado,"",0))),"",XLOOKUP($A18,CPU_Asignado,Departamento_Asignado,"",0))</f>
        <v>Crédito y Cobranza</v>
      </c>
      <c r="T18" s="5" t="str">
        <f t="array" ref="T18">IF(OR($A18="",ISBLANK(XLOOKUP($A18,CPU_Asignado,Nombres_Directorio,"",0))),"",XLOOKUP($A18,CPU_Asignado,Nombres_Directorio,"",0))</f>
        <v>Brenda Guadalupe Martínez Aguilar</v>
      </c>
      <c r="U18" s="5" t="str">
        <f t="array" ref="U18">IF(OR($A18="",ISBLANK(XLOOKUP($A18,CPU_Asignado,Correos_Gmail,"",0))),"",XLOOKUP($A18,CPU_Asignado,Correos_Gmail,"",0))</f>
        <v>brenda.martinez@agrocisa.com.mx</v>
      </c>
      <c r="V18" s="5" t="str">
        <f t="array" ref="V18">IF(OR($A18="",ISBLANK(XLOOKUP($A18,CPU_Asignado,Correos_Institucionales,"",0))),"",XLOOKUP($A18,CPU_Asignado,Correos_Institucionales,"",0))</f>
        <v>brenda.martinez@agrocisa.com.mx</v>
      </c>
    </row>
    <row r="19">
      <c r="A19" s="5" t="s">
        <v>105</v>
      </c>
      <c r="B19" s="54" t="s">
        <v>1132</v>
      </c>
      <c r="C19" s="54"/>
      <c r="D19" s="54"/>
      <c r="E19" s="55" t="s">
        <v>1084</v>
      </c>
      <c r="F19" s="5" t="s">
        <v>1112</v>
      </c>
      <c r="G19" s="5" t="s">
        <v>1137</v>
      </c>
      <c r="H19" s="5" t="s">
        <v>1087</v>
      </c>
      <c r="I19" s="5" t="s">
        <v>1138</v>
      </c>
      <c r="J19" s="5" t="s">
        <v>1089</v>
      </c>
      <c r="K19" s="5" t="s">
        <v>1090</v>
      </c>
      <c r="L19" s="5" t="s">
        <v>1091</v>
      </c>
      <c r="M19" s="5" t="s">
        <v>1092</v>
      </c>
      <c r="N19" s="5" t="s">
        <v>1152</v>
      </c>
      <c r="O19" s="5"/>
      <c r="P19" s="5" t="s">
        <v>1120</v>
      </c>
      <c r="Q19" s="5" t="str">
        <f t="array" ref="Q19">IF(OR($A19="",ISBLANK(XLOOKUP($A19,CPU_Asignado,Nombres_Directorio,"",0))),"",XLOOKUP($A19,CPU_Asignado,Nombres_Directorio,"",0))</f>
        <v>Isela María Guadalupe Rodríguez Estrada</v>
      </c>
      <c r="R19" s="5" t="str">
        <f t="array" ref="R19">IF(OR($A19="",ISBLANK(XLOOKUP($A19,CPU_Asignado,Sucursal_Asignada,"",0))),"",XLOOKUP($A19,CPU_Asignado,Sucursal_Asignada,"",0))</f>
        <v>Corporativo</v>
      </c>
      <c r="S19" s="5" t="str">
        <f t="array" ref="S19">IF(OR($A19="",ISBLANK(XLOOKUP($A19,CPU_Asignado,Departamento_Asignado,"",0))),"",XLOOKUP($A19,CPU_Asignado,Departamento_Asignado,"",0))</f>
        <v>Capital Humano</v>
      </c>
      <c r="T19" s="5" t="str">
        <f t="array" ref="T19">IF(OR($A19="",ISBLANK(XLOOKUP($A19,CPU_Asignado,Nombres_Directorio,"",0))),"",XLOOKUP($A19,CPU_Asignado,Nombres_Directorio,"",0))</f>
        <v>Isela María Guadalupe Rodríguez Estrada</v>
      </c>
      <c r="U19" s="5" t="str">
        <f t="array" ref="U19">IF(OR($A19="",ISBLANK(XLOOKUP($A19,CPU_Asignado,Correos_Gmail,"",0))),"",XLOOKUP($A19,CPU_Asignado,Correos_Gmail,"",0))</f>
        <v>isela.rhagrocisa@gmail.com</v>
      </c>
      <c r="V19" s="5" t="str">
        <f t="array" ref="V19">IF(OR($A19="",ISBLANK(XLOOKUP($A19,CPU_Asignado,Correos_Institucionales,"",0))),"",XLOOKUP($A19,CPU_Asignado,Correos_Institucionales,"",0))</f>
        <v>isela.rodriguez@agrocisa.com.mx</v>
      </c>
    </row>
    <row r="20">
      <c r="A20" s="5" t="s">
        <v>91</v>
      </c>
      <c r="B20" s="54" t="s">
        <v>1132</v>
      </c>
      <c r="C20" s="57"/>
      <c r="D20" s="57"/>
      <c r="E20" s="55" t="s">
        <v>1084</v>
      </c>
      <c r="F20" s="5" t="s">
        <v>1085</v>
      </c>
      <c r="G20" s="5" t="s">
        <v>1153</v>
      </c>
      <c r="H20" s="5" t="s">
        <v>1154</v>
      </c>
      <c r="I20" s="5" t="s">
        <v>1155</v>
      </c>
      <c r="J20" s="5" t="s">
        <v>1099</v>
      </c>
      <c r="K20" s="5" t="s">
        <v>1100</v>
      </c>
      <c r="L20" s="5" t="s">
        <v>223</v>
      </c>
      <c r="M20" s="5" t="s">
        <v>1156</v>
      </c>
      <c r="N20" s="5" t="s">
        <v>1157</v>
      </c>
      <c r="O20" s="5"/>
      <c r="P20" s="5" t="s">
        <v>1126</v>
      </c>
      <c r="Q20" s="5" t="str">
        <f t="array" ref="Q20">IF(OR($A20="",ISBLANK(XLOOKUP($A20,CPU_Asignado,Nombres_Directorio,"",0))),"",XLOOKUP($A20,CPU_Asignado,Nombres_Directorio,"",0))</f>
        <v>Mariana Álvarez Estrada</v>
      </c>
      <c r="R20" s="5" t="str">
        <f t="array" ref="R20">IF(OR($A20="",ISBLANK(XLOOKUP($A20,CPU_Asignado,Sucursal_Asignada,"",0))),"",XLOOKUP($A20,CPU_Asignado,Sucursal_Asignada,"",0))</f>
        <v>Corporativo</v>
      </c>
      <c r="S20" s="5" t="str">
        <f t="array" ref="S20">IF(OR($A20="",ISBLANK(XLOOKUP($A20,CPU_Asignado,Departamento_Asignado,"",0))),"",XLOOKUP($A20,CPU_Asignado,Departamento_Asignado,"",0))</f>
        <v>Agricultura Inteligente</v>
      </c>
      <c r="T20" s="5" t="str">
        <f t="array" ref="T20">IF(OR($A20="",ISBLANK(XLOOKUP($A20,CPU_Asignado,Nombres_Directorio,"",0))),"",XLOOKUP($A20,CPU_Asignado,Nombres_Directorio,"",0))</f>
        <v>Mariana Álvarez Estrada</v>
      </c>
      <c r="U20" s="5" t="str">
        <f t="array" ref="U20">IF(OR($A20="",ISBLANK(XLOOKUP($A20,CPU_Asignado,Correos_Gmail,"",0))),"",XLOOKUP($A20,CPU_Asignado,Correos_Gmail,"",0))</f>
        <v>mariana.alvarez@agrocisa.com.mx</v>
      </c>
      <c r="V20" s="5" t="str">
        <f t="array" ref="V20">IF(OR($A20="",ISBLANK(XLOOKUP($A20,CPU_Asignado,Correos_Institucionales,"",0))),"",XLOOKUP($A20,CPU_Asignado,Correos_Institucionales,"",0))</f>
        <v>mariana.alvarez@agrocisa.com.mx</v>
      </c>
    </row>
    <row r="21" ht="15.75" customHeight="1">
      <c r="A21" s="5" t="s">
        <v>1158</v>
      </c>
      <c r="B21" s="54"/>
      <c r="C21" s="54"/>
      <c r="D21" s="54"/>
      <c r="E21" s="55" t="s">
        <v>1084</v>
      </c>
      <c r="F21" s="5" t="s">
        <v>1112</v>
      </c>
      <c r="G21" s="5" t="s">
        <v>1159</v>
      </c>
      <c r="H21" s="5" t="s">
        <v>1087</v>
      </c>
      <c r="I21" s="5" t="s">
        <v>1160</v>
      </c>
      <c r="J21" s="5" t="s">
        <v>1161</v>
      </c>
      <c r="K21" s="5" t="s">
        <v>1090</v>
      </c>
      <c r="L21" s="5" t="s">
        <v>1091</v>
      </c>
      <c r="M21" s="5" t="s">
        <v>1092</v>
      </c>
      <c r="N21" s="5" t="s">
        <v>1162</v>
      </c>
      <c r="O21" s="5"/>
      <c r="P21" s="5" t="s">
        <v>1163</v>
      </c>
      <c r="Q21" s="5" t="str">
        <f t="array" ref="Q21">IF(OR($A21="",ISBLANK(XLOOKUP($A21,CPU_Asignado,Nombres_Directorio,"",0))),"",XLOOKUP($A21,CPU_Asignado,Nombres_Directorio,"",0))</f>
        <v/>
      </c>
      <c r="R21" s="5" t="str">
        <f t="array" ref="R21">IF(OR($A21="",ISBLANK(XLOOKUP($A21,CPU_Asignado,Sucursal_Asignada,"",0))),"",XLOOKUP($A21,CPU_Asignado,Sucursal_Asignada,"",0))</f>
        <v/>
      </c>
      <c r="S21" s="5" t="str">
        <f t="array" ref="S21">IF(OR($A21="",ISBLANK(XLOOKUP($A21,CPU_Asignado,Departamento_Asignado,"",0))),"",XLOOKUP($A21,CPU_Asignado,Departamento_Asignado,"",0))</f>
        <v/>
      </c>
      <c r="T21" s="5" t="str">
        <f t="array" ref="T21">IF(OR($A21="",ISBLANK(XLOOKUP($A21,CPU_Asignado,Nombres_Directorio,"",0))),"",XLOOKUP($A21,CPU_Asignado,Nombres_Directorio,"",0))</f>
        <v/>
      </c>
      <c r="U21" s="5" t="str">
        <f t="array" ref="U21">IF(OR($A21="",ISBLANK(XLOOKUP($A21,CPU_Asignado,Correos_Gmail,"",0))),"",XLOOKUP($A21,CPU_Asignado,Correos_Gmail,"",0))</f>
        <v/>
      </c>
      <c r="V21" s="5" t="str">
        <f t="array" ref="V21">IF(OR($A21="",ISBLANK(XLOOKUP($A21,CPU_Asignado,Correos_Institucionales,"",0))),"",XLOOKUP($A21,CPU_Asignado,Correos_Institucionales,"",0))</f>
        <v/>
      </c>
    </row>
    <row r="22" ht="15.75" customHeight="1">
      <c r="A22" s="5" t="s">
        <v>373</v>
      </c>
      <c r="B22" s="54"/>
      <c r="C22" s="54"/>
      <c r="D22" s="54"/>
      <c r="E22" s="55" t="s">
        <v>1084</v>
      </c>
      <c r="F22" s="5" t="s">
        <v>1164</v>
      </c>
      <c r="G22" s="5" t="s">
        <v>1113</v>
      </c>
      <c r="H22" s="5" t="s">
        <v>1087</v>
      </c>
      <c r="I22" s="5" t="s">
        <v>1123</v>
      </c>
      <c r="J22" s="5" t="s">
        <v>1099</v>
      </c>
      <c r="K22" s="5" t="s">
        <v>1100</v>
      </c>
      <c r="L22" s="5" t="s">
        <v>1091</v>
      </c>
      <c r="M22" s="5" t="s">
        <v>1092</v>
      </c>
      <c r="N22" s="5" t="s">
        <v>1165</v>
      </c>
      <c r="O22" s="5"/>
      <c r="P22" s="5" t="s">
        <v>1163</v>
      </c>
      <c r="Q22" s="5" t="str">
        <f t="array" ref="Q22">IF(OR($A22="",ISBLANK(XLOOKUP($A22,CPU_Asignado,Nombres_Directorio,"",0))),"",XLOOKUP($A22,CPU_Asignado,Nombres_Directorio,"",0))</f>
        <v>Damián Zaragoza Hernández</v>
      </c>
      <c r="R22" s="5" t="str">
        <f t="array" ref="R22">IF(OR($A22="",ISBLANK(XLOOKUP($A22,CPU_Asignado,Sucursal_Asignada,"",0))),"",XLOOKUP($A22,CPU_Asignado,Sucursal_Asignada,"",0))</f>
        <v>Corporativo</v>
      </c>
      <c r="S22" s="5" t="str">
        <f t="array" ref="S22">IF(OR($A22="",ISBLANK(XLOOKUP($A22,CPU_Asignado,Departamento_Asignado,"",0))),"",XLOOKUP($A22,CPU_Asignado,Departamento_Asignado,"",0))</f>
        <v>Refacciones</v>
      </c>
      <c r="T22" s="5" t="str">
        <f t="array" ref="T22">IF(OR($A22="",ISBLANK(XLOOKUP($A22,CPU_Asignado,Nombres_Directorio,"",0))),"",XLOOKUP($A22,CPU_Asignado,Nombres_Directorio,"",0))</f>
        <v>Damián Zaragoza Hernández</v>
      </c>
      <c r="U22" s="5" t="str">
        <f t="array" ref="U22">IF(OR($A22="",ISBLANK(XLOOKUP($A22,CPU_Asignado,Correos_Gmail,"",0))),"",XLOOKUP($A22,CPU_Asignado,Correos_Gmail,"",0))</f>
        <v>damian.zaragoza@agrocisa.com.mx</v>
      </c>
      <c r="V22" s="5" t="str">
        <f t="array" ref="V22">IF(OR($A22="",ISBLANK(XLOOKUP($A22,CPU_Asignado,Correos_Institucionales,"",0))),"",XLOOKUP($A22,CPU_Asignado,Correos_Institucionales,"",0))</f>
        <v>damian.zaragoza@agrocisa.com.mx</v>
      </c>
    </row>
    <row r="23" ht="15.75" customHeight="1">
      <c r="A23" s="5" t="s">
        <v>1166</v>
      </c>
      <c r="B23" s="54"/>
      <c r="C23" s="54"/>
      <c r="D23" s="54"/>
      <c r="E23" s="55" t="s">
        <v>1084</v>
      </c>
      <c r="F23" s="5" t="s">
        <v>1112</v>
      </c>
      <c r="G23" s="5" t="s">
        <v>1159</v>
      </c>
      <c r="H23" s="5" t="s">
        <v>1087</v>
      </c>
      <c r="I23" s="5" t="s">
        <v>1160</v>
      </c>
      <c r="J23" s="5" t="s">
        <v>1161</v>
      </c>
      <c r="K23" s="5" t="s">
        <v>1090</v>
      </c>
      <c r="L23" s="5" t="s">
        <v>1091</v>
      </c>
      <c r="M23" s="5" t="s">
        <v>1092</v>
      </c>
      <c r="N23" s="5" t="s">
        <v>1167</v>
      </c>
      <c r="O23" s="5"/>
      <c r="P23" s="5" t="s">
        <v>1163</v>
      </c>
      <c r="Q23" s="5" t="str">
        <f t="array" ref="Q23">IF(OR($A23="",ISBLANK(XLOOKUP($A23,CPU_Asignado,Nombres_Directorio,"",0))),"",XLOOKUP($A23,CPU_Asignado,Nombres_Directorio,"",0))</f>
        <v/>
      </c>
      <c r="R23" s="5" t="str">
        <f t="array" ref="R23">IF(OR($A23="",ISBLANK(XLOOKUP($A23,CPU_Asignado,Sucursal_Asignada,"",0))),"",XLOOKUP($A23,CPU_Asignado,Sucursal_Asignada,"",0))</f>
        <v/>
      </c>
      <c r="S23" s="5" t="str">
        <f t="array" ref="S23">IF(OR($A23="",ISBLANK(XLOOKUP($A23,CPU_Asignado,Departamento_Asignado,"",0))),"",XLOOKUP($A23,CPU_Asignado,Departamento_Asignado,"",0))</f>
        <v/>
      </c>
      <c r="T23" s="5" t="str">
        <f t="array" ref="T23">IF(OR($A23="",ISBLANK(XLOOKUP($A23,CPU_Asignado,Nombres_Directorio,"",0))),"",XLOOKUP($A23,CPU_Asignado,Nombres_Directorio,"",0))</f>
        <v/>
      </c>
      <c r="U23" s="5" t="str">
        <f t="array" ref="U23">IF(OR($A23="",ISBLANK(XLOOKUP($A23,CPU_Asignado,Correos_Gmail,"",0))),"",XLOOKUP($A23,CPU_Asignado,Correos_Gmail,"",0))</f>
        <v/>
      </c>
      <c r="V23" s="5" t="str">
        <f t="array" ref="V23">IF(OR($A23="",ISBLANK(XLOOKUP($A23,CPU_Asignado,Correos_Institucionales,"",0))),"",XLOOKUP($A23,CPU_Asignado,Correos_Institucionales,"",0))</f>
        <v/>
      </c>
    </row>
    <row r="24" ht="15.75" customHeight="1">
      <c r="A24" s="5" t="s">
        <v>1168</v>
      </c>
      <c r="B24" s="54"/>
      <c r="C24" s="54"/>
      <c r="D24" s="54"/>
      <c r="E24" s="55" t="s">
        <v>1084</v>
      </c>
      <c r="F24" s="5" t="s">
        <v>1169</v>
      </c>
      <c r="G24" s="5" t="s">
        <v>1170</v>
      </c>
      <c r="H24" s="5" t="s">
        <v>1087</v>
      </c>
      <c r="I24" s="5" t="s">
        <v>1171</v>
      </c>
      <c r="J24" s="5" t="s">
        <v>1089</v>
      </c>
      <c r="K24" s="5" t="s">
        <v>1090</v>
      </c>
      <c r="L24" s="5" t="s">
        <v>1091</v>
      </c>
      <c r="M24" s="5" t="s">
        <v>1092</v>
      </c>
      <c r="N24" s="5" t="s">
        <v>1172</v>
      </c>
      <c r="O24" s="5" t="s">
        <v>1173</v>
      </c>
      <c r="P24" s="5" t="s">
        <v>1136</v>
      </c>
      <c r="Q24" s="5" t="str">
        <f t="array" ref="Q24">IF(OR($A24="",ISBLANK(XLOOKUP($A24,CPU_Asignado,Nombres_Directorio,"",0))),"",XLOOKUP($A24,CPU_Asignado,Nombres_Directorio,"",0))</f>
        <v/>
      </c>
      <c r="R24" s="5" t="str">
        <f t="array" ref="R24">IF(OR($A24="",ISBLANK(XLOOKUP($A24,CPU_Asignado,Sucursal_Asignada,"",0))),"",XLOOKUP($A24,CPU_Asignado,Sucursal_Asignada,"",0))</f>
        <v/>
      </c>
      <c r="S24" s="5" t="str">
        <f t="array" ref="S24">IF(OR($A24="",ISBLANK(XLOOKUP($A24,CPU_Asignado,Departamento_Asignado,"",0))),"",XLOOKUP($A24,CPU_Asignado,Departamento_Asignado,"",0))</f>
        <v/>
      </c>
      <c r="T24" s="5" t="str">
        <f t="array" ref="T24">IF(OR($A24="",ISBLANK(XLOOKUP($A24,CPU_Asignado,Nombres_Directorio,"",0))),"",XLOOKUP($A24,CPU_Asignado,Nombres_Directorio,"",0))</f>
        <v/>
      </c>
      <c r="U24" s="5" t="str">
        <f t="array" ref="U24">IF(OR($A24="",ISBLANK(XLOOKUP($A24,CPU_Asignado,Correos_Gmail,"",0))),"",XLOOKUP($A24,CPU_Asignado,Correos_Gmail,"",0))</f>
        <v/>
      </c>
      <c r="V24" s="5" t="str">
        <f t="array" ref="V24">IF(OR($A24="",ISBLANK(XLOOKUP($A24,CPU_Asignado,Correos_Institucionales,"",0))),"",XLOOKUP($A24,CPU_Asignado,Correos_Institucionales,"",0))</f>
        <v/>
      </c>
    </row>
    <row r="25" ht="15.75" customHeight="1">
      <c r="A25" s="5" t="s">
        <v>393</v>
      </c>
      <c r="B25" s="54"/>
      <c r="C25" s="54"/>
      <c r="D25" s="54"/>
      <c r="E25" s="55" t="s">
        <v>1084</v>
      </c>
      <c r="F25" s="5" t="s">
        <v>1096</v>
      </c>
      <c r="G25" s="5" t="s">
        <v>1097</v>
      </c>
      <c r="H25" s="5" t="s">
        <v>1087</v>
      </c>
      <c r="I25" s="5" t="s">
        <v>1088</v>
      </c>
      <c r="J25" s="5" t="s">
        <v>1099</v>
      </c>
      <c r="K25" s="5" t="s">
        <v>1100</v>
      </c>
      <c r="L25" s="5" t="s">
        <v>1091</v>
      </c>
      <c r="M25" s="5" t="s">
        <v>1101</v>
      </c>
      <c r="N25" s="5" t="s">
        <v>1174</v>
      </c>
      <c r="O25" s="5"/>
      <c r="P25" s="5" t="s">
        <v>1136</v>
      </c>
      <c r="Q25" s="5" t="str">
        <f t="array" ref="Q25">IF(OR($A25="",ISBLANK(XLOOKUP($A25,CPU_Asignado,Nombres_Directorio,"",0))),"",XLOOKUP($A25,CPU_Asignado,Nombres_Directorio,"",0))</f>
        <v>Ashly Guadalupe López Martínez</v>
      </c>
      <c r="R25" s="5" t="str">
        <f t="array" ref="R25">IF(OR($A25="",ISBLANK(XLOOKUP($A25,CPU_Asignado,Sucursal_Asignada,"",0))),"",XLOOKUP($A25,CPU_Asignado,Sucursal_Asignada,"",0))</f>
        <v>Corporativo</v>
      </c>
      <c r="S25" s="5" t="str">
        <f t="array" ref="S25">IF(OR($A25="",ISBLANK(XLOOKUP($A25,CPU_Asignado,Departamento_Asignado,"",0))),"",XLOOKUP($A25,CPU_Asignado,Departamento_Asignado,"",0))</f>
        <v>Servicio</v>
      </c>
      <c r="T25" s="5" t="str">
        <f t="array" ref="T25">IF(OR($A25="",ISBLANK(XLOOKUP($A25,CPU_Asignado,Nombres_Directorio,"",0))),"",XLOOKUP($A25,CPU_Asignado,Nombres_Directorio,"",0))</f>
        <v>Ashly Guadalupe López Martínez</v>
      </c>
      <c r="U25" s="5" t="str">
        <f t="array" ref="U25">IF(OR($A25="",ISBLANK(XLOOKUP($A25,CPU_Asignado,Correos_Gmail,"",0))),"",XLOOKUP($A25,CPU_Asignado,Correos_Gmail,"",0))</f>
        <v>garantiaslabarca@agrocisa.com.mx</v>
      </c>
      <c r="V25" s="5" t="str">
        <f t="array" ref="V25">IF(OR($A25="",ISBLANK(XLOOKUP($A25,CPU_Asignado,Correos_Institucionales,"",0))),"",XLOOKUP($A25,CPU_Asignado,Correos_Institucionales,"",0))</f>
        <v>ashly.lopez@agrocisa.com.mx</v>
      </c>
    </row>
    <row r="26" ht="15.75" customHeight="1">
      <c r="A26" s="5" t="s">
        <v>388</v>
      </c>
      <c r="B26" s="54"/>
      <c r="C26" s="54"/>
      <c r="D26" s="54"/>
      <c r="E26" s="55" t="s">
        <v>1084</v>
      </c>
      <c r="F26" s="5" t="s">
        <v>1175</v>
      </c>
      <c r="G26" s="5" t="s">
        <v>1176</v>
      </c>
      <c r="H26" s="5" t="s">
        <v>1087</v>
      </c>
      <c r="I26" s="5" t="s">
        <v>1177</v>
      </c>
      <c r="J26" s="5" t="s">
        <v>1099</v>
      </c>
      <c r="K26" s="5" t="s">
        <v>1100</v>
      </c>
      <c r="L26" s="5" t="s">
        <v>1091</v>
      </c>
      <c r="M26" s="5" t="s">
        <v>1156</v>
      </c>
      <c r="N26" s="5" t="s">
        <v>1178</v>
      </c>
      <c r="O26" s="5"/>
      <c r="P26" s="5" t="s">
        <v>1136</v>
      </c>
      <c r="Q26" s="5" t="str">
        <f t="array" ref="Q26">IF(OR($A26="",ISBLANK(XLOOKUP($A26,CPU_Asignado,Nombres_Directorio,"",0))),"",XLOOKUP($A26,CPU_Asignado,Nombres_Directorio,"",0))</f>
        <v>Andrea Becerra Cisneros</v>
      </c>
      <c r="R26" s="5" t="str">
        <f t="array" ref="R26">IF(OR($A26="",ISBLANK(XLOOKUP($A26,CPU_Asignado,Sucursal_Asignada,"",0))),"",XLOOKUP($A26,CPU_Asignado,Sucursal_Asignada,"",0))</f>
        <v>Corporativo</v>
      </c>
      <c r="S26" s="5" t="str">
        <f t="array" ref="S26">IF(OR($A26="",ISBLANK(XLOOKUP($A26,CPU_Asignado,Departamento_Asignado,"",0))),"",XLOOKUP($A26,CPU_Asignado,Departamento_Asignado,"",0))</f>
        <v>Servicio</v>
      </c>
      <c r="T26" s="5" t="str">
        <f t="array" ref="T26">IF(OR($A26="",ISBLANK(XLOOKUP($A26,CPU_Asignado,Nombres_Directorio,"",0))),"",XLOOKUP($A26,CPU_Asignado,Nombres_Directorio,"",0))</f>
        <v>Andrea Becerra Cisneros</v>
      </c>
      <c r="U26" s="5" t="str">
        <f t="array" ref="U26">IF(OR($A26="",ISBLANK(XLOOKUP($A26,CPU_Asignado,Correos_Gmail,"",0))),"",XLOOKUP($A26,CPU_Asignado,Correos_Gmail,"",0))</f>
        <v>serviciolabarca@agrocisa.com.mx</v>
      </c>
      <c r="V26" s="5" t="str">
        <f t="array" ref="V26">IF(OR($A26="",ISBLANK(XLOOKUP($A26,CPU_Asignado,Correos_Institucionales,"",0))),"",XLOOKUP($A26,CPU_Asignado,Correos_Institucionales,"",0))</f>
        <v>serviciolabarca@agrocisa.com.mx</v>
      </c>
    </row>
    <row r="27" ht="15.75" customHeight="1">
      <c r="A27" s="5" t="s">
        <v>433</v>
      </c>
      <c r="B27" s="54"/>
      <c r="C27" s="54">
        <v>12000.0</v>
      </c>
      <c r="D27" s="54"/>
      <c r="E27" s="55" t="s">
        <v>1179</v>
      </c>
      <c r="F27" s="5" t="s">
        <v>1085</v>
      </c>
      <c r="G27" s="5" t="s">
        <v>1180</v>
      </c>
      <c r="H27" s="5" t="s">
        <v>1154</v>
      </c>
      <c r="I27" s="5" t="s">
        <v>1181</v>
      </c>
      <c r="J27" s="5" t="s">
        <v>1099</v>
      </c>
      <c r="K27" s="5" t="s">
        <v>1100</v>
      </c>
      <c r="L27" s="5" t="s">
        <v>1091</v>
      </c>
      <c r="M27" s="5" t="s">
        <v>1092</v>
      </c>
      <c r="N27" s="5" t="s">
        <v>1182</v>
      </c>
      <c r="O27" s="5" t="s">
        <v>1183</v>
      </c>
      <c r="P27" s="4" t="s">
        <v>1136</v>
      </c>
      <c r="Q27" s="5" t="str">
        <f t="array" ref="Q27">IF(OR($A27="",ISBLANK(XLOOKUP($A27,CPU_Asignado,Nombres_Directorio,"",0))),"",XLOOKUP($A27,CPU_Asignado,Nombres_Directorio,"",0))</f>
        <v>Félix Eugenio Ávalos Hernández</v>
      </c>
      <c r="R27" s="5" t="str">
        <f t="array" ref="R27">IF(OR($A27="",ISBLANK(XLOOKUP($A27,CPU_Asignado,Sucursal_Asignada,"",0))),"",XLOOKUP($A27,CPU_Asignado,Sucursal_Asignada,"",0))</f>
        <v>Corporativo</v>
      </c>
      <c r="S27" s="5" t="str">
        <f t="array" ref="S27">IF(OR($A27="",ISBLANK(XLOOKUP($A27,CPU_Asignado,Departamento_Asignado,"",0))),"",XLOOKUP($A27,CPU_Asignado,Departamento_Asignado,"",0))</f>
        <v>Servicio</v>
      </c>
      <c r="T27" s="5" t="str">
        <f t="array" ref="T27">IF(OR($A27="",ISBLANK(XLOOKUP($A27,CPU_Asignado,Nombres_Directorio,"",0))),"",XLOOKUP($A27,CPU_Asignado,Nombres_Directorio,"",0))</f>
        <v>Félix Eugenio Ávalos Hernández</v>
      </c>
      <c r="U27" s="5" t="str">
        <f t="array" ref="U27">IF(OR($A27="",ISBLANK(XLOOKUP($A27,CPU_Asignado,Correos_Gmail,"",0))),"",XLOOKUP($A27,CPU_Asignado,Correos_Gmail,"",0))</f>
        <v>telematrix.agrocisa@gmail.com</v>
      </c>
      <c r="V27" s="5" t="str">
        <f t="array" ref="V27">IF(OR($A27="",ISBLANK(XLOOKUP($A27,CPU_Asignado,Correos_Institucionales,"",0))),"",XLOOKUP($A27,CPU_Asignado,Correos_Institucionales,"",0))</f>
        <v>telemetria@agrocisa.com.mx</v>
      </c>
    </row>
    <row r="28" ht="15.75" customHeight="1">
      <c r="A28" s="5" t="s">
        <v>517</v>
      </c>
      <c r="B28" s="54" t="s">
        <v>1132</v>
      </c>
      <c r="C28" s="54">
        <v>450.0</v>
      </c>
      <c r="D28" s="54"/>
      <c r="E28" s="55" t="s">
        <v>1084</v>
      </c>
      <c r="F28" s="5" t="s">
        <v>1184</v>
      </c>
      <c r="G28" s="5" t="s">
        <v>1185</v>
      </c>
      <c r="H28" s="5" t="s">
        <v>1186</v>
      </c>
      <c r="I28" s="5" t="s">
        <v>1187</v>
      </c>
      <c r="J28" s="5" t="s">
        <v>1161</v>
      </c>
      <c r="K28" s="5" t="s">
        <v>1100</v>
      </c>
      <c r="L28" s="5" t="s">
        <v>223</v>
      </c>
      <c r="M28" s="5" t="s">
        <v>1150</v>
      </c>
      <c r="N28" s="5" t="s">
        <v>1188</v>
      </c>
      <c r="O28" s="5"/>
      <c r="P28" s="5" t="s">
        <v>1189</v>
      </c>
      <c r="Q28" s="60" t="str">
        <f t="array" ref="Q28">IF(OR($A28="",ISBLANK(XLOOKUP($A28,CPU_Asignado,Nombres_Directorio,"",0))),"",XLOOKUP($A28,CPU_Asignado,Nombres_Directorio,"",0))</f>
        <v>Marco Antonio Falcón Ramirez</v>
      </c>
      <c r="R28" s="60" t="str">
        <f t="array" ref="R28">IF(OR($A28="",ISBLANK(XLOOKUP($A28,CPU_Asignado,Sucursal_Asignada,"",0))),"",XLOOKUP($A28,CPU_Asignado,Sucursal_Asignada,"",0))</f>
        <v>La Piedad</v>
      </c>
      <c r="S28" s="5" t="str">
        <f t="array" ref="S28">IF(OR($A28="",ISBLANK(XLOOKUP($A28,CPU_Asignado,Departamento_Asignado,"",0))),"",XLOOKUP($A28,CPU_Asignado,Departamento_Asignado,"",0))</f>
        <v>Maquinaria Construcción</v>
      </c>
      <c r="T28" s="5" t="str">
        <f t="array" ref="T28">IF(OR($A28="",ISBLANK(XLOOKUP($A28,CPU_Asignado,Nombres_Directorio,"",0))),"",XLOOKUP($A28,CPU_Asignado,Nombres_Directorio,"",0))</f>
        <v>Marco Antonio Falcón Ramirez</v>
      </c>
      <c r="U28" s="5" t="str">
        <f t="array" ref="U28">IF(OR($A28="",ISBLANK(XLOOKUP($A28,CPU_Asignado,Correos_Gmail,"",0))),"",XLOOKUP($A28,CPU_Asignado,Correos_Gmail,"",0))</f>
        <v>construccionlapiedad@agrocisa.com.mx</v>
      </c>
      <c r="V28" s="5" t="str">
        <f t="array" ref="V28">IF(OR($A28="",ISBLANK(XLOOKUP($A28,CPU_Asignado,Correos_Institucionales,"",0))),"",XLOOKUP($A28,CPU_Asignado,Correos_Institucionales,"",0))</f>
        <v>construccionlapiedad@agrocisa.com.mx</v>
      </c>
    </row>
    <row r="29" ht="15.75" customHeight="1">
      <c r="A29" s="5" t="s">
        <v>534</v>
      </c>
      <c r="B29" s="54"/>
      <c r="C29" s="54">
        <v>4300.0</v>
      </c>
      <c r="D29" s="54"/>
      <c r="E29" s="55" t="s">
        <v>1190</v>
      </c>
      <c r="F29" s="5" t="s">
        <v>1112</v>
      </c>
      <c r="G29" s="5" t="s">
        <v>1113</v>
      </c>
      <c r="H29" s="5" t="s">
        <v>1087</v>
      </c>
      <c r="I29" s="5" t="s">
        <v>1114</v>
      </c>
      <c r="J29" s="5" t="s">
        <v>1099</v>
      </c>
      <c r="K29" s="5" t="s">
        <v>1100</v>
      </c>
      <c r="L29" s="5" t="s">
        <v>1091</v>
      </c>
      <c r="M29" s="5" t="s">
        <v>1090</v>
      </c>
      <c r="N29" s="5"/>
      <c r="O29" s="5"/>
      <c r="P29" s="5" t="s">
        <v>1189</v>
      </c>
      <c r="Q29" s="60" t="str">
        <f t="array" ref="Q29">IF(OR($A29="",ISBLANK(XLOOKUP($A29,CPU_Asignado,Nombres_Directorio,"",0))),"",XLOOKUP($A29,CPU_Asignado,Nombres_Directorio,"",0))</f>
        <v>Elsa Guadalupe Ramírez López</v>
      </c>
      <c r="R29" s="60" t="str">
        <f t="array" ref="R29">IF(OR($A29="",ISBLANK(XLOOKUP($A29,CPU_Asignado,Sucursal_Asignada,"",0))),"",XLOOKUP($A29,CPU_Asignado,Sucursal_Asignada,"",0))</f>
        <v>La Piedad</v>
      </c>
      <c r="S29" s="5" t="str">
        <f t="array" ref="S29">IF(OR($A29="",ISBLANK(XLOOKUP($A29,CPU_Asignado,Departamento_Asignado,"",0))),"",XLOOKUP($A29,CPU_Asignado,Departamento_Asignado,"",0))</f>
        <v>Refacciones</v>
      </c>
      <c r="T29" s="5" t="str">
        <f t="array" ref="T29">IF(OR($A29="",ISBLANK(XLOOKUP($A29,CPU_Asignado,Nombres_Directorio,"",0))),"",XLOOKUP($A29,CPU_Asignado,Nombres_Directorio,"",0))</f>
        <v>Elsa Guadalupe Ramírez López</v>
      </c>
      <c r="U29" s="5" t="str">
        <f t="array" ref="U29">IF(OR($A29="",ISBLANK(XLOOKUP($A29,CPU_Asignado,Correos_Gmail,"",0))),"",XLOOKUP($A29,CPU_Asignado,Correos_Gmail,"",0))</f>
        <v>refaccioneslapiedad@agrocisa.com.mx</v>
      </c>
      <c r="V29" s="5" t="str">
        <f t="array" ref="V29">IF(OR($A29="",ISBLANK(XLOOKUP($A29,CPU_Asignado,Correos_Institucionales,"",0))),"",XLOOKUP($A29,CPU_Asignado,Correos_Institucionales,"",0))</f>
        <v>elsa.ramirez@agrocisa.com.mx</v>
      </c>
    </row>
    <row r="30" ht="15.75" customHeight="1">
      <c r="A30" s="5" t="s">
        <v>481</v>
      </c>
      <c r="B30" s="54"/>
      <c r="C30" s="54"/>
      <c r="D30" s="54"/>
      <c r="E30" s="55" t="s">
        <v>1084</v>
      </c>
      <c r="F30" s="5" t="s">
        <v>1085</v>
      </c>
      <c r="G30" s="5" t="s">
        <v>1191</v>
      </c>
      <c r="H30" s="5" t="s">
        <v>1107</v>
      </c>
      <c r="I30" s="5" t="s">
        <v>1192</v>
      </c>
      <c r="J30" s="5" t="s">
        <v>1089</v>
      </c>
      <c r="K30" s="5" t="s">
        <v>1090</v>
      </c>
      <c r="L30" s="5" t="s">
        <v>223</v>
      </c>
      <c r="M30" s="5" t="s">
        <v>1193</v>
      </c>
      <c r="N30" s="5" t="s">
        <v>1194</v>
      </c>
      <c r="O30" s="5"/>
      <c r="P30" s="5" t="s">
        <v>1189</v>
      </c>
      <c r="Q30" s="5" t="str">
        <f t="array" ref="Q30">IF(OR($A30="",ISBLANK(XLOOKUP($A30,CPU_Asignado,Nombres_Directorio,"",0))),"",XLOOKUP($A30,CPU_Asignado,Nombres_Directorio,"",0))</f>
        <v>Diana Monserrat Osorio Hernández</v>
      </c>
      <c r="R30" s="5" t="str">
        <f t="array" ref="R30">IF(OR($A30="",ISBLANK(XLOOKUP($A30,CPU_Asignado,Sucursal_Asignada,"",0))),"",XLOOKUP($A30,CPU_Asignado,Sucursal_Asignada,"",0))</f>
        <v>La Piedad</v>
      </c>
      <c r="S30" s="5" t="str">
        <f t="array" ref="S30">IF(OR($A30="",ISBLANK(XLOOKUP($A30,CPU_Asignado,Departamento_Asignado,"",0))),"",XLOOKUP($A30,CPU_Asignado,Departamento_Asignado,"",0))</f>
        <v>Crédito y Cobranza</v>
      </c>
      <c r="T30" s="5" t="str">
        <f t="array" ref="T30">IF(OR($A30="",ISBLANK(XLOOKUP($A30,CPU_Asignado,Nombres_Directorio,"",0))),"",XLOOKUP($A30,CPU_Asignado,Nombres_Directorio,"",0))</f>
        <v>Diana Monserrat Osorio Hernández</v>
      </c>
      <c r="U30" s="5" t="str">
        <f t="array" ref="U30">IF(OR($A30="",ISBLANK(XLOOKUP($A30,CPU_Asignado,Correos_Gmail,"",0))),"",XLOOKUP($A30,CPU_Asignado,Correos_Gmail,"",0))</f>
        <v>diosorio.agro@gmail.com</v>
      </c>
      <c r="V30" s="5" t="str">
        <f t="array" ref="V30">IF(OR($A30="",ISBLANK(XLOOKUP($A30,CPU_Asignado,Correos_Institucionales,"",0))),"",XLOOKUP($A30,CPU_Asignado,Correos_Institucionales,"",0))</f>
        <v>caja.lp@agrocisa.com.mx</v>
      </c>
    </row>
    <row r="31" ht="15.75" customHeight="1">
      <c r="A31" s="5" t="s">
        <v>509</v>
      </c>
      <c r="B31" s="54" t="s">
        <v>1195</v>
      </c>
      <c r="C31" s="54">
        <v>4500.0</v>
      </c>
      <c r="D31" s="54"/>
      <c r="E31" s="55" t="s">
        <v>1084</v>
      </c>
      <c r="F31" s="5" t="s">
        <v>1184</v>
      </c>
      <c r="G31" s="5" t="s">
        <v>1196</v>
      </c>
      <c r="H31" s="5" t="s">
        <v>1186</v>
      </c>
      <c r="I31" s="5" t="s">
        <v>1197</v>
      </c>
      <c r="J31" s="5" t="s">
        <v>1198</v>
      </c>
      <c r="K31" s="5" t="s">
        <v>1100</v>
      </c>
      <c r="L31" s="5" t="s">
        <v>223</v>
      </c>
      <c r="M31" s="5" t="s">
        <v>1199</v>
      </c>
      <c r="N31" s="5" t="s">
        <v>1200</v>
      </c>
      <c r="O31" s="5"/>
      <c r="P31" s="5" t="s">
        <v>1189</v>
      </c>
      <c r="Q31" s="5" t="str">
        <f t="array" ref="Q31">IF(OR($A31="",ISBLANK(XLOOKUP($A31,CPU_Asignado,Nombres_Directorio,"",0))),"",XLOOKUP($A31,CPU_Asignado,Nombres_Directorio,"",0))</f>
        <v>Vacante</v>
      </c>
      <c r="R31" s="5" t="str">
        <f t="array" ref="R31">IF(OR($A31="",ISBLANK(XLOOKUP($A31,CPU_Asignado,Sucursal_Asignada,"",0))),"",XLOOKUP($A31,CPU_Asignado,Sucursal_Asignada,"",0))</f>
        <v>La Piedad</v>
      </c>
      <c r="S31" s="5" t="str">
        <f t="array" ref="S31">IF(OR($A31="",ISBLANK(XLOOKUP($A31,CPU_Asignado,Departamento_Asignado,"",0))),"",XLOOKUP($A31,CPU_Asignado,Departamento_Asignado,"",0))</f>
        <v>Maquinaria Agrícola</v>
      </c>
      <c r="T31" s="5" t="str">
        <f t="array" ref="T31">IF(OR($A31="",ISBLANK(XLOOKUP($A31,CPU_Asignado,Nombres_Directorio,"",0))),"",XLOOKUP($A31,CPU_Asignado,Nombres_Directorio,"",0))</f>
        <v>Vacante</v>
      </c>
      <c r="U31" s="5" t="str">
        <f t="array" ref="U31">IF(OR($A31="",ISBLANK(XLOOKUP($A31,CPU_Asignado,Correos_Gmail,"",0))),"",XLOOKUP($A31,CPU_Asignado,Correos_Gmail,"",0))</f>
        <v>ventaszonabajio.agro@gmail.com</v>
      </c>
      <c r="V31" s="5" t="str">
        <f t="array" ref="V31">IF(OR($A31="",ISBLANK(XLOOKUP($A31,CPU_Asignado,Correos_Institucionales,"",0))),"",XLOOKUP($A31,CPU_Asignado,Correos_Institucionales,"",0))</f>
        <v>ventaszonabajio@agrocisa.com.mx</v>
      </c>
    </row>
    <row r="32" ht="15.75" customHeight="1">
      <c r="A32" s="5" t="s">
        <v>523</v>
      </c>
      <c r="B32" s="54"/>
      <c r="C32" s="54"/>
      <c r="D32" s="54"/>
      <c r="E32" s="55" t="s">
        <v>1084</v>
      </c>
      <c r="F32" s="5" t="s">
        <v>1201</v>
      </c>
      <c r="G32" s="5" t="s">
        <v>1122</v>
      </c>
      <c r="H32" s="5" t="s">
        <v>1107</v>
      </c>
      <c r="I32" s="5" t="s">
        <v>1114</v>
      </c>
      <c r="J32" s="5" t="s">
        <v>1099</v>
      </c>
      <c r="K32" s="5" t="s">
        <v>1100</v>
      </c>
      <c r="L32" s="5" t="s">
        <v>223</v>
      </c>
      <c r="M32" s="5" t="s">
        <v>1202</v>
      </c>
      <c r="N32" s="5" t="s">
        <v>1203</v>
      </c>
      <c r="O32" s="5"/>
      <c r="P32" s="5" t="s">
        <v>1189</v>
      </c>
      <c r="Q32" s="60" t="str">
        <f t="array" ref="Q32">IF(OR($A32="",ISBLANK(XLOOKUP($A32,CPU_Asignado,Nombres_Directorio,"",0))),"",XLOOKUP($A32,CPU_Asignado,Nombres_Directorio,"",0))</f>
        <v>Uziel Sánchez Martínez</v>
      </c>
      <c r="R32" s="60" t="str">
        <f t="array" ref="R32">IF(OR($A32="",ISBLANK(XLOOKUP($A32,CPU_Asignado,Sucursal_Asignada,"",0))),"",XLOOKUP($A32,CPU_Asignado,Sucursal_Asignada,"",0))</f>
        <v>La Piedad</v>
      </c>
      <c r="S32" s="5" t="str">
        <f t="array" ref="S32">IF(OR($A32="",ISBLANK(XLOOKUP($A32,CPU_Asignado,Departamento_Asignado,"",0))),"",XLOOKUP($A32,CPU_Asignado,Departamento_Asignado,"",0))</f>
        <v>Refacciones</v>
      </c>
      <c r="T32" s="5" t="str">
        <f t="array" ref="T32">IF(OR($A32="",ISBLANK(XLOOKUP($A32,CPU_Asignado,Nombres_Directorio,"",0))),"",XLOOKUP($A32,CPU_Asignado,Nombres_Directorio,"",0))</f>
        <v>Uziel Sánchez Martínez</v>
      </c>
      <c r="U32" s="5" t="str">
        <f t="array" ref="U32">IF(OR($A32="",ISBLANK(XLOOKUP($A32,CPU_Asignado,Correos_Gmail,"",0))),"",XLOOKUP($A32,CPU_Asignado,Correos_Gmail,"",0))</f>
        <v>uzsanchez.agro@gmail.com</v>
      </c>
      <c r="V32" s="5" t="str">
        <f t="array" ref="V32">IF(OR($A32="",ISBLANK(XLOOKUP($A32,CPU_Asignado,Correos_Institucionales,"",0))),"",XLOOKUP($A32,CPU_Asignado,Correos_Institucionales,"",0))</f>
        <v>uziel.sanchez@agrocisa.com.mx</v>
      </c>
    </row>
    <row r="33" ht="15.75" customHeight="1">
      <c r="A33" s="5" t="s">
        <v>528</v>
      </c>
      <c r="B33" s="54"/>
      <c r="C33" s="54">
        <v>3500.0</v>
      </c>
      <c r="D33" s="54"/>
      <c r="E33" s="55" t="s">
        <v>1190</v>
      </c>
      <c r="F33" s="5" t="s">
        <v>1085</v>
      </c>
      <c r="G33" s="5" t="s">
        <v>1097</v>
      </c>
      <c r="H33" s="5" t="s">
        <v>1087</v>
      </c>
      <c r="I33" s="5" t="s">
        <v>1088</v>
      </c>
      <c r="J33" s="5" t="s">
        <v>1099</v>
      </c>
      <c r="K33" s="5" t="s">
        <v>1100</v>
      </c>
      <c r="L33" s="5" t="s">
        <v>1091</v>
      </c>
      <c r="M33" s="5" t="s">
        <v>1202</v>
      </c>
      <c r="N33" s="5" t="s">
        <v>1204</v>
      </c>
      <c r="O33" s="5"/>
      <c r="P33" s="5" t="s">
        <v>1189</v>
      </c>
      <c r="Q33" s="5" t="str">
        <f t="array" ref="Q33">IF(OR($A33="",ISBLANK(XLOOKUP($A33,CPU_Asignado,Nombres_Directorio,"",0))),"",XLOOKUP($A33,CPU_Asignado,Nombres_Directorio,"",0))</f>
        <v>Manuel Martínez Rizo</v>
      </c>
      <c r="R33" s="5" t="str">
        <f t="array" ref="R33">IF(OR($A33="",ISBLANK(XLOOKUP($A33,CPU_Asignado,Sucursal_Asignada,"",0))),"",XLOOKUP($A33,CPU_Asignado,Sucursal_Asignada,"",0))</f>
        <v>La Piedad</v>
      </c>
      <c r="S33" s="5" t="str">
        <f t="array" ref="S33">IF(OR($A33="",ISBLANK(XLOOKUP($A33,CPU_Asignado,Departamento_Asignado,"",0))),"",XLOOKUP($A33,CPU_Asignado,Departamento_Asignado,"",0))</f>
        <v>Refacciones</v>
      </c>
      <c r="T33" s="5" t="str">
        <f t="array" ref="T33">IF(OR($A33="",ISBLANK(XLOOKUP($A33,CPU_Asignado,Nombres_Directorio,"",0))),"",XLOOKUP($A33,CPU_Asignado,Nombres_Directorio,"",0))</f>
        <v>Manuel Martínez Rizo</v>
      </c>
      <c r="U33" s="5" t="str">
        <f t="array" ref="U33">IF(OR($A33="",ISBLANK(XLOOKUP($A33,CPU_Asignado,Correos_Gmail,"",0))),"",XLOOKUP($A33,CPU_Asignado,Correos_Gmail,"",0))</f>
        <v>refaccioneslapieda01@agrocisa.com.mx</v>
      </c>
      <c r="V33" s="5" t="str">
        <f t="array" ref="V33">IF(OR($A33="",ISBLANK(XLOOKUP($A33,CPU_Asignado,Correos_Institucionales,"",0))),"",XLOOKUP($A33,CPU_Asignado,Correos_Institucionales,"",0))</f>
        <v>manuel.martinez@agrocisa.com.mx</v>
      </c>
    </row>
    <row r="34" ht="15.75" customHeight="1">
      <c r="A34" s="5" t="s">
        <v>539</v>
      </c>
      <c r="B34" s="54"/>
      <c r="C34" s="54">
        <v>4000.0</v>
      </c>
      <c r="D34" s="54"/>
      <c r="E34" s="55" t="s">
        <v>1205</v>
      </c>
      <c r="F34" s="5" t="s">
        <v>1085</v>
      </c>
      <c r="G34" s="5" t="s">
        <v>1206</v>
      </c>
      <c r="H34" s="5" t="s">
        <v>1087</v>
      </c>
      <c r="I34" s="5" t="s">
        <v>1207</v>
      </c>
      <c r="J34" s="5" t="s">
        <v>1099</v>
      </c>
      <c r="K34" s="5" t="s">
        <v>1100</v>
      </c>
      <c r="L34" s="5" t="s">
        <v>223</v>
      </c>
      <c r="M34" s="5" t="s">
        <v>1101</v>
      </c>
      <c r="N34" s="5" t="s">
        <v>1208</v>
      </c>
      <c r="O34" s="5"/>
      <c r="P34" s="61"/>
      <c r="Q34" s="60" t="str">
        <f t="array" ref="Q34">IF(OR($A34="",ISBLANK(XLOOKUP($A34,CPU_Asignado,Nombres_Directorio,"",0))),"",XLOOKUP($A34,CPU_Asignado,Nombres_Directorio,"",0))</f>
        <v>María Fernanda Navarro Salazar</v>
      </c>
      <c r="R34" s="60" t="str">
        <f t="array" ref="R34">IF(OR($A34="",ISBLANK(XLOOKUP($A34,CPU_Asignado,Sucursal_Asignada,"",0))),"",XLOOKUP($A34,CPU_Asignado,Sucursal_Asignada,"",0))</f>
        <v>La Piedad</v>
      </c>
      <c r="S34" s="5" t="str">
        <f t="array" ref="S34">IF(OR($A34="",ISBLANK(XLOOKUP($A34,CPU_Asignado,Departamento_Asignado,"",0))),"",XLOOKUP($A34,CPU_Asignado,Departamento_Asignado,"",0))</f>
        <v>Servicio</v>
      </c>
      <c r="T34" s="5" t="str">
        <f t="array" ref="T34">IF(OR($A34="",ISBLANK(XLOOKUP($A34,CPU_Asignado,Nombres_Directorio,"",0))),"",XLOOKUP($A34,CPU_Asignado,Nombres_Directorio,"",0))</f>
        <v>María Fernanda Navarro Salazar</v>
      </c>
      <c r="U34" s="5" t="str">
        <f t="array" ref="U34">IF(OR($A34="",ISBLANK(XLOOKUP($A34,CPU_Asignado,Correos_Gmail,"",0))),"",XLOOKUP($A34,CPU_Asignado,Correos_Gmail,"",0))</f>
        <v>serviciolp.agro@gmail.com</v>
      </c>
      <c r="V34" s="5" t="str">
        <f t="array" ref="V34">IF(OR($A34="",ISBLANK(XLOOKUP($A34,CPU_Asignado,Correos_Institucionales,"",0))),"",XLOOKUP($A34,CPU_Asignado,Correos_Institucionales,"",0))</f>
        <v>serviciolapiedad@agrocisa.com.mx</v>
      </c>
    </row>
    <row r="35" ht="15.75" customHeight="1">
      <c r="A35" s="5" t="s">
        <v>542</v>
      </c>
      <c r="B35" s="54"/>
      <c r="C35" s="54">
        <v>4000.0</v>
      </c>
      <c r="D35" s="54"/>
      <c r="E35" s="55" t="s">
        <v>1205</v>
      </c>
      <c r="F35" s="5" t="s">
        <v>1105</v>
      </c>
      <c r="G35" s="5" t="s">
        <v>1097</v>
      </c>
      <c r="H35" s="5" t="s">
        <v>1087</v>
      </c>
      <c r="I35" s="5" t="s">
        <v>1088</v>
      </c>
      <c r="J35" s="5" t="s">
        <v>1099</v>
      </c>
      <c r="K35" s="5" t="s">
        <v>1100</v>
      </c>
      <c r="L35" s="5" t="s">
        <v>223</v>
      </c>
      <c r="M35" s="5" t="s">
        <v>1156</v>
      </c>
      <c r="N35" s="5" t="s">
        <v>1209</v>
      </c>
      <c r="O35" s="5"/>
      <c r="P35" s="62"/>
      <c r="Q35" s="5" t="str">
        <f t="array" ref="Q35">IF(OR($A35="",ISBLANK(XLOOKUP($A35,CPU_Asignado,Nombres_Directorio,"",0))),"",XLOOKUP($A35,CPU_Asignado,Nombres_Directorio,"",0))</f>
        <v>Vacante Garantías LP</v>
      </c>
      <c r="R35" s="5" t="str">
        <f t="array" ref="R35">IF(OR($A35="",ISBLANK(XLOOKUP($A35,CPU_Asignado,Sucursal_Asignada,"",0))),"",XLOOKUP($A35,CPU_Asignado,Sucursal_Asignada,"",0))</f>
        <v>La Piedad</v>
      </c>
      <c r="S35" s="5" t="str">
        <f t="array" ref="S35">IF(OR($A35="",ISBLANK(XLOOKUP($A35,CPU_Asignado,Departamento_Asignado,"",0))),"",XLOOKUP($A35,CPU_Asignado,Departamento_Asignado,"",0))</f>
        <v>Servicio</v>
      </c>
      <c r="T35" s="5" t="str">
        <f t="array" ref="T35">IF(OR($A35="",ISBLANK(XLOOKUP($A35,CPU_Asignado,Nombres_Directorio,"",0))),"",XLOOKUP($A35,CPU_Asignado,Nombres_Directorio,"",0))</f>
        <v>Vacante Garantías LP</v>
      </c>
      <c r="U35" s="5" t="str">
        <f t="array" ref="U35">IF(OR($A35="",ISBLANK(XLOOKUP($A35,CPU_Asignado,Correos_Gmail,"",0))),"",XLOOKUP($A35,CPU_Asignado,Correos_Gmail,"",0))</f>
        <v>garantiaslapiedad@agrocisa.com.mx</v>
      </c>
      <c r="V35" s="5" t="str">
        <f t="array" ref="V35">IF(OR($A35="",ISBLANK(XLOOKUP($A35,CPU_Asignado,Correos_Institucionales,"",0))),"",XLOOKUP($A35,CPU_Asignado,Correos_Institucionales,"",0))</f>
        <v>garantiaslapiedad@agrocisa.com.mx</v>
      </c>
    </row>
    <row r="36" ht="15.75" customHeight="1">
      <c r="A36" s="5" t="s">
        <v>546</v>
      </c>
      <c r="B36" s="54"/>
      <c r="C36" s="54">
        <v>3500.0</v>
      </c>
      <c r="D36" s="54"/>
      <c r="E36" s="55" t="s">
        <v>1210</v>
      </c>
      <c r="F36" s="5" t="s">
        <v>1085</v>
      </c>
      <c r="G36" s="5" t="s">
        <v>1211</v>
      </c>
      <c r="H36" s="5" t="s">
        <v>1107</v>
      </c>
      <c r="I36" s="5" t="s">
        <v>1212</v>
      </c>
      <c r="J36" s="5" t="s">
        <v>1161</v>
      </c>
      <c r="K36" s="5" t="s">
        <v>1100</v>
      </c>
      <c r="L36" s="5" t="s">
        <v>223</v>
      </c>
      <c r="M36" s="5" t="s">
        <v>1101</v>
      </c>
      <c r="N36" s="5" t="s">
        <v>1213</v>
      </c>
      <c r="O36" s="5"/>
      <c r="P36" s="5" t="s">
        <v>1189</v>
      </c>
      <c r="Q36" s="5" t="str">
        <f t="array" ref="Q36">IF(OR($A36="",ISBLANK(XLOOKUP($A36,CPU_Asignado,Nombres_Directorio,"",0))),"",XLOOKUP($A36,CPU_Asignado,Nombres_Directorio,"",0))</f>
        <v>Abraham Rodríguez Mendoza</v>
      </c>
      <c r="R36" s="5" t="str">
        <f t="array" ref="R36">IF(OR($A36="",ISBLANK(XLOOKUP($A36,CPU_Asignado,Sucursal_Asignada,"",0))),"",XLOOKUP($A36,CPU_Asignado,Sucursal_Asignada,"",0))</f>
        <v>La Piedad</v>
      </c>
      <c r="S36" s="5" t="str">
        <f t="array" ref="S36">IF(OR($A36="",ISBLANK(XLOOKUP($A36,CPU_Asignado,Departamento_Asignado,"",0))),"",XLOOKUP($A36,CPU_Asignado,Departamento_Asignado,"",0))</f>
        <v>Servicio</v>
      </c>
      <c r="T36" s="5" t="str">
        <f t="array" ref="T36">IF(OR($A36="",ISBLANK(XLOOKUP($A36,CPU_Asignado,Nombres_Directorio,"",0))),"",XLOOKUP($A36,CPU_Asignado,Nombres_Directorio,"",0))</f>
        <v>Abraham Rodríguez Mendoza</v>
      </c>
      <c r="U36" s="5" t="str">
        <f t="array" ref="U36">IF(OR($A36="",ISBLANK(XLOOKUP($A36,CPU_Asignado,Correos_Gmail,"",0))),"",XLOOKUP($A36,CPU_Asignado,Correos_Gmail,"",0))</f>
        <v>tallerlapiedad@agrocisa.com.mx</v>
      </c>
      <c r="V36" s="5" t="str">
        <f t="array" ref="V36">IF(OR($A36="",ISBLANK(XLOOKUP($A36,CPU_Asignado,Correos_Institucionales,"",0))),"",XLOOKUP($A36,CPU_Asignado,Correos_Institucionales,"",0))</f>
        <v>tallerlapiedad@agrocisa.com.mx</v>
      </c>
    </row>
    <row r="37" ht="15.75" customHeight="1">
      <c r="A37" s="5" t="s">
        <v>486</v>
      </c>
      <c r="B37" s="54"/>
      <c r="C37" s="54">
        <v>6300.0</v>
      </c>
      <c r="D37" s="54"/>
      <c r="E37" s="55" t="s">
        <v>1214</v>
      </c>
      <c r="F37" s="5" t="s">
        <v>1085</v>
      </c>
      <c r="G37" s="5" t="s">
        <v>1097</v>
      </c>
      <c r="H37" s="5" t="s">
        <v>1087</v>
      </c>
      <c r="I37" s="5" t="s">
        <v>1138</v>
      </c>
      <c r="J37" s="5" t="s">
        <v>1089</v>
      </c>
      <c r="K37" s="5" t="s">
        <v>1090</v>
      </c>
      <c r="L37" s="5" t="s">
        <v>1091</v>
      </c>
      <c r="M37" s="5" t="s">
        <v>1092</v>
      </c>
      <c r="N37" s="5" t="s">
        <v>1215</v>
      </c>
      <c r="O37" s="5"/>
      <c r="P37" s="5" t="s">
        <v>1189</v>
      </c>
      <c r="Q37" s="5" t="str">
        <f t="array" ref="Q37">IF(OR($A37="",ISBLANK(XLOOKUP($A37,CPU_Asignado,Nombres_Directorio,"",0))),"",XLOOKUP($A37,CPU_Asignado,Nombres_Directorio,"",0))</f>
        <v>Alicia Viridiana Rodríguez Paredes</v>
      </c>
      <c r="R37" s="5" t="str">
        <f t="array" ref="R37">IF(OR($A37="",ISBLANK(XLOOKUP($A37,CPU_Asignado,Sucursal_Asignada,"",0))),"",XLOOKUP($A37,CPU_Asignado,Sucursal_Asignada,"",0))</f>
        <v>La Piedad</v>
      </c>
      <c r="S37" s="5" t="str">
        <f t="array" ref="S37">IF(OR($A37="",ISBLANK(XLOOKUP($A37,CPU_Asignado,Departamento_Asignado,"",0))),"",XLOOKUP($A37,CPU_Asignado,Departamento_Asignado,"",0))</f>
        <v>Maquinaria</v>
      </c>
      <c r="T37" s="5" t="str">
        <f t="array" ref="T37">IF(OR($A37="",ISBLANK(XLOOKUP($A37,CPU_Asignado,Nombres_Directorio,"",0))),"",XLOOKUP($A37,CPU_Asignado,Nombres_Directorio,"",0))</f>
        <v>Alicia Viridiana Rodríguez Paredes</v>
      </c>
      <c r="U37" s="5" t="str">
        <f t="array" ref="U37">IF(OR($A37="",ISBLANK(XLOOKUP($A37,CPU_Asignado,Correos_Gmail,"",0))),"",XLOOKUP($A37,CPU_Asignado,Correos_Gmail,"",0))</f>
        <v>ventaslapiedad.agro@gmail.com</v>
      </c>
      <c r="V37" s="5" t="str">
        <f t="array" ref="V37">IF(OR($A37="",ISBLANK(XLOOKUP($A37,CPU_Asignado,Correos_Institucionales,"",0))),"",XLOOKUP($A37,CPU_Asignado,Correos_Institucionales,"",0))</f>
        <v>ventaslapiedad@agrocisa.com.mx</v>
      </c>
    </row>
    <row r="38" ht="15.75" customHeight="1">
      <c r="A38" s="5" t="s">
        <v>620</v>
      </c>
      <c r="B38" s="54"/>
      <c r="C38" s="54">
        <v>5500.0</v>
      </c>
      <c r="D38" s="54"/>
      <c r="E38" s="55" t="s">
        <v>1216</v>
      </c>
      <c r="F38" s="5" t="s">
        <v>1085</v>
      </c>
      <c r="G38" s="5" t="s">
        <v>1097</v>
      </c>
      <c r="H38" s="5" t="s">
        <v>1087</v>
      </c>
      <c r="I38" s="5" t="s">
        <v>1098</v>
      </c>
      <c r="J38" s="5" t="s">
        <v>1089</v>
      </c>
      <c r="K38" s="5" t="s">
        <v>1090</v>
      </c>
      <c r="L38" s="5" t="s">
        <v>1091</v>
      </c>
      <c r="M38" s="5" t="s">
        <v>1101</v>
      </c>
      <c r="N38" s="5" t="s">
        <v>1217</v>
      </c>
      <c r="O38" s="5"/>
      <c r="P38" s="5" t="s">
        <v>1218</v>
      </c>
      <c r="Q38" s="5" t="str">
        <f t="array" ref="Q38">IF(OR($A38="",ISBLANK(XLOOKUP($A38,CPU_Asignado,Nombres_Directorio,"",0))),"",XLOOKUP($A38,CPU_Asignado,Nombres_Directorio,"",0))</f>
        <v>Gabriela González Hinojosa</v>
      </c>
      <c r="R38" s="5" t="str">
        <f t="array" ref="R38">IF(OR($A38="",ISBLANK(XLOOKUP($A38,CPU_Asignado,Sucursal_Asignada,"",0))),"",XLOOKUP($A38,CPU_Asignado,Sucursal_Asignada,"",0))</f>
        <v>Morelia</v>
      </c>
      <c r="S38" s="5" t="str">
        <f t="array" ref="S38">IF(OR($A38="",ISBLANK(XLOOKUP($A38,CPU_Asignado,Departamento_Asignado,"",0))),"",XLOOKUP($A38,CPU_Asignado,Departamento_Asignado,"",0))</f>
        <v>Servicio</v>
      </c>
      <c r="T38" s="5" t="str">
        <f t="array" ref="T38">IF(OR($A38="",ISBLANK(XLOOKUP($A38,CPU_Asignado,Nombres_Directorio,"",0))),"",XLOOKUP($A38,CPU_Asignado,Nombres_Directorio,"",0))</f>
        <v>Gabriela González Hinojosa</v>
      </c>
      <c r="U38" s="5" t="str">
        <f t="array" ref="U38">IF(OR($A38="",ISBLANK(XLOOKUP($A38,CPU_Asignado,Correos_Gmail,"",0))),"",XLOOKUP($A38,CPU_Asignado,Correos_Gmail,"",0))</f>
        <v>servicio.mo.agro@gmail.com</v>
      </c>
      <c r="V38" s="5" t="str">
        <f t="array" ref="V38">IF(OR($A38="",ISBLANK(XLOOKUP($A38,CPU_Asignado,Correos_Institucionales,"",0))),"",XLOOKUP($A38,CPU_Asignado,Correos_Institucionales,"",0))</f>
        <v>serviciomorelia@agrocisa.com.mx</v>
      </c>
    </row>
    <row r="39" ht="15.75" customHeight="1">
      <c r="A39" s="5" t="s">
        <v>554</v>
      </c>
      <c r="B39" s="54"/>
      <c r="C39" s="54"/>
      <c r="D39" s="54"/>
      <c r="E39" s="55" t="s">
        <v>1084</v>
      </c>
      <c r="F39" s="5" t="s">
        <v>1112</v>
      </c>
      <c r="G39" s="5" t="s">
        <v>1086</v>
      </c>
      <c r="H39" s="5" t="s">
        <v>1087</v>
      </c>
      <c r="I39" s="5" t="s">
        <v>1088</v>
      </c>
      <c r="J39" s="5" t="s">
        <v>1099</v>
      </c>
      <c r="K39" s="5" t="s">
        <v>1100</v>
      </c>
      <c r="L39" s="5" t="s">
        <v>1091</v>
      </c>
      <c r="M39" s="5" t="s">
        <v>1101</v>
      </c>
      <c r="N39" s="5" t="s">
        <v>1219</v>
      </c>
      <c r="O39" s="5"/>
      <c r="P39" s="60" t="s">
        <v>1218</v>
      </c>
      <c r="Q39" s="60" t="str">
        <f t="array" ref="Q39">IF(OR($A39="",ISBLANK(XLOOKUP($A39,CPU_Asignado,Nombres_Directorio,"",0))),"",XLOOKUP($A39,CPU_Asignado,Nombres_Directorio,"",0))</f>
        <v>Ana Karen Rocel Guerrero</v>
      </c>
      <c r="R39" s="60" t="str">
        <f t="array" ref="R39">IF(OR($A39="",ISBLANK(XLOOKUP($A39,CPU_Asignado,Sucursal_Asignada,"",0))),"",XLOOKUP($A39,CPU_Asignado,Sucursal_Asignada,"",0))</f>
        <v>Morelia</v>
      </c>
      <c r="S39" s="5" t="str">
        <f t="array" ref="S39">IF(OR($A39="",ISBLANK(XLOOKUP($A39,CPU_Asignado,Departamento_Asignado,"",0))),"",XLOOKUP($A39,CPU_Asignado,Departamento_Asignado,"",0))</f>
        <v>Crédito y Cobranza</v>
      </c>
      <c r="T39" s="5" t="str">
        <f t="array" ref="T39">IF(OR($A39="",ISBLANK(XLOOKUP($A39,CPU_Asignado,Nombres_Directorio,"",0))),"",XLOOKUP($A39,CPU_Asignado,Nombres_Directorio,"",0))</f>
        <v>Ana Karen Rocel Guerrero</v>
      </c>
      <c r="U39" s="5" t="str">
        <f t="array" ref="U39">IF(OR($A39="",ISBLANK(XLOOKUP($A39,CPU_Asignado,Correos_Gmail,"",0))),"",XLOOKUP($A39,CPU_Asignado,Correos_Gmail,"",0))</f>
        <v>cajamorelia@agrocisa.com.mx</v>
      </c>
      <c r="V39" s="5" t="str">
        <f t="array" ref="V39">IF(OR($A39="",ISBLANK(XLOOKUP($A39,CPU_Asignado,Correos_Institucionales,"",0))),"",XLOOKUP($A39,CPU_Asignado,Correos_Institucionales,"",0))</f>
        <v>cajamorelia@agrocisa.com.mx</v>
      </c>
    </row>
    <row r="40" ht="15.75" customHeight="1">
      <c r="A40" s="5" t="s">
        <v>601</v>
      </c>
      <c r="B40" s="54"/>
      <c r="C40" s="54"/>
      <c r="D40" s="54"/>
      <c r="E40" s="55" t="s">
        <v>1084</v>
      </c>
      <c r="F40" s="5" t="s">
        <v>1112</v>
      </c>
      <c r="G40" s="5" t="s">
        <v>1137</v>
      </c>
      <c r="H40" s="5" t="s">
        <v>1087</v>
      </c>
      <c r="I40" s="5" t="s">
        <v>1138</v>
      </c>
      <c r="J40" s="5" t="s">
        <v>1089</v>
      </c>
      <c r="K40" s="5" t="s">
        <v>1090</v>
      </c>
      <c r="L40" s="5" t="s">
        <v>1091</v>
      </c>
      <c r="M40" s="5" t="s">
        <v>1092</v>
      </c>
      <c r="N40" s="5" t="s">
        <v>1220</v>
      </c>
      <c r="O40" s="5"/>
      <c r="P40" s="5" t="s">
        <v>1218</v>
      </c>
      <c r="Q40" s="5" t="str">
        <f t="array" ref="Q40">IF(OR($A40="",ISBLANK(XLOOKUP($A40,CPU_Asignado,Nombres_Directorio,"",0))),"",XLOOKUP($A40,CPU_Asignado,Nombres_Directorio,"",0))</f>
        <v>Luis Ángel Reyes Tena </v>
      </c>
      <c r="R40" s="5" t="str">
        <f t="array" ref="R40">IF(OR($A40="",ISBLANK(XLOOKUP($A40,CPU_Asignado,Sucursal_Asignada,"",0))),"",XLOOKUP($A40,CPU_Asignado,Sucursal_Asignada,"",0))</f>
        <v>Morelia</v>
      </c>
      <c r="S40" s="5" t="str">
        <f t="array" ref="S40">IF(OR($A40="",ISBLANK(XLOOKUP($A40,CPU_Asignado,Departamento_Asignado,"",0))),"",XLOOKUP($A40,CPU_Asignado,Departamento_Asignado,"",0))</f>
        <v>Refacciones</v>
      </c>
      <c r="T40" s="5" t="str">
        <f t="array" ref="T40">IF(OR($A40="",ISBLANK(XLOOKUP($A40,CPU_Asignado,Nombres_Directorio,"",0))),"",XLOOKUP($A40,CPU_Asignado,Nombres_Directorio,"",0))</f>
        <v>Luis Ángel Reyes Tena </v>
      </c>
      <c r="U40" s="5" t="str">
        <f t="array" ref="U40">IF(OR($A40="",ISBLANK(XLOOKUP($A40,CPU_Asignado,Correos_Gmail,"",0))),"",XLOOKUP($A40,CPU_Asignado,Correos_Gmail,"",0))</f>
        <v>luis.reyes@agrocisa.com.mx</v>
      </c>
      <c r="V40" s="5" t="str">
        <f t="array" ref="V40">IF(OR($A40="",ISBLANK(XLOOKUP($A40,CPU_Asignado,Correos_Institucionales,"",0))),"",XLOOKUP($A40,CPU_Asignado,Correos_Institucionales,"",0))</f>
        <v>luis.reyes@agrocisa.com.mx</v>
      </c>
    </row>
    <row r="41" ht="15.75" customHeight="1">
      <c r="A41" s="5" t="s">
        <v>616</v>
      </c>
      <c r="B41" s="54"/>
      <c r="C41" s="54"/>
      <c r="D41" s="54"/>
      <c r="E41" s="55" t="s">
        <v>1084</v>
      </c>
      <c r="F41" s="5" t="s">
        <v>1112</v>
      </c>
      <c r="G41" s="5" t="s">
        <v>1122</v>
      </c>
      <c r="H41" s="5" t="s">
        <v>1107</v>
      </c>
      <c r="I41" s="5" t="s">
        <v>1114</v>
      </c>
      <c r="J41" s="5" t="s">
        <v>1161</v>
      </c>
      <c r="K41" s="5" t="s">
        <v>1100</v>
      </c>
      <c r="L41" s="5" t="s">
        <v>223</v>
      </c>
      <c r="M41" s="5" t="s">
        <v>1101</v>
      </c>
      <c r="N41" s="5" t="s">
        <v>1221</v>
      </c>
      <c r="O41" s="5"/>
      <c r="P41" s="5" t="s">
        <v>1218</v>
      </c>
      <c r="Q41" s="5" t="str">
        <f t="array" ref="Q41">IF(OR($A41="",ISBLANK(XLOOKUP($A41,CPU_Asignado,Nombres_Directorio,"",0))),"",XLOOKUP($A41,CPU_Asignado,Nombres_Directorio,"",0))</f>
        <v>Yadira Torres Barajas</v>
      </c>
      <c r="R41" s="5" t="str">
        <f t="array" ref="R41">IF(OR($A41="",ISBLANK(XLOOKUP($A41,CPU_Asignado,Sucursal_Asignada,"",0))),"",XLOOKUP($A41,CPU_Asignado,Sucursal_Asignada,"",0))</f>
        <v>Morelia</v>
      </c>
      <c r="S41" s="5" t="str">
        <f t="array" ref="S41">IF(OR($A41="",ISBLANK(XLOOKUP($A41,CPU_Asignado,Departamento_Asignado,"",0))),"",XLOOKUP($A41,CPU_Asignado,Departamento_Asignado,"",0))</f>
        <v>Refacciones</v>
      </c>
      <c r="T41" s="5" t="str">
        <f t="array" ref="T41">IF(OR($A41="",ISBLANK(XLOOKUP($A41,CPU_Asignado,Nombres_Directorio,"",0))),"",XLOOKUP($A41,CPU_Asignado,Nombres_Directorio,"",0))</f>
        <v>Yadira Torres Barajas</v>
      </c>
      <c r="U41" s="5" t="str">
        <f t="array" ref="U41">IF(OR($A41="",ISBLANK(XLOOKUP($A41,CPU_Asignado,Correos_Gmail,"",0))),"",XLOOKUP($A41,CPU_Asignado,Correos_Gmail,"",0))</f>
        <v>refamostradormorelia.agro@gmail.com</v>
      </c>
      <c r="V41" s="5" t="str">
        <f t="array" ref="V41">IF(OR($A41="",ISBLANK(XLOOKUP($A41,CPU_Asignado,Correos_Institucionales,"",0))),"",XLOOKUP($A41,CPU_Asignado,Correos_Institucionales,"",0))</f>
        <v>yadira.torres@agrocisa.com.mx</v>
      </c>
    </row>
    <row r="42" ht="15.75" customHeight="1">
      <c r="A42" s="5" t="s">
        <v>606</v>
      </c>
      <c r="B42" s="54"/>
      <c r="C42" s="54">
        <v>6000.0</v>
      </c>
      <c r="D42" s="54"/>
      <c r="E42" s="55" t="s">
        <v>1216</v>
      </c>
      <c r="F42" s="5" t="s">
        <v>1112</v>
      </c>
      <c r="G42" s="5" t="s">
        <v>1097</v>
      </c>
      <c r="H42" s="5" t="s">
        <v>1087</v>
      </c>
      <c r="I42" s="5" t="s">
        <v>1222</v>
      </c>
      <c r="J42" s="5" t="s">
        <v>1099</v>
      </c>
      <c r="K42" s="5" t="s">
        <v>1100</v>
      </c>
      <c r="L42" s="5" t="s">
        <v>1091</v>
      </c>
      <c r="M42" s="5" t="s">
        <v>1101</v>
      </c>
      <c r="N42" s="5" t="s">
        <v>1223</v>
      </c>
      <c r="O42" s="5"/>
      <c r="P42" s="5" t="s">
        <v>1218</v>
      </c>
      <c r="Q42" s="5" t="str">
        <f t="array" ref="Q42">IF(OR($A42="",ISBLANK(XLOOKUP($A42,CPU_Asignado,Nombres_Directorio,"",0))),"",XLOOKUP($A42,CPU_Asignado,Nombres_Directorio,"",0))</f>
        <v>Jaime Salazar Guzmán</v>
      </c>
      <c r="R42" s="5" t="str">
        <f t="array" ref="R42">IF(OR($A42="",ISBLANK(XLOOKUP($A42,CPU_Asignado,Sucursal_Asignada,"",0))),"",XLOOKUP($A42,CPU_Asignado,Sucursal_Asignada,"",0))</f>
        <v>Morelia</v>
      </c>
      <c r="S42" s="5" t="str">
        <f t="array" ref="S42">IF(OR($A42="",ISBLANK(XLOOKUP($A42,CPU_Asignado,Departamento_Asignado,"",0))),"",XLOOKUP($A42,CPU_Asignado,Departamento_Asignado,"",0))</f>
        <v>Refacciones</v>
      </c>
      <c r="T42" s="5" t="str">
        <f t="array" ref="T42">IF(OR($A42="",ISBLANK(XLOOKUP($A42,CPU_Asignado,Nombres_Directorio,"",0))),"",XLOOKUP($A42,CPU_Asignado,Nombres_Directorio,"",0))</f>
        <v>Jaime Salazar Guzmán</v>
      </c>
      <c r="U42" s="5" t="str">
        <f t="array" ref="U42">IF(OR($A42="",ISBLANK(XLOOKUP($A42,CPU_Asignado,Correos_Gmail,"",0))),"",XLOOKUP($A42,CPU_Asignado,Correos_Gmail,"",0))</f>
        <v>jaimesalazar.agro@gmail.com</v>
      </c>
      <c r="V42" s="5" t="str">
        <f t="array" ref="V42">IF(OR($A42="",ISBLANK(XLOOKUP($A42,CPU_Asignado,Correos_Institucionales,"",0))),"",XLOOKUP($A42,CPU_Asignado,Correos_Institucionales,"",0))</f>
        <v>jaime.salazar@agrocisa.com.mx</v>
      </c>
    </row>
    <row r="43" ht="15.75" customHeight="1">
      <c r="A43" s="5" t="s">
        <v>625</v>
      </c>
      <c r="B43" s="54"/>
      <c r="C43" s="54">
        <v>5500.0</v>
      </c>
      <c r="D43" s="54"/>
      <c r="E43" s="55" t="s">
        <v>1216</v>
      </c>
      <c r="F43" s="5" t="s">
        <v>1096</v>
      </c>
      <c r="G43" s="5" t="s">
        <v>1097</v>
      </c>
      <c r="H43" s="5" t="s">
        <v>1087</v>
      </c>
      <c r="I43" s="5" t="s">
        <v>1088</v>
      </c>
      <c r="J43" s="5" t="s">
        <v>1099</v>
      </c>
      <c r="K43" s="5" t="s">
        <v>1100</v>
      </c>
      <c r="L43" s="5" t="s">
        <v>223</v>
      </c>
      <c r="M43" s="5" t="s">
        <v>1101</v>
      </c>
      <c r="N43" s="5" t="s">
        <v>1224</v>
      </c>
      <c r="O43" s="5"/>
      <c r="P43" s="5" t="s">
        <v>1218</v>
      </c>
      <c r="Q43" s="5" t="str">
        <f t="array" ref="Q43">IF(OR($A43="",ISBLANK(XLOOKUP($A43,CPU_Asignado,Nombres_Directorio,"",0))),"",XLOOKUP($A43,CPU_Asignado,Nombres_Directorio,"",0))</f>
        <v>Vacante Jefe de Taller Morelia</v>
      </c>
      <c r="R43" s="5" t="str">
        <f t="array" ref="R43">IF(OR($A43="",ISBLANK(XLOOKUP($A43,CPU_Asignado,Sucursal_Asignada,"",0))),"",XLOOKUP($A43,CPU_Asignado,Sucursal_Asignada,"",0))</f>
        <v>Morelia</v>
      </c>
      <c r="S43" s="5" t="str">
        <f t="array" ref="S43">IF(OR($A43="",ISBLANK(XLOOKUP($A43,CPU_Asignado,Departamento_Asignado,"",0))),"",XLOOKUP($A43,CPU_Asignado,Departamento_Asignado,"",0))</f>
        <v>Servicio</v>
      </c>
      <c r="T43" s="5" t="str">
        <f t="array" ref="T43">IF(OR($A43="",ISBLANK(XLOOKUP($A43,CPU_Asignado,Nombres_Directorio,"",0))),"",XLOOKUP($A43,CPU_Asignado,Nombres_Directorio,"",0))</f>
        <v>Vacante Jefe de Taller Morelia</v>
      </c>
      <c r="U43" s="5" t="str">
        <f t="array" ref="U43">IF(OR($A43="",ISBLANK(XLOOKUP($A43,CPU_Asignado,Correos_Gmail,"",0))),"",XLOOKUP($A43,CPU_Asignado,Correos_Gmail,"",0))</f>
        <v>tallermor.agro@gmail.com</v>
      </c>
      <c r="V43" s="5" t="str">
        <f t="array" ref="V43">IF(OR($A43="",ISBLANK(XLOOKUP($A43,CPU_Asignado,Correos_Institucionales,"",0))),"",XLOOKUP($A43,CPU_Asignado,Correos_Institucionales,"",0))</f>
        <v>tallermorelia@agrocisa.com.mx</v>
      </c>
    </row>
    <row r="44" ht="15.75" customHeight="1">
      <c r="A44" s="5" t="s">
        <v>611</v>
      </c>
      <c r="B44" s="54"/>
      <c r="C44" s="54"/>
      <c r="D44" s="54"/>
      <c r="E44" s="55" t="s">
        <v>1084</v>
      </c>
      <c r="F44" s="5" t="s">
        <v>1112</v>
      </c>
      <c r="G44" s="5" t="s">
        <v>1122</v>
      </c>
      <c r="H44" s="5" t="s">
        <v>1107</v>
      </c>
      <c r="I44" s="5" t="s">
        <v>1114</v>
      </c>
      <c r="J44" s="5" t="s">
        <v>1099</v>
      </c>
      <c r="K44" s="5" t="s">
        <v>1100</v>
      </c>
      <c r="L44" s="5" t="s">
        <v>1091</v>
      </c>
      <c r="M44" s="5" t="s">
        <v>1101</v>
      </c>
      <c r="N44" s="5" t="s">
        <v>1225</v>
      </c>
      <c r="O44" s="5"/>
      <c r="P44" s="5" t="s">
        <v>1218</v>
      </c>
      <c r="Q44" s="5" t="str">
        <f t="array" ref="Q44">IF(OR($A44="",ISBLANK(XLOOKUP($A44,CPU_Asignado,Nombres_Directorio,"",0))),"",XLOOKUP($A44,CPU_Asignado,Nombres_Directorio,"",0))</f>
        <v>Juan José Márquez Villanueva</v>
      </c>
      <c r="R44" s="5" t="str">
        <f t="array" ref="R44">IF(OR($A44="",ISBLANK(XLOOKUP($A44,CPU_Asignado,Sucursal_Asignada,"",0))),"",XLOOKUP($A44,CPU_Asignado,Sucursal_Asignada,"",0))</f>
        <v>Morelia</v>
      </c>
      <c r="S44" s="5" t="str">
        <f t="array" ref="S44">IF(OR($A44="",ISBLANK(XLOOKUP($A44,CPU_Asignado,Departamento_Asignado,"",0))),"",XLOOKUP($A44,CPU_Asignado,Departamento_Asignado,"",0))</f>
        <v>Refacciones</v>
      </c>
      <c r="T44" s="5" t="str">
        <f t="array" ref="T44">IF(OR($A44="",ISBLANK(XLOOKUP($A44,CPU_Asignado,Nombres_Directorio,"",0))),"",XLOOKUP($A44,CPU_Asignado,Nombres_Directorio,"",0))</f>
        <v>Juan José Márquez Villanueva</v>
      </c>
      <c r="U44" s="5" t="str">
        <f t="array" ref="U44">IF(OR($A44="",ISBLANK(XLOOKUP($A44,CPU_Asignado,Correos_Gmail,"",0))),"",XLOOKUP($A44,CPU_Asignado,Correos_Gmail,"",0))</f>
        <v>refacciones.mozona02.agro@gmail.com</v>
      </c>
      <c r="V44" s="5" t="str">
        <f t="array" ref="V44">IF(OR($A44="",ISBLANK(XLOOKUP($A44,CPU_Asignado,Correos_Institucionales,"",0))),"",XLOOKUP($A44,CPU_Asignado,Correos_Institucionales,"",0))</f>
        <v>juan.marquez@agrocisa.com.mx</v>
      </c>
    </row>
    <row r="45" ht="15.75" customHeight="1">
      <c r="A45" s="5" t="s">
        <v>560</v>
      </c>
      <c r="B45" s="54"/>
      <c r="C45" s="54">
        <v>8500.0</v>
      </c>
      <c r="D45" s="54"/>
      <c r="E45" s="55" t="s">
        <v>1216</v>
      </c>
      <c r="F45" s="5" t="s">
        <v>1112</v>
      </c>
      <c r="G45" s="5" t="s">
        <v>1122</v>
      </c>
      <c r="H45" s="5" t="s">
        <v>1087</v>
      </c>
      <c r="I45" s="5" t="s">
        <v>1226</v>
      </c>
      <c r="J45" s="5" t="s">
        <v>1161</v>
      </c>
      <c r="K45" s="5" t="s">
        <v>1090</v>
      </c>
      <c r="L45" s="5" t="s">
        <v>1091</v>
      </c>
      <c r="M45" s="5" t="s">
        <v>1092</v>
      </c>
      <c r="N45" s="5" t="s">
        <v>1227</v>
      </c>
      <c r="O45" s="5"/>
      <c r="P45" s="5" t="s">
        <v>1218</v>
      </c>
      <c r="Q45" s="5" t="str">
        <f t="array" ref="Q45">IF(OR($A45="",ISBLANK(XLOOKUP($A45,CPU_Asignado,Nombres_Directorio,"",0))),"",XLOOKUP($A45,CPU_Asignado,Nombres_Directorio,"",0))</f>
        <v>Karla Edith Escalante Rodríguez</v>
      </c>
      <c r="R45" s="5" t="str">
        <f t="array" ref="R45">IF(OR($A45="",ISBLANK(XLOOKUP($A45,CPU_Asignado,Sucursal_Asignada,"",0))),"",XLOOKUP($A45,CPU_Asignado,Sucursal_Asignada,"",0))</f>
        <v>Morelia</v>
      </c>
      <c r="S45" s="5" t="str">
        <f t="array" ref="S45">IF(OR($A45="",ISBLANK(XLOOKUP($A45,CPU_Asignado,Departamento_Asignado,"",0))),"",XLOOKUP($A45,CPU_Asignado,Departamento_Asignado,"",0))</f>
        <v>Maquinaria</v>
      </c>
      <c r="T45" s="5" t="str">
        <f t="array" ref="T45">IF(OR($A45="",ISBLANK(XLOOKUP($A45,CPU_Asignado,Nombres_Directorio,"",0))),"",XLOOKUP($A45,CPU_Asignado,Nombres_Directorio,"",0))</f>
        <v>Karla Edith Escalante Rodríguez</v>
      </c>
      <c r="U45" s="5" t="str">
        <f t="array" ref="U45">IF(OR($A45="",ISBLANK(XLOOKUP($A45,CPU_Asignado,Correos_Gmail,"",0))),"",XLOOKUP($A45,CPU_Asignado,Correos_Gmail,"",0))</f>
        <v>ventasmorelia.agro@gmail.com</v>
      </c>
      <c r="V45" s="5" t="str">
        <f t="array" ref="V45">IF(OR($A45="",ISBLANK(XLOOKUP($A45,CPU_Asignado,Correos_Institucionales,"",0))),"",XLOOKUP($A45,CPU_Asignado,Correos_Institucionales,"",0))</f>
        <v>ventas.morelia@agrocisa.com.mx</v>
      </c>
    </row>
    <row r="46" ht="15.75" customHeight="1">
      <c r="A46" s="5" t="s">
        <v>679</v>
      </c>
      <c r="B46" s="54"/>
      <c r="C46" s="54"/>
      <c r="D46" s="54"/>
      <c r="E46" s="55" t="s">
        <v>1084</v>
      </c>
      <c r="F46" s="5" t="s">
        <v>1085</v>
      </c>
      <c r="G46" s="5" t="s">
        <v>1191</v>
      </c>
      <c r="H46" s="5" t="s">
        <v>1107</v>
      </c>
      <c r="I46" s="5" t="s">
        <v>1212</v>
      </c>
      <c r="J46" s="5" t="s">
        <v>1099</v>
      </c>
      <c r="K46" s="5" t="s">
        <v>1100</v>
      </c>
      <c r="L46" s="5" t="s">
        <v>1091</v>
      </c>
      <c r="M46" s="5" t="s">
        <v>1090</v>
      </c>
      <c r="N46" s="5" t="s">
        <v>1228</v>
      </c>
      <c r="O46" s="5"/>
      <c r="P46" s="5" t="s">
        <v>1229</v>
      </c>
      <c r="Q46" s="5" t="str">
        <f t="array" ref="Q46">IF(OR($A46="",ISBLANK(XLOOKUP($A46,CPU_Asignado,Nombres_Directorio,"",0))),"",XLOOKUP($A46,CPU_Asignado,Nombres_Directorio,"",0))</f>
        <v>Pedro Castañeda Vázquez</v>
      </c>
      <c r="R46" s="5" t="str">
        <f t="array" ref="R46">IF(OR($A46="",ISBLANK(XLOOKUP($A46,CPU_Asignado,Sucursal_Asignada,"",0))),"",XLOOKUP($A46,CPU_Asignado,Sucursal_Asignada,"",0))</f>
        <v>Pénjamo</v>
      </c>
      <c r="S46" s="5" t="str">
        <f t="array" ref="S46">IF(OR($A46="",ISBLANK(XLOOKUP($A46,CPU_Asignado,Departamento_Asignado,"",0))),"",XLOOKUP($A46,CPU_Asignado,Departamento_Asignado,"",0))</f>
        <v>Refacciones</v>
      </c>
      <c r="T46" s="5" t="str">
        <f t="array" ref="T46">IF(OR($A46="",ISBLANK(XLOOKUP($A46,CPU_Asignado,Nombres_Directorio,"",0))),"",XLOOKUP($A46,CPU_Asignado,Nombres_Directorio,"",0))</f>
        <v>Pedro Castañeda Vázquez</v>
      </c>
      <c r="U46" s="5" t="str">
        <f t="array" ref="U46">IF(OR($A46="",ISBLANK(XLOOKUP($A46,CPU_Asignado,Correos_Gmail,"",0))),"",XLOOKUP($A46,CPU_Asignado,Correos_Gmail,"",0))</f>
        <v>pcastaneda.agro@gmail.com</v>
      </c>
      <c r="V46" s="5" t="str">
        <f t="array" ref="V46">IF(OR($A46="",ISBLANK(XLOOKUP($A46,CPU_Asignado,Correos_Institucionales,"",0))),"",XLOOKUP($A46,CPU_Asignado,Correos_Institucionales,"",0))</f>
        <v>pedro.castaneda@agrocisa.com.mx</v>
      </c>
    </row>
    <row r="47" ht="15.75" customHeight="1">
      <c r="A47" s="5" t="s">
        <v>636</v>
      </c>
      <c r="B47" s="54"/>
      <c r="C47" s="54">
        <v>4000.0</v>
      </c>
      <c r="D47" s="54"/>
      <c r="E47" s="55" t="s">
        <v>1230</v>
      </c>
      <c r="F47" s="5" t="s">
        <v>1112</v>
      </c>
      <c r="G47" s="5" t="s">
        <v>1122</v>
      </c>
      <c r="H47" s="5" t="s">
        <v>1107</v>
      </c>
      <c r="I47" s="5" t="s">
        <v>1114</v>
      </c>
      <c r="J47" s="5" t="s">
        <v>1099</v>
      </c>
      <c r="K47" s="5" t="s">
        <v>1100</v>
      </c>
      <c r="L47" s="5" t="s">
        <v>1091</v>
      </c>
      <c r="M47" s="5" t="s">
        <v>1090</v>
      </c>
      <c r="N47" s="5" t="s">
        <v>1231</v>
      </c>
      <c r="O47" s="5"/>
      <c r="P47" s="5" t="s">
        <v>1229</v>
      </c>
      <c r="Q47" s="5" t="str">
        <f t="array" ref="Q47">IF(OR($A47="",ISBLANK(XLOOKUP($A47,CPU_Asignado,Nombres_Directorio,"",0))),"",XLOOKUP($A47,CPU_Asignado,Nombres_Directorio,"",0))</f>
        <v>Nancy Yaneth Arroyo Cabello</v>
      </c>
      <c r="R47" s="5" t="str">
        <f t="array" ref="R47">IF(OR($A47="",ISBLANK(XLOOKUP($A47,CPU_Asignado,Sucursal_Asignada,"",0))),"",XLOOKUP($A47,CPU_Asignado,Sucursal_Asignada,"",0))</f>
        <v>Pénjamo</v>
      </c>
      <c r="S47" s="5" t="str">
        <f t="array" ref="S47">IF(OR($A47="",ISBLANK(XLOOKUP($A47,CPU_Asignado,Departamento_Asignado,"",0))),"",XLOOKUP($A47,CPU_Asignado,Departamento_Asignado,"",0))</f>
        <v>Maquinaria</v>
      </c>
      <c r="T47" s="5" t="str">
        <f t="array" ref="T47">IF(OR($A47="",ISBLANK(XLOOKUP($A47,CPU_Asignado,Nombres_Directorio,"",0))),"",XLOOKUP($A47,CPU_Asignado,Nombres_Directorio,"",0))</f>
        <v>Nancy Yaneth Arroyo Cabello</v>
      </c>
      <c r="U47" s="5" t="str">
        <f t="array" ref="U47">IF(OR($A47="",ISBLANK(XLOOKUP($A47,CPU_Asignado,Correos_Gmail,"",0))),"",XLOOKUP($A47,CPU_Asignado,Correos_Gmail,"",0))</f>
        <v>ventaspenjamo@agrocisa.com.mx</v>
      </c>
      <c r="V47" s="5" t="str">
        <f t="array" ref="V47">IF(OR($A47="",ISBLANK(XLOOKUP($A47,CPU_Asignado,Correos_Institucionales,"",0))),"",XLOOKUP($A47,CPU_Asignado,Correos_Institucionales,"",0))</f>
        <v>ventaspenjamo@agrocisa.com.mx</v>
      </c>
    </row>
    <row r="48" ht="15.75" customHeight="1">
      <c r="A48" s="5" t="s">
        <v>633</v>
      </c>
      <c r="B48" s="54"/>
      <c r="C48" s="54"/>
      <c r="D48" s="54"/>
      <c r="E48" s="55" t="s">
        <v>1084</v>
      </c>
      <c r="F48" s="5" t="s">
        <v>1105</v>
      </c>
      <c r="G48" s="5" t="s">
        <v>1211</v>
      </c>
      <c r="H48" s="5" t="s">
        <v>1107</v>
      </c>
      <c r="I48" s="5" t="s">
        <v>1212</v>
      </c>
      <c r="J48" s="5" t="s">
        <v>1161</v>
      </c>
      <c r="K48" s="5" t="s">
        <v>1100</v>
      </c>
      <c r="L48" s="5" t="s">
        <v>1091</v>
      </c>
      <c r="M48" s="5" t="s">
        <v>1090</v>
      </c>
      <c r="N48" s="5" t="s">
        <v>1232</v>
      </c>
      <c r="O48" s="5"/>
      <c r="P48" s="5" t="s">
        <v>1229</v>
      </c>
      <c r="Q48" s="5" t="str">
        <f t="array" ref="Q48">IF(OR($A48="",ISBLANK(XLOOKUP($A48,CPU_Asignado,Nombres_Directorio,"",0))),"",XLOOKUP($A48,CPU_Asignado,Nombres_Directorio,"",0))</f>
        <v>María Guadalupe Gutiérrez Magaña</v>
      </c>
      <c r="R48" s="5" t="str">
        <f t="array" ref="R48">IF(OR($A48="",ISBLANK(XLOOKUP($A48,CPU_Asignado,Sucursal_Asignada,"",0))),"",XLOOKUP($A48,CPU_Asignado,Sucursal_Asignada,"",0))</f>
        <v>Pénjamo</v>
      </c>
      <c r="S48" s="5" t="str">
        <f t="array" ref="S48">IF(OR($A48="",ISBLANK(XLOOKUP($A48,CPU_Asignado,Departamento_Asignado,"",0))),"",XLOOKUP($A48,CPU_Asignado,Departamento_Asignado,"",0))</f>
        <v>Crédito y Cobranza</v>
      </c>
      <c r="T48" s="5" t="str">
        <f t="array" ref="T48">IF(OR($A48="",ISBLANK(XLOOKUP($A48,CPU_Asignado,Nombres_Directorio,"",0))),"",XLOOKUP($A48,CPU_Asignado,Nombres_Directorio,"",0))</f>
        <v>María Guadalupe Gutiérrez Magaña</v>
      </c>
      <c r="U48" s="5" t="str">
        <f t="array" ref="U48">IF(OR($A48="",ISBLANK(XLOOKUP($A48,CPU_Asignado,Correos_Gmail,"",0))),"",XLOOKUP($A48,CPU_Asignado,Correos_Gmail,"",0))</f>
        <v>lgutierrez.agro@gmail.com</v>
      </c>
      <c r="V48" s="5" t="str">
        <f t="array" ref="V48">IF(OR($A48="",ISBLANK(XLOOKUP($A48,CPU_Asignado,Correos_Institucionales,"",0))),"",XLOOKUP($A48,CPU_Asignado,Correos_Institucionales,"",0))</f>
        <v>guadalupe.gutierrez@agrocisa.com.mx</v>
      </c>
    </row>
    <row r="49" ht="15.75" customHeight="1">
      <c r="A49" s="5" t="s">
        <v>683</v>
      </c>
      <c r="B49" s="54"/>
      <c r="C49" s="54"/>
      <c r="D49" s="54"/>
      <c r="E49" s="55" t="s">
        <v>1084</v>
      </c>
      <c r="F49" s="5" t="s">
        <v>1085</v>
      </c>
      <c r="G49" s="5" t="s">
        <v>1122</v>
      </c>
      <c r="H49" s="5" t="s">
        <v>1107</v>
      </c>
      <c r="I49" s="5" t="s">
        <v>1114</v>
      </c>
      <c r="J49" s="5" t="s">
        <v>1089</v>
      </c>
      <c r="K49" s="5" t="s">
        <v>1090</v>
      </c>
      <c r="L49" s="5" t="s">
        <v>1091</v>
      </c>
      <c r="M49" s="5" t="s">
        <v>1233</v>
      </c>
      <c r="N49" s="5" t="s">
        <v>1234</v>
      </c>
      <c r="O49" s="5"/>
      <c r="P49" s="5" t="s">
        <v>1229</v>
      </c>
      <c r="Q49" s="5" t="str">
        <f t="array" ref="Q49">IF(OR($A49="",ISBLANK(XLOOKUP($A49,CPU_Asignado,Nombres_Directorio,"",0))),"",XLOOKUP($A49,CPU_Asignado,Nombres_Directorio,"",0))</f>
        <v>Lorena González Macías</v>
      </c>
      <c r="R49" s="5" t="str">
        <f t="array" ref="R49">IF(OR($A49="",ISBLANK(XLOOKUP($A49,CPU_Asignado,Sucursal_Asignada,"",0))),"",XLOOKUP($A49,CPU_Asignado,Sucursal_Asignada,"",0))</f>
        <v>Pénjamo</v>
      </c>
      <c r="S49" s="5" t="str">
        <f t="array" ref="S49">IF(OR($A49="",ISBLANK(XLOOKUP($A49,CPU_Asignado,Departamento_Asignado,"",0))),"",XLOOKUP($A49,CPU_Asignado,Departamento_Asignado,"",0))</f>
        <v>Servicio</v>
      </c>
      <c r="T49" s="5" t="str">
        <f t="array" ref="T49">IF(OR($A49="",ISBLANK(XLOOKUP($A49,CPU_Asignado,Nombres_Directorio,"",0))),"",XLOOKUP($A49,CPU_Asignado,Nombres_Directorio,"",0))</f>
        <v>Lorena González Macías</v>
      </c>
      <c r="U49" s="5" t="str">
        <f t="array" ref="U49">IF(OR($A49="",ISBLANK(XLOOKUP($A49,CPU_Asignado,Correos_Gmail,"",0))),"",XLOOKUP($A49,CPU_Asignado,Correos_Gmail,"",0))</f>
        <v>garantiaspj.agro@gmail.com</v>
      </c>
      <c r="V49" s="5" t="str">
        <f t="array" ref="V49">IF(OR($A49="",ISBLANK(XLOOKUP($A49,CPU_Asignado,Correos_Institucionales,"",0))),"",XLOOKUP($A49,CPU_Asignado,Correos_Institucionales,"",0))</f>
        <v>garantias.pj@agrocisa.com.mx</v>
      </c>
    </row>
    <row r="50" ht="15.75" customHeight="1">
      <c r="A50" s="5" t="s">
        <v>675</v>
      </c>
      <c r="B50" s="54"/>
      <c r="C50" s="54"/>
      <c r="D50" s="54"/>
      <c r="E50" s="55" t="s">
        <v>1084</v>
      </c>
      <c r="F50" s="5" t="s">
        <v>1112</v>
      </c>
      <c r="G50" s="5" t="s">
        <v>1235</v>
      </c>
      <c r="H50" s="5" t="s">
        <v>1087</v>
      </c>
      <c r="I50" s="5" t="s">
        <v>1236</v>
      </c>
      <c r="J50" s="5" t="s">
        <v>1089</v>
      </c>
      <c r="K50" s="5" t="s">
        <v>1090</v>
      </c>
      <c r="L50" s="5" t="s">
        <v>1091</v>
      </c>
      <c r="M50" s="5" t="s">
        <v>1237</v>
      </c>
      <c r="N50" s="5" t="s">
        <v>1238</v>
      </c>
      <c r="O50" s="5"/>
      <c r="P50" s="5" t="s">
        <v>1229</v>
      </c>
      <c r="Q50" s="5" t="str">
        <f t="array" ref="Q50">IF(OR($A50="",ISBLANK(XLOOKUP($A50,CPU_Asignado,Nombres_Directorio,"",0))),"",XLOOKUP($A50,CPU_Asignado,Nombres_Directorio,"",0))</f>
        <v>Brenda Alcocer Alcocer</v>
      </c>
      <c r="R50" s="5" t="str">
        <f t="array" ref="R50">IF(OR($A50="",ISBLANK(XLOOKUP($A50,CPU_Asignado,Sucursal_Asignada,"",0))),"",XLOOKUP($A50,CPU_Asignado,Sucursal_Asignada,"",0))</f>
        <v>Pénjamo</v>
      </c>
      <c r="S50" s="5" t="str">
        <f t="array" ref="S50">IF(OR($A50="",ISBLANK(XLOOKUP($A50,CPU_Asignado,Departamento_Asignado,"",0))),"",XLOOKUP($A50,CPU_Asignado,Departamento_Asignado,"",0))</f>
        <v>Refacciones</v>
      </c>
      <c r="T50" s="5" t="str">
        <f t="array" ref="T50">IF(OR($A50="",ISBLANK(XLOOKUP($A50,CPU_Asignado,Nombres_Directorio,"",0))),"",XLOOKUP($A50,CPU_Asignado,Nombres_Directorio,"",0))</f>
        <v>Brenda Alcocer Alcocer</v>
      </c>
      <c r="U50" s="5" t="str">
        <f t="array" ref="U50">IF(OR($A50="",ISBLANK(XLOOKUP($A50,CPU_Asignado,Correos_Gmail,"",0))),"",XLOOKUP($A50,CPU_Asignado,Correos_Gmail,"",0))</f>
        <v>refapj.agro@gmail.com</v>
      </c>
      <c r="V50" s="5" t="str">
        <f t="array" ref="V50">IF(OR($A50="",ISBLANK(XLOOKUP($A50,CPU_Asignado,Correos_Institucionales,"",0))),"",XLOOKUP($A50,CPU_Asignado,Correos_Institucionales,"",0))</f>
        <v>brenda.alcocer@agrocisa.com.mx</v>
      </c>
    </row>
    <row r="51" ht="15.75" customHeight="1">
      <c r="A51" s="5" t="s">
        <v>670</v>
      </c>
      <c r="B51" s="54"/>
      <c r="C51" s="54"/>
      <c r="D51" s="54"/>
      <c r="E51" s="55" t="s">
        <v>1084</v>
      </c>
      <c r="F51" s="5" t="s">
        <v>1085</v>
      </c>
      <c r="G51" s="5" t="s">
        <v>1122</v>
      </c>
      <c r="H51" s="5" t="s">
        <v>1107</v>
      </c>
      <c r="I51" s="5" t="s">
        <v>1114</v>
      </c>
      <c r="J51" s="5" t="s">
        <v>1089</v>
      </c>
      <c r="K51" s="5" t="s">
        <v>1090</v>
      </c>
      <c r="L51" s="5" t="s">
        <v>1091</v>
      </c>
      <c r="M51" s="5" t="s">
        <v>1239</v>
      </c>
      <c r="N51" s="5" t="s">
        <v>1240</v>
      </c>
      <c r="O51" s="5"/>
      <c r="P51" s="5" t="s">
        <v>1229</v>
      </c>
      <c r="Q51" s="5" t="str">
        <f t="array" ref="Q51">IF(OR($A51="",ISBLANK(XLOOKUP($A51,CPU_Asignado,Nombres_Directorio,"",0))),"",XLOOKUP($A51,CPU_Asignado,Nombres_Directorio,"",0))</f>
        <v>Uriel Martínez Martínez</v>
      </c>
      <c r="R51" s="5" t="str">
        <f t="array" ref="R51">IF(OR($A51="",ISBLANK(XLOOKUP($A51,CPU_Asignado,Sucursal_Asignada,"",0))),"",XLOOKUP($A51,CPU_Asignado,Sucursal_Asignada,"",0))</f>
        <v>Pénjamo</v>
      </c>
      <c r="S51" s="5" t="str">
        <f t="array" ref="S51">IF(OR($A51="",ISBLANK(XLOOKUP($A51,CPU_Asignado,Departamento_Asignado,"",0))),"",XLOOKUP($A51,CPU_Asignado,Departamento_Asignado,"",0))</f>
        <v>Refacciones</v>
      </c>
      <c r="T51" s="5" t="str">
        <f t="array" ref="T51">IF(OR($A51="",ISBLANK(XLOOKUP($A51,CPU_Asignado,Nombres_Directorio,"",0))),"",XLOOKUP($A51,CPU_Asignado,Nombres_Directorio,"",0))</f>
        <v>Uriel Martínez Martínez</v>
      </c>
      <c r="U51" s="5" t="str">
        <f t="array" ref="U51">IF(OR($A51="",ISBLANK(XLOOKUP($A51,CPU_Asignado,Correos_Gmail,"",0))),"",XLOOKUP($A51,CPU_Asignado,Correos_Gmail,"",0))</f>
        <v>uriel.martinez@agrocisa.com.mx</v>
      </c>
      <c r="V51" s="5" t="str">
        <f t="array" ref="V51">IF(OR($A51="",ISBLANK(XLOOKUP($A51,CPU_Asignado,Correos_Institucionales,"",0))),"",XLOOKUP($A51,CPU_Asignado,Correos_Institucionales,"",0))</f>
        <v>uriel.martinez@agrocisa.com.mx</v>
      </c>
    </row>
    <row r="52" ht="15.75" customHeight="1">
      <c r="A52" s="5" t="s">
        <v>1241</v>
      </c>
      <c r="B52" s="54"/>
      <c r="C52" s="54"/>
      <c r="D52" s="54"/>
      <c r="E52" s="55" t="s">
        <v>1084</v>
      </c>
      <c r="F52" s="5" t="s">
        <v>1112</v>
      </c>
      <c r="G52" s="5" t="s">
        <v>1235</v>
      </c>
      <c r="H52" s="5" t="s">
        <v>1087</v>
      </c>
      <c r="I52" s="5" t="s">
        <v>1236</v>
      </c>
      <c r="J52" s="5" t="s">
        <v>1089</v>
      </c>
      <c r="K52" s="5" t="s">
        <v>1090</v>
      </c>
      <c r="L52" s="5" t="s">
        <v>1091</v>
      </c>
      <c r="M52" s="5" t="s">
        <v>1101</v>
      </c>
      <c r="N52" s="5" t="s">
        <v>1242</v>
      </c>
      <c r="O52" s="5"/>
      <c r="P52" s="5" t="s">
        <v>1243</v>
      </c>
      <c r="Q52" s="5" t="str">
        <f t="array" ref="Q52">IF(OR($A52="",ISBLANK(XLOOKUP($A52,CPU_Asignado,Nombres_Directorio,"",0))),"",XLOOKUP($A52,CPU_Asignado,Nombres_Directorio,"",0))</f>
        <v/>
      </c>
      <c r="R52" s="5" t="str">
        <f t="array" ref="R52">IF(OR($A52="",ISBLANK(XLOOKUP($A52,CPU_Asignado,Sucursal_Asignada,"",0))),"",XLOOKUP($A52,CPU_Asignado,Sucursal_Asignada,"",0))</f>
        <v/>
      </c>
      <c r="S52" s="5" t="str">
        <f t="array" ref="S52">IF(OR($A52="",ISBLANK(XLOOKUP($A52,CPU_Asignado,Departamento_Asignado,"",0))),"",XLOOKUP($A52,CPU_Asignado,Departamento_Asignado,"",0))</f>
        <v/>
      </c>
      <c r="T52" s="5" t="str">
        <f t="array" ref="T52">IF(OR($A52="",ISBLANK(XLOOKUP($A52,CPU_Asignado,Nombres_Directorio,"",0))),"",XLOOKUP($A52,CPU_Asignado,Nombres_Directorio,"",0))</f>
        <v/>
      </c>
      <c r="U52" s="5" t="str">
        <f t="array" ref="U52">IF(OR($A52="",ISBLANK(XLOOKUP($A52,CPU_Asignado,Correos_Gmail,"",0))),"",XLOOKUP($A52,CPU_Asignado,Correos_Gmail,"",0))</f>
        <v/>
      </c>
      <c r="V52" s="5" t="str">
        <f t="array" ref="V52">IF(OR($A52="",ISBLANK(XLOOKUP($A52,CPU_Asignado,Correos_Institucionales,"",0))),"",XLOOKUP($A52,CPU_Asignado,Correos_Institucionales,"",0))</f>
        <v/>
      </c>
    </row>
    <row r="53" ht="15.75" customHeight="1">
      <c r="A53" s="5" t="s">
        <v>1244</v>
      </c>
      <c r="B53" s="54"/>
      <c r="C53" s="54"/>
      <c r="D53" s="54"/>
      <c r="E53" s="55" t="s">
        <v>1084</v>
      </c>
      <c r="F53" s="5" t="s">
        <v>1164</v>
      </c>
      <c r="G53" s="5" t="s">
        <v>1097</v>
      </c>
      <c r="H53" s="5" t="s">
        <v>1087</v>
      </c>
      <c r="I53" s="5" t="s">
        <v>1098</v>
      </c>
      <c r="J53" s="5" t="s">
        <v>1099</v>
      </c>
      <c r="K53" s="5" t="s">
        <v>1100</v>
      </c>
      <c r="L53" s="5" t="s">
        <v>1091</v>
      </c>
      <c r="M53" s="5" t="s">
        <v>1245</v>
      </c>
      <c r="N53" s="5" t="s">
        <v>1246</v>
      </c>
      <c r="O53" s="5"/>
      <c r="P53" s="5" t="s">
        <v>1243</v>
      </c>
      <c r="Q53" s="5" t="str">
        <f t="array" ref="Q53">IF(OR($A53="",ISBLANK(XLOOKUP($A53,CPU_Asignado,Nombres_Directorio,"",0))),"",XLOOKUP($A53,CPU_Asignado,Nombres_Directorio,"",0))</f>
        <v/>
      </c>
      <c r="R53" s="5" t="str">
        <f t="array" ref="R53">IF(OR($A53="",ISBLANK(XLOOKUP($A53,CPU_Asignado,Sucursal_Asignada,"",0))),"",XLOOKUP($A53,CPU_Asignado,Sucursal_Asignada,"",0))</f>
        <v/>
      </c>
      <c r="S53" s="5" t="str">
        <f t="array" ref="S53">IF(OR($A53="",ISBLANK(XLOOKUP($A53,CPU_Asignado,Departamento_Asignado,"",0))),"",XLOOKUP($A53,CPU_Asignado,Departamento_Asignado,"",0))</f>
        <v/>
      </c>
      <c r="T53" s="5" t="str">
        <f t="array" ref="T53">IF(OR($A53="",ISBLANK(XLOOKUP($A53,CPU_Asignado,Nombres_Directorio,"",0))),"",XLOOKUP($A53,CPU_Asignado,Nombres_Directorio,"",0))</f>
        <v/>
      </c>
      <c r="U53" s="5" t="str">
        <f t="array" ref="U53">IF(OR($A53="",ISBLANK(XLOOKUP($A53,CPU_Asignado,Correos_Gmail,"",0))),"",XLOOKUP($A53,CPU_Asignado,Correos_Gmail,"",0))</f>
        <v/>
      </c>
      <c r="V53" s="5" t="str">
        <f t="array" ref="V53">IF(OR($A53="",ISBLANK(XLOOKUP($A53,CPU_Asignado,Correos_Institucionales,"",0))),"",XLOOKUP($A53,CPU_Asignado,Correos_Institucionales,"",0))</f>
        <v/>
      </c>
    </row>
    <row r="54" ht="15.75" customHeight="1">
      <c r="A54" s="5" t="s">
        <v>1247</v>
      </c>
      <c r="B54" s="54"/>
      <c r="C54" s="54"/>
      <c r="D54" s="54"/>
      <c r="E54" s="55" t="s">
        <v>1084</v>
      </c>
      <c r="F54" s="5" t="s">
        <v>1085</v>
      </c>
      <c r="G54" s="5" t="s">
        <v>1248</v>
      </c>
      <c r="H54" s="5" t="s">
        <v>1186</v>
      </c>
      <c r="I54" s="5" t="s">
        <v>1249</v>
      </c>
      <c r="J54" s="5" t="s">
        <v>1089</v>
      </c>
      <c r="K54" s="5" t="s">
        <v>1090</v>
      </c>
      <c r="L54" s="5" t="s">
        <v>223</v>
      </c>
      <c r="M54" s="5" t="s">
        <v>1245</v>
      </c>
      <c r="N54" s="5" t="s">
        <v>1250</v>
      </c>
      <c r="O54" s="5"/>
      <c r="P54" s="5" t="s">
        <v>1243</v>
      </c>
      <c r="Q54" s="5" t="str">
        <f t="array" ref="Q54">IF(OR($A54="",ISBLANK(XLOOKUP($A54,CPU_Asignado,Nombres_Directorio,"",0))),"",XLOOKUP($A54,CPU_Asignado,Nombres_Directorio,"",0))</f>
        <v/>
      </c>
      <c r="R54" s="5" t="str">
        <f t="array" ref="R54">IF(OR($A54="",ISBLANK(XLOOKUP($A54,CPU_Asignado,Sucursal_Asignada,"",0))),"",XLOOKUP($A54,CPU_Asignado,Sucursal_Asignada,"",0))</f>
        <v/>
      </c>
      <c r="S54" s="5" t="str">
        <f t="array" ref="S54">IF(OR($A54="",ISBLANK(XLOOKUP($A54,CPU_Asignado,Departamento_Asignado,"",0))),"",XLOOKUP($A54,CPU_Asignado,Departamento_Asignado,"",0))</f>
        <v/>
      </c>
      <c r="T54" s="5" t="str">
        <f t="array" ref="T54">IF(OR($A54="",ISBLANK(XLOOKUP($A54,CPU_Asignado,Nombres_Directorio,"",0))),"",XLOOKUP($A54,CPU_Asignado,Nombres_Directorio,"",0))</f>
        <v/>
      </c>
      <c r="U54" s="5" t="str">
        <f t="array" ref="U54">IF(OR($A54="",ISBLANK(XLOOKUP($A54,CPU_Asignado,Correos_Gmail,"",0))),"",XLOOKUP($A54,CPU_Asignado,Correos_Gmail,"",0))</f>
        <v/>
      </c>
      <c r="V54" s="5" t="str">
        <f t="array" ref="V54">IF(OR($A54="",ISBLANK(XLOOKUP($A54,CPU_Asignado,Correos_Institucionales,"",0))),"",XLOOKUP($A54,CPU_Asignado,Correos_Institucionales,"",0))</f>
        <v/>
      </c>
    </row>
    <row r="55" ht="15.75" customHeight="1">
      <c r="A55" s="40" t="s">
        <v>1251</v>
      </c>
      <c r="B55" s="54"/>
      <c r="C55" s="54"/>
      <c r="D55" s="54"/>
      <c r="E55" s="55" t="s">
        <v>1084</v>
      </c>
      <c r="F55" s="5" t="s">
        <v>1112</v>
      </c>
      <c r="G55" s="5" t="s">
        <v>1097</v>
      </c>
      <c r="H55" s="5" t="s">
        <v>1087</v>
      </c>
      <c r="I55" s="5" t="s">
        <v>1088</v>
      </c>
      <c r="J55" s="5" t="s">
        <v>1099</v>
      </c>
      <c r="K55" s="5" t="s">
        <v>1100</v>
      </c>
      <c r="L55" s="5" t="s">
        <v>1091</v>
      </c>
      <c r="M55" s="5" t="s">
        <v>1245</v>
      </c>
      <c r="N55" s="5" t="s">
        <v>1252</v>
      </c>
      <c r="O55" s="5"/>
      <c r="P55" s="5" t="s">
        <v>1253</v>
      </c>
      <c r="Q55" s="5" t="str">
        <f t="array" ref="Q55">IF(OR($A55="",ISBLANK(XLOOKUP($A55,CPU_Asignado,Nombres_Directorio,"",0))),"",XLOOKUP($A55,CPU_Asignado,Nombres_Directorio,"",0))</f>
        <v/>
      </c>
      <c r="R55" s="5" t="str">
        <f t="array" ref="R55">IF(OR($A55="",ISBLANK(XLOOKUP($A55,CPU_Asignado,Sucursal_Asignada,"",0))),"",XLOOKUP($A55,CPU_Asignado,Sucursal_Asignada,"",0))</f>
        <v/>
      </c>
      <c r="S55" s="5" t="str">
        <f t="array" ref="S55">IF(OR($A55="",ISBLANK(XLOOKUP($A55,CPU_Asignado,Departamento_Asignado,"",0))),"",XLOOKUP($A55,CPU_Asignado,Departamento_Asignado,"",0))</f>
        <v/>
      </c>
      <c r="T55" s="5" t="str">
        <f t="array" ref="T55">IF(OR($A55="",ISBLANK(XLOOKUP($A55,CPU_Asignado,Nombres_Directorio,"",0))),"",XLOOKUP($A55,CPU_Asignado,Nombres_Directorio,"",0))</f>
        <v/>
      </c>
      <c r="U55" s="5" t="str">
        <f t="array" ref="U55">IF(OR($A55="",ISBLANK(XLOOKUP($A55,CPU_Asignado,Correos_Gmail,"",0))),"",XLOOKUP($A55,CPU_Asignado,Correos_Gmail,"",0))</f>
        <v/>
      </c>
      <c r="V55" s="5" t="str">
        <f t="array" ref="V55">IF(OR($A55="",ISBLANK(XLOOKUP($A55,CPU_Asignado,Correos_Institucionales,"",0))),"",XLOOKUP($A55,CPU_Asignado,Correos_Institucionales,"",0))</f>
        <v/>
      </c>
    </row>
    <row r="56" ht="15.75" customHeight="1">
      <c r="A56" s="5" t="s">
        <v>1254</v>
      </c>
      <c r="B56" s="54"/>
      <c r="C56" s="54"/>
      <c r="D56" s="54"/>
      <c r="E56" s="55" t="s">
        <v>1084</v>
      </c>
      <c r="F56" s="5" t="s">
        <v>1085</v>
      </c>
      <c r="G56" s="5" t="s">
        <v>1255</v>
      </c>
      <c r="H56" s="5" t="s">
        <v>1087</v>
      </c>
      <c r="I56" s="5" t="s">
        <v>1256</v>
      </c>
      <c r="J56" s="5" t="s">
        <v>1099</v>
      </c>
      <c r="K56" s="5" t="s">
        <v>1100</v>
      </c>
      <c r="L56" s="5" t="s">
        <v>1091</v>
      </c>
      <c r="M56" s="5" t="s">
        <v>1101</v>
      </c>
      <c r="N56" s="5" t="s">
        <v>1257</v>
      </c>
      <c r="O56" s="5"/>
      <c r="P56" s="5" t="s">
        <v>1253</v>
      </c>
      <c r="Q56" s="5" t="str">
        <f t="array" ref="Q56">IF(OR($A56="",ISBLANK(XLOOKUP($A56,CPU_Asignado,Nombres_Directorio,"",0))),"",XLOOKUP($A56,CPU_Asignado,Nombres_Directorio,"",0))</f>
        <v/>
      </c>
      <c r="R56" s="5" t="str">
        <f t="array" ref="R56">IF(OR($A56="",ISBLANK(XLOOKUP($A56,CPU_Asignado,Sucursal_Asignada,"",0))),"",XLOOKUP($A56,CPU_Asignado,Sucursal_Asignada,"",0))</f>
        <v/>
      </c>
      <c r="S56" s="5" t="str">
        <f t="array" ref="S56">IF(OR($A56="",ISBLANK(XLOOKUP($A56,CPU_Asignado,Departamento_Asignado,"",0))),"",XLOOKUP($A56,CPU_Asignado,Departamento_Asignado,"",0))</f>
        <v/>
      </c>
      <c r="T56" s="5" t="str">
        <f t="array" ref="T56">IF(OR($A56="",ISBLANK(XLOOKUP($A56,CPU_Asignado,Nombres_Directorio,"",0))),"",XLOOKUP($A56,CPU_Asignado,Nombres_Directorio,"",0))</f>
        <v/>
      </c>
      <c r="U56" s="5" t="str">
        <f t="array" ref="U56">IF(OR($A56="",ISBLANK(XLOOKUP($A56,CPU_Asignado,Correos_Gmail,"",0))),"",XLOOKUP($A56,CPU_Asignado,Correos_Gmail,"",0))</f>
        <v/>
      </c>
      <c r="V56" s="5" t="str">
        <f t="array" ref="V56">IF(OR($A56="",ISBLANK(XLOOKUP($A56,CPU_Asignado,Correos_Institucionales,"",0))),"",XLOOKUP($A56,CPU_Asignado,Correos_Institucionales,"",0))</f>
        <v/>
      </c>
    </row>
    <row r="57" ht="15.75" customHeight="1">
      <c r="A57" s="5" t="s">
        <v>1258</v>
      </c>
      <c r="B57" s="54"/>
      <c r="C57" s="54"/>
      <c r="D57" s="54"/>
      <c r="E57" s="55" t="s">
        <v>1084</v>
      </c>
      <c r="F57" s="5" t="s">
        <v>1259</v>
      </c>
      <c r="G57" s="5" t="s">
        <v>1191</v>
      </c>
      <c r="H57" s="5" t="s">
        <v>1107</v>
      </c>
      <c r="I57" s="5" t="s">
        <v>1260</v>
      </c>
      <c r="J57" s="5" t="s">
        <v>1089</v>
      </c>
      <c r="K57" s="5" t="s">
        <v>1090</v>
      </c>
      <c r="L57" s="5" t="s">
        <v>1091</v>
      </c>
      <c r="M57" s="5" t="s">
        <v>1101</v>
      </c>
      <c r="N57" s="5" t="s">
        <v>1261</v>
      </c>
      <c r="O57" s="5"/>
      <c r="P57" s="5" t="s">
        <v>1262</v>
      </c>
      <c r="Q57" s="5" t="str">
        <f t="array" ref="Q57">IF(OR($A57="",ISBLANK(XLOOKUP($A57,CPU_Asignado,Nombres_Directorio,"",0))),"",XLOOKUP($A57,CPU_Asignado,Nombres_Directorio,"",0))</f>
        <v/>
      </c>
      <c r="R57" s="5" t="str">
        <f t="array" ref="R57">IF(OR($A57="",ISBLANK(XLOOKUP($A57,CPU_Asignado,Sucursal_Asignada,"",0))),"",XLOOKUP($A57,CPU_Asignado,Sucursal_Asignada,"",0))</f>
        <v/>
      </c>
      <c r="S57" s="5" t="str">
        <f t="array" ref="S57">IF(OR($A57="",ISBLANK(XLOOKUP($A57,CPU_Asignado,Departamento_Asignado,"",0))),"",XLOOKUP($A57,CPU_Asignado,Departamento_Asignado,"",0))</f>
        <v/>
      </c>
      <c r="T57" s="5" t="str">
        <f t="array" ref="T57">IF(OR($A57="",ISBLANK(XLOOKUP($A57,CPU_Asignado,Nombres_Directorio,"",0))),"",XLOOKUP($A57,CPU_Asignado,Nombres_Directorio,"",0))</f>
        <v/>
      </c>
      <c r="U57" s="5" t="str">
        <f t="array" ref="U57">IF(OR($A57="",ISBLANK(XLOOKUP($A57,CPU_Asignado,Correos_Gmail,"",0))),"",XLOOKUP($A57,CPU_Asignado,Correos_Gmail,"",0))</f>
        <v/>
      </c>
      <c r="V57" s="5" t="str">
        <f t="array" ref="V57">IF(OR($A57="",ISBLANK(XLOOKUP($A57,CPU_Asignado,Correos_Institucionales,"",0))),"",XLOOKUP($A57,CPU_Asignado,Correos_Institucionales,"",0))</f>
        <v/>
      </c>
    </row>
    <row r="58" ht="15.75" customHeight="1">
      <c r="A58" s="56" t="s">
        <v>1263</v>
      </c>
      <c r="B58" s="57"/>
      <c r="C58" s="57"/>
      <c r="D58" s="57"/>
      <c r="E58" s="55" t="s">
        <v>1084</v>
      </c>
      <c r="F58" s="5" t="s">
        <v>1105</v>
      </c>
      <c r="G58" s="5" t="s">
        <v>1097</v>
      </c>
      <c r="H58" s="5" t="s">
        <v>1087</v>
      </c>
      <c r="I58" s="5" t="s">
        <v>1088</v>
      </c>
      <c r="J58" s="5" t="s">
        <v>1099</v>
      </c>
      <c r="K58" s="5" t="s">
        <v>1100</v>
      </c>
      <c r="L58" s="5" t="s">
        <v>1091</v>
      </c>
      <c r="M58" s="5" t="s">
        <v>1101</v>
      </c>
      <c r="N58" s="5" t="s">
        <v>1264</v>
      </c>
      <c r="O58" s="5"/>
      <c r="P58" s="5" t="s">
        <v>1262</v>
      </c>
      <c r="Q58" s="5" t="str">
        <f t="array" ref="Q58">IF(OR($A58="",ISBLANK(XLOOKUP($A58,CPU_Asignado,Nombres_Directorio,"",0))),"",XLOOKUP($A58,CPU_Asignado,Nombres_Directorio,"",0))</f>
        <v/>
      </c>
      <c r="R58" s="5" t="str">
        <f t="array" ref="R58">IF(OR($A58="",ISBLANK(XLOOKUP($A58,CPU_Asignado,Sucursal_Asignada,"",0))),"",XLOOKUP($A58,CPU_Asignado,Sucursal_Asignada,"",0))</f>
        <v/>
      </c>
      <c r="S58" s="5" t="str">
        <f t="array" ref="S58">IF(OR($A58="",ISBLANK(XLOOKUP($A58,CPU_Asignado,Departamento_Asignado,"",0))),"",XLOOKUP($A58,CPU_Asignado,Departamento_Asignado,"",0))</f>
        <v/>
      </c>
      <c r="T58" s="5" t="str">
        <f t="array" ref="T58">IF(OR($A58="",ISBLANK(XLOOKUP($A58,CPU_Asignado,Nombres_Directorio,"",0))),"",XLOOKUP($A58,CPU_Asignado,Nombres_Directorio,"",0))</f>
        <v/>
      </c>
      <c r="U58" s="5" t="str">
        <f t="array" ref="U58">IF(OR($A58="",ISBLANK(XLOOKUP($A58,CPU_Asignado,Correos_Gmail,"",0))),"",XLOOKUP($A58,CPU_Asignado,Correos_Gmail,"",0))</f>
        <v/>
      </c>
      <c r="V58" s="5" t="str">
        <f t="array" ref="V58">IF(OR($A58="",ISBLANK(XLOOKUP($A58,CPU_Asignado,Correos_Institucionales,"",0))),"",XLOOKUP($A58,CPU_Asignado,Correos_Institucionales,"",0))</f>
        <v/>
      </c>
    </row>
    <row r="59" ht="15.75" customHeight="1">
      <c r="A59" s="5" t="s">
        <v>735</v>
      </c>
      <c r="B59" s="54"/>
      <c r="C59" s="54"/>
      <c r="D59" s="54"/>
      <c r="E59" s="55" t="s">
        <v>1084</v>
      </c>
      <c r="F59" s="5" t="s">
        <v>1085</v>
      </c>
      <c r="G59" s="5" t="s">
        <v>1211</v>
      </c>
      <c r="H59" s="5" t="s">
        <v>1186</v>
      </c>
      <c r="I59" s="5" t="s">
        <v>1212</v>
      </c>
      <c r="J59" s="5" t="s">
        <v>1089</v>
      </c>
      <c r="K59" s="5" t="s">
        <v>1090</v>
      </c>
      <c r="L59" s="5" t="s">
        <v>223</v>
      </c>
      <c r="M59" s="5" t="s">
        <v>1245</v>
      </c>
      <c r="N59" s="5" t="s">
        <v>1265</v>
      </c>
      <c r="O59" s="5"/>
      <c r="P59" s="5" t="s">
        <v>1253</v>
      </c>
      <c r="Q59" s="5" t="str">
        <f t="array" ref="Q59">IF(OR($A59="",ISBLANK(XLOOKUP($A59,CPU_Asignado,Nombres_Directorio,"",0))),"",XLOOKUP($A59,CPU_Asignado,Nombres_Directorio,"",0))</f>
        <v>Patricia Yunuen Vázquez Villa </v>
      </c>
      <c r="R59" s="5" t="str">
        <f t="array" ref="R59">IF(OR($A59="",ISBLANK(XLOOKUP($A59,CPU_Asignado,Sucursal_Asignada,"",0))),"",XLOOKUP($A59,CPU_Asignado,Sucursal_Asignada,"",0))</f>
        <v>Poncitlán</v>
      </c>
      <c r="S59" s="5" t="str">
        <f t="array" ref="S59">IF(OR($A59="",ISBLANK(XLOOKUP($A59,CPU_Asignado,Departamento_Asignado,"",0))),"",XLOOKUP($A59,CPU_Asignado,Departamento_Asignado,"",0))</f>
        <v>Servicio</v>
      </c>
      <c r="T59" s="5" t="str">
        <f t="array" ref="T59">IF(OR($A59="",ISBLANK(XLOOKUP($A59,CPU_Asignado,Nombres_Directorio,"",0))),"",XLOOKUP($A59,CPU_Asignado,Nombres_Directorio,"",0))</f>
        <v>Patricia Yunuen Vázquez Villa </v>
      </c>
      <c r="U59" s="5" t="str">
        <f t="array" ref="U59">IF(OR($A59="",ISBLANK(XLOOKUP($A59,CPU_Asignado,Correos_Gmail,"",0))),"",XLOOKUP($A59,CPU_Asignado,Correos_Gmail,"",0))</f>
        <v>pvazquez.agro@gmail.com</v>
      </c>
      <c r="V59" s="5" t="str">
        <f t="array" ref="V59">IF(OR($A59="",ISBLANK(XLOOKUP($A59,CPU_Asignado,Correos_Institucionales,"",0))),"",XLOOKUP($A59,CPU_Asignado,Correos_Institucionales,"",0))</f>
        <v>patricia.vazquez@agrocisa.com.mx</v>
      </c>
    </row>
    <row r="60" ht="15.75" customHeight="1">
      <c r="A60" s="5" t="s">
        <v>738</v>
      </c>
      <c r="B60" s="54"/>
      <c r="C60" s="54">
        <v>3500.0</v>
      </c>
      <c r="D60" s="54"/>
      <c r="E60" s="55" t="s">
        <v>1266</v>
      </c>
      <c r="F60" s="5" t="s">
        <v>1112</v>
      </c>
      <c r="G60" s="5" t="s">
        <v>1191</v>
      </c>
      <c r="H60" s="5" t="s">
        <v>1107</v>
      </c>
      <c r="I60" s="5" t="s">
        <v>1212</v>
      </c>
      <c r="J60" s="5" t="s">
        <v>1267</v>
      </c>
      <c r="K60" s="5" t="s">
        <v>1090</v>
      </c>
      <c r="L60" s="5" t="s">
        <v>223</v>
      </c>
      <c r="M60" s="5" t="s">
        <v>1245</v>
      </c>
      <c r="N60" s="5" t="s">
        <v>1268</v>
      </c>
      <c r="O60" s="5"/>
      <c r="P60" s="5" t="s">
        <v>1253</v>
      </c>
      <c r="Q60" s="5" t="str">
        <f t="array" ref="Q60">IF(OR($A60="",ISBLANK(XLOOKUP($A60,CPU_Asignado,Nombres_Directorio,"",0))),"",XLOOKUP($A60,CPU_Asignado,Nombres_Directorio,"",0))</f>
        <v>César Enrique Flores Franco</v>
      </c>
      <c r="R60" s="5" t="str">
        <f t="array" ref="R60">IF(OR($A60="",ISBLANK(XLOOKUP($A60,CPU_Asignado,Sucursal_Asignada,"",0))),"",XLOOKUP($A60,CPU_Asignado,Sucursal_Asignada,"",0))</f>
        <v>Poncitlán</v>
      </c>
      <c r="S60" s="5" t="str">
        <f t="array" ref="S60">IF(OR($A60="",ISBLANK(XLOOKUP($A60,CPU_Asignado,Departamento_Asignado,"",0))),"",XLOOKUP($A60,CPU_Asignado,Departamento_Asignado,"",0))</f>
        <v>Servicio</v>
      </c>
      <c r="T60" s="5" t="str">
        <f t="array" ref="T60">IF(OR($A60="",ISBLANK(XLOOKUP($A60,CPU_Asignado,Nombres_Directorio,"",0))),"",XLOOKUP($A60,CPU_Asignado,Nombres_Directorio,"",0))</f>
        <v>César Enrique Flores Franco</v>
      </c>
      <c r="U60" s="5" t="str">
        <f t="array" ref="U60">IF(OR($A60="",ISBLANK(XLOOKUP($A60,CPU_Asignado,Correos_Gmail,"",0))),"",XLOOKUP($A60,CPU_Asignado,Correos_Gmail,"",0))</f>
        <v>tallerponcitlan@agrocisa.com.mx</v>
      </c>
      <c r="V60" s="5" t="str">
        <f t="array" ref="V60">IF(OR($A60="",ISBLANK(XLOOKUP($A60,CPU_Asignado,Correos_Institucionales,"",0))),"",XLOOKUP($A60,CPU_Asignado,Correos_Institucionales,"",0))</f>
        <v>tallerponcitlan@agrocisa.com.mx</v>
      </c>
    </row>
    <row r="61" ht="15.75" customHeight="1">
      <c r="A61" s="56" t="s">
        <v>1269</v>
      </c>
      <c r="B61" s="57"/>
      <c r="C61" s="57"/>
      <c r="D61" s="57"/>
      <c r="E61" s="63" t="s">
        <v>1084</v>
      </c>
      <c r="F61" s="56" t="s">
        <v>1270</v>
      </c>
      <c r="G61" s="56" t="s">
        <v>1271</v>
      </c>
      <c r="H61" s="56" t="s">
        <v>1272</v>
      </c>
      <c r="I61" s="56" t="s">
        <v>1273</v>
      </c>
      <c r="J61" s="56" t="s">
        <v>1109</v>
      </c>
      <c r="K61" s="56" t="s">
        <v>1100</v>
      </c>
      <c r="L61" s="56" t="s">
        <v>223</v>
      </c>
      <c r="M61" s="56" t="s">
        <v>1245</v>
      </c>
      <c r="N61" s="56" t="s">
        <v>1274</v>
      </c>
      <c r="O61" s="56"/>
      <c r="P61" s="56"/>
      <c r="Q61" s="56" t="str">
        <f t="array" ref="Q61">IF(OR($A61="",ISBLANK(XLOOKUP($A61,CPU_Asignado,Nombres_Directorio,"",0))),"",XLOOKUP($A61,CPU_Asignado,Nombres_Directorio,"",0))</f>
        <v/>
      </c>
      <c r="R61" s="56" t="str">
        <f t="array" ref="R61">IF(OR($A61="",ISBLANK(XLOOKUP($A61,CPU_Asignado,Sucursal_Asignada,"",0))),"",XLOOKUP($A61,CPU_Asignado,Sucursal_Asignada,"",0))</f>
        <v/>
      </c>
      <c r="S61" s="56" t="str">
        <f t="array" ref="S61">IF(OR($A61="",ISBLANK(XLOOKUP($A61,CPU_Asignado,Departamento_Asignado,"",0))),"",XLOOKUP($A61,CPU_Asignado,Departamento_Asignado,"",0))</f>
        <v/>
      </c>
      <c r="T61" s="56" t="str">
        <f t="array" ref="T61">IF(OR($A61="",ISBLANK(XLOOKUP($A61,CPU_Asignado,Nombres_Directorio,"",0))),"",XLOOKUP($A61,CPU_Asignado,Nombres_Directorio,"",0))</f>
        <v/>
      </c>
      <c r="U61" s="56" t="str">
        <f t="array" ref="U61">IF(OR($A61="",ISBLANK(XLOOKUP($A61,CPU_Asignado,Correos_Gmail,"",0))),"",XLOOKUP($A61,CPU_Asignado,Correos_Gmail,"",0))</f>
        <v/>
      </c>
      <c r="V61" s="56" t="str">
        <f t="array" ref="V61">IF(OR($A61="",ISBLANK(XLOOKUP($A61,CPU_Asignado,Correos_Institucionales,"",0))),"",XLOOKUP($A61,CPU_Asignado,Correos_Institucionales,"",0))</f>
        <v/>
      </c>
    </row>
    <row r="62" ht="15.75" customHeight="1">
      <c r="A62" s="56" t="s">
        <v>703</v>
      </c>
      <c r="B62" s="57"/>
      <c r="C62" s="57"/>
      <c r="D62" s="57"/>
      <c r="E62" s="55" t="s">
        <v>1084</v>
      </c>
      <c r="F62" s="5" t="s">
        <v>1096</v>
      </c>
      <c r="G62" s="5" t="s">
        <v>1271</v>
      </c>
      <c r="H62" s="5" t="s">
        <v>1272</v>
      </c>
      <c r="I62" s="5" t="s">
        <v>1273</v>
      </c>
      <c r="J62" s="5" t="s">
        <v>1161</v>
      </c>
      <c r="K62" s="5" t="s">
        <v>1100</v>
      </c>
      <c r="L62" s="5" t="s">
        <v>223</v>
      </c>
      <c r="M62" s="5" t="s">
        <v>1245</v>
      </c>
      <c r="N62" s="5" t="s">
        <v>1275</v>
      </c>
      <c r="O62" s="5"/>
      <c r="P62" s="5" t="s">
        <v>1253</v>
      </c>
      <c r="Q62" s="5" t="str">
        <f t="array" ref="Q62">IF(OR($A62="",ISBLANK(XLOOKUP($A62,CPU_Asignado,Nombres_Directorio,"",0))),"",XLOOKUP($A62,CPU_Asignado,Nombres_Directorio,"",0))</f>
        <v>Airam Monserrat Vázquez Segura</v>
      </c>
      <c r="R62" s="5" t="str">
        <f t="array" ref="R62">IF(OR($A62="",ISBLANK(XLOOKUP($A62,CPU_Asignado,Sucursal_Asignada,"",0))),"",XLOOKUP($A62,CPU_Asignado,Sucursal_Asignada,"",0))</f>
        <v>Poncitlán</v>
      </c>
      <c r="S62" s="5" t="str">
        <f t="array" ref="S62">IF(OR($A62="",ISBLANK(XLOOKUP($A62,CPU_Asignado,Departamento_Asignado,"",0))),"",XLOOKUP($A62,CPU_Asignado,Departamento_Asignado,"",0))</f>
        <v>Maquinaria</v>
      </c>
      <c r="T62" s="5" t="str">
        <f t="array" ref="T62">IF(OR($A62="",ISBLANK(XLOOKUP($A62,CPU_Asignado,Nombres_Directorio,"",0))),"",XLOOKUP($A62,CPU_Asignado,Nombres_Directorio,"",0))</f>
        <v>Airam Monserrat Vázquez Segura</v>
      </c>
      <c r="U62" s="5" t="str">
        <f t="array" ref="U62">IF(OR($A62="",ISBLANK(XLOOKUP($A62,CPU_Asignado,Correos_Gmail,"",0))),"",XLOOKUP($A62,CPU_Asignado,Correos_Gmail,"",0))</f>
        <v>ventasponci.agrocisa@gmail.com</v>
      </c>
      <c r="V62" s="5" t="str">
        <f t="array" ref="V62">IF(OR($A62="",ISBLANK(XLOOKUP($A62,CPU_Asignado,Correos_Institucionales,"",0))),"",XLOOKUP($A62,CPU_Asignado,Correos_Institucionales,"",0))</f>
        <v>airam.vazquez@agrocisa.com.mx</v>
      </c>
    </row>
    <row r="63" ht="15.75" customHeight="1">
      <c r="A63" s="5" t="s">
        <v>1276</v>
      </c>
      <c r="B63" s="54"/>
      <c r="C63" s="54"/>
      <c r="D63" s="54"/>
      <c r="E63" s="55" t="s">
        <v>1084</v>
      </c>
      <c r="F63" s="5" t="s">
        <v>1112</v>
      </c>
      <c r="G63" s="5" t="s">
        <v>1277</v>
      </c>
      <c r="H63" s="5" t="s">
        <v>1087</v>
      </c>
      <c r="I63" s="5" t="s">
        <v>1236</v>
      </c>
      <c r="J63" s="5" t="s">
        <v>1089</v>
      </c>
      <c r="K63" s="5" t="s">
        <v>1090</v>
      </c>
      <c r="L63" s="5" t="s">
        <v>1091</v>
      </c>
      <c r="M63" s="5" t="s">
        <v>1237</v>
      </c>
      <c r="N63" s="5" t="s">
        <v>1278</v>
      </c>
      <c r="O63" s="5"/>
      <c r="P63" s="5" t="s">
        <v>1136</v>
      </c>
      <c r="Q63" s="5" t="str">
        <f t="array" ref="Q63">IF(OR($A63="",ISBLANK(XLOOKUP($A63,CPU_Asignado,Nombres_Directorio,"",0))),"",XLOOKUP($A63,CPU_Asignado,Nombres_Directorio,"",0))</f>
        <v/>
      </c>
      <c r="R63" s="5" t="str">
        <f t="array" ref="R63">IF(OR($A63="",ISBLANK(XLOOKUP($A63,CPU_Asignado,Sucursal_Asignada,"",0))),"",XLOOKUP($A63,CPU_Asignado,Sucursal_Asignada,"",0))</f>
        <v/>
      </c>
      <c r="S63" s="5" t="str">
        <f t="array" ref="S63">IF(OR($A63="",ISBLANK(XLOOKUP($A63,CPU_Asignado,Departamento_Asignado,"",0))),"",XLOOKUP($A63,CPU_Asignado,Departamento_Asignado,"",0))</f>
        <v/>
      </c>
      <c r="T63" s="5" t="str">
        <f t="array" ref="T63">IF(OR($A63="",ISBLANK(XLOOKUP($A63,CPU_Asignado,Nombres_Directorio,"",0))),"",XLOOKUP($A63,CPU_Asignado,Nombres_Directorio,"",0))</f>
        <v/>
      </c>
      <c r="U63" s="5" t="str">
        <f t="array" ref="U63">IF(OR($A63="",ISBLANK(XLOOKUP($A63,CPU_Asignado,Correos_Gmail,"",0))),"",XLOOKUP($A63,CPU_Asignado,Correos_Gmail,"",0))</f>
        <v/>
      </c>
      <c r="V63" s="5" t="str">
        <f t="array" ref="V63">IF(OR($A63="",ISBLANK(XLOOKUP($A63,CPU_Asignado,Correos_Institucionales,"",0))),"",XLOOKUP($A63,CPU_Asignado,Correos_Institucionales,"",0))</f>
        <v/>
      </c>
    </row>
    <row r="64" ht="15.75" customHeight="1">
      <c r="A64" s="40" t="s">
        <v>1251</v>
      </c>
      <c r="B64" s="54"/>
      <c r="C64" s="54">
        <v>3500.0</v>
      </c>
      <c r="D64" s="54"/>
      <c r="E64" s="55" t="s">
        <v>1279</v>
      </c>
      <c r="F64" s="5" t="s">
        <v>1280</v>
      </c>
      <c r="G64" s="5" t="s">
        <v>1281</v>
      </c>
      <c r="H64" s="5" t="s">
        <v>1087</v>
      </c>
      <c r="I64" s="5" t="s">
        <v>1282</v>
      </c>
      <c r="J64" s="5" t="s">
        <v>1109</v>
      </c>
      <c r="K64" s="5" t="s">
        <v>1090</v>
      </c>
      <c r="L64" s="5" t="s">
        <v>1091</v>
      </c>
      <c r="M64" s="5" t="s">
        <v>1090</v>
      </c>
      <c r="N64" s="5" t="s">
        <v>1283</v>
      </c>
      <c r="O64" s="5"/>
      <c r="P64" s="62"/>
      <c r="Q64" s="5" t="str">
        <f t="array" ref="Q64">IF(OR($A64="",ISBLANK(XLOOKUP($A64,CPU_Asignado,Nombres_Directorio,"",0))),"",XLOOKUP($A64,CPU_Asignado,Nombres_Directorio,"",0))</f>
        <v/>
      </c>
      <c r="R64" s="5" t="str">
        <f t="array" ref="R64">IF(OR($A64="",ISBLANK(XLOOKUP($A64,CPU_Asignado,Sucursal_Asignada,"",0))),"",XLOOKUP($A64,CPU_Asignado,Sucursal_Asignada,"",0))</f>
        <v/>
      </c>
      <c r="S64" s="5" t="str">
        <f t="array" ref="S64">IF(OR($A64="",ISBLANK(XLOOKUP($A64,CPU_Asignado,Departamento_Asignado,"",0))),"",XLOOKUP($A64,CPU_Asignado,Departamento_Asignado,"",0))</f>
        <v/>
      </c>
      <c r="T64" s="5" t="str">
        <f t="array" ref="T64">IF(OR($A64="",ISBLANK(XLOOKUP($A64,CPU_Asignado,Nombres_Directorio,"",0))),"",XLOOKUP($A64,CPU_Asignado,Nombres_Directorio,"",0))</f>
        <v/>
      </c>
      <c r="U64" s="5" t="str">
        <f t="array" ref="U64">IF(OR($A64="",ISBLANK(XLOOKUP($A64,CPU_Asignado,Correos_Gmail,"",0))),"",XLOOKUP($A64,CPU_Asignado,Correos_Gmail,"",0))</f>
        <v/>
      </c>
      <c r="V64" s="5" t="str">
        <f t="array" ref="V64">IF(OR($A64="",ISBLANK(XLOOKUP($A64,CPU_Asignado,Correos_Institucionales,"",0))),"",XLOOKUP($A64,CPU_Asignado,Correos_Institucionales,"",0))</f>
        <v/>
      </c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1"/>
  <dataValidations>
    <dataValidation type="list" allowBlank="1" showErrorMessage="1" sqref="L2:L64">
      <formula1>Renovar</formula1>
    </dataValidation>
    <dataValidation type="list" allowBlank="1" showErrorMessage="1" sqref="B2:B64 M2:M64">
      <formula1>Condición</formula1>
    </dataValidation>
    <dataValidation type="list" allowBlank="1" showErrorMessage="1" sqref="K2:K64">
      <formula1>Tipo_HD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43"/>
    <col customWidth="1" min="2" max="2" width="9.71"/>
    <col customWidth="1" min="3" max="3" width="13.14"/>
    <col customWidth="1" min="4" max="4" width="36.86"/>
    <col customWidth="1" min="5" max="5" width="23.57"/>
    <col customWidth="1" min="6" max="6" width="30.86"/>
    <col customWidth="1" min="7" max="7" width="15.29"/>
    <col customWidth="1" min="8" max="8" width="28.14"/>
    <col customWidth="1" min="9" max="9" width="37.29"/>
    <col customWidth="1" min="10" max="10" width="37.14"/>
    <col customWidth="1" min="11" max="11" width="32.71"/>
    <col customWidth="1" min="12" max="12" width="8.71"/>
    <col customWidth="1" min="13" max="13" width="28.71"/>
    <col customWidth="1" min="14" max="14" width="18.86"/>
    <col customWidth="1" min="15" max="15" width="11.71"/>
    <col customWidth="1" min="16" max="16" width="11.29"/>
    <col customWidth="1" min="17" max="18" width="17.71"/>
    <col customWidth="1" min="19" max="19" width="34.71"/>
    <col customWidth="1" min="20" max="20" width="11.57"/>
    <col customWidth="1" min="21" max="21" width="31.86"/>
    <col customWidth="1" min="22" max="22" width="34.71"/>
    <col customWidth="1" min="23" max="24" width="36.71"/>
    <col customWidth="1" min="25" max="25" width="10.71"/>
  </cols>
  <sheetData>
    <row r="1">
      <c r="A1" s="15" t="s">
        <v>1284</v>
      </c>
      <c r="B1" s="15" t="s">
        <v>1068</v>
      </c>
      <c r="C1" s="15" t="s">
        <v>1285</v>
      </c>
      <c r="D1" s="15" t="s">
        <v>767</v>
      </c>
      <c r="E1" s="15" t="s">
        <v>770</v>
      </c>
      <c r="F1" s="15" t="s">
        <v>769</v>
      </c>
      <c r="G1" s="15" t="s">
        <v>1286</v>
      </c>
      <c r="H1" s="15" t="s">
        <v>1287</v>
      </c>
      <c r="I1" s="15" t="s">
        <v>1288</v>
      </c>
      <c r="J1" s="15" t="s">
        <v>1070</v>
      </c>
      <c r="K1" s="15" t="s">
        <v>1071</v>
      </c>
      <c r="L1" s="15" t="s">
        <v>1072</v>
      </c>
      <c r="M1" s="15" t="s">
        <v>1073</v>
      </c>
      <c r="N1" s="15" t="s">
        <v>1074</v>
      </c>
      <c r="O1" s="15" t="s">
        <v>1075</v>
      </c>
      <c r="P1" s="15" t="s">
        <v>1076</v>
      </c>
      <c r="Q1" s="15" t="s">
        <v>1078</v>
      </c>
      <c r="R1" s="15" t="s">
        <v>1079</v>
      </c>
      <c r="S1" s="15" t="s">
        <v>6</v>
      </c>
      <c r="T1" s="16" t="s">
        <v>11</v>
      </c>
      <c r="U1" s="15" t="s">
        <v>28</v>
      </c>
      <c r="V1" s="15" t="s">
        <v>29</v>
      </c>
      <c r="W1" s="15" t="s">
        <v>60</v>
      </c>
      <c r="X1" s="15" t="s">
        <v>1289</v>
      </c>
    </row>
    <row r="2">
      <c r="A2" s="5" t="s">
        <v>457</v>
      </c>
      <c r="B2" s="54">
        <v>8689.0</v>
      </c>
      <c r="C2" s="54" t="s">
        <v>776</v>
      </c>
      <c r="D2" s="54" t="s">
        <v>1290</v>
      </c>
      <c r="E2" s="54"/>
      <c r="F2" s="55" t="s">
        <v>1291</v>
      </c>
      <c r="G2" s="5" t="s">
        <v>1292</v>
      </c>
      <c r="H2" s="5" t="s">
        <v>1293</v>
      </c>
      <c r="I2" s="5"/>
      <c r="J2" s="5" t="s">
        <v>1085</v>
      </c>
      <c r="K2" s="5" t="s">
        <v>1277</v>
      </c>
      <c r="L2" s="5" t="s">
        <v>1087</v>
      </c>
      <c r="M2" s="5" t="s">
        <v>1294</v>
      </c>
      <c r="N2" s="5" t="s">
        <v>1109</v>
      </c>
      <c r="O2" s="5" t="s">
        <v>1090</v>
      </c>
      <c r="P2" s="5" t="s">
        <v>1091</v>
      </c>
      <c r="Q2" s="5" t="s">
        <v>1295</v>
      </c>
      <c r="R2" s="5" t="s">
        <v>1296</v>
      </c>
      <c r="S2" s="5" t="str">
        <f t="array" ref="S2">IF(OR($A2="",ISBLANK(XLOOKUP($A2,Laptops_Asignadas,Nombres_Directorio,"",0))),"",XLOOKUP($A2,Laptops_Asignadas,Nombres_Directorio,"",0))</f>
        <v>Yessica Velázquez Villanueva</v>
      </c>
      <c r="T2" s="5" t="str">
        <f t="array" ref="T2">IF(OR($A2="",ISBLANK(XLOOKUP($A2,Laptops_Asignadas,Sucursal_Asignada,"",0))),"",XLOOKUP($A2,Laptops_Asignadas,Sucursal_Asignada,"",0))</f>
        <v>Corporativo</v>
      </c>
      <c r="U2" s="5" t="str">
        <f t="array" ref="U2">IF(OR($A2="",ISBLANK(XLOOKUP($A2,Laptops_Asignadas,Departamento_Asignado,"",0))),"",XLOOKUP($A2,Laptops_Asignadas,Departamento_Asignado,"",0))</f>
        <v>Staff</v>
      </c>
      <c r="V2" s="5" t="str">
        <f t="array" ref="V2">IF(OR($A2="",ISBLANK(XLOOKUP($A2,Laptops_Asignadas,Nombres_Directorio,"",0))),"",XLOOKUP($A2,Laptops_Asignadas,Nombres_Directorio,"",0))</f>
        <v>Yessica Velázquez Villanueva</v>
      </c>
      <c r="W2" s="5" t="str">
        <f t="array" ref="W2">IF(OR($A2="",ISBLANK(XLOOKUP($A2,Laptops_Asignadas,Correos_Gmail,"",0))),"",XLOOKUP($A2,Laptops_Asignadas,Correos_Gmail,"",0))</f>
        <v>yvelazquez.agro@gmail.com</v>
      </c>
      <c r="X2" s="5" t="str">
        <f t="array" ref="X2">IF(OR($A2="",ISBLANK(XLOOKUP($A2,Laptops_Asignadas,Correos_Institucionales,"",0))),"",XLOOKUP($A2,Laptops_Asignadas,Correos_Institucionales,"",0))</f>
        <v>yessica.velazquez@agrocisa.com.mx</v>
      </c>
      <c r="Y2" s="4" t="str">
        <f>IF(OR(ISERR(VLOOKUP($B2,Directorio,8,0)),ISERROR(VLOOKUP($B2,Directorio,8,0))),"",VLOOKUP($B2,Directorio,8,0))</f>
        <v/>
      </c>
    </row>
    <row r="3">
      <c r="A3" s="5" t="s">
        <v>577</v>
      </c>
      <c r="B3" s="54">
        <v>2800.0</v>
      </c>
      <c r="C3" s="54" t="s">
        <v>1132</v>
      </c>
      <c r="D3" s="54" t="s">
        <v>1290</v>
      </c>
      <c r="E3" s="54"/>
      <c r="F3" s="55" t="s">
        <v>1297</v>
      </c>
      <c r="G3" s="5" t="s">
        <v>1298</v>
      </c>
      <c r="H3" s="5" t="s">
        <v>1299</v>
      </c>
      <c r="I3" s="5" t="s">
        <v>1300</v>
      </c>
      <c r="J3" s="5" t="s">
        <v>1301</v>
      </c>
      <c r="K3" s="5" t="s">
        <v>1302</v>
      </c>
      <c r="L3" s="5" t="s">
        <v>1082</v>
      </c>
      <c r="M3" s="5" t="s">
        <v>1303</v>
      </c>
      <c r="N3" s="5" t="s">
        <v>1089</v>
      </c>
      <c r="O3" s="5" t="s">
        <v>1090</v>
      </c>
      <c r="P3" s="5" t="s">
        <v>1091</v>
      </c>
      <c r="Q3" s="5"/>
      <c r="R3" s="5" t="s">
        <v>1304</v>
      </c>
      <c r="S3" s="5" t="str">
        <f t="array" ref="S3">IF(OR($A3="",ISBLANK(XLOOKUP($A3,Laptops_Asignadas,Nombres_Directorio,"",0))),"",XLOOKUP($A3,Laptops_Asignadas,Nombres_Directorio,"",0))</f>
        <v>Joel Velázquez Jaime</v>
      </c>
      <c r="T3" s="5" t="str">
        <f t="array" ref="T3">IF(OR($A3="",ISBLANK(XLOOKUP($A3,Laptops_Asignadas,Sucursal_Asignada,"",0))),"",XLOOKUP($A3,Laptops_Asignadas,Sucursal_Asignada,"",0))</f>
        <v>Morelia</v>
      </c>
      <c r="U3" s="5" t="str">
        <f t="array" ref="U3">IF(OR($A3="",ISBLANK(XLOOKUP($A3,Laptops_Asignadas,Departamento_Asignado,"",0))),"",XLOOKUP($A3,Laptops_Asignadas,Departamento_Asignado,"",0))</f>
        <v>Maquinaria Agrícola</v>
      </c>
      <c r="V3" s="5" t="str">
        <f t="array" ref="V3">IF(OR($A3="",ISBLANK(XLOOKUP($A3,Laptops_Asignadas,Nombres_Directorio,"",0))),"",XLOOKUP($A3,Laptops_Asignadas,Nombres_Directorio,"",0))</f>
        <v>Joel Velázquez Jaime</v>
      </c>
      <c r="W3" s="5" t="str">
        <f t="array" ref="W3">IF(OR($A3="",ISBLANK(XLOOKUP($A3,Laptops_Asignadas,Correos_Gmail,"",0))),"",XLOOKUP($A3,Laptops_Asignadas,Correos_Gmail,"",0))</f>
        <v>joel.velazquez@agrocisa.com.mx</v>
      </c>
      <c r="X3" s="5" t="str">
        <f t="array" ref="X3">IF(OR($A3="",ISBLANK(XLOOKUP($A3,Laptops_Asignadas,Correos_Institucionales,"",0))),"",XLOOKUP($A3,Laptops_Asignadas,Correos_Institucionales,"",0))</f>
        <v>joel.velazquez@agrocisa.com.mx</v>
      </c>
    </row>
    <row r="4">
      <c r="A4" s="5" t="s">
        <v>1305</v>
      </c>
      <c r="B4" s="54">
        <v>4800.0</v>
      </c>
      <c r="C4" s="54" t="s">
        <v>1132</v>
      </c>
      <c r="D4" s="54" t="s">
        <v>1290</v>
      </c>
      <c r="E4" s="54" t="s">
        <v>1306</v>
      </c>
      <c r="F4" s="55" t="s">
        <v>1307</v>
      </c>
      <c r="G4" s="5" t="s">
        <v>1292</v>
      </c>
      <c r="H4" s="5" t="s">
        <v>1308</v>
      </c>
      <c r="I4" s="64" t="s">
        <v>1309</v>
      </c>
      <c r="J4" s="5" t="s">
        <v>1085</v>
      </c>
      <c r="K4" s="5" t="s">
        <v>1310</v>
      </c>
      <c r="L4" s="5" t="s">
        <v>1311</v>
      </c>
      <c r="M4" s="5" t="s">
        <v>1312</v>
      </c>
      <c r="N4" s="5" t="s">
        <v>1089</v>
      </c>
      <c r="O4" s="5" t="s">
        <v>1090</v>
      </c>
      <c r="P4" s="5" t="s">
        <v>223</v>
      </c>
      <c r="Q4" s="5" t="s">
        <v>1313</v>
      </c>
      <c r="R4" s="5" t="s">
        <v>1314</v>
      </c>
      <c r="S4" s="5" t="str">
        <f t="array" ref="S4">IF(OR($A4="",ISBLANK(XLOOKUP($A4,Laptops_Asignadas,Nombres_Directorio,"",0))),"",XLOOKUP($A4,Laptops_Asignadas,Nombres_Directorio,"",0))</f>
        <v/>
      </c>
      <c r="T4" s="5" t="str">
        <f t="array" ref="T4">IF(OR($A4="",ISBLANK(XLOOKUP($A4,Laptops_Asignadas,Sucursal_Asignada,"",0))),"",XLOOKUP($A4,Laptops_Asignadas,Sucursal_Asignada,"",0))</f>
        <v/>
      </c>
      <c r="U4" s="5" t="str">
        <f t="array" ref="U4">IF(OR($A4="",ISBLANK(XLOOKUP($A4,Laptops_Asignadas,Departamento_Asignado,"",0))),"",XLOOKUP($A4,Laptops_Asignadas,Departamento_Asignado,"",0))</f>
        <v/>
      </c>
      <c r="V4" s="5" t="str">
        <f t="array" ref="V4">IF(OR($A4="",ISBLANK(XLOOKUP($A4,Laptops_Asignadas,Nombres_Directorio,"",0))),"",XLOOKUP($A4,Laptops_Asignadas,Nombres_Directorio,"",0))</f>
        <v/>
      </c>
      <c r="W4" s="5" t="str">
        <f t="array" ref="W4">IF(OR($A4="",ISBLANK(XLOOKUP($A4,Laptops_Asignadas,Correos_Gmail,"",0))),"",XLOOKUP($A4,Laptops_Asignadas,Correos_Gmail,"",0))</f>
        <v/>
      </c>
      <c r="X4" s="5" t="str">
        <f t="array" ref="X4">IF(OR($A4="",ISBLANK(XLOOKUP($A4,Laptops_Asignadas,Correos_Institucionales,"",0))),"",XLOOKUP($A4,Laptops_Asignadas,Correos_Institucionales,"",0))</f>
        <v/>
      </c>
    </row>
    <row r="5">
      <c r="A5" s="65" t="s">
        <v>336</v>
      </c>
      <c r="B5" s="54">
        <v>4000.0</v>
      </c>
      <c r="C5" s="54" t="s">
        <v>1132</v>
      </c>
      <c r="D5" s="54" t="s">
        <v>1290</v>
      </c>
      <c r="E5" s="54" t="s">
        <v>1306</v>
      </c>
      <c r="F5" s="55" t="s">
        <v>1315</v>
      </c>
      <c r="G5" s="5" t="s">
        <v>1316</v>
      </c>
      <c r="H5" s="5" t="s">
        <v>1317</v>
      </c>
      <c r="I5" s="5" t="s">
        <v>1318</v>
      </c>
      <c r="J5" s="5" t="s">
        <v>1301</v>
      </c>
      <c r="K5" s="5" t="s">
        <v>1319</v>
      </c>
      <c r="L5" s="5" t="s">
        <v>1082</v>
      </c>
      <c r="M5" s="5" t="s">
        <v>1320</v>
      </c>
      <c r="N5" s="5" t="s">
        <v>1099</v>
      </c>
      <c r="O5" s="5" t="s">
        <v>1100</v>
      </c>
      <c r="P5" s="5" t="s">
        <v>223</v>
      </c>
      <c r="Q5" s="5" t="s">
        <v>1321</v>
      </c>
      <c r="R5" s="5" t="s">
        <v>1322</v>
      </c>
      <c r="S5" s="5" t="str">
        <f t="array" ref="S5">IF(OR($A5="",ISBLANK(XLOOKUP($A5,Laptops_Asignadas,Nombres_Directorio,"",0))),"",XLOOKUP($A5,Laptops_Asignadas,Nombres_Directorio,"",0))</f>
        <v>Michael Alberto Castro García</v>
      </c>
      <c r="T5" s="5" t="str">
        <f t="array" ref="T5">IF(OR($A5="",ISBLANK(XLOOKUP($A5,Laptops_Asignadas,Sucursal_Asignada,"",0))),"",XLOOKUP($A5,Laptops_Asignadas,Sucursal_Asignada,"",0))</f>
        <v>Corporativo</v>
      </c>
      <c r="U5" s="5" t="str">
        <f t="array" ref="U5">IF(OR($A5="",ISBLANK(XLOOKUP($A5,Laptops_Asignadas,Departamento_Asignado,"",0))),"",XLOOKUP($A5,Laptops_Asignadas,Departamento_Asignado,"",0))</f>
        <v>Parque Vehicular</v>
      </c>
      <c r="V5" s="5" t="str">
        <f t="array" ref="V5">IF(OR($A5="",ISBLANK(XLOOKUP($A5,Laptops_Asignadas,Nombres_Directorio,"",0))),"",XLOOKUP($A5,Laptops_Asignadas,Nombres_Directorio,"",0))</f>
        <v>Michael Alberto Castro García</v>
      </c>
      <c r="W5" s="5" t="str">
        <f t="array" ref="W5">IF(OR($A5="",ISBLANK(XLOOKUP($A5,Laptops_Asignadas,Correos_Gmail,"",0))),"",XLOOKUP($A5,Laptops_Asignadas,Correos_Gmail,"",0))</f>
        <v>michael.castro@agrocisa.com.mx</v>
      </c>
      <c r="X5" s="5" t="str">
        <f t="array" ref="X5">IF(OR($A5="",ISBLANK(XLOOKUP($A5,Laptops_Asignadas,Correos_Institucionales,"",0))),"",XLOOKUP($A5,Laptops_Asignadas,Correos_Institucionales,"",0))</f>
        <v>michael.castro@agrocisa.com.mx</v>
      </c>
    </row>
    <row r="6">
      <c r="A6" s="65" t="s">
        <v>272</v>
      </c>
      <c r="B6" s="66">
        <v>5500.0</v>
      </c>
      <c r="C6" s="66" t="s">
        <v>776</v>
      </c>
      <c r="D6" s="54" t="s">
        <v>1290</v>
      </c>
      <c r="E6" s="66"/>
      <c r="F6" s="55" t="s">
        <v>1291</v>
      </c>
      <c r="G6" s="5" t="s">
        <v>1323</v>
      </c>
      <c r="H6" s="5" t="s">
        <v>1324</v>
      </c>
      <c r="I6" s="5"/>
      <c r="J6" s="5" t="s">
        <v>1325</v>
      </c>
      <c r="K6" s="5" t="s">
        <v>1326</v>
      </c>
      <c r="L6" s="5" t="s">
        <v>1087</v>
      </c>
      <c r="M6" s="5" t="s">
        <v>1327</v>
      </c>
      <c r="N6" s="5" t="s">
        <v>1089</v>
      </c>
      <c r="O6" s="5" t="s">
        <v>1090</v>
      </c>
      <c r="P6" s="5" t="s">
        <v>1091</v>
      </c>
      <c r="Q6" s="5"/>
      <c r="R6" s="5" t="s">
        <v>1328</v>
      </c>
      <c r="S6" s="5" t="str">
        <f t="array" ref="S6">IF(OR($A6="",ISBLANK(XLOOKUP($A6,Laptops_Asignadas,Nombres_Directorio,"",0))),"",XLOOKUP($A6,Laptops_Asignadas,Nombres_Directorio,"",0))</f>
        <v>Jorge Humberto Gómez Córdova</v>
      </c>
      <c r="T6" s="5" t="str">
        <f t="array" ref="T6">IF(OR($A6="",ISBLANK(XLOOKUP($A6,Laptops_Asignadas,Sucursal_Asignada,"",0))),"",XLOOKUP($A6,Laptops_Asignadas,Sucursal_Asignada,"",0))</f>
        <v>Corporativo</v>
      </c>
      <c r="U6" s="5" t="str">
        <f t="array" ref="U6">IF(OR($A6="",ISBLANK(XLOOKUP($A6,Laptops_Asignadas,Departamento_Asignado,"",0))),"",XLOOKUP($A6,Laptops_Asignadas,Departamento_Asignado,"",0))</f>
        <v>Maquinaria Agrícola</v>
      </c>
      <c r="V6" s="5" t="str">
        <f t="array" ref="V6">IF(OR($A6="",ISBLANK(XLOOKUP($A6,Laptops_Asignadas,Nombres_Directorio,"",0))),"",XLOOKUP($A6,Laptops_Asignadas,Nombres_Directorio,"",0))</f>
        <v>Jorge Humberto Gómez Córdova</v>
      </c>
      <c r="W6" s="5" t="str">
        <f t="array" ref="W6">IF(OR($A6="",ISBLANK(XLOOKUP($A6,Laptops_Asignadas,Correos_Gmail,"",0))),"",XLOOKUP($A6,Laptops_Asignadas,Correos_Gmail,"",0))</f>
        <v>jgomez.agro@gmail.com</v>
      </c>
      <c r="X6" s="5" t="str">
        <f t="array" ref="X6">IF(OR($A6="",ISBLANK(XLOOKUP($A6,Laptops_Asignadas,Correos_Institucionales,"",0))),"",XLOOKUP($A6,Laptops_Asignadas,Correos_Institucionales,"",0))</f>
        <v>jorge.gomez@agrocisa.com.mx</v>
      </c>
    </row>
    <row r="7">
      <c r="A7" s="5" t="s">
        <v>125</v>
      </c>
      <c r="B7" s="54">
        <v>4500.0</v>
      </c>
      <c r="C7" s="54" t="s">
        <v>1132</v>
      </c>
      <c r="D7" s="54" t="s">
        <v>1290</v>
      </c>
      <c r="E7" s="54"/>
      <c r="F7" s="55" t="s">
        <v>1291</v>
      </c>
      <c r="G7" s="5" t="s">
        <v>1316</v>
      </c>
      <c r="H7" s="5" t="s">
        <v>1329</v>
      </c>
      <c r="I7" s="5" t="s">
        <v>1330</v>
      </c>
      <c r="J7" s="5" t="s">
        <v>1105</v>
      </c>
      <c r="K7" s="5" t="s">
        <v>1319</v>
      </c>
      <c r="L7" s="5" t="s">
        <v>1082</v>
      </c>
      <c r="M7" s="5" t="s">
        <v>1331</v>
      </c>
      <c r="N7" s="5" t="s">
        <v>1089</v>
      </c>
      <c r="O7" s="5" t="s">
        <v>1090</v>
      </c>
      <c r="P7" s="5" t="s">
        <v>1091</v>
      </c>
      <c r="Q7" s="5" t="s">
        <v>1332</v>
      </c>
      <c r="R7" s="5" t="s">
        <v>1333</v>
      </c>
      <c r="S7" s="5" t="str">
        <f t="array" ref="S7">IF(OR($A7="",ISBLANK(XLOOKUP($A7,Laptops_Asignadas,Nombres_Directorio,"",0))),"",XLOOKUP($A7,Laptops_Asignadas,Nombres_Directorio,"",0))</f>
        <v>María del Cármen Sánchez García</v>
      </c>
      <c r="T7" s="5" t="str">
        <f t="array" ref="T7">IF(OR($A7="",ISBLANK(XLOOKUP($A7,Laptops_Asignadas,Sucursal_Asignada,"",0))),"",XLOOKUP($A7,Laptops_Asignadas,Sucursal_Asignada,"",0))</f>
        <v>Corporativo</v>
      </c>
      <c r="U7" s="5" t="str">
        <f t="array" ref="U7">IF(OR($A7="",ISBLANK(XLOOKUP($A7,Laptops_Asignadas,Departamento_Asignado,"",0))),"",XLOOKUP($A7,Laptops_Asignadas,Departamento_Asignado,"",0))</f>
        <v>Compras</v>
      </c>
      <c r="V7" s="5" t="str">
        <f t="array" ref="V7">IF(OR($A7="",ISBLANK(XLOOKUP($A7,Laptops_Asignadas,Nombres_Directorio,"",0))),"",XLOOKUP($A7,Laptops_Asignadas,Nombres_Directorio,"",0))</f>
        <v>María del Cármen Sánchez García</v>
      </c>
      <c r="W7" s="5" t="str">
        <f t="array" ref="W7">IF(OR($A7="",ISBLANK(XLOOKUP($A7,Laptops_Asignadas,Correos_Gmail,"",0))),"",XLOOKUP($A7,Laptops_Asignadas,Correos_Gmail,"",0))</f>
        <v>auxiliarcompras.agrocisa@gmail.com</v>
      </c>
      <c r="X7" s="5" t="str">
        <f t="array" ref="X7">IF(OR($A7="",ISBLANK(XLOOKUP($A7,Laptops_Asignadas,Correos_Institucionales,"",0))),"",XLOOKUP($A7,Laptops_Asignadas,Correos_Institucionales,"",0))</f>
        <v>compras@agrocisa.com.mx</v>
      </c>
    </row>
    <row r="8">
      <c r="A8" s="65" t="s">
        <v>184</v>
      </c>
      <c r="B8" s="66">
        <v>10728.0</v>
      </c>
      <c r="C8" s="54" t="s">
        <v>776</v>
      </c>
      <c r="D8" s="54" t="s">
        <v>1290</v>
      </c>
      <c r="E8" s="66"/>
      <c r="F8" s="55" t="s">
        <v>1334</v>
      </c>
      <c r="G8" s="5" t="s">
        <v>1323</v>
      </c>
      <c r="H8" s="5" t="s">
        <v>1335</v>
      </c>
      <c r="I8" s="5" t="s">
        <v>1336</v>
      </c>
      <c r="J8" s="5" t="s">
        <v>1112</v>
      </c>
      <c r="K8" s="5" t="s">
        <v>1310</v>
      </c>
      <c r="L8" s="5" t="s">
        <v>1337</v>
      </c>
      <c r="M8" s="5" t="s">
        <v>1338</v>
      </c>
      <c r="N8" s="5" t="s">
        <v>1161</v>
      </c>
      <c r="O8" s="5" t="s">
        <v>1090</v>
      </c>
      <c r="P8" s="5" t="s">
        <v>1091</v>
      </c>
      <c r="Q8" s="5"/>
      <c r="R8" s="5" t="s">
        <v>1339</v>
      </c>
      <c r="S8" s="5" t="str">
        <f t="array" ref="S8">IF(OR($A8="",ISBLANK(XLOOKUP($A8,Laptops_Asignadas,Nombres_Directorio,"",0))),"",XLOOKUP($A8,Laptops_Asignadas,Nombres_Directorio,"",0))</f>
        <v>Magdalena Estrada Gómez</v>
      </c>
      <c r="T8" s="5" t="str">
        <f t="array" ref="T8">IF(OR($A8="",ISBLANK(XLOOKUP($A8,Laptops_Asignadas,Sucursal_Asignada,"",0))),"",XLOOKUP($A8,Laptops_Asignadas,Sucursal_Asignada,"",0))</f>
        <v>Corporativo</v>
      </c>
      <c r="U8" s="5" t="str">
        <f t="array" ref="U8">IF(OR($A8="",ISBLANK(XLOOKUP($A8,Laptops_Asignadas,Departamento_Asignado,"",0))),"",XLOOKUP($A8,Laptops_Asignadas,Departamento_Asignado,"",0))</f>
        <v>Crédito y Cobranza</v>
      </c>
      <c r="V8" s="5" t="str">
        <f t="array" ref="V8">IF(OR($A8="",ISBLANK(XLOOKUP($A8,Laptops_Asignadas,Nombres_Directorio,"",0))),"",XLOOKUP($A8,Laptops_Asignadas,Nombres_Directorio,"",0))</f>
        <v>Magdalena Estrada Gómez</v>
      </c>
      <c r="W8" s="5" t="str">
        <f t="array" ref="W8">IF(OR($A8="",ISBLANK(XLOOKUP($A8,Laptops_Asignadas,Correos_Gmail,"",0))),"",XLOOKUP($A8,Laptops_Asignadas,Correos_Gmail,"",0))</f>
        <v>m.estradaagro@gmail.com</v>
      </c>
      <c r="X8" s="5" t="str">
        <f t="array" ref="X8">IF(OR($A8="",ISBLANK(XLOOKUP($A8,Laptops_Asignadas,Correos_Institucionales,"",0))),"",XLOOKUP($A8,Laptops_Asignadas,Correos_Institucionales,"",0))</f>
        <v>magdalena.estrada@agrocisa.com.mx</v>
      </c>
    </row>
    <row r="9">
      <c r="A9" s="65" t="s">
        <v>342</v>
      </c>
      <c r="B9" s="66">
        <v>7000.0</v>
      </c>
      <c r="C9" s="66" t="s">
        <v>776</v>
      </c>
      <c r="D9" s="54" t="s">
        <v>1290</v>
      </c>
      <c r="E9" s="66"/>
      <c r="F9" s="55" t="s">
        <v>1291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 t="s">
        <v>1340</v>
      </c>
      <c r="S9" s="5" t="str">
        <f t="array" ref="S9">IF(OR($A9="",ISBLANK(XLOOKUP($A9,Laptops_Asignadas,Nombres_Directorio,"",0))),"",XLOOKUP($A9,Laptops_Asignadas,Nombres_Directorio,"",0))</f>
        <v>Miguel Ángel González Escoto</v>
      </c>
      <c r="T9" s="5" t="str">
        <f t="array" ref="T9">IF(OR($A9="",ISBLANK(XLOOKUP($A9,Laptops_Asignadas,Sucursal_Asignada,"",0))),"",XLOOKUP($A9,Laptops_Asignadas,Sucursal_Asignada,"",0))</f>
        <v>Corporativo</v>
      </c>
      <c r="U9" s="5" t="str">
        <f t="array" ref="U9">IF(OR($A9="",ISBLANK(XLOOKUP($A9,Laptops_Asignadas,Departamento_Asignado,"",0))),"",XLOOKUP($A9,Laptops_Asignadas,Departamento_Asignado,"",0))</f>
        <v>Postventa</v>
      </c>
      <c r="V9" s="5" t="str">
        <f t="array" ref="V9">IF(OR($A9="",ISBLANK(XLOOKUP($A9,Laptops_Asignadas,Nombres_Directorio,"",0))),"",XLOOKUP($A9,Laptops_Asignadas,Nombres_Directorio,"",0))</f>
        <v>Miguel Ángel González Escoto</v>
      </c>
      <c r="W9" s="5" t="str">
        <f t="array" ref="W9">IF(OR($A9="",ISBLANK(XLOOKUP($A9,Laptops_Asignadas,Correos_Gmail,"",0))),"",XLOOKUP($A9,Laptops_Asignadas,Correos_Gmail,"",0))</f>
        <v>migonzalez.agro@gmail.com</v>
      </c>
      <c r="X9" s="5" t="str">
        <f t="array" ref="X9">IF(OR($A9="",ISBLANK(XLOOKUP($A9,Laptops_Asignadas,Correos_Institucionales,"",0))),"",XLOOKUP($A9,Laptops_Asignadas,Correos_Institucionales,"",0))</f>
        <v>miguel.gonzalez@agrocisa.com.mx</v>
      </c>
    </row>
    <row r="10">
      <c r="A10" s="65" t="s">
        <v>266</v>
      </c>
      <c r="B10" s="66">
        <v>13249.0</v>
      </c>
      <c r="C10" s="66" t="s">
        <v>776</v>
      </c>
      <c r="D10" s="54" t="s">
        <v>1290</v>
      </c>
      <c r="E10" s="66"/>
      <c r="F10" s="55" t="s">
        <v>1084</v>
      </c>
      <c r="G10" s="5" t="s">
        <v>1323</v>
      </c>
      <c r="H10" s="5" t="s">
        <v>1341</v>
      </c>
      <c r="I10" s="5" t="s">
        <v>1342</v>
      </c>
      <c r="J10" s="5" t="s">
        <v>1112</v>
      </c>
      <c r="K10" s="5" t="s">
        <v>1310</v>
      </c>
      <c r="L10" s="5" t="s">
        <v>1082</v>
      </c>
      <c r="M10" s="5" t="s">
        <v>1343</v>
      </c>
      <c r="N10" s="5" t="s">
        <v>1089</v>
      </c>
      <c r="O10" s="5" t="s">
        <v>1090</v>
      </c>
      <c r="P10" s="5" t="s">
        <v>1091</v>
      </c>
      <c r="Q10" s="5"/>
      <c r="R10" s="5" t="s">
        <v>1344</v>
      </c>
      <c r="S10" s="5" t="str">
        <f t="array" ref="S10">IF(OR($A10="",ISBLANK(XLOOKUP($A10,Laptops_Asignadas,Nombres_Directorio,"",0))),"",XLOOKUP($A10,Laptops_Asignadas,Nombres_Directorio,"",0))</f>
        <v>María Guadalupe Aviña Cervantes</v>
      </c>
      <c r="T10" s="5" t="str">
        <f t="array" ref="T10">IF(OR($A10="",ISBLANK(XLOOKUP($A10,Laptops_Asignadas,Sucursal_Asignada,"",0))),"",XLOOKUP($A10,Laptops_Asignadas,Sucursal_Asignada,"",0))</f>
        <v>Corporativo</v>
      </c>
      <c r="U10" s="5" t="str">
        <f t="array" ref="U10">IF(OR($A10="",ISBLANK(XLOOKUP($A10,Laptops_Asignadas,Departamento_Asignado,"",0))),"",XLOOKUP($A10,Laptops_Asignadas,Departamento_Asignado,"",0))</f>
        <v>Maquinaria Agrícola</v>
      </c>
      <c r="V10" s="5" t="str">
        <f t="array" ref="V10">IF(OR($A10="",ISBLANK(XLOOKUP($A10,Laptops_Asignadas,Nombres_Directorio,"",0))),"",XLOOKUP($A10,Laptops_Asignadas,Nombres_Directorio,"",0))</f>
        <v>María Guadalupe Aviña Cervantes</v>
      </c>
      <c r="W10" s="5" t="str">
        <f t="array" ref="W10">IF(OR($A10="",ISBLANK(XLOOKUP($A10,Laptops_Asignadas,Correos_Gmail,"",0))),"",XLOOKUP($A10,Laptops_Asignadas,Correos_Gmail,"",0))</f>
        <v>gavina.agro@gmail.com</v>
      </c>
      <c r="X10" s="5" t="str">
        <f t="array" ref="X10">IF(OR($A10="",ISBLANK(XLOOKUP($A10,Laptops_Asignadas,Correos_Institucionales,"",0))),"",XLOOKUP($A10,Laptops_Asignadas,Correos_Institucionales,"",0))</f>
        <v>guadalupe.avina@agrocisa.com.mx</v>
      </c>
    </row>
    <row r="11">
      <c r="A11" s="5" t="s">
        <v>1345</v>
      </c>
      <c r="B11" s="54">
        <v>6500.0</v>
      </c>
      <c r="C11" s="54" t="s">
        <v>1132</v>
      </c>
      <c r="D11" s="54" t="s">
        <v>1290</v>
      </c>
      <c r="E11" s="54"/>
      <c r="F11" s="55" t="s">
        <v>1084</v>
      </c>
      <c r="G11" s="5" t="s">
        <v>1323</v>
      </c>
      <c r="H11" s="5" t="s">
        <v>1346</v>
      </c>
      <c r="I11" s="5"/>
      <c r="J11" s="5" t="s">
        <v>1347</v>
      </c>
      <c r="K11" s="5" t="s">
        <v>1319</v>
      </c>
      <c r="L11" s="5" t="s">
        <v>1087</v>
      </c>
      <c r="M11" s="5" t="s">
        <v>1348</v>
      </c>
      <c r="N11" s="5" t="s">
        <v>1089</v>
      </c>
      <c r="O11" s="5" t="s">
        <v>1090</v>
      </c>
      <c r="P11" s="5" t="s">
        <v>223</v>
      </c>
      <c r="Q11" s="5" t="s">
        <v>1349</v>
      </c>
      <c r="R11" s="5" t="s">
        <v>1350</v>
      </c>
      <c r="S11" s="5" t="str">
        <f t="array" ref="S11">IF(OR($A11="",ISBLANK(XLOOKUP($A11,Laptops_Asignadas,Nombres_Directorio,"",0))),"",XLOOKUP($A11,Laptops_Asignadas,Nombres_Directorio,"",0))</f>
        <v/>
      </c>
      <c r="T11" s="5" t="str">
        <f t="array" ref="T11">IF(OR($A11="",ISBLANK(XLOOKUP($A11,Laptops_Asignadas,Sucursal_Asignada,"",0))),"",XLOOKUP($A11,Laptops_Asignadas,Sucursal_Asignada,"",0))</f>
        <v/>
      </c>
      <c r="U11" s="5" t="str">
        <f t="array" ref="U11">IF(OR($A11="",ISBLANK(XLOOKUP($A11,Laptops_Asignadas,Departamento_Asignado,"",0))),"",XLOOKUP($A11,Laptops_Asignadas,Departamento_Asignado,"",0))</f>
        <v/>
      </c>
      <c r="V11" s="5" t="str">
        <f t="array" ref="V11">IF(OR($A11="",ISBLANK(XLOOKUP($A11,Laptops_Asignadas,Nombres_Directorio,"",0))),"",XLOOKUP($A11,Laptops_Asignadas,Nombres_Directorio,"",0))</f>
        <v/>
      </c>
      <c r="W11" s="5" t="str">
        <f t="array" ref="W11">IF(OR($A11="",ISBLANK(XLOOKUP($A11,Laptops_Asignadas,Correos_Gmail,"",0))),"",XLOOKUP($A11,Laptops_Asignadas,Correos_Gmail,"",0))</f>
        <v/>
      </c>
      <c r="X11" s="5" t="str">
        <f t="array" ref="X11">IF(OR($A11="",ISBLANK(XLOOKUP($A11,Laptops_Asignadas,Correos_Institucionales,"",0))),"",XLOOKUP($A11,Laptops_Asignadas,Correos_Institucionales,"",0))</f>
        <v/>
      </c>
    </row>
    <row r="12">
      <c r="A12" s="5" t="s">
        <v>748</v>
      </c>
      <c r="B12" s="54">
        <v>4500.0</v>
      </c>
      <c r="C12" s="54" t="s">
        <v>1132</v>
      </c>
      <c r="D12" s="54" t="s">
        <v>1290</v>
      </c>
      <c r="E12" s="54" t="s">
        <v>1351</v>
      </c>
      <c r="F12" s="55" t="s">
        <v>1352</v>
      </c>
      <c r="G12" s="5" t="s">
        <v>1323</v>
      </c>
      <c r="H12" s="5" t="s">
        <v>1346</v>
      </c>
      <c r="I12" s="5">
        <v>2.0362013966E10</v>
      </c>
      <c r="J12" s="5" t="s">
        <v>1112</v>
      </c>
      <c r="K12" s="5" t="s">
        <v>1353</v>
      </c>
      <c r="L12" s="5" t="s">
        <v>1082</v>
      </c>
      <c r="M12" s="5" t="s">
        <v>1354</v>
      </c>
      <c r="N12" s="5" t="s">
        <v>1089</v>
      </c>
      <c r="O12" s="5" t="s">
        <v>1090</v>
      </c>
      <c r="P12" s="5" t="s">
        <v>223</v>
      </c>
      <c r="Q12" s="5" t="s">
        <v>1355</v>
      </c>
      <c r="R12" s="5" t="s">
        <v>1356</v>
      </c>
      <c r="S12" s="5" t="str">
        <f t="array" ref="S12">IF(OR($A12="",ISBLANK(XLOOKUP($A12,Laptops_Asignadas,Nombres_Directorio,"",0))),"",XLOOKUP($A12,Laptops_Asignadas,Nombres_Directorio,"",0))</f>
        <v>Pablo Arturo Maldonado Ponce</v>
      </c>
      <c r="T12" s="5" t="str">
        <f t="array" ref="T12">IF(OR($A12="",ISBLANK(XLOOKUP($A12,Laptops_Asignadas,Sucursal_Asignada,"",0))),"",XLOOKUP($A12,Laptops_Asignadas,Sucursal_Asignada,"",0))</f>
        <v>Zona Altos</v>
      </c>
      <c r="U12" s="5" t="str">
        <f t="array" ref="U12">IF(OR($A12="",ISBLANK(XLOOKUP($A12,Laptops_Asignadas,Departamento_Asignado,"",0))),"",XLOOKUP($A12,Laptops_Asignadas,Departamento_Asignado,"",0))</f>
        <v>Maquinaria Agrícola y Construcción</v>
      </c>
      <c r="V12" s="5" t="str">
        <f t="array" ref="V12">IF(OR($A12="",ISBLANK(XLOOKUP($A12,Laptops_Asignadas,Nombres_Directorio,"",0))),"",XLOOKUP($A12,Laptops_Asignadas,Nombres_Directorio,"",0))</f>
        <v>Pablo Arturo Maldonado Ponce</v>
      </c>
      <c r="W12" s="5" t="str">
        <f t="array" ref="W12">IF(OR($A12="",ISBLANK(XLOOKUP($A12,Laptops_Asignadas,Correos_Gmail,"",0))),"",XLOOKUP($A12,Laptops_Asignadas,Correos_Gmail,"",0))</f>
        <v>pablo.maldonado@agrocisa.com.mx</v>
      </c>
      <c r="X12" s="5" t="str">
        <f t="array" ref="X12">IF(OR($A12="",ISBLANK(XLOOKUP($A12,Laptops_Asignadas,Correos_Institucionales,"",0))),"",XLOOKUP($A12,Laptops_Asignadas,Correos_Institucionales,"",0))</f>
        <v>pablo.maldonado@agrocisa.com.mx</v>
      </c>
    </row>
    <row r="13">
      <c r="A13" s="65" t="s">
        <v>1357</v>
      </c>
      <c r="B13" s="54">
        <v>4500.0</v>
      </c>
      <c r="C13" s="54" t="s">
        <v>1132</v>
      </c>
      <c r="D13" s="54" t="s">
        <v>1290</v>
      </c>
      <c r="E13" s="54"/>
      <c r="F13" s="55" t="s">
        <v>1084</v>
      </c>
      <c r="G13" s="5" t="s">
        <v>1323</v>
      </c>
      <c r="H13" s="5" t="s">
        <v>1358</v>
      </c>
      <c r="I13" s="5" t="s">
        <v>1359</v>
      </c>
      <c r="J13" s="5" t="s">
        <v>1301</v>
      </c>
      <c r="K13" s="5" t="s">
        <v>1360</v>
      </c>
      <c r="L13" s="5" t="s">
        <v>1107</v>
      </c>
      <c r="M13" s="5" t="s">
        <v>1361</v>
      </c>
      <c r="N13" s="5" t="s">
        <v>1109</v>
      </c>
      <c r="O13" s="5" t="s">
        <v>1090</v>
      </c>
      <c r="P13" s="5" t="s">
        <v>1091</v>
      </c>
      <c r="Q13" s="5" t="s">
        <v>1362</v>
      </c>
      <c r="R13" s="5" t="s">
        <v>1363</v>
      </c>
      <c r="S13" s="5" t="str">
        <f t="array" ref="S13">IF(OR($A13="",ISBLANK(XLOOKUP($A13,Laptops_Asignadas,Nombres_Directorio,"",0))),"",XLOOKUP($A13,Laptops_Asignadas,Nombres_Directorio,"",0))</f>
        <v/>
      </c>
      <c r="T13" s="5" t="str">
        <f t="array" ref="T13">IF(OR($A13="",ISBLANK(XLOOKUP($A13,Laptops_Asignadas,Sucursal_Asignada,"",0))),"",XLOOKUP($A13,Laptops_Asignadas,Sucursal_Asignada,"",0))</f>
        <v/>
      </c>
      <c r="U13" s="5" t="str">
        <f t="array" ref="U13">IF(OR($A13="",ISBLANK(XLOOKUP($A13,Laptops_Asignadas,Departamento_Asignado,"",0))),"",XLOOKUP($A13,Laptops_Asignadas,Departamento_Asignado,"",0))</f>
        <v/>
      </c>
      <c r="V13" s="5" t="str">
        <f t="array" ref="V13">IF(OR($A13="",ISBLANK(XLOOKUP($A13,Laptops_Asignadas,Nombres_Directorio,"",0))),"",XLOOKUP($A13,Laptops_Asignadas,Nombres_Directorio,"",0))</f>
        <v/>
      </c>
      <c r="W13" s="5" t="str">
        <f t="array" ref="W13">IF(OR($A13="",ISBLANK(XLOOKUP($A13,Laptops_Asignadas,Correos_Gmail,"",0))),"",XLOOKUP($A13,Laptops_Asignadas,Correos_Gmail,"",0))</f>
        <v/>
      </c>
      <c r="X13" s="5" t="str">
        <f t="array" ref="X13">IF(OR($A13="",ISBLANK(XLOOKUP($A13,Laptops_Asignadas,Correos_Institucionales,"",0))),"",XLOOKUP($A13,Laptops_Asignadas,Correos_Institucionales,"",0))</f>
        <v/>
      </c>
    </row>
    <row r="14">
      <c r="A14" s="5" t="s">
        <v>1364</v>
      </c>
      <c r="B14" s="54">
        <v>5000.0</v>
      </c>
      <c r="C14" s="54" t="s">
        <v>1132</v>
      </c>
      <c r="D14" s="54" t="s">
        <v>1290</v>
      </c>
      <c r="E14" s="54"/>
      <c r="F14" s="55" t="s">
        <v>1084</v>
      </c>
      <c r="G14" s="5" t="s">
        <v>1365</v>
      </c>
      <c r="H14" s="5" t="s">
        <v>1366</v>
      </c>
      <c r="I14" s="5" t="s">
        <v>1367</v>
      </c>
      <c r="J14" s="5" t="s">
        <v>1112</v>
      </c>
      <c r="K14" s="5" t="s">
        <v>1353</v>
      </c>
      <c r="L14" s="5" t="s">
        <v>1082</v>
      </c>
      <c r="M14" s="5" t="s">
        <v>1354</v>
      </c>
      <c r="N14" s="5" t="s">
        <v>1089</v>
      </c>
      <c r="O14" s="5" t="s">
        <v>1090</v>
      </c>
      <c r="P14" s="5" t="s">
        <v>1091</v>
      </c>
      <c r="Q14" s="5" t="s">
        <v>1368</v>
      </c>
      <c r="R14" s="5" t="s">
        <v>1369</v>
      </c>
      <c r="S14" s="5" t="str">
        <f t="array" ref="S14">IF(OR($A14="",ISBLANK(XLOOKUP($A14,Laptops_Asignadas,Nombres_Directorio,"",0))),"",XLOOKUP($A14,Laptops_Asignadas,Nombres_Directorio,"",0))</f>
        <v/>
      </c>
      <c r="T14" s="5" t="str">
        <f t="array" ref="T14">IF(OR($A14="",ISBLANK(XLOOKUP($A14,Laptops_Asignadas,Sucursal_Asignada,"",0))),"",XLOOKUP($A14,Laptops_Asignadas,Sucursal_Asignada,"",0))</f>
        <v/>
      </c>
      <c r="U14" s="5" t="str">
        <f t="array" ref="U14">IF(OR($A14="",ISBLANK(XLOOKUP($A14,Laptops_Asignadas,Departamento_Asignado,"",0))),"",XLOOKUP($A14,Laptops_Asignadas,Departamento_Asignado,"",0))</f>
        <v/>
      </c>
      <c r="V14" s="5" t="str">
        <f t="array" ref="V14">IF(OR($A14="",ISBLANK(XLOOKUP($A14,Laptops_Asignadas,Nombres_Directorio,"",0))),"",XLOOKUP($A14,Laptops_Asignadas,Nombres_Directorio,"",0))</f>
        <v/>
      </c>
      <c r="W14" s="5" t="str">
        <f t="array" ref="W14">IF(OR($A14="",ISBLANK(XLOOKUP($A14,Laptops_Asignadas,Correos_Gmail,"",0))),"",XLOOKUP($A14,Laptops_Asignadas,Correos_Gmail,"",0))</f>
        <v/>
      </c>
      <c r="X14" s="5" t="str">
        <f t="array" ref="X14">IF(OR($A14="",ISBLANK(XLOOKUP($A14,Laptops_Asignadas,Correos_Institucionales,"",0))),"",XLOOKUP($A14,Laptops_Asignadas,Correos_Institucionales,"",0))</f>
        <v/>
      </c>
    </row>
    <row r="15">
      <c r="A15" s="5" t="s">
        <v>1370</v>
      </c>
      <c r="B15" s="54">
        <v>5500.0</v>
      </c>
      <c r="C15" s="54" t="s">
        <v>1132</v>
      </c>
      <c r="D15" s="54" t="s">
        <v>1290</v>
      </c>
      <c r="E15" s="54"/>
      <c r="F15" s="55" t="s">
        <v>1291</v>
      </c>
      <c r="G15" s="5" t="s">
        <v>1323</v>
      </c>
      <c r="H15" s="5" t="s">
        <v>1346</v>
      </c>
      <c r="I15" s="5">
        <v>1.1436631742E10</v>
      </c>
      <c r="J15" s="5" t="s">
        <v>1105</v>
      </c>
      <c r="K15" s="5" t="s">
        <v>1353</v>
      </c>
      <c r="L15" s="5" t="s">
        <v>1082</v>
      </c>
      <c r="M15" s="5" t="s">
        <v>1354</v>
      </c>
      <c r="N15" s="5" t="s">
        <v>1371</v>
      </c>
      <c r="O15" s="5" t="s">
        <v>1100</v>
      </c>
      <c r="P15" s="5" t="s">
        <v>1091</v>
      </c>
      <c r="Q15" s="5" t="s">
        <v>1372</v>
      </c>
      <c r="R15" s="5" t="s">
        <v>1373</v>
      </c>
      <c r="S15" s="5" t="str">
        <f t="array" ref="S15">IF(OR($A15="",ISBLANK(XLOOKUP($A15,Laptops_Asignadas,Nombres_Directorio,"",0))),"",XLOOKUP($A15,Laptops_Asignadas,Nombres_Directorio,"",0))</f>
        <v/>
      </c>
      <c r="T15" s="5" t="str">
        <f t="array" ref="T15">IF(OR($A15="",ISBLANK(XLOOKUP($A15,Laptops_Asignadas,Sucursal_Asignada,"",0))),"",XLOOKUP($A15,Laptops_Asignadas,Sucursal_Asignada,"",0))</f>
        <v/>
      </c>
      <c r="U15" s="5" t="str">
        <f t="array" ref="U15">IF(OR($A15="",ISBLANK(XLOOKUP($A15,Laptops_Asignadas,Departamento_Asignado,"",0))),"",XLOOKUP($A15,Laptops_Asignadas,Departamento_Asignado,"",0))</f>
        <v/>
      </c>
      <c r="V15" s="5" t="str">
        <f t="array" ref="V15">IF(OR($A15="",ISBLANK(XLOOKUP($A15,Laptops_Asignadas,Nombres_Directorio,"",0))),"",XLOOKUP($A15,Laptops_Asignadas,Nombres_Directorio,"",0))</f>
        <v/>
      </c>
      <c r="W15" s="5" t="str">
        <f t="array" ref="W15">IF(OR($A15="",ISBLANK(XLOOKUP($A15,Laptops_Asignadas,Correos_Gmail,"",0))),"",XLOOKUP($A15,Laptops_Asignadas,Correos_Gmail,"",0))</f>
        <v/>
      </c>
      <c r="X15" s="5" t="str">
        <f t="array" ref="X15">IF(OR($A15="",ISBLANK(XLOOKUP($A15,Laptops_Asignadas,Correos_Institucionales,"",0))),"",XLOOKUP($A15,Laptops_Asignadas,Correos_Institucionales,"",0))</f>
        <v/>
      </c>
    </row>
    <row r="16">
      <c r="A16" s="5" t="s">
        <v>199</v>
      </c>
      <c r="B16" s="54">
        <v>3500.0</v>
      </c>
      <c r="C16" s="54" t="s">
        <v>1132</v>
      </c>
      <c r="D16" s="54" t="s">
        <v>1290</v>
      </c>
      <c r="E16" s="54" t="s">
        <v>1306</v>
      </c>
      <c r="F16" s="55" t="s">
        <v>1374</v>
      </c>
      <c r="G16" s="5" t="s">
        <v>1316</v>
      </c>
      <c r="H16" s="5" t="s">
        <v>1375</v>
      </c>
      <c r="I16" s="5" t="s">
        <v>1376</v>
      </c>
      <c r="J16" s="5" t="s">
        <v>1112</v>
      </c>
      <c r="K16" s="5" t="s">
        <v>1377</v>
      </c>
      <c r="L16" s="5" t="s">
        <v>1107</v>
      </c>
      <c r="M16" s="5" t="s">
        <v>1378</v>
      </c>
      <c r="N16" s="5" t="s">
        <v>1089</v>
      </c>
      <c r="O16" s="5" t="s">
        <v>1090</v>
      </c>
      <c r="P16" s="5" t="s">
        <v>223</v>
      </c>
      <c r="Q16" s="5" t="s">
        <v>1379</v>
      </c>
      <c r="R16" s="5" t="s">
        <v>1380</v>
      </c>
      <c r="S16" s="5" t="str">
        <f t="array" ref="S16">IF(OR($A16="",ISBLANK(XLOOKUP($A16,Laptops_Asignadas,Nombres_Directorio,"",0))),"",XLOOKUP($A16,Laptops_Asignadas,Nombres_Directorio,"",0))</f>
        <v>Jennifer Paulina Resendiz Bravo</v>
      </c>
      <c r="T16" s="5" t="str">
        <f t="array" ref="T16">IF(OR($A16="",ISBLANK(XLOOKUP($A16,Laptops_Asignadas,Sucursal_Asignada,"",0))),"",XLOOKUP($A16,Laptops_Asignadas,Sucursal_Asignada,"",0))</f>
        <v>Corporativo</v>
      </c>
      <c r="U16" s="5" t="str">
        <f t="array" ref="U16">IF(OR($A16="",ISBLANK(XLOOKUP($A16,Laptops_Asignadas,Departamento_Asignado,"",0))),"",XLOOKUP($A16,Laptops_Asignadas,Departamento_Asignado,"",0))</f>
        <v>Finanzas</v>
      </c>
      <c r="V16" s="5" t="str">
        <f t="array" ref="V16">IF(OR($A16="",ISBLANK(XLOOKUP($A16,Laptops_Asignadas,Nombres_Directorio,"",0))),"",XLOOKUP($A16,Laptops_Asignadas,Nombres_Directorio,"",0))</f>
        <v>Jennifer Paulina Resendiz Bravo</v>
      </c>
      <c r="W16" s="5" t="str">
        <f t="array" ref="W16">IF(OR($A16="",ISBLANK(XLOOKUP($A16,Laptops_Asignadas,Correos_Gmail,"",0))),"",XLOOKUP($A16,Laptops_Asignadas,Correos_Gmail,"",0))</f>
        <v>paresendiz.agro@gmail.com</v>
      </c>
      <c r="X16" s="5" t="str">
        <f t="array" ref="X16">IF(OR($A16="",ISBLANK(XLOOKUP($A16,Laptops_Asignadas,Correos_Institucionales,"",0))),"",XLOOKUP($A16,Laptops_Asignadas,Correos_Institucionales,"",0))</f>
        <v>paulina.resendiz@agrocisa.com.mx</v>
      </c>
    </row>
    <row r="17">
      <c r="A17" s="5" t="s">
        <v>326</v>
      </c>
      <c r="B17" s="54">
        <v>4000.0</v>
      </c>
      <c r="C17" s="54" t="s">
        <v>1132</v>
      </c>
      <c r="D17" s="54" t="s">
        <v>1381</v>
      </c>
      <c r="E17" s="54"/>
      <c r="F17" s="55" t="s">
        <v>1382</v>
      </c>
      <c r="G17" s="5" t="s">
        <v>1316</v>
      </c>
      <c r="H17" s="5" t="s">
        <v>1383</v>
      </c>
      <c r="I17" s="5"/>
      <c r="J17" s="5" t="s">
        <v>1301</v>
      </c>
      <c r="K17" s="5" t="s">
        <v>1384</v>
      </c>
      <c r="L17" s="5" t="s">
        <v>1087</v>
      </c>
      <c r="M17" s="5" t="s">
        <v>1385</v>
      </c>
      <c r="N17" s="5" t="s">
        <v>1099</v>
      </c>
      <c r="O17" s="5" t="s">
        <v>1100</v>
      </c>
      <c r="P17" s="5" t="s">
        <v>1091</v>
      </c>
      <c r="Q17" s="5" t="s">
        <v>1386</v>
      </c>
      <c r="R17" s="5" t="s">
        <v>1387</v>
      </c>
      <c r="S17" s="5" t="str">
        <f t="array" ref="S17">IF(OR($A17="",ISBLANK(XLOOKUP($A17,Laptops_Asignadas,Nombres_Directorio,"",0))),"",XLOOKUP($A17,Laptops_Asignadas,Nombres_Directorio,"",0))</f>
        <v>Francisco Javier Ornelas</v>
      </c>
      <c r="T17" s="5" t="str">
        <f t="array" ref="T17">IF(OR($A17="",ISBLANK(XLOOKUP($A17,Laptops_Asignadas,Sucursal_Asignada,"",0))),"",XLOOKUP($A17,Laptops_Asignadas,Sucursal_Asignada,"",0))</f>
        <v>Corporativo</v>
      </c>
      <c r="U17" s="5" t="str">
        <f t="array" ref="U17">IF(OR($A17="",ISBLANK(XLOOKUP($A17,Laptops_Asignadas,Departamento_Asignado,"",0))),"",XLOOKUP($A17,Laptops_Asignadas,Departamento_Asignado,"",0))</f>
        <v>Parque Vehicular</v>
      </c>
      <c r="V17" s="5" t="str">
        <f t="array" ref="V17">IF(OR($A17="",ISBLANK(XLOOKUP($A17,Laptops_Asignadas,Nombres_Directorio,"",0))),"",XLOOKUP($A17,Laptops_Asignadas,Nombres_Directorio,"",0))</f>
        <v>Francisco Javier Ornelas</v>
      </c>
      <c r="W17" s="5" t="str">
        <f t="array" ref="W17">IF(OR($A17="",ISBLANK(XLOOKUP($A17,Laptops_Asignadas,Correos_Gmail,"",0))),"",XLOOKUP($A17,Laptops_Asignadas,Correos_Gmail,"",0))</f>
        <v>auxpaquevehicular.agro@gmail.com</v>
      </c>
      <c r="X17" s="5" t="str">
        <f t="array" ref="X17">IF(OR($A17="",ISBLANK(XLOOKUP($A17,Laptops_Asignadas,Correos_Institucionales,"",0))),"",XLOOKUP($A17,Laptops_Asignadas,Correos_Institucionales,"",0))</f>
        <v>auxparquevehicular@agrocisa.com.mx</v>
      </c>
    </row>
    <row r="18">
      <c r="A18" s="67" t="s">
        <v>1388</v>
      </c>
      <c r="B18" s="68">
        <v>1500.0</v>
      </c>
      <c r="C18" s="68" t="s">
        <v>1132</v>
      </c>
      <c r="D18" s="68" t="s">
        <v>1389</v>
      </c>
      <c r="E18" s="68" t="s">
        <v>1390</v>
      </c>
      <c r="F18" s="69" t="s">
        <v>1084</v>
      </c>
      <c r="G18" s="67" t="s">
        <v>1365</v>
      </c>
      <c r="H18" s="67" t="s">
        <v>1391</v>
      </c>
      <c r="I18" s="67" t="s">
        <v>1392</v>
      </c>
      <c r="J18" s="67" t="s">
        <v>1301</v>
      </c>
      <c r="K18" s="67" t="s">
        <v>1393</v>
      </c>
      <c r="L18" s="67" t="s">
        <v>1272</v>
      </c>
      <c r="M18" s="67" t="s">
        <v>1394</v>
      </c>
      <c r="N18" s="67" t="s">
        <v>1109</v>
      </c>
      <c r="O18" s="67" t="s">
        <v>1100</v>
      </c>
      <c r="P18" s="67" t="s">
        <v>223</v>
      </c>
      <c r="Q18" s="67" t="s">
        <v>1395</v>
      </c>
      <c r="R18" s="67" t="s">
        <v>1396</v>
      </c>
      <c r="S18" s="67" t="str">
        <f t="array" ref="S18">IF(OR($A18="",ISBLANK(XLOOKUP($A18,Laptops_Asignadas,Nombres_Directorio,"",0))),"",XLOOKUP($A18,Laptops_Asignadas,Nombres_Directorio,"",0))</f>
        <v/>
      </c>
      <c r="T18" s="67" t="str">
        <f t="array" ref="T18">IF(OR($A18="",ISBLANK(XLOOKUP($A18,Laptops_Asignadas,Sucursal_Asignada,"",0))),"",XLOOKUP($A18,Laptops_Asignadas,Sucursal_Asignada,"",0))</f>
        <v/>
      </c>
      <c r="U18" s="67" t="str">
        <f t="array" ref="U18">IF(OR($A18="",ISBLANK(XLOOKUP($A18,Laptops_Asignadas,Departamento_Asignado,"",0))),"",XLOOKUP($A18,Laptops_Asignadas,Departamento_Asignado,"",0))</f>
        <v/>
      </c>
      <c r="V18" s="67" t="str">
        <f t="array" ref="V18">IF(OR($A18="",ISBLANK(XLOOKUP($A18,Laptops_Asignadas,Nombres_Directorio,"",0))),"",XLOOKUP($A18,Laptops_Asignadas,Nombres_Directorio,"",0))</f>
        <v/>
      </c>
      <c r="W18" s="67" t="str">
        <f t="array" ref="W18">IF(OR($A18="",ISBLANK(XLOOKUP($A18,Laptops_Asignadas,Correos_Gmail,"",0))),"",XLOOKUP($A18,Laptops_Asignadas,Correos_Gmail,"",0))</f>
        <v/>
      </c>
      <c r="X18" s="67" t="str">
        <f t="array" ref="X18">IF(OR($A18="",ISBLANK(XLOOKUP($A18,Laptops_Asignadas,Correos_Institucionales,"",0))),"",XLOOKUP($A18,Laptops_Asignadas,Correos_Institucionales,"",0))</f>
        <v/>
      </c>
    </row>
    <row r="19">
      <c r="A19" s="65" t="s">
        <v>87</v>
      </c>
      <c r="B19" s="66">
        <v>6500.0</v>
      </c>
      <c r="C19" s="66" t="s">
        <v>1132</v>
      </c>
      <c r="D19" s="54" t="s">
        <v>1290</v>
      </c>
      <c r="E19" s="66"/>
      <c r="F19" s="70">
        <v>46206.0</v>
      </c>
      <c r="G19" s="5" t="s">
        <v>1323</v>
      </c>
      <c r="H19" s="5" t="s">
        <v>1324</v>
      </c>
      <c r="I19" s="5" t="s">
        <v>1397</v>
      </c>
      <c r="J19" s="5" t="s">
        <v>1325</v>
      </c>
      <c r="K19" s="5" t="s">
        <v>1326</v>
      </c>
      <c r="L19" s="5" t="s">
        <v>1087</v>
      </c>
      <c r="M19" s="5" t="s">
        <v>1398</v>
      </c>
      <c r="N19" s="5" t="s">
        <v>1099</v>
      </c>
      <c r="O19" s="5" t="s">
        <v>1100</v>
      </c>
      <c r="P19" s="5" t="s">
        <v>1091</v>
      </c>
      <c r="Q19" s="5"/>
      <c r="R19" s="5" t="s">
        <v>1399</v>
      </c>
      <c r="S19" s="5" t="str">
        <f t="array" ref="S19">IF(OR($A19="",ISBLANK(XLOOKUP($A19,Laptops_Asignadas,Nombres_Directorio,"",0))),"",XLOOKUP($A19,Laptops_Asignadas,Nombres_Directorio,"",0))</f>
        <v>Abdiel Yahir González Razo</v>
      </c>
      <c r="T19" s="5" t="str">
        <f t="array" ref="T19">IF(OR($A19="",ISBLANK(XLOOKUP($A19,Laptops_Asignadas,Sucursal_Asignada,"",0))),"",XLOOKUP($A19,Laptops_Asignadas,Sucursal_Asignada,"",0))</f>
        <v>Corporativo</v>
      </c>
      <c r="U19" s="5" t="str">
        <f t="array" ref="U19">IF(OR($A19="",ISBLANK(XLOOKUP($A19,Laptops_Asignadas,Departamento_Asignado,"",0))),"",XLOOKUP($A19,Laptops_Asignadas,Departamento_Asignado,"",0))</f>
        <v>Agricultura Inteligente</v>
      </c>
      <c r="V19" s="5" t="str">
        <f t="array" ref="V19">IF(OR($A19="",ISBLANK(XLOOKUP($A19,Laptops_Asignadas,Nombres_Directorio,"",0))),"",XLOOKUP($A19,Laptops_Asignadas,Nombres_Directorio,"",0))</f>
        <v>Abdiel Yahir González Razo</v>
      </c>
      <c r="W19" s="5" t="str">
        <f t="array" ref="W19">IF(OR($A19="",ISBLANK(XLOOKUP($A19,Laptops_Asignadas,Correos_Gmail,"",0))),"",XLOOKUP($A19,Laptops_Asignadas,Correos_Gmail,"",0))</f>
        <v>paneles.solares@agrocisa.com.mx</v>
      </c>
      <c r="X19" s="5" t="str">
        <f t="array" ref="X19">IF(OR($A19="",ISBLANK(XLOOKUP($A19,Laptops_Asignadas,Correos_Institucionales,"",0))),"",XLOOKUP($A19,Laptops_Asignadas,Correos_Institucionales,"",0))</f>
        <v>paneles.solares@agrocisa.com.mx</v>
      </c>
    </row>
    <row r="20" ht="15.75" customHeight="1">
      <c r="A20" s="40" t="s">
        <v>217</v>
      </c>
      <c r="B20" s="58">
        <v>8332.53</v>
      </c>
      <c r="C20" s="58" t="s">
        <v>776</v>
      </c>
      <c r="D20" s="58" t="s">
        <v>1290</v>
      </c>
      <c r="E20" s="58"/>
      <c r="F20" s="59" t="s">
        <v>1400</v>
      </c>
      <c r="G20" s="40" t="s">
        <v>1298</v>
      </c>
      <c r="H20" s="40" t="s">
        <v>1401</v>
      </c>
      <c r="I20" s="40" t="s">
        <v>1402</v>
      </c>
      <c r="J20" s="40"/>
      <c r="K20" s="40" t="s">
        <v>1302</v>
      </c>
      <c r="L20" s="40" t="s">
        <v>1082</v>
      </c>
      <c r="M20" s="40"/>
      <c r="N20" s="40" t="s">
        <v>1089</v>
      </c>
      <c r="O20" s="40" t="s">
        <v>1090</v>
      </c>
      <c r="P20" s="40" t="s">
        <v>1091</v>
      </c>
      <c r="Q20" s="40"/>
      <c r="R20" s="5"/>
      <c r="S20" s="5" t="str">
        <f t="array" ref="S20">IF(OR($A20="",ISBLANK(XLOOKUP($A20,Laptops_Asignadas,Nombres_Directorio,"",0))),"",XLOOKUP($A20,Laptops_Asignadas,Nombres_Directorio,"",0))</f>
        <v>Juana Alejandra García Jiménez</v>
      </c>
      <c r="T20" s="5" t="str">
        <f t="array" ref="T20">IF(OR($A20="",ISBLANK(XLOOKUP($A20,Laptops_Asignadas,Sucursal_Asignada,"",0))),"",XLOOKUP($A20,Laptops_Asignadas,Sucursal_Asignada,"",0))</f>
        <v>Corporativo</v>
      </c>
      <c r="U20" s="5" t="str">
        <f t="array" ref="U20">IF(OR($A20="",ISBLANK(XLOOKUP($A20,Laptops_Asignadas,Departamento_Asignado,"",0))),"",XLOOKUP($A20,Laptops_Asignadas,Departamento_Asignado,"",0))</f>
        <v>Jurídico</v>
      </c>
      <c r="V20" s="5" t="str">
        <f t="array" ref="V20">IF(OR($A20="",ISBLANK(XLOOKUP($A20,Laptops_Asignadas,Nombres_Directorio,"",0))),"",XLOOKUP($A20,Laptops_Asignadas,Nombres_Directorio,"",0))</f>
        <v>Juana Alejandra García Jiménez</v>
      </c>
      <c r="W20" s="5" t="str">
        <f t="array" ref="W20">IF(OR($A20="",ISBLANK(XLOOKUP($A20,Laptops_Asignadas,Correos_Gmail,"",0))),"",XLOOKUP($A20,Laptops_Asignadas,Correos_Gmail,"",0))</f>
        <v>alegarcia.agro@gmail.com</v>
      </c>
      <c r="X20" s="5" t="str">
        <f t="array" ref="X20">IF(OR($A20="",ISBLANK(XLOOKUP($A20,Laptops_Asignadas,Correos_Institucionales,"",0))),"",XLOOKUP($A20,Laptops_Asignadas,Correos_Institucionales,"",0))</f>
        <v>juana.garcia@agrocisa.com.mx</v>
      </c>
    </row>
    <row r="21" ht="15.75" customHeight="1">
      <c r="A21" s="40" t="s">
        <v>257</v>
      </c>
      <c r="B21" s="58">
        <v>7600.0</v>
      </c>
      <c r="C21" s="58" t="s">
        <v>776</v>
      </c>
      <c r="D21" s="58" t="s">
        <v>1290</v>
      </c>
      <c r="E21" s="58"/>
      <c r="F21" s="59" t="s">
        <v>1403</v>
      </c>
      <c r="G21" s="40" t="s">
        <v>1292</v>
      </c>
      <c r="H21" s="40" t="s">
        <v>1404</v>
      </c>
      <c r="I21" s="40" t="s">
        <v>1405</v>
      </c>
      <c r="J21" s="40"/>
      <c r="K21" s="40"/>
      <c r="L21" s="40"/>
      <c r="M21" s="40"/>
      <c r="N21" s="40"/>
      <c r="O21" s="40" t="s">
        <v>1090</v>
      </c>
      <c r="P21" s="40"/>
      <c r="Q21" s="40"/>
      <c r="R21" s="5" t="s">
        <v>1406</v>
      </c>
      <c r="S21" s="5" t="str">
        <f t="array" ref="S21">IF(OR($A21="",ISBLANK(XLOOKUP($A21,Laptops_Asignadas,Nombres_Directorio,"",0))),"",XLOOKUP($A21,Laptops_Asignadas,Nombres_Directorio,"",0))</f>
        <v>Luis Ernesto Santiago González</v>
      </c>
      <c r="T21" s="5" t="str">
        <f t="array" ref="T21">IF(OR($A21="",ISBLANK(XLOOKUP($A21,Laptops_Asignadas,Sucursal_Asignada,"",0))),"",XLOOKUP($A21,Laptops_Asignadas,Sucursal_Asignada,"",0))</f>
        <v>Corporativo</v>
      </c>
      <c r="U21" s="5" t="str">
        <f t="array" ref="U21">IF(OR($A21="",ISBLANK(XLOOKUP($A21,Laptops_Asignadas,Departamento_Asignado,"",0))),"",XLOOKUP($A21,Laptops_Asignadas,Departamento_Asignado,"",0))</f>
        <v>Maquinaria Agrícola</v>
      </c>
      <c r="V21" s="5" t="str">
        <f t="array" ref="V21">IF(OR($A21="",ISBLANK(XLOOKUP($A21,Laptops_Asignadas,Nombres_Directorio,"",0))),"",XLOOKUP($A21,Laptops_Asignadas,Nombres_Directorio,"",0))</f>
        <v>Luis Ernesto Santiago González</v>
      </c>
      <c r="W21" s="5" t="str">
        <f t="array" ref="W21">IF(OR($A21="",ISBLANK(XLOOKUP($A21,Laptops_Asignadas,Correos_Gmail,"",0))),"",XLOOKUP($A21,Laptops_Asignadas,Correos_Gmail,"",0))</f>
        <v>lsantiago.agro@gmail.com</v>
      </c>
      <c r="X21" s="5" t="str">
        <f t="array" ref="X21">IF(OR($A21="",ISBLANK(XLOOKUP($A21,Laptops_Asignadas,Correos_Institucionales,"",0))),"",XLOOKUP($A21,Laptops_Asignadas,Correos_Institucionales,"",0))</f>
        <v>luis.santiago@agrocisa.com.mx</v>
      </c>
    </row>
    <row r="22" ht="15.75" customHeight="1">
      <c r="A22" s="5" t="s">
        <v>111</v>
      </c>
      <c r="B22" s="54">
        <v>5500.0</v>
      </c>
      <c r="C22" s="54" t="s">
        <v>1132</v>
      </c>
      <c r="D22" s="54" t="s">
        <v>1290</v>
      </c>
      <c r="E22" s="54"/>
      <c r="F22" s="55" t="s">
        <v>1407</v>
      </c>
      <c r="G22" s="5" t="s">
        <v>1365</v>
      </c>
      <c r="H22" s="5" t="s">
        <v>1408</v>
      </c>
      <c r="I22" s="5" t="s">
        <v>1409</v>
      </c>
      <c r="J22" s="5" t="s">
        <v>1325</v>
      </c>
      <c r="K22" s="5" t="s">
        <v>1170</v>
      </c>
      <c r="L22" s="5" t="s">
        <v>1154</v>
      </c>
      <c r="M22" s="5" t="s">
        <v>1410</v>
      </c>
      <c r="N22" s="5" t="s">
        <v>1109</v>
      </c>
      <c r="O22" s="5" t="s">
        <v>1090</v>
      </c>
      <c r="P22" s="5" t="s">
        <v>1091</v>
      </c>
      <c r="Q22" s="5"/>
      <c r="R22" s="5" t="s">
        <v>1411</v>
      </c>
      <c r="S22" s="5" t="str">
        <f t="array" ref="S22">IF(OR($A22="",ISBLANK(XLOOKUP($A22,Laptops_Asignadas,Nombres_Directorio,"",0))),"",XLOOKUP($A22,Laptops_Asignadas,Nombres_Directorio,"",0))</f>
        <v>Luis Donaldo Sánchez Álvarez</v>
      </c>
      <c r="T22" s="5" t="str">
        <f t="array" ref="T22">IF(OR($A22="",ISBLANK(XLOOKUP($A22,Laptops_Asignadas,Sucursal_Asignada,"",0))),"",XLOOKUP($A22,Laptops_Asignadas,Sucursal_Asignada,"",0))</f>
        <v>Corporativo</v>
      </c>
      <c r="U22" s="5" t="str">
        <f t="array" ref="U22">IF(OR($A22="",ISBLANK(XLOOKUP($A22,Laptops_Asignadas,Departamento_Asignado,"",0))),"",XLOOKUP($A22,Laptops_Asignadas,Departamento_Asignado,"",0))</f>
        <v>Capital Humano</v>
      </c>
      <c r="V22" s="5" t="str">
        <f t="array" ref="V22">IF(OR($A22="",ISBLANK(XLOOKUP($A22,Laptops_Asignadas,Nombres_Directorio,"",0))),"",XLOOKUP($A22,Laptops_Asignadas,Nombres_Directorio,"",0))</f>
        <v>Luis Donaldo Sánchez Álvarez</v>
      </c>
      <c r="W22" s="5" t="str">
        <f t="array" ref="W22">IF(OR($A22="",ISBLANK(XLOOKUP($A22,Laptops_Asignadas,Correos_Gmail,"",0))),"",XLOOKUP($A22,Laptops_Asignadas,Correos_Gmail,"",0))</f>
        <v>capitalhumano.agrocisa@gmail.com</v>
      </c>
      <c r="X22" s="5" t="str">
        <f t="array" ref="X22">IF(OR($A22="",ISBLANK(XLOOKUP($A22,Laptops_Asignadas,Correos_Institucionales,"",0))),"",XLOOKUP($A22,Laptops_Asignadas,Correos_Institucionales,"",0))</f>
        <v>capitalhumano@agrocisa.com.mx</v>
      </c>
    </row>
    <row r="23" ht="15.75" customHeight="1">
      <c r="A23" s="67" t="s">
        <v>1412</v>
      </c>
      <c r="B23" s="68">
        <v>8000.0</v>
      </c>
      <c r="C23" s="68" t="s">
        <v>1413</v>
      </c>
      <c r="D23" s="68" t="s">
        <v>1290</v>
      </c>
      <c r="E23" s="68" t="s">
        <v>1414</v>
      </c>
      <c r="F23" s="69" t="s">
        <v>1084</v>
      </c>
      <c r="G23" s="67" t="s">
        <v>1316</v>
      </c>
      <c r="H23" s="67" t="s">
        <v>1383</v>
      </c>
      <c r="I23" s="67" t="s">
        <v>1415</v>
      </c>
      <c r="J23" s="67" t="s">
        <v>1112</v>
      </c>
      <c r="K23" s="67" t="s">
        <v>1384</v>
      </c>
      <c r="L23" s="67" t="s">
        <v>1087</v>
      </c>
      <c r="M23" s="67" t="s">
        <v>1385</v>
      </c>
      <c r="N23" s="67" t="s">
        <v>1099</v>
      </c>
      <c r="O23" s="67" t="s">
        <v>1100</v>
      </c>
      <c r="P23" s="67" t="s">
        <v>223</v>
      </c>
      <c r="Q23" s="67" t="s">
        <v>1416</v>
      </c>
      <c r="R23" s="67" t="s">
        <v>1417</v>
      </c>
      <c r="S23" s="67" t="str">
        <f t="array" ref="S23">IF(OR($A23="",ISBLANK(XLOOKUP($A23,Laptops_Asignadas,Nombres_Directorio,"",0))),"",XLOOKUP($A23,Laptops_Asignadas,Nombres_Directorio,"",0))</f>
        <v/>
      </c>
      <c r="T23" s="67" t="str">
        <f t="array" ref="T23">IF(OR($A23="",ISBLANK(XLOOKUP($A23,Laptops_Asignadas,Sucursal_Asignada,"",0))),"",XLOOKUP($A23,Laptops_Asignadas,Sucursal_Asignada,"",0))</f>
        <v/>
      </c>
      <c r="U23" s="67" t="str">
        <f t="array" ref="U23">IF(OR($A23="",ISBLANK(XLOOKUP($A23,Laptops_Asignadas,Departamento_Asignado,"",0))),"",XLOOKUP($A23,Laptops_Asignadas,Departamento_Asignado,"",0))</f>
        <v/>
      </c>
      <c r="V23" s="67" t="str">
        <f t="array" ref="V23">IF(OR($A23="",ISBLANK(XLOOKUP($A23,Laptops_Asignadas,Nombres_Directorio,"",0))),"",XLOOKUP($A23,Laptops_Asignadas,Nombres_Directorio,"",0))</f>
        <v/>
      </c>
      <c r="W23" s="67" t="str">
        <f t="array" ref="W23">IF(OR($A23="",ISBLANK(XLOOKUP($A23,Laptops_Asignadas,Correos_Gmail,"",0))),"",XLOOKUP($A23,Laptops_Asignadas,Correos_Gmail,"",0))</f>
        <v/>
      </c>
      <c r="X23" s="67" t="str">
        <f t="array" ref="X23">IF(OR($A23="",ISBLANK(XLOOKUP($A23,Laptops_Asignadas,Correos_Institucionales,"",0))),"",XLOOKUP($A23,Laptops_Asignadas,Correos_Institucionales,"",0))</f>
        <v/>
      </c>
    </row>
    <row r="24" ht="15.75" customHeight="1">
      <c r="A24" s="67" t="s">
        <v>1418</v>
      </c>
      <c r="B24" s="68">
        <v>11000.0</v>
      </c>
      <c r="C24" s="68" t="s">
        <v>1413</v>
      </c>
      <c r="D24" s="68" t="s">
        <v>1290</v>
      </c>
      <c r="E24" s="68" t="s">
        <v>1414</v>
      </c>
      <c r="F24" s="69" t="s">
        <v>1084</v>
      </c>
      <c r="G24" s="67" t="s">
        <v>1365</v>
      </c>
      <c r="H24" s="67" t="s">
        <v>1408</v>
      </c>
      <c r="I24" s="67" t="s">
        <v>1419</v>
      </c>
      <c r="J24" s="67" t="s">
        <v>1420</v>
      </c>
      <c r="K24" s="67" t="s">
        <v>1170</v>
      </c>
      <c r="L24" s="67" t="s">
        <v>1421</v>
      </c>
      <c r="M24" s="67" t="s">
        <v>1410</v>
      </c>
      <c r="N24" s="67" t="s">
        <v>1109</v>
      </c>
      <c r="O24" s="67" t="s">
        <v>1090</v>
      </c>
      <c r="P24" s="67" t="s">
        <v>1091</v>
      </c>
      <c r="Q24" s="67"/>
      <c r="R24" s="67"/>
      <c r="S24" s="67" t="str">
        <f t="array" ref="S24">IF(OR($A24="",ISBLANK(XLOOKUP($A24,Laptops_Asignadas,Nombres_Directorio,"",0))),"",XLOOKUP($A24,Laptops_Asignadas,Nombres_Directorio,"",0))</f>
        <v/>
      </c>
      <c r="T24" s="67" t="str">
        <f t="array" ref="T24">IF(OR($A24="",ISBLANK(XLOOKUP($A24,Laptops_Asignadas,Sucursal_Asignada,"",0))),"",XLOOKUP($A24,Laptops_Asignadas,Sucursal_Asignada,"",0))</f>
        <v/>
      </c>
      <c r="U24" s="67" t="str">
        <f t="array" ref="U24">IF(OR($A24="",ISBLANK(XLOOKUP($A24,Laptops_Asignadas,Departamento_Asignado,"",0))),"",XLOOKUP($A24,Laptops_Asignadas,Departamento_Asignado,"",0))</f>
        <v/>
      </c>
      <c r="V24" s="67" t="str">
        <f t="array" ref="V24">IF(OR($A24="",ISBLANK(XLOOKUP($A24,Laptops_Asignadas,Nombres_Directorio,"",0))),"",XLOOKUP($A24,Laptops_Asignadas,Nombres_Directorio,"",0))</f>
        <v/>
      </c>
      <c r="W24" s="67" t="str">
        <f t="array" ref="W24">IF(OR($A24="",ISBLANK(XLOOKUP($A24,Laptops_Asignadas,Correos_Gmail,"",0))),"",XLOOKUP($A24,Laptops_Asignadas,Correos_Gmail,"",0))</f>
        <v/>
      </c>
      <c r="X24" s="67" t="str">
        <f t="array" ref="X24">IF(OR($A24="",ISBLANK(XLOOKUP($A24,Laptops_Asignadas,Correos_Institucionales,"",0))),"",XLOOKUP($A24,Laptops_Asignadas,Correos_Institucionales,"",0))</f>
        <v/>
      </c>
    </row>
    <row r="25" ht="15.75" customHeight="1">
      <c r="A25" s="5" t="s">
        <v>753</v>
      </c>
      <c r="B25" s="54">
        <v>2800.0</v>
      </c>
      <c r="C25" s="54" t="s">
        <v>1132</v>
      </c>
      <c r="D25" s="54" t="s">
        <v>1290</v>
      </c>
      <c r="E25" s="54" t="s">
        <v>1306</v>
      </c>
      <c r="F25" s="70">
        <v>46174.0</v>
      </c>
      <c r="G25" s="5" t="s">
        <v>1298</v>
      </c>
      <c r="H25" s="5" t="s">
        <v>1299</v>
      </c>
      <c r="I25" s="5" t="s">
        <v>1422</v>
      </c>
      <c r="J25" s="5" t="s">
        <v>1301</v>
      </c>
      <c r="K25" s="5" t="s">
        <v>1302</v>
      </c>
      <c r="L25" s="5" t="s">
        <v>1087</v>
      </c>
      <c r="M25" s="5" t="s">
        <v>1423</v>
      </c>
      <c r="N25" s="5" t="s">
        <v>1099</v>
      </c>
      <c r="O25" s="5" t="s">
        <v>1100</v>
      </c>
      <c r="P25" s="5" t="s">
        <v>223</v>
      </c>
      <c r="Q25" s="5" t="s">
        <v>1424</v>
      </c>
      <c r="R25" s="5" t="s">
        <v>1425</v>
      </c>
      <c r="S25" s="5" t="str">
        <f t="array" ref="S25">IF(OR($A25="",ISBLANK(XLOOKUP($A25,Laptops_Asignadas,Nombres_Directorio,"",0))),"",XLOOKUP($A25,Laptops_Asignadas,Nombres_Directorio,"",0))</f>
        <v>María Guadalupe Díaz Hernández</v>
      </c>
      <c r="T25" s="5" t="str">
        <f t="array" ref="T25">IF(OR($A25="",ISBLANK(XLOOKUP($A25,Laptops_Asignadas,Sucursal_Asignada,"",0))),"",XLOOKUP($A25,Laptops_Asignadas,Sucursal_Asignada,"",0))</f>
        <v>Zona Altos</v>
      </c>
      <c r="U25" s="5" t="str">
        <f t="array" ref="U25">IF(OR($A25="",ISBLANK(XLOOKUP($A25,Laptops_Asignadas,Departamento_Asignado,"",0))),"",XLOOKUP($A25,Laptops_Asignadas,Departamento_Asignado,"",0))</f>
        <v>Maquinaria Agrícola y Construcción</v>
      </c>
      <c r="V25" s="5" t="str">
        <f t="array" ref="V25">IF(OR($A25="",ISBLANK(XLOOKUP($A25,Laptops_Asignadas,Nombres_Directorio,"",0))),"",XLOOKUP($A25,Laptops_Asignadas,Nombres_Directorio,"",0))</f>
        <v>María Guadalupe Díaz Hernández</v>
      </c>
      <c r="W25" s="5" t="str">
        <f t="array" ref="W25">IF(OR($A25="",ISBLANK(XLOOKUP($A25,Laptops_Asignadas,Correos_Gmail,"",0))),"",XLOOKUP($A25,Laptops_Asignadas,Correos_Gmail,"",0))</f>
        <v>ventaszonatepa@agrocisa.com.mx</v>
      </c>
      <c r="X25" s="5" t="str">
        <f t="array" ref="X25">IF(OR($A25="",ISBLANK(XLOOKUP($A25,Laptops_Asignadas,Correos_Institucionales,"",0))),"",XLOOKUP($A25,Laptops_Asignadas,Correos_Institucionales,"",0))</f>
        <v>maria.diaz@agrocisa.com.mx</v>
      </c>
    </row>
    <row r="26" ht="15.75" customHeight="1">
      <c r="A26" s="65" t="s">
        <v>353</v>
      </c>
      <c r="B26" s="66">
        <v>6500.0</v>
      </c>
      <c r="C26" s="66" t="s">
        <v>1132</v>
      </c>
      <c r="D26" s="54" t="s">
        <v>1290</v>
      </c>
      <c r="E26" s="66"/>
      <c r="F26" s="55" t="s">
        <v>1291</v>
      </c>
      <c r="G26" s="5" t="s">
        <v>1298</v>
      </c>
      <c r="H26" s="5" t="s">
        <v>1426</v>
      </c>
      <c r="I26" s="5" t="s">
        <v>1427</v>
      </c>
      <c r="J26" s="5" t="s">
        <v>1325</v>
      </c>
      <c r="K26" s="5" t="s">
        <v>1428</v>
      </c>
      <c r="L26" s="5" t="s">
        <v>1087</v>
      </c>
      <c r="M26" s="5" t="s">
        <v>1429</v>
      </c>
      <c r="N26" s="5" t="s">
        <v>1089</v>
      </c>
      <c r="O26" s="5" t="s">
        <v>1090</v>
      </c>
      <c r="P26" s="5" t="s">
        <v>223</v>
      </c>
      <c r="Q26" s="5"/>
      <c r="R26" s="5" t="s">
        <v>1430</v>
      </c>
      <c r="S26" s="5" t="str">
        <f t="array" ref="S26">IF(OR($A26="",ISBLANK(XLOOKUP($A26,Laptops_Asignadas,Nombres_Directorio,"",0))),"",XLOOKUP($A26,Laptops_Asignadas,Nombres_Directorio,"",0))</f>
        <v>Diana Alejandrina Mendoza Flores</v>
      </c>
      <c r="T26" s="5" t="str">
        <f t="array" ref="T26">IF(OR($A26="",ISBLANK(XLOOKUP($A26,Laptops_Asignadas,Sucursal_Asignada,"",0))),"",XLOOKUP($A26,Laptops_Asignadas,Sucursal_Asignada,"",0))</f>
        <v>Corporativo</v>
      </c>
      <c r="U26" s="5" t="str">
        <f t="array" ref="U26">IF(OR($A26="",ISBLANK(XLOOKUP($A26,Laptops_Asignadas,Departamento_Asignado,"",0))),"",XLOOKUP($A26,Laptops_Asignadas,Departamento_Asignado,"",0))</f>
        <v>Refacciones</v>
      </c>
      <c r="V26" s="5" t="str">
        <f t="array" ref="V26">IF(OR($A26="",ISBLANK(XLOOKUP($A26,Laptops_Asignadas,Nombres_Directorio,"",0))),"",XLOOKUP($A26,Laptops_Asignadas,Nombres_Directorio,"",0))</f>
        <v>Diana Alejandrina Mendoza Flores</v>
      </c>
      <c r="W26" s="5" t="str">
        <f t="array" ref="W26">IF(OR($A26="",ISBLANK(XLOOKUP($A26,Laptops_Asignadas,Correos_Gmail,"",0))),"",XLOOKUP($A26,Laptops_Asignadas,Correos_Gmail,"",0))</f>
        <v>analistaservicio.agro@gmail.com</v>
      </c>
      <c r="X26" s="5" t="str">
        <f t="array" ref="X26">IF(OR($A26="",ISBLANK(XLOOKUP($A26,Laptops_Asignadas,Correos_Institucionales,"",0))),"",XLOOKUP($A26,Laptops_Asignadas,Correos_Institucionales,"",0))</f>
        <v>analistaservicio@agrocisa.com.mx</v>
      </c>
    </row>
    <row r="27" ht="15.75" customHeight="1">
      <c r="A27" s="5" t="s">
        <v>75</v>
      </c>
      <c r="B27" s="54">
        <v>5500.0</v>
      </c>
      <c r="C27" s="54" t="s">
        <v>1132</v>
      </c>
      <c r="D27" s="54" t="s">
        <v>1290</v>
      </c>
      <c r="E27" s="54" t="s">
        <v>1431</v>
      </c>
      <c r="F27" s="55" t="s">
        <v>1084</v>
      </c>
      <c r="G27" s="5" t="s">
        <v>1365</v>
      </c>
      <c r="H27" s="5" t="s">
        <v>1408</v>
      </c>
      <c r="I27" s="5" t="s">
        <v>1432</v>
      </c>
      <c r="J27" s="5" t="s">
        <v>1420</v>
      </c>
      <c r="K27" s="5" t="s">
        <v>1170</v>
      </c>
      <c r="L27" s="5" t="s">
        <v>1421</v>
      </c>
      <c r="M27" s="5" t="s">
        <v>1410</v>
      </c>
      <c r="N27" s="5" t="s">
        <v>1109</v>
      </c>
      <c r="O27" s="5" t="s">
        <v>1090</v>
      </c>
      <c r="P27" s="5" t="s">
        <v>1091</v>
      </c>
      <c r="Q27" s="5"/>
      <c r="R27" s="5" t="s">
        <v>1433</v>
      </c>
      <c r="S27" s="5" t="str">
        <f t="array" ref="S27">IF(OR($A27="",ISBLANK(XLOOKUP($A27,Laptops_Asignadas,Nombres_Directorio,"",0))),"",XLOOKUP($A27,Laptops_Asignadas,Nombres_Directorio,"",0))</f>
        <v>Diego Guadalupe Armas Álvarez</v>
      </c>
      <c r="T27" s="5" t="str">
        <f t="array" ref="T27">IF(OR($A27="",ISBLANK(XLOOKUP($A27,Laptops_Asignadas,Sucursal_Asignada,"",0))),"",XLOOKUP($A27,Laptops_Asignadas,Sucursal_Asignada,"",0))</f>
        <v>Corporativo</v>
      </c>
      <c r="U27" s="5" t="str">
        <f t="array" ref="U27">IF(OR($A27="",ISBLANK(XLOOKUP($A27,Laptops_Asignadas,Departamento_Asignado,"",0))),"",XLOOKUP($A27,Laptops_Asignadas,Departamento_Asignado,"",0))</f>
        <v>Agricultura Inteligente</v>
      </c>
      <c r="V27" s="5" t="str">
        <f t="array" ref="V27">IF(OR($A27="",ISBLANK(XLOOKUP($A27,Laptops_Asignadas,Nombres_Directorio,"",0))),"",XLOOKUP($A27,Laptops_Asignadas,Nombres_Directorio,"",0))</f>
        <v>Diego Guadalupe Armas Álvarez</v>
      </c>
      <c r="W27" s="5" t="str">
        <f t="array" ref="W27">IF(OR($A27="",ISBLANK(XLOOKUP($A27,Laptops_Asignadas,Correos_Gmail,"",0))),"",XLOOKUP($A27,Laptops_Asignadas,Correos_Gmail,"",0))</f>
        <v>diego.armas@agrocisa.com.mx</v>
      </c>
      <c r="X27" s="5" t="str">
        <f t="array" ref="X27">IF(OR($A27="",ISBLANK(XLOOKUP($A27,Laptops_Asignadas,Correos_Institucionales,"",0))),"",XLOOKUP($A27,Laptops_Asignadas,Correos_Institucionales,"",0))</f>
        <v>diego.armas@agrocisa.com.mx</v>
      </c>
    </row>
    <row r="28" ht="15.75" customHeight="1">
      <c r="A28" s="22" t="s">
        <v>121</v>
      </c>
      <c r="B28" s="54">
        <v>3500.0</v>
      </c>
      <c r="C28" s="54" t="s">
        <v>776</v>
      </c>
      <c r="D28" s="54" t="s">
        <v>1290</v>
      </c>
      <c r="E28" s="54" t="s">
        <v>1434</v>
      </c>
      <c r="F28" s="55" t="s">
        <v>1084</v>
      </c>
      <c r="G28" s="5" t="s">
        <v>1316</v>
      </c>
      <c r="H28" s="5" t="s">
        <v>1317</v>
      </c>
      <c r="I28" s="5" t="s">
        <v>1435</v>
      </c>
      <c r="J28" s="5" t="s">
        <v>1301</v>
      </c>
      <c r="K28" s="5" t="s">
        <v>1319</v>
      </c>
      <c r="L28" s="5" t="s">
        <v>1082</v>
      </c>
      <c r="M28" s="5" t="s">
        <v>1331</v>
      </c>
      <c r="N28" s="5" t="s">
        <v>1099</v>
      </c>
      <c r="O28" s="5" t="s">
        <v>1100</v>
      </c>
      <c r="P28" s="5" t="s">
        <v>223</v>
      </c>
      <c r="Q28" s="5" t="s">
        <v>1436</v>
      </c>
      <c r="R28" s="5" t="s">
        <v>1437</v>
      </c>
      <c r="S28" s="5" t="str">
        <f t="array" ref="S28">IF(OR($A28="",ISBLANK(XLOOKUP($A28,Laptops_Asignadas,Nombres_Directorio,"",0))),"",XLOOKUP($A28,Laptops_Asignadas,Nombres_Directorio,"",0))</f>
        <v>Juan Pablo Quinones</v>
      </c>
      <c r="T28" s="5" t="str">
        <f t="array" ref="T28">IF(OR($A28="",ISBLANK(XLOOKUP($A28,Laptops_Asignadas,Sucursal_Asignada,"",0))),"",XLOOKUP($A28,Laptops_Asignadas,Sucursal_Asignada,"",0))</f>
        <v>Corporativo</v>
      </c>
      <c r="U28" s="5" t="str">
        <f t="array" ref="U28">IF(OR($A28="",ISBLANK(XLOOKUP($A28,Laptops_Asignadas,Departamento_Asignado,"",0))),"",XLOOKUP($A28,Laptops_Asignadas,Departamento_Asignado,"",0))</f>
        <v>Compras</v>
      </c>
      <c r="V28" s="5" t="str">
        <f t="array" ref="V28">IF(OR($A28="",ISBLANK(XLOOKUP($A28,Laptops_Asignadas,Nombres_Directorio,"",0))),"",XLOOKUP($A28,Laptops_Asignadas,Nombres_Directorio,"",0))</f>
        <v>Juan Pablo Quinones</v>
      </c>
      <c r="W28" s="5" t="str">
        <f t="array" ref="W28">IF(OR($A28="",ISBLANK(XLOOKUP($A28,Laptops_Asignadas,Correos_Gmail,"",0))),"",XLOOKUP($A28,Laptops_Asignadas,Correos_Gmail,"",0))</f>
        <v>juan.quinones.agro@gmail.com</v>
      </c>
      <c r="X28" s="5" t="str">
        <f t="array" ref="X28">IF(OR($A28="",ISBLANK(XLOOKUP($A28,Laptops_Asignadas,Correos_Institucionales,"",0))),"",XLOOKUP($A28,Laptops_Asignadas,Correos_Institucionales,"",0))</f>
        <v>juan.quinones@agrocisa.com.mx</v>
      </c>
    </row>
    <row r="29" ht="15.75" customHeight="1">
      <c r="A29" s="5" t="s">
        <v>495</v>
      </c>
      <c r="B29" s="54">
        <v>8900.0</v>
      </c>
      <c r="C29" s="54" t="s">
        <v>776</v>
      </c>
      <c r="D29" s="54" t="s">
        <v>1290</v>
      </c>
      <c r="E29" s="54"/>
      <c r="F29" s="55" t="s">
        <v>1438</v>
      </c>
      <c r="G29" s="5" t="s">
        <v>1323</v>
      </c>
      <c r="H29" s="5" t="s">
        <v>1439</v>
      </c>
      <c r="I29" s="5" t="s">
        <v>1440</v>
      </c>
      <c r="J29" s="5" t="s">
        <v>1112</v>
      </c>
      <c r="K29" s="5" t="s">
        <v>1310</v>
      </c>
      <c r="L29" s="5" t="s">
        <v>1311</v>
      </c>
      <c r="M29" s="5" t="s">
        <v>1441</v>
      </c>
      <c r="N29" s="5" t="s">
        <v>1089</v>
      </c>
      <c r="O29" s="5" t="s">
        <v>1090</v>
      </c>
      <c r="P29" s="5" t="s">
        <v>1091</v>
      </c>
      <c r="Q29" s="5" t="s">
        <v>1442</v>
      </c>
      <c r="R29" s="5" t="s">
        <v>1443</v>
      </c>
      <c r="S29" s="5" t="str">
        <f t="array" ref="S29">IF(OR($A29="",ISBLANK(XLOOKUP($A29,Laptops_Asignadas,Nombres_Directorio,"",0))),"",XLOOKUP($A29,Laptops_Asignadas,Nombres_Directorio,"",0))</f>
        <v>Fernando Barboza Román</v>
      </c>
      <c r="T29" s="5" t="str">
        <f t="array" ref="T29">IF(OR($A29="",ISBLANK(XLOOKUP($A29,Laptops_Asignadas,Sucursal_Asignada,"",0))),"",XLOOKUP($A29,Laptops_Asignadas,Sucursal_Asignada,"",0))</f>
        <v>La Piedad</v>
      </c>
      <c r="U29" s="5" t="str">
        <f t="array" ref="U29">IF(OR($A29="",ISBLANK(XLOOKUP($A29,Laptops_Asignadas,Departamento_Asignado,"",0))),"",XLOOKUP($A29,Laptops_Asignadas,Departamento_Asignado,"",0))</f>
        <v>Maquinaria</v>
      </c>
      <c r="V29" s="5" t="str">
        <f t="array" ref="V29">IF(OR($A29="",ISBLANK(XLOOKUP($A29,Laptops_Asignadas,Nombres_Directorio,"",0))),"",XLOOKUP($A29,Laptops_Asignadas,Nombres_Directorio,"",0))</f>
        <v>Fernando Barboza Román</v>
      </c>
      <c r="W29" s="5" t="str">
        <f t="array" ref="W29">IF(OR($A29="",ISBLANK(XLOOKUP($A29,Laptops_Asignadas,Correos_Gmail,"",0))),"",XLOOKUP($A29,Laptops_Asignadas,Correos_Gmail,"",0))</f>
        <v>ferbarboza.agro@gmail.com</v>
      </c>
      <c r="X29" s="5" t="str">
        <f t="array" ref="X29">IF(OR($A29="",ISBLANK(XLOOKUP($A29,Laptops_Asignadas,Correos_Institucionales,"",0))),"",XLOOKUP($A29,Laptops_Asignadas,Correos_Institucionales,"",0))</f>
        <v>fernando.barboza@agrocisa.com.mx</v>
      </c>
    </row>
    <row r="30" ht="15.75" customHeight="1">
      <c r="A30" s="5" t="s">
        <v>569</v>
      </c>
      <c r="B30" s="54">
        <v>2300.0</v>
      </c>
      <c r="C30" s="54" t="s">
        <v>776</v>
      </c>
      <c r="D30" s="54" t="s">
        <v>1290</v>
      </c>
      <c r="E30" s="54"/>
      <c r="F30" s="55" t="s">
        <v>1084</v>
      </c>
      <c r="G30" s="5" t="s">
        <v>1316</v>
      </c>
      <c r="H30" s="5" t="s">
        <v>1317</v>
      </c>
      <c r="I30" s="5" t="s">
        <v>1444</v>
      </c>
      <c r="J30" s="5" t="s">
        <v>1301</v>
      </c>
      <c r="K30" s="5" t="s">
        <v>1384</v>
      </c>
      <c r="L30" s="5" t="s">
        <v>1154</v>
      </c>
      <c r="M30" s="5" t="s">
        <v>1445</v>
      </c>
      <c r="N30" s="5" t="s">
        <v>1099</v>
      </c>
      <c r="O30" s="5" t="s">
        <v>1100</v>
      </c>
      <c r="P30" s="5"/>
      <c r="Q30" s="5" t="s">
        <v>1446</v>
      </c>
      <c r="R30" s="5" t="s">
        <v>1447</v>
      </c>
      <c r="S30" s="5" t="str">
        <f t="array" ref="S30">IF(OR($A30="",ISBLANK(XLOOKUP($A30,Laptops_Asignadas,Nombres_Directorio,"",0))),"",XLOOKUP($A30,Laptops_Asignadas,Nombres_Directorio,"",0))</f>
        <v>Ana Gabriela Trejo Loza</v>
      </c>
      <c r="T30" s="5" t="str">
        <f t="array" ref="T30">IF(OR($A30="",ISBLANK(XLOOKUP($A30,Laptops_Asignadas,Sucursal_Asignada,"",0))),"",XLOOKUP($A30,Laptops_Asignadas,Sucursal_Asignada,"",0))</f>
        <v>Morelia</v>
      </c>
      <c r="U30" s="5" t="str">
        <f t="array" ref="U30">IF(OR($A30="",ISBLANK(XLOOKUP($A30,Laptops_Asignadas,Departamento_Asignado,"",0))),"",XLOOKUP($A30,Laptops_Asignadas,Departamento_Asignado,"",0))</f>
        <v>Maquinaria Agrícola</v>
      </c>
      <c r="V30" s="5" t="str">
        <f t="array" ref="V30">IF(OR($A30="",ISBLANK(XLOOKUP($A30,Laptops_Asignadas,Nombres_Directorio,"",0))),"",XLOOKUP($A30,Laptops_Asignadas,Nombres_Directorio,"",0))</f>
        <v>Ana Gabriela Trejo Loza</v>
      </c>
      <c r="W30" s="5" t="str">
        <f t="array" ref="W30">IF(OR($A30="",ISBLANK(XLOOKUP($A30,Laptops_Asignadas,Correos_Gmail,"",0))),"",XLOOKUP($A30,Laptops_Asignadas,Correos_Gmail,"",0))</f>
        <v>gtrejo.agro@gmail.com</v>
      </c>
      <c r="X30" s="5" t="str">
        <f t="array" ref="X30">IF(OR($A30="",ISBLANK(XLOOKUP($A30,Laptops_Asignadas,Correos_Institucionales,"",0))),"",XLOOKUP($A30,Laptops_Asignadas,Correos_Institucionales,"",0))</f>
        <v>gabriela.trejo@agrocisa.com.mx</v>
      </c>
    </row>
    <row r="31" ht="15.75" customHeight="1">
      <c r="A31" s="5" t="s">
        <v>229</v>
      </c>
      <c r="B31" s="54">
        <v>5500.0</v>
      </c>
      <c r="C31" s="54" t="s">
        <v>1132</v>
      </c>
      <c r="D31" s="54" t="s">
        <v>1290</v>
      </c>
      <c r="E31" s="54"/>
      <c r="F31" s="55" t="s">
        <v>1448</v>
      </c>
      <c r="G31" s="5" t="s">
        <v>1323</v>
      </c>
      <c r="H31" s="5" t="s">
        <v>1449</v>
      </c>
      <c r="I31" s="5" t="s">
        <v>1450</v>
      </c>
      <c r="J31" s="5" t="s">
        <v>1112</v>
      </c>
      <c r="K31" s="5" t="s">
        <v>1277</v>
      </c>
      <c r="L31" s="5" t="s">
        <v>1087</v>
      </c>
      <c r="M31" s="5" t="s">
        <v>1451</v>
      </c>
      <c r="N31" s="5" t="s">
        <v>1089</v>
      </c>
      <c r="O31" s="5" t="s">
        <v>1090</v>
      </c>
      <c r="P31" s="5" t="s">
        <v>1091</v>
      </c>
      <c r="Q31" s="5" t="s">
        <v>1452</v>
      </c>
      <c r="R31" s="5" t="s">
        <v>1453</v>
      </c>
      <c r="S31" s="5" t="str">
        <f t="array" ref="S31">IF(OR($A31="",ISBLANK(XLOOKUP($A31,Laptops_Asignadas,Nombres_Directorio,"",0))),"",XLOOKUP($A31,Laptops_Asignadas,Nombres_Directorio,"",0))</f>
        <v>David Villaseñor Núñez</v>
      </c>
      <c r="T31" s="5" t="str">
        <f t="array" ref="T31">IF(OR($A31="",ISBLANK(XLOOKUP($A31,Laptops_Asignadas,Sucursal_Asignada,"",0))),"",XLOOKUP($A31,Laptops_Asignadas,Sucursal_Asignada,"",0))</f>
        <v>Corporativo</v>
      </c>
      <c r="U31" s="5" t="str">
        <f t="array" ref="U31">IF(OR($A31="",ISBLANK(XLOOKUP($A31,Laptops_Asignadas,Departamento_Asignado,"",0))),"",XLOOKUP($A31,Laptops_Asignadas,Departamento_Asignado,"",0))</f>
        <v>Maquinaria Agrícola</v>
      </c>
      <c r="V31" s="5" t="str">
        <f t="array" ref="V31">IF(OR($A31="",ISBLANK(XLOOKUP($A31,Laptops_Asignadas,Nombres_Directorio,"",0))),"",XLOOKUP($A31,Laptops_Asignadas,Nombres_Directorio,"",0))</f>
        <v>David Villaseñor Núñez</v>
      </c>
      <c r="W31" s="5" t="str">
        <f t="array" ref="W31">IF(OR($A31="",ISBLANK(XLOOKUP($A31,Laptops_Asignadas,Correos_Gmail,"",0))),"",XLOOKUP($A31,Laptops_Asignadas,Correos_Gmail,"",0))</f>
        <v>analistacomercial@agrocisa.com.mx</v>
      </c>
      <c r="X31" s="5" t="str">
        <f t="array" ref="X31">IF(OR($A31="",ISBLANK(XLOOKUP($A31,Laptops_Asignadas,Correos_Institucionales,"",0))),"",XLOOKUP($A31,Laptops_Asignadas,Correos_Institucionales,"",0))</f>
        <v>david.villasenor@agrcoisa.com.mx</v>
      </c>
    </row>
    <row r="32" ht="15.75" customHeight="1">
      <c r="A32" s="67" t="s">
        <v>1454</v>
      </c>
      <c r="B32" s="68">
        <v>12500.0</v>
      </c>
      <c r="C32" s="68" t="s">
        <v>776</v>
      </c>
      <c r="D32" s="68" t="s">
        <v>1290</v>
      </c>
      <c r="E32" s="68" t="s">
        <v>1455</v>
      </c>
      <c r="F32" s="69" t="s">
        <v>1456</v>
      </c>
      <c r="G32" s="67" t="s">
        <v>1323</v>
      </c>
      <c r="H32" s="67" t="s">
        <v>1335</v>
      </c>
      <c r="I32" s="67" t="s">
        <v>1457</v>
      </c>
      <c r="J32" s="67" t="s">
        <v>1112</v>
      </c>
      <c r="K32" s="67" t="s">
        <v>1310</v>
      </c>
      <c r="L32" s="67" t="s">
        <v>1337</v>
      </c>
      <c r="M32" s="67" t="s">
        <v>1338</v>
      </c>
      <c r="N32" s="67" t="s">
        <v>1109</v>
      </c>
      <c r="O32" s="67" t="s">
        <v>1090</v>
      </c>
      <c r="P32" s="67"/>
      <c r="Q32" s="67"/>
      <c r="R32" s="67" t="s">
        <v>1458</v>
      </c>
      <c r="S32" s="67" t="str">
        <f t="array" ref="S32">IF(OR($A32="",ISBLANK(XLOOKUP($A32,Laptops_Asignadas,Nombres_Directorio,"",0))),"",XLOOKUP($A32,Laptops_Asignadas,Nombres_Directorio,"",0))</f>
        <v/>
      </c>
      <c r="T32" s="67" t="str">
        <f t="array" ref="T32">IF(OR($A32="",ISBLANK(XLOOKUP($A32,Laptops_Asignadas,Sucursal_Asignada,"",0))),"",XLOOKUP($A32,Laptops_Asignadas,Sucursal_Asignada,"",0))</f>
        <v/>
      </c>
      <c r="U32" s="67" t="str">
        <f t="array" ref="U32">IF(OR($A32="",ISBLANK(XLOOKUP($A32,Laptops_Asignadas,Departamento_Asignado,"",0))),"",XLOOKUP($A32,Laptops_Asignadas,Departamento_Asignado,"",0))</f>
        <v/>
      </c>
      <c r="V32" s="67" t="str">
        <f t="array" ref="V32">IF(OR($A32="",ISBLANK(XLOOKUP($A32,Laptops_Asignadas,Nombres_Directorio,"",0))),"",XLOOKUP($A32,Laptops_Asignadas,Nombres_Directorio,"",0))</f>
        <v/>
      </c>
      <c r="W32" s="67" t="str">
        <f t="array" ref="W32">IF(OR($A32="",ISBLANK(XLOOKUP($A32,Laptops_Asignadas,Correos_Gmail,"",0))),"",XLOOKUP($A32,Laptops_Asignadas,Correos_Gmail,"",0))</f>
        <v/>
      </c>
      <c r="X32" s="67" t="str">
        <f t="array" ref="X32">IF(OR($A32="",ISBLANK(XLOOKUP($A32,Laptops_Asignadas,Correos_Institucionales,"",0))),"",XLOOKUP($A32,Laptops_Asignadas,Correos_Institucionales,"",0))</f>
        <v/>
      </c>
    </row>
    <row r="33" ht="15.75" customHeight="1">
      <c r="A33" s="5" t="s">
        <v>643</v>
      </c>
      <c r="B33" s="54">
        <v>8900.0</v>
      </c>
      <c r="C33" s="54" t="s">
        <v>776</v>
      </c>
      <c r="D33" s="54" t="s">
        <v>1290</v>
      </c>
      <c r="E33" s="54"/>
      <c r="F33" s="55" t="s">
        <v>1438</v>
      </c>
      <c r="G33" s="5" t="s">
        <v>1323</v>
      </c>
      <c r="H33" s="5" t="s">
        <v>1439</v>
      </c>
      <c r="I33" s="5" t="s">
        <v>1459</v>
      </c>
      <c r="J33" s="5" t="s">
        <v>1112</v>
      </c>
      <c r="K33" s="5" t="s">
        <v>1310</v>
      </c>
      <c r="L33" s="5" t="s">
        <v>1311</v>
      </c>
      <c r="M33" s="5" t="s">
        <v>1441</v>
      </c>
      <c r="N33" s="5" t="s">
        <v>1089</v>
      </c>
      <c r="O33" s="5" t="s">
        <v>1090</v>
      </c>
      <c r="P33" s="5" t="s">
        <v>1091</v>
      </c>
      <c r="Q33" s="5"/>
      <c r="R33" s="5" t="s">
        <v>1460</v>
      </c>
      <c r="S33" s="5" t="str">
        <f t="array" ref="S33">IF(OR($A33="",ISBLANK(XLOOKUP($A33,Laptops_Asignadas,Nombres_Directorio,"",0))),"",XLOOKUP($A33,Laptops_Asignadas,Nombres_Directorio,"",0))</f>
        <v>Gerardo Damián Contreras Aguilar</v>
      </c>
      <c r="T33" s="5" t="str">
        <f t="array" ref="T33">IF(OR($A33="",ISBLANK(XLOOKUP($A33,Laptops_Asignadas,Sucursal_Asignada,"",0))),"",XLOOKUP($A33,Laptops_Asignadas,Sucursal_Asignada,"",0))</f>
        <v>Pénjamo</v>
      </c>
      <c r="U33" s="5" t="str">
        <f t="array" ref="U33">IF(OR($A33="",ISBLANK(XLOOKUP($A33,Laptops_Asignadas,Departamento_Asignado,"",0))),"",XLOOKUP($A33,Laptops_Asignadas,Departamento_Asignado,"",0))</f>
        <v>Maquinaria</v>
      </c>
      <c r="V33" s="5" t="str">
        <f t="array" ref="V33">IF(OR($A33="",ISBLANK(XLOOKUP($A33,Laptops_Asignadas,Nombres_Directorio,"",0))),"",XLOOKUP($A33,Laptops_Asignadas,Nombres_Directorio,"",0))</f>
        <v>Gerardo Damián Contreras Aguilar</v>
      </c>
      <c r="W33" s="5" t="str">
        <f t="array" ref="W33">IF(OR($A33="",ISBLANK(XLOOKUP($A33,Laptops_Asignadas,Correos_Gmail,"",0))),"",XLOOKUP($A33,Laptops_Asignadas,Correos_Gmail,"",0))</f>
        <v>g.contrerasagro@gmail.com</v>
      </c>
      <c r="X33" s="5" t="str">
        <f t="array" ref="X33">IF(OR($A33="",ISBLANK(XLOOKUP($A33,Laptops_Asignadas,Correos_Institucionales,"",0))),"",XLOOKUP($A33,Laptops_Asignadas,Correos_Institucionales,"",0))</f>
        <v>gerardo.contreras@agrocisa.com.mx</v>
      </c>
    </row>
    <row r="34" ht="15.75" customHeight="1">
      <c r="A34" s="5" t="s">
        <v>1461</v>
      </c>
      <c r="B34" s="54">
        <v>2500.0</v>
      </c>
      <c r="C34" s="54" t="s">
        <v>1132</v>
      </c>
      <c r="D34" s="54" t="s">
        <v>1290</v>
      </c>
      <c r="E34" s="54" t="s">
        <v>1462</v>
      </c>
      <c r="F34" s="55" t="s">
        <v>1463</v>
      </c>
      <c r="G34" s="5" t="s">
        <v>1464</v>
      </c>
      <c r="H34" s="5" t="s">
        <v>1465</v>
      </c>
      <c r="I34" s="5" t="s">
        <v>1465</v>
      </c>
      <c r="J34" s="5" t="s">
        <v>1466</v>
      </c>
      <c r="K34" s="5" t="s">
        <v>1467</v>
      </c>
      <c r="L34" s="5" t="s">
        <v>1087</v>
      </c>
      <c r="M34" s="5"/>
      <c r="N34" s="5" t="s">
        <v>1161</v>
      </c>
      <c r="O34" s="5" t="s">
        <v>1100</v>
      </c>
      <c r="P34" s="5" t="s">
        <v>223</v>
      </c>
      <c r="Q34" s="5" t="s">
        <v>1468</v>
      </c>
      <c r="R34" s="5" t="s">
        <v>1469</v>
      </c>
      <c r="S34" s="5" t="str">
        <f t="array" ref="S34">IF(OR($A34="",ISBLANK(XLOOKUP($A34,Laptops_Asignadas,Nombres_Directorio,"",0))),"",XLOOKUP($A34,Laptops_Asignadas,Nombres_Directorio,"",0))</f>
        <v/>
      </c>
      <c r="T34" s="5" t="str">
        <f t="array" ref="T34">IF(OR($A34="",ISBLANK(XLOOKUP($A34,Laptops_Asignadas,Sucursal_Asignada,"",0))),"",XLOOKUP($A34,Laptops_Asignadas,Sucursal_Asignada,"",0))</f>
        <v/>
      </c>
      <c r="U34" s="5" t="str">
        <f t="array" ref="U34">IF(OR($A34="",ISBLANK(XLOOKUP($A34,Laptops_Asignadas,Departamento_Asignado,"",0))),"",XLOOKUP($A34,Laptops_Asignadas,Departamento_Asignado,"",0))</f>
        <v/>
      </c>
      <c r="V34" s="5" t="str">
        <f t="array" ref="V34">IF(OR($A34="",ISBLANK(XLOOKUP($A34,Laptops_Asignadas,Nombres_Directorio,"",0))),"",XLOOKUP($A34,Laptops_Asignadas,Nombres_Directorio,"",0))</f>
        <v/>
      </c>
      <c r="W34" s="5" t="str">
        <f t="array" ref="W34">IF(OR($A34="",ISBLANK(XLOOKUP($A34,Laptops_Asignadas,Correos_Gmail,"",0))),"",XLOOKUP($A34,Laptops_Asignadas,Correos_Gmail,"",0))</f>
        <v/>
      </c>
      <c r="X34" s="5" t="str">
        <f t="array" ref="X34">IF(OR($A34="",ISBLANK(XLOOKUP($A34,Laptops_Asignadas,Correos_Institucionales,"",0))),"",XLOOKUP($A34,Laptops_Asignadas,Correos_Institucionales,"",0))</f>
        <v/>
      </c>
    </row>
    <row r="35" ht="15.75" customHeight="1">
      <c r="A35" s="5" t="s">
        <v>708</v>
      </c>
      <c r="B35" s="54">
        <v>7500.0</v>
      </c>
      <c r="C35" s="54" t="s">
        <v>776</v>
      </c>
      <c r="D35" s="54" t="s">
        <v>1290</v>
      </c>
      <c r="E35" s="54"/>
      <c r="F35" s="55" t="s">
        <v>1470</v>
      </c>
      <c r="G35" s="5" t="s">
        <v>1292</v>
      </c>
      <c r="H35" s="5" t="s">
        <v>1293</v>
      </c>
      <c r="I35" s="5" t="s">
        <v>1471</v>
      </c>
      <c r="J35" s="5" t="s">
        <v>1085</v>
      </c>
      <c r="K35" s="5" t="s">
        <v>1277</v>
      </c>
      <c r="L35" s="5" t="s">
        <v>1087</v>
      </c>
      <c r="M35" s="5" t="s">
        <v>1294</v>
      </c>
      <c r="N35" s="5" t="s">
        <v>1109</v>
      </c>
      <c r="O35" s="5" t="s">
        <v>1090</v>
      </c>
      <c r="P35" s="5" t="s">
        <v>1091</v>
      </c>
      <c r="Q35" s="5"/>
      <c r="R35" s="5" t="s">
        <v>1472</v>
      </c>
      <c r="S35" s="5" t="str">
        <f t="array" ref="S35">IF(OR($A35="",ISBLANK(XLOOKUP($A35,Laptops_Asignadas,Nombres_Directorio,"",0))),"",XLOOKUP($A35,Laptops_Asignadas,Nombres_Directorio,"",0))</f>
        <v>Moisés Alberto González Mendoza</v>
      </c>
      <c r="T35" s="5" t="str">
        <f t="array" ref="T35">IF(OR($A35="",ISBLANK(XLOOKUP($A35,Laptops_Asignadas,Sucursal_Asignada,"",0))),"",XLOOKUP($A35,Laptops_Asignadas,Sucursal_Asignada,"",0))</f>
        <v>Poncitlán</v>
      </c>
      <c r="U35" s="5" t="str">
        <f t="array" ref="U35">IF(OR($A35="",ISBLANK(XLOOKUP($A35,Laptops_Asignadas,Departamento_Asignado,"",0))),"",XLOOKUP($A35,Laptops_Asignadas,Departamento_Asignado,"",0))</f>
        <v>Maquinaria</v>
      </c>
      <c r="V35" s="5" t="str">
        <f t="array" ref="V35">IF(OR($A35="",ISBLANK(XLOOKUP($A35,Laptops_Asignadas,Nombres_Directorio,"",0))),"",XLOOKUP($A35,Laptops_Asignadas,Nombres_Directorio,"",0))</f>
        <v>Moisés Alberto González Mendoza</v>
      </c>
      <c r="W35" s="5" t="str">
        <f t="array" ref="W35">IF(OR($A35="",ISBLANK(XLOOKUP($A35,Laptops_Asignadas,Correos_Gmail,"",0))),"",XLOOKUP($A35,Laptops_Asignadas,Correos_Gmail,"",0))</f>
        <v>mgonzalez.agrocisa@gmail.com</v>
      </c>
      <c r="X35" s="5" t="str">
        <f t="array" ref="X35">IF(OR($A35="",ISBLANK(XLOOKUP($A35,Laptops_Asignadas,Correos_Institucionales,"",0))),"",XLOOKUP($A35,Laptops_Asignadas,Correos_Institucionales,"",0))</f>
        <v>moises.gonzalez@agrocisa.com.mx</v>
      </c>
    </row>
    <row r="36" ht="15.75" customHeight="1">
      <c r="A36" s="5" t="s">
        <v>1473</v>
      </c>
      <c r="B36" s="54">
        <v>4500.0</v>
      </c>
      <c r="C36" s="54" t="s">
        <v>1132</v>
      </c>
      <c r="D36" s="54" t="s">
        <v>1290</v>
      </c>
      <c r="E36" s="54"/>
      <c r="F36" s="55" t="s">
        <v>1291</v>
      </c>
      <c r="G36" s="5"/>
      <c r="H36" s="5"/>
      <c r="I36" s="5"/>
      <c r="J36" s="5" t="s">
        <v>1085</v>
      </c>
      <c r="K36" s="5" t="s">
        <v>1319</v>
      </c>
      <c r="L36" s="5" t="s">
        <v>1107</v>
      </c>
      <c r="M36" s="5" t="s">
        <v>1474</v>
      </c>
      <c r="N36" s="5" t="s">
        <v>1099</v>
      </c>
      <c r="O36" s="5" t="s">
        <v>1090</v>
      </c>
      <c r="P36" s="5" t="s">
        <v>1091</v>
      </c>
      <c r="Q36" s="5" t="s">
        <v>1475</v>
      </c>
      <c r="R36" s="5" t="s">
        <v>1476</v>
      </c>
      <c r="S36" s="5" t="str">
        <f t="array" ref="S36">IF(OR($A36="",ISBLANK(XLOOKUP($A36,Laptops_Asignadas,Nombres_Directorio,"",0))),"",XLOOKUP($A36,Laptops_Asignadas,Nombres_Directorio,"",0))</f>
        <v/>
      </c>
      <c r="T36" s="5" t="str">
        <f t="array" ref="T36">IF(OR($A36="",ISBLANK(XLOOKUP($A36,Laptops_Asignadas,Sucursal_Asignada,"",0))),"",XLOOKUP($A36,Laptops_Asignadas,Sucursal_Asignada,"",0))</f>
        <v/>
      </c>
      <c r="U36" s="5" t="str">
        <f t="array" ref="U36">IF(OR($A36="",ISBLANK(XLOOKUP($A36,Laptops_Asignadas,Departamento_Asignado,"",0))),"",XLOOKUP($A36,Laptops_Asignadas,Departamento_Asignado,"",0))</f>
        <v/>
      </c>
      <c r="V36" s="5" t="str">
        <f t="array" ref="V36">IF(OR($A36="",ISBLANK(XLOOKUP($A36,Laptops_Asignadas,Nombres_Directorio,"",0))),"",XLOOKUP($A36,Laptops_Asignadas,Nombres_Directorio,"",0))</f>
        <v/>
      </c>
      <c r="W36" s="5" t="str">
        <f t="array" ref="W36">IF(OR($A36="",ISBLANK(XLOOKUP($A36,Laptops_Asignadas,Correos_Gmail,"",0))),"",XLOOKUP($A36,Laptops_Asignadas,Correos_Gmail,"",0))</f>
        <v/>
      </c>
      <c r="X36" s="5" t="str">
        <f t="array" ref="X36">IF(OR($A36="",ISBLANK(XLOOKUP($A36,Laptops_Asignadas,Correos_Institucionales,"",0))),"",XLOOKUP($A36,Laptops_Asignadas,Correos_Institucionales,"",0))</f>
        <v/>
      </c>
    </row>
    <row r="37" ht="15.75" customHeight="1">
      <c r="A37" s="5" t="s">
        <v>1477</v>
      </c>
      <c r="B37" s="54">
        <v>10500.0</v>
      </c>
      <c r="C37" s="54" t="s">
        <v>1132</v>
      </c>
      <c r="D37" s="54" t="s">
        <v>1290</v>
      </c>
      <c r="E37" s="54"/>
      <c r="F37" s="55" t="s">
        <v>1478</v>
      </c>
      <c r="G37" s="5" t="s">
        <v>1298</v>
      </c>
      <c r="H37" s="5" t="s">
        <v>1479</v>
      </c>
      <c r="I37" s="5" t="s">
        <v>1480</v>
      </c>
      <c r="J37" s="5" t="s">
        <v>1325</v>
      </c>
      <c r="K37" s="5" t="s">
        <v>1170</v>
      </c>
      <c r="L37" s="5" t="s">
        <v>1154</v>
      </c>
      <c r="M37" s="5" t="s">
        <v>1410</v>
      </c>
      <c r="N37" s="5" t="s">
        <v>1161</v>
      </c>
      <c r="O37" s="5" t="s">
        <v>1090</v>
      </c>
      <c r="P37" s="5" t="s">
        <v>1091</v>
      </c>
      <c r="Q37" s="5"/>
      <c r="R37" s="5" t="s">
        <v>1481</v>
      </c>
      <c r="S37" s="5" t="str">
        <f t="array" ref="S37">IF(OR($A37="",ISBLANK(XLOOKUP($A37,Laptops_Asignadas,Nombres_Directorio,"",0))),"",XLOOKUP($A37,Laptops_Asignadas,Nombres_Directorio,"",0))</f>
        <v/>
      </c>
      <c r="T37" s="5" t="str">
        <f t="array" ref="T37">IF(OR($A37="",ISBLANK(XLOOKUP($A37,Laptops_Asignadas,Sucursal_Asignada,"",0))),"",XLOOKUP($A37,Laptops_Asignadas,Sucursal_Asignada,"",0))</f>
        <v/>
      </c>
      <c r="U37" s="5" t="str">
        <f t="array" ref="U37">IF(OR($A37="",ISBLANK(XLOOKUP($A37,Laptops_Asignadas,Departamento_Asignado,"",0))),"",XLOOKUP($A37,Laptops_Asignadas,Departamento_Asignado,"",0))</f>
        <v/>
      </c>
      <c r="V37" s="5" t="str">
        <f t="array" ref="V37">IF(OR($A37="",ISBLANK(XLOOKUP($A37,Laptops_Asignadas,Nombres_Directorio,"",0))),"",XLOOKUP($A37,Laptops_Asignadas,Nombres_Directorio,"",0))</f>
        <v/>
      </c>
      <c r="W37" s="5" t="str">
        <f t="array" ref="W37">IF(OR($A37="",ISBLANK(XLOOKUP($A37,Laptops_Asignadas,Correos_Gmail,"",0))),"",XLOOKUP($A37,Laptops_Asignadas,Correos_Gmail,"",0))</f>
        <v/>
      </c>
      <c r="X37" s="5" t="str">
        <f t="array" ref="X37">IF(OR($A37="",ISBLANK(XLOOKUP($A37,Laptops_Asignadas,Correos_Institucionales,"",0))),"",XLOOKUP($A37,Laptops_Asignadas,Correos_Institucionales,"",0))</f>
        <v/>
      </c>
    </row>
    <row r="38" ht="15.75" customHeight="1">
      <c r="A38" s="5" t="s">
        <v>745</v>
      </c>
      <c r="B38" s="54">
        <v>7200.0</v>
      </c>
      <c r="C38" s="54" t="s">
        <v>776</v>
      </c>
      <c r="D38" s="54" t="s">
        <v>1290</v>
      </c>
      <c r="E38" s="54"/>
      <c r="F38" s="55" t="s">
        <v>1084</v>
      </c>
      <c r="G38" s="5" t="s">
        <v>1365</v>
      </c>
      <c r="H38" s="5" t="s">
        <v>1426</v>
      </c>
      <c r="I38" s="5" t="s">
        <v>1482</v>
      </c>
      <c r="J38" s="5" t="s">
        <v>1325</v>
      </c>
      <c r="K38" s="5" t="s">
        <v>1428</v>
      </c>
      <c r="L38" s="5" t="s">
        <v>1087</v>
      </c>
      <c r="M38" s="5" t="s">
        <v>1429</v>
      </c>
      <c r="N38" s="5" t="s">
        <v>1089</v>
      </c>
      <c r="O38" s="5" t="s">
        <v>1090</v>
      </c>
      <c r="P38" s="5" t="s">
        <v>1091</v>
      </c>
      <c r="Q38" s="5"/>
      <c r="R38" s="5" t="s">
        <v>1483</v>
      </c>
      <c r="S38" s="5" t="str">
        <f t="array" ref="S38">IF(OR($A38="",ISBLANK(XLOOKUP($A38,Laptops_Asignadas,Nombres_Directorio,"",0))),"",XLOOKUP($A38,Laptops_Asignadas,Nombres_Directorio,"",0))</f>
        <v>Martín Salcedo Vargas</v>
      </c>
      <c r="T38" s="5" t="str">
        <f t="array" ref="T38">IF(OR($A38="",ISBLANK(XLOOKUP($A38,Laptops_Asignadas,Sucursal_Asignada,"",0))),"",XLOOKUP($A38,Laptops_Asignadas,Sucursal_Asignada,"",0))</f>
        <v>Zona Altos</v>
      </c>
      <c r="U38" s="5" t="str">
        <f t="array" ref="U38">IF(OR($A38="",ISBLANK(XLOOKUP($A38,Laptops_Asignadas,Departamento_Asignado,"",0))),"",XLOOKUP($A38,Laptops_Asignadas,Departamento_Asignado,"",0))</f>
        <v>Maquinaria</v>
      </c>
      <c r="V38" s="5" t="str">
        <f t="array" ref="V38">IF(OR($A38="",ISBLANK(XLOOKUP($A38,Laptops_Asignadas,Nombres_Directorio,"",0))),"",XLOOKUP($A38,Laptops_Asignadas,Nombres_Directorio,"",0))</f>
        <v>Martín Salcedo Vargas</v>
      </c>
      <c r="W38" s="5" t="str">
        <f t="array" ref="W38">IF(OR($A38="",ISBLANK(XLOOKUP($A38,Laptops_Asignadas,Correos_Gmail,"",0))),"",XLOOKUP($A38,Laptops_Asignadas,Correos_Gmail,"",0))</f>
        <v>martin.salcedo@agrocisa.com.mx</v>
      </c>
      <c r="X38" s="5" t="str">
        <f t="array" ref="X38">IF(OR($A38="",ISBLANK(XLOOKUP($A38,Laptops_Asignadas,Correos_Institucionales,"",0))),"",XLOOKUP($A38,Laptops_Asignadas,Correos_Institucionales,"",0))</f>
        <v>martin.salcedo@agrocisa.com.mx</v>
      </c>
    </row>
    <row r="39" ht="15.75" customHeight="1">
      <c r="A39" s="5" t="s">
        <v>1484</v>
      </c>
      <c r="B39" s="54">
        <v>2000.0</v>
      </c>
      <c r="C39" s="54" t="s">
        <v>1132</v>
      </c>
      <c r="D39" s="54" t="s">
        <v>1290</v>
      </c>
      <c r="E39" s="54"/>
      <c r="F39" s="55" t="s">
        <v>1084</v>
      </c>
      <c r="G39" s="5" t="s">
        <v>1485</v>
      </c>
      <c r="H39" s="5" t="s">
        <v>1486</v>
      </c>
      <c r="I39" s="5">
        <v>9.40400215708E11</v>
      </c>
      <c r="J39" s="5"/>
      <c r="K39" s="5"/>
      <c r="L39" s="5"/>
      <c r="M39" s="5"/>
      <c r="N39" s="5"/>
      <c r="O39" s="5"/>
      <c r="P39" s="5"/>
      <c r="Q39" s="5"/>
      <c r="R39" s="5"/>
      <c r="S39" s="5" t="str">
        <f t="array" ref="S39">IF(OR($A39="",ISBLANK(XLOOKUP($A39,Laptops_Asignadas,Nombres_Directorio,"",0))),"",XLOOKUP($A39,Laptops_Asignadas,Nombres_Directorio,"",0))</f>
        <v/>
      </c>
      <c r="T39" s="5" t="str">
        <f t="array" ref="T39">IF(OR($A39="",ISBLANK(XLOOKUP($A39,Laptops_Asignadas,Sucursal_Asignada,"",0))),"",XLOOKUP($A39,Laptops_Asignadas,Sucursal_Asignada,"",0))</f>
        <v/>
      </c>
      <c r="U39" s="5" t="str">
        <f t="array" ref="U39">IF(OR($A39="",ISBLANK(XLOOKUP($A39,Laptops_Asignadas,Departamento_Asignado,"",0))),"",XLOOKUP($A39,Laptops_Asignadas,Departamento_Asignado,"",0))</f>
        <v/>
      </c>
      <c r="V39" s="5" t="str">
        <f t="array" ref="V39">IF(OR($A39="",ISBLANK(XLOOKUP($A39,Laptops_Asignadas,Nombres_Directorio,"",0))),"",XLOOKUP($A39,Laptops_Asignadas,Nombres_Directorio,"",0))</f>
        <v/>
      </c>
      <c r="W39" s="5" t="str">
        <f t="array" ref="W39">IF(OR($A39="",ISBLANK(XLOOKUP($A39,Laptops_Asignadas,Correos_Gmail,"",0))),"",XLOOKUP($A39,Laptops_Asignadas,Correos_Gmail,"",0))</f>
        <v/>
      </c>
      <c r="X39" s="5" t="str">
        <f t="array" ref="X39">IF(OR($A39="",ISBLANK(XLOOKUP($A39,Laptops_Asignadas,Correos_Institucionales,"",0))),"",XLOOKUP($A39,Laptops_Asignadas,Correos_Institucionales,"",0))</f>
        <v/>
      </c>
    </row>
    <row r="40" ht="15.75" customHeight="1">
      <c r="A40" s="5" t="s">
        <v>687</v>
      </c>
      <c r="B40" s="54">
        <v>7546.0</v>
      </c>
      <c r="C40" s="54" t="s">
        <v>1132</v>
      </c>
      <c r="D40" s="54" t="s">
        <v>1290</v>
      </c>
      <c r="E40" s="54"/>
      <c r="F40" s="55" t="s">
        <v>1084</v>
      </c>
      <c r="G40" s="5" t="s">
        <v>1323</v>
      </c>
      <c r="H40" s="5" t="s">
        <v>1487</v>
      </c>
      <c r="I40" s="5" t="s">
        <v>1488</v>
      </c>
      <c r="J40" s="5" t="s">
        <v>1085</v>
      </c>
      <c r="K40" s="5" t="s">
        <v>1319</v>
      </c>
      <c r="L40" s="5" t="s">
        <v>1107</v>
      </c>
      <c r="M40" s="5" t="s">
        <v>1489</v>
      </c>
      <c r="N40" s="5" t="s">
        <v>1099</v>
      </c>
      <c r="O40" s="5" t="s">
        <v>1100</v>
      </c>
      <c r="P40" s="5" t="s">
        <v>1091</v>
      </c>
      <c r="Q40" s="5" t="s">
        <v>1490</v>
      </c>
      <c r="R40" s="5" t="s">
        <v>1491</v>
      </c>
      <c r="S40" s="5" t="str">
        <f t="array" ref="S40">IF(OR($A40="",ISBLANK(XLOOKUP($A40,Laptops_Asignadas,Nombres_Directorio,"",0))),"",XLOOKUP($A40,Laptops_Asignadas,Nombres_Directorio,"",0))</f>
        <v>Martín Ceballos Castillo</v>
      </c>
      <c r="T40" s="5" t="str">
        <f t="array" ref="T40">IF(OR($A40="",ISBLANK(XLOOKUP($A40,Laptops_Asignadas,Sucursal_Asignada,"",0))),"",XLOOKUP($A40,Laptops_Asignadas,Sucursal_Asignada,"",0))</f>
        <v>Pénjamo</v>
      </c>
      <c r="U40" s="5" t="str">
        <f t="array" ref="U40">IF(OR($A40="",ISBLANK(XLOOKUP($A40,Laptops_Asignadas,Departamento_Asignado,"",0))),"",XLOOKUP($A40,Laptops_Asignadas,Departamento_Asignado,"",0))</f>
        <v>Servicio</v>
      </c>
      <c r="V40" s="5" t="str">
        <f t="array" ref="V40">IF(OR($A40="",ISBLANK(XLOOKUP($A40,Laptops_Asignadas,Nombres_Directorio,"",0))),"",XLOOKUP($A40,Laptops_Asignadas,Nombres_Directorio,"",0))</f>
        <v>Martín Ceballos Castillo</v>
      </c>
      <c r="W40" s="5" t="str">
        <f t="array" ref="W40">IF(OR($A40="",ISBLANK(XLOOKUP($A40,Laptops_Asignadas,Correos_Gmail,"",0))),"",XLOOKUP($A40,Laptops_Asignadas,Correos_Gmail,"",0))</f>
        <v>tallerpenjamo.agro@gmail.com</v>
      </c>
      <c r="X40" s="5" t="str">
        <f t="array" ref="X40">IF(OR($A40="",ISBLANK(XLOOKUP($A40,Laptops_Asignadas,Correos_Institucionales,"",0))),"",XLOOKUP($A40,Laptops_Asignadas,Correos_Institucionales,"",0))</f>
        <v>tallerpenjamo@agrocisa.com.mx</v>
      </c>
    </row>
    <row r="41" ht="15.75" customHeight="1">
      <c r="A41" s="5" t="s">
        <v>297</v>
      </c>
      <c r="B41" s="54">
        <v>4000.0</v>
      </c>
      <c r="C41" s="54" t="s">
        <v>1132</v>
      </c>
      <c r="D41" s="54" t="s">
        <v>1381</v>
      </c>
      <c r="E41" s="54" t="s">
        <v>1492</v>
      </c>
      <c r="F41" s="55" t="s">
        <v>1493</v>
      </c>
      <c r="G41" s="5" t="s">
        <v>1316</v>
      </c>
      <c r="H41" s="5" t="s">
        <v>1494</v>
      </c>
      <c r="I41" s="5" t="s">
        <v>1495</v>
      </c>
      <c r="J41" s="5" t="s">
        <v>1112</v>
      </c>
      <c r="K41" s="5" t="s">
        <v>1496</v>
      </c>
      <c r="L41" s="5" t="s">
        <v>1087</v>
      </c>
      <c r="M41" s="5" t="s">
        <v>1497</v>
      </c>
      <c r="N41" s="5" t="s">
        <v>1109</v>
      </c>
      <c r="O41" s="5" t="s">
        <v>1100</v>
      </c>
      <c r="P41" s="5" t="s">
        <v>1091</v>
      </c>
      <c r="Q41" s="5" t="s">
        <v>1498</v>
      </c>
      <c r="R41" s="5" t="s">
        <v>1499</v>
      </c>
      <c r="S41" s="5" t="str">
        <f t="array" ref="S41">IF(OR($A41="",ISBLANK(XLOOKUP($A41,Laptops_Asignadas,Nombres_Directorio,"",0))),"",XLOOKUP($A41,Laptops_Asignadas,Nombres_Directorio,"",0))</f>
        <v>Francisco Valadez Gaona</v>
      </c>
      <c r="T41" s="5" t="str">
        <f t="array" ref="T41">IF(OR($A41="",ISBLANK(XLOOKUP($A41,Laptops_Asignadas,Sucursal_Asignada,"",0))),"",XLOOKUP($A41,Laptops_Asignadas,Sucursal_Asignada,"",0))</f>
        <v>Corporativo</v>
      </c>
      <c r="U41" s="5" t="str">
        <f t="array" ref="U41">IF(OR($A41="",ISBLANK(XLOOKUP($A41,Laptops_Asignadas,Departamento_Asignado,"",0))),"",XLOOKUP($A41,Laptops_Asignadas,Departamento_Asignado,"",0))</f>
        <v>Maquinaria Construcción</v>
      </c>
      <c r="V41" s="5" t="str">
        <f t="array" ref="V41">IF(OR($A41="",ISBLANK(XLOOKUP($A41,Laptops_Asignadas,Nombres_Directorio,"",0))),"",XLOOKUP($A41,Laptops_Asignadas,Nombres_Directorio,"",0))</f>
        <v>Francisco Valadez Gaona</v>
      </c>
      <c r="W41" s="5" t="str">
        <f t="array" ref="W41">IF(OR($A41="",ISBLANK(XLOOKUP($A41,Laptops_Asignadas,Correos_Gmail,"",0))),"",XLOOKUP($A41,Laptops_Asignadas,Correos_Gmail,"",0))</f>
        <v>construccionlabarca@agrocisa.com.mx</v>
      </c>
      <c r="X41" s="5" t="str">
        <f t="array" ref="X41">IF(OR($A41="",ISBLANK(XLOOKUP($A41,Laptops_Asignadas,Correos_Institucionales,"",0))),"",XLOOKUP($A41,Laptops_Asignadas,Correos_Institucionales,"",0))</f>
        <v>construccionlabarca@agrocisa.com.mx</v>
      </c>
    </row>
    <row r="42" ht="15.75" customHeight="1">
      <c r="A42" s="5" t="s">
        <v>470</v>
      </c>
      <c r="B42" s="54">
        <v>4000.0</v>
      </c>
      <c r="C42" s="54" t="s">
        <v>1132</v>
      </c>
      <c r="D42" s="54" t="s">
        <v>1290</v>
      </c>
      <c r="E42" s="54"/>
      <c r="F42" s="55" t="s">
        <v>1084</v>
      </c>
      <c r="G42" s="5" t="s">
        <v>1316</v>
      </c>
      <c r="H42" s="5" t="s">
        <v>1500</v>
      </c>
      <c r="I42" s="5" t="s">
        <v>1501</v>
      </c>
      <c r="J42" s="5"/>
      <c r="K42" s="5"/>
      <c r="L42" s="5"/>
      <c r="M42" s="5"/>
      <c r="N42" s="5"/>
      <c r="O42" s="5"/>
      <c r="P42" s="5"/>
      <c r="Q42" s="5"/>
      <c r="R42" s="5"/>
      <c r="S42" s="5" t="str">
        <f t="array" ref="S42">IF(OR($A42="",ISBLANK(XLOOKUP($A42,Laptops_Asignadas,Nombres_Directorio,"",0))),"",XLOOKUP($A42,Laptops_Asignadas,Nombres_Directorio,"",0))</f>
        <v>Diego Alejandro Núñez Flores</v>
      </c>
      <c r="T42" s="5" t="str">
        <f t="array" ref="T42">IF(OR($A42="",ISBLANK(XLOOKUP($A42,Laptops_Asignadas,Sucursal_Asignada,"",0))),"",XLOOKUP($A42,Laptops_Asignadas,Sucursal_Asignada,"",0))</f>
        <v>La Piedad</v>
      </c>
      <c r="U42" s="5" t="str">
        <f t="array" ref="U42">IF(OR($A42="",ISBLANK(XLOOKUP($A42,Laptops_Asignadas,Departamento_Asignado,"",0))),"",XLOOKUP($A42,Laptops_Asignadas,Departamento_Asignado,"",0))</f>
        <v>Agricultura Inteligente</v>
      </c>
      <c r="V42" s="5" t="str">
        <f t="array" ref="V42">IF(OR($A42="",ISBLANK(XLOOKUP($A42,Laptops_Asignadas,Nombres_Directorio,"",0))),"",XLOOKUP($A42,Laptops_Asignadas,Nombres_Directorio,"",0))</f>
        <v>Diego Alejandro Núñez Flores</v>
      </c>
      <c r="W42" s="5" t="str">
        <f t="array" ref="W42">IF(OR($A42="",ISBLANK(XLOOKUP($A42,Laptops_Asignadas,Correos_Gmail,"",0))),"",XLOOKUP($A42,Laptops_Asignadas,Correos_Gmail,"",0))</f>
        <v>diego.nunez@agrocisa.com.mx</v>
      </c>
      <c r="X42" s="5" t="str">
        <f t="array" ref="X42">IF(OR($A42="",ISBLANK(XLOOKUP($A42,Laptops_Asignadas,Correos_Institucionales,"",0))),"",XLOOKUP($A42,Laptops_Asignadas,Correos_Institucionales,"",0))</f>
        <v>diego.nunez@agrocisa.com.mx</v>
      </c>
    </row>
    <row r="43" ht="15.75" customHeight="1">
      <c r="A43" s="65" t="s">
        <v>475</v>
      </c>
      <c r="B43" s="66">
        <v>4000.0</v>
      </c>
      <c r="C43" s="66" t="s">
        <v>1132</v>
      </c>
      <c r="D43" s="54" t="s">
        <v>1290</v>
      </c>
      <c r="E43" s="66" t="s">
        <v>1502</v>
      </c>
      <c r="F43" s="71" t="s">
        <v>1503</v>
      </c>
      <c r="G43" s="65" t="s">
        <v>1292</v>
      </c>
      <c r="H43" s="65"/>
      <c r="I43" s="65" t="s">
        <v>1312</v>
      </c>
      <c r="J43" s="65" t="s">
        <v>1112</v>
      </c>
      <c r="K43" s="65" t="s">
        <v>1504</v>
      </c>
      <c r="L43" s="65" t="s">
        <v>1107</v>
      </c>
      <c r="M43" s="65" t="s">
        <v>1312</v>
      </c>
      <c r="N43" s="65" t="s">
        <v>1099</v>
      </c>
      <c r="O43" s="65" t="s">
        <v>1100</v>
      </c>
      <c r="P43" s="65" t="s">
        <v>223</v>
      </c>
      <c r="Q43" s="65"/>
      <c r="R43" s="65" t="s">
        <v>1505</v>
      </c>
      <c r="S43" s="65" t="str">
        <f t="array" ref="S43">IF(OR($A43="",ISBLANK(XLOOKUP($A43,Laptops_Asignadas,Nombres_Directorio,"",0))),"",XLOOKUP($A43,Laptops_Asignadas,Nombres_Directorio,"",0))</f>
        <v>Francisco Villalobos Sánchez</v>
      </c>
      <c r="T43" s="65" t="str">
        <f t="array" ref="T43">IF(OR($A43="",ISBLANK(XLOOKUP($A43,Laptops_Asignadas,Sucursal_Asignada,"",0))),"",XLOOKUP($A43,Laptops_Asignadas,Sucursal_Asignada,"",0))</f>
        <v>La Piedad</v>
      </c>
      <c r="U43" s="65" t="str">
        <f t="array" ref="U43">IF(OR($A43="",ISBLANK(XLOOKUP($A43,Laptops_Asignadas,Departamento_Asignado,"",0))),"",XLOOKUP($A43,Laptops_Asignadas,Departamento_Asignado,"",0))</f>
        <v>Agricultura Inteligente</v>
      </c>
      <c r="V43" s="65" t="str">
        <f t="array" ref="V43">IF(OR($A43="",ISBLANK(XLOOKUP($A43,Laptops_Asignadas,Nombres_Directorio,"",0))),"",XLOOKUP($A43,Laptops_Asignadas,Nombres_Directorio,"",0))</f>
        <v>Francisco Villalobos Sánchez</v>
      </c>
      <c r="W43" s="65" t="str">
        <f t="array" ref="W43">IF(OR($A43="",ISBLANK(XLOOKUP($A43,Laptops_Asignadas,Correos_Gmail,"",0))),"",XLOOKUP($A43,Laptops_Asignadas,Correos_Gmail,"",0))</f>
        <v>droneslp@agrocisa.com.mx</v>
      </c>
      <c r="X43" s="65" t="str">
        <f t="array" ref="X43">IF(OR($A43="",ISBLANK(XLOOKUP($A43,Laptops_Asignadas,Correos_Institucionales,"",0))),"",XLOOKUP($A43,Laptops_Asignadas,Correos_Institucionales,"",0))</f>
        <v>francisco.villalobos@agrocisa.com.mx</v>
      </c>
    </row>
    <row r="44" ht="15.75" customHeight="1">
      <c r="A44" s="5" t="s">
        <v>83</v>
      </c>
      <c r="B44" s="54">
        <v>5600.0</v>
      </c>
      <c r="C44" s="54" t="s">
        <v>1132</v>
      </c>
      <c r="D44" s="54" t="s">
        <v>1290</v>
      </c>
      <c r="E44" s="54"/>
      <c r="F44" s="55" t="s">
        <v>1478</v>
      </c>
      <c r="G44" s="5" t="s">
        <v>1316</v>
      </c>
      <c r="H44" s="5" t="s">
        <v>1329</v>
      </c>
      <c r="I44" s="5" t="s">
        <v>1506</v>
      </c>
      <c r="J44" s="5" t="s">
        <v>1112</v>
      </c>
      <c r="K44" s="5" t="s">
        <v>1384</v>
      </c>
      <c r="L44" s="5">
        <v>16.0</v>
      </c>
      <c r="M44" s="5" t="s">
        <v>1331</v>
      </c>
      <c r="N44" s="5" t="s">
        <v>1099</v>
      </c>
      <c r="O44" s="5" t="s">
        <v>1100</v>
      </c>
      <c r="P44" s="5" t="s">
        <v>223</v>
      </c>
      <c r="Q44" s="5"/>
      <c r="R44" s="5" t="s">
        <v>1507</v>
      </c>
      <c r="S44" s="5" t="str">
        <f t="array" ref="S44">IF(OR($A44="",ISBLANK(XLOOKUP($A44,Laptops_Asignadas,Nombres_Directorio,"",0))),"",XLOOKUP($A44,Laptops_Asignadas,Nombres_Directorio,"",0))</f>
        <v>Pascual Humberto Ramírez Flores</v>
      </c>
      <c r="T44" s="5" t="str">
        <f t="array" ref="T44">IF(OR($A44="",ISBLANK(XLOOKUP($A44,Laptops_Asignadas,Sucursal_Asignada,"",0))),"",XLOOKUP($A44,Laptops_Asignadas,Sucursal_Asignada,"",0))</f>
        <v>Corporativo</v>
      </c>
      <c r="U44" s="5" t="str">
        <f t="array" ref="U44">IF(OR($A44="",ISBLANK(XLOOKUP($A44,Laptops_Asignadas,Departamento_Asignado,"",0))),"",XLOOKUP($A44,Laptops_Asignadas,Departamento_Asignado,"",0))</f>
        <v>Agricultura Inteligente</v>
      </c>
      <c r="V44" s="5" t="str">
        <f t="array" ref="V44">IF(OR($A44="",ISBLANK(XLOOKUP($A44,Laptops_Asignadas,Nombres_Directorio,"",0))),"",XLOOKUP($A44,Laptops_Asignadas,Nombres_Directorio,"",0))</f>
        <v>Pascual Humberto Ramírez Flores</v>
      </c>
      <c r="W44" s="5" t="str">
        <f t="array" ref="W44">IF(OR($A44="",ISBLANK(XLOOKUP($A44,Laptops_Asignadas,Correos_Gmail,"",0))),"",XLOOKUP($A44,Laptops_Asignadas,Correos_Gmail,"",0))</f>
        <v>soportetcgps.agro@gmail.com</v>
      </c>
      <c r="X44" s="5" t="str">
        <f t="array" ref="X44">IF(OR($A44="",ISBLANK(XLOOKUP($A44,Laptops_Asignadas,Correos_Institucionales,"",0))),"",XLOOKUP($A44,Laptops_Asignadas,Correos_Institucionales,"",0))</f>
        <v>soportetc.gps@agrocisa.com.mx</v>
      </c>
    </row>
    <row r="45" ht="15.75" customHeight="1">
      <c r="A45" s="5" t="s">
        <v>421</v>
      </c>
      <c r="B45" s="54">
        <v>3500.0</v>
      </c>
      <c r="C45" s="54" t="s">
        <v>1132</v>
      </c>
      <c r="D45" s="54" t="s">
        <v>1290</v>
      </c>
      <c r="E45" s="54"/>
      <c r="F45" s="55" t="s">
        <v>1508</v>
      </c>
      <c r="G45" s="5" t="s">
        <v>1365</v>
      </c>
      <c r="H45" s="5" t="s">
        <v>1299</v>
      </c>
      <c r="I45" s="5" t="s">
        <v>1509</v>
      </c>
      <c r="J45" s="5" t="s">
        <v>1112</v>
      </c>
      <c r="K45" s="5" t="s">
        <v>1302</v>
      </c>
      <c r="L45" s="5" t="s">
        <v>1087</v>
      </c>
      <c r="M45" s="5" t="s">
        <v>1423</v>
      </c>
      <c r="N45" s="5" t="s">
        <v>1099</v>
      </c>
      <c r="O45" s="5" t="s">
        <v>1100</v>
      </c>
      <c r="P45" s="5" t="s">
        <v>223</v>
      </c>
      <c r="Q45" s="5"/>
      <c r="R45" s="5" t="s">
        <v>1510</v>
      </c>
      <c r="S45" s="5" t="str">
        <f t="array" ref="S45">IF(OR($A45="",ISBLANK(XLOOKUP($A45,Laptops_Asignadas,Nombres_Directorio,"",0))),"",XLOOKUP($A45,Laptops_Asignadas,Nombres_Directorio,"",0))</f>
        <v>Luis Eduardo Gutierrez Infante</v>
      </c>
      <c r="T45" s="5" t="str">
        <f t="array" ref="T45">IF(OR($A45="",ISBLANK(XLOOKUP($A45,Laptops_Asignadas,Sucursal_Asignada,"",0))),"",XLOOKUP($A45,Laptops_Asignadas,Sucursal_Asignada,"",0))</f>
        <v>Corporativo</v>
      </c>
      <c r="U45" s="5" t="str">
        <f t="array" ref="U45">IF(OR($A45="",ISBLANK(XLOOKUP($A45,Laptops_Asignadas,Departamento_Asignado,"",0))),"",XLOOKUP($A45,Laptops_Asignadas,Departamento_Asignado,"",0))</f>
        <v>Servicio</v>
      </c>
      <c r="V45" s="5" t="str">
        <f t="array" ref="V45">IF(OR($A45="",ISBLANK(XLOOKUP($A45,Laptops_Asignadas,Nombres_Directorio,"",0))),"",XLOOKUP($A45,Laptops_Asignadas,Nombres_Directorio,"",0))</f>
        <v>Luis Eduardo Gutierrez Infante</v>
      </c>
      <c r="W45" s="5" t="str">
        <f t="array" ref="W45">IF(OR($A45="",ISBLANK(XLOOKUP($A45,Laptops_Asignadas,Correos_Gmail,"",0))),"",XLOOKUP($A45,Laptops_Asignadas,Correos_Gmail,"",0))</f>
        <v>promotorlabarca@agrocisa.com.mx</v>
      </c>
      <c r="X45" s="5" t="str">
        <f t="array" ref="X45">IF(OR($A45="",ISBLANK(XLOOKUP($A45,Laptops_Asignadas,Correos_Institucionales,"",0))),"",XLOOKUP($A45,Laptops_Asignadas,Correos_Institucionales,"",0))</f>
        <v>luis.gutierrez@agrocisa.com.mx</v>
      </c>
    </row>
    <row r="46" ht="15.75" customHeight="1">
      <c r="A46" s="5" t="s">
        <v>332</v>
      </c>
      <c r="B46" s="54">
        <v>8129.0</v>
      </c>
      <c r="C46" s="54" t="s">
        <v>1132</v>
      </c>
      <c r="D46" s="54" t="s">
        <v>1290</v>
      </c>
      <c r="E46" s="54"/>
      <c r="F46" s="55" t="s">
        <v>1511</v>
      </c>
      <c r="G46" s="5" t="s">
        <v>1316</v>
      </c>
      <c r="H46" s="5" t="s">
        <v>1512</v>
      </c>
      <c r="I46" s="5" t="s">
        <v>1513</v>
      </c>
      <c r="J46" s="5" t="s">
        <v>1112</v>
      </c>
      <c r="K46" s="5" t="s">
        <v>1310</v>
      </c>
      <c r="L46" s="5" t="s">
        <v>1087</v>
      </c>
      <c r="M46" s="5" t="s">
        <v>1514</v>
      </c>
      <c r="N46" s="5" t="s">
        <v>1109</v>
      </c>
      <c r="O46" s="5" t="s">
        <v>1090</v>
      </c>
      <c r="P46" s="5" t="s">
        <v>1091</v>
      </c>
      <c r="Q46" s="5" t="s">
        <v>44</v>
      </c>
      <c r="R46" s="5" t="s">
        <v>1515</v>
      </c>
      <c r="S46" s="5" t="str">
        <f t="array" ref="S46">IF(OR($A46="",ISBLANK(XLOOKUP($A46,Laptops_Asignadas,Nombres_Directorio,"",0))),"",XLOOKUP($A46,Laptops_Asignadas,Nombres_Directorio,"",0))</f>
        <v>Jesús García Anaya</v>
      </c>
      <c r="T46" s="5" t="str">
        <f t="array" ref="T46">IF(OR($A46="",ISBLANK(XLOOKUP($A46,Laptops_Asignadas,Sucursal_Asignada,"",0))),"",XLOOKUP($A46,Laptops_Asignadas,Sucursal_Asignada,"",0))</f>
        <v>Corporativo</v>
      </c>
      <c r="U46" s="5" t="str">
        <f t="array" ref="U46">IF(OR($A46="",ISBLANK(XLOOKUP($A46,Laptops_Asignadas,Departamento_Asignado,"",0))),"",XLOOKUP($A46,Laptops_Asignadas,Departamento_Asignado,"",0))</f>
        <v>Parque Vehicular</v>
      </c>
      <c r="V46" s="5" t="str">
        <f t="array" ref="V46">IF(OR($A46="",ISBLANK(XLOOKUP($A46,Laptops_Asignadas,Nombres_Directorio,"",0))),"",XLOOKUP($A46,Laptops_Asignadas,Nombres_Directorio,"",0))</f>
        <v>Jesús García Anaya</v>
      </c>
      <c r="W46" s="5" t="str">
        <f t="array" ref="W46">IF(OR($A46="",ISBLANK(XLOOKUP($A46,Laptops_Asignadas,Correos_Gmail,"",0))),"",XLOOKUP($A46,Laptops_Asignadas,Correos_Gmail,"",0))</f>
        <v>jesusgarcia.agrocisa@gmail.com</v>
      </c>
      <c r="X46" s="5" t="str">
        <f t="array" ref="X46">IF(OR($A46="",ISBLANK(XLOOKUP($A46,Laptops_Asignadas,Correos_Institucionales,"",0))),"",XLOOKUP($A46,Laptops_Asignadas,Correos_Institucionales,"",0))</f>
        <v>jesus.garcia@agrocisa.com.mx</v>
      </c>
    </row>
    <row r="47" ht="15.75" customHeight="1">
      <c r="A47" s="5" t="s">
        <v>565</v>
      </c>
      <c r="B47" s="54">
        <v>9778.0</v>
      </c>
      <c r="C47" s="54" t="s">
        <v>1132</v>
      </c>
      <c r="D47" s="54" t="s">
        <v>1290</v>
      </c>
      <c r="E47" s="54"/>
      <c r="F47" s="55" t="s">
        <v>1516</v>
      </c>
      <c r="G47" s="5" t="s">
        <v>1316</v>
      </c>
      <c r="H47" s="5" t="s">
        <v>1512</v>
      </c>
      <c r="I47" s="5" t="s">
        <v>1517</v>
      </c>
      <c r="J47" s="5" t="s">
        <v>1112</v>
      </c>
      <c r="K47" s="5" t="s">
        <v>1310</v>
      </c>
      <c r="L47" s="5" t="s">
        <v>1087</v>
      </c>
      <c r="M47" s="5" t="s">
        <v>1514</v>
      </c>
      <c r="N47" s="5" t="s">
        <v>1109</v>
      </c>
      <c r="O47" s="5" t="s">
        <v>1090</v>
      </c>
      <c r="P47" s="5" t="s">
        <v>1091</v>
      </c>
      <c r="Q47" s="5" t="s">
        <v>44</v>
      </c>
      <c r="R47" s="5" t="s">
        <v>1518</v>
      </c>
      <c r="S47" s="5" t="str">
        <f t="array" ref="S47">IF(OR($A47="",ISBLANK(XLOOKUP($A47,Laptops_Asignadas,Nombres_Directorio,"",0))),"",XLOOKUP($A47,Laptops_Asignadas,Nombres_Directorio,"",0))</f>
        <v>Silvia Janeth Meza Segura</v>
      </c>
      <c r="T47" s="5" t="str">
        <f t="array" ref="T47">IF(OR($A47="",ISBLANK(XLOOKUP($A47,Laptops_Asignadas,Sucursal_Asignada,"",0))),"",XLOOKUP($A47,Laptops_Asignadas,Sucursal_Asignada,"",0))</f>
        <v>Morelia</v>
      </c>
      <c r="U47" s="5" t="str">
        <f t="array" ref="U47">IF(OR($A47="",ISBLANK(XLOOKUP($A47,Laptops_Asignadas,Departamento_Asignado,"",0))),"",XLOOKUP($A47,Laptops_Asignadas,Departamento_Asignado,"",0))</f>
        <v>Maquinaria</v>
      </c>
      <c r="V47" s="5" t="str">
        <f t="array" ref="V47">IF(OR($A47="",ISBLANK(XLOOKUP($A47,Laptops_Asignadas,Nombres_Directorio,"",0))),"",XLOOKUP($A47,Laptops_Asignadas,Nombres_Directorio,"",0))</f>
        <v>Silvia Janeth Meza Segura</v>
      </c>
      <c r="W47" s="5" t="str">
        <f t="array" ref="W47">IF(OR($A47="",ISBLANK(XLOOKUP($A47,Laptops_Asignadas,Correos_Gmail,"",0))),"",XLOOKUP($A47,Laptops_Asignadas,Correos_Gmail,"",0))</f>
        <v>gerenciamorelia.agrocisa@gmail.com</v>
      </c>
      <c r="X47" s="5" t="str">
        <f t="array" ref="X47">IF(OR($A47="",ISBLANK(XLOOKUP($A47,Laptops_Asignadas,Correos_Institucionales,"",0))),"",XLOOKUP($A47,Laptops_Asignadas,Correos_Institucionales,"",0))</f>
        <v>gerenciamorelia@agrocisa.com.mx</v>
      </c>
    </row>
    <row r="48" ht="15.75" customHeight="1">
      <c r="A48" s="65" t="s">
        <v>1519</v>
      </c>
      <c r="B48" s="66">
        <v>45500.0</v>
      </c>
      <c r="C48" s="66" t="s">
        <v>1132</v>
      </c>
      <c r="D48" s="54" t="s">
        <v>1290</v>
      </c>
      <c r="E48" s="66" t="s">
        <v>1520</v>
      </c>
      <c r="F48" s="55" t="s">
        <v>1521</v>
      </c>
      <c r="G48" s="5" t="s">
        <v>1485</v>
      </c>
      <c r="H48" s="5" t="s">
        <v>1522</v>
      </c>
      <c r="I48" s="5" t="s">
        <v>1523</v>
      </c>
      <c r="J48" s="5" t="s">
        <v>1112</v>
      </c>
      <c r="K48" s="5" t="s">
        <v>1524</v>
      </c>
      <c r="L48" s="5">
        <v>16.0</v>
      </c>
      <c r="M48" s="5" t="s">
        <v>1525</v>
      </c>
      <c r="N48" s="5" t="s">
        <v>1099</v>
      </c>
      <c r="O48" s="5" t="s">
        <v>1090</v>
      </c>
      <c r="P48" s="5" t="s">
        <v>1091</v>
      </c>
      <c r="Q48" s="5"/>
      <c r="R48" s="5" t="s">
        <v>1526</v>
      </c>
      <c r="S48" s="5" t="str">
        <f t="array" ref="S48">IF(OR($A48="",ISBLANK(XLOOKUP($A48,Laptops_Asignadas,Nombres_Directorio,"",0))),"",XLOOKUP($A48,Laptops_Asignadas,Nombres_Directorio,"",0))</f>
        <v/>
      </c>
      <c r="T48" s="5" t="str">
        <f t="array" ref="T48">IF(OR($A48="",ISBLANK(XLOOKUP($A48,Laptops_Asignadas,Sucursal_Asignada,"",0))),"",XLOOKUP($A48,Laptops_Asignadas,Sucursal_Asignada,"",0))</f>
        <v/>
      </c>
      <c r="U48" s="5" t="str">
        <f t="array" ref="U48">IF(OR($A48="",ISBLANK(XLOOKUP($A48,Laptops_Asignadas,Departamento_Asignado,"",0))),"",XLOOKUP($A48,Laptops_Asignadas,Departamento_Asignado,"",0))</f>
        <v/>
      </c>
      <c r="V48" s="5" t="str">
        <f t="array" ref="V48">IF(OR($A48="",ISBLANK(XLOOKUP($A48,Laptops_Asignadas,Nombres_Directorio,"",0))),"",XLOOKUP($A48,Laptops_Asignadas,Nombres_Directorio,"",0))</f>
        <v/>
      </c>
      <c r="W48" s="5" t="str">
        <f t="array" ref="W48">IF(OR($A48="",ISBLANK(XLOOKUP($A48,Laptops_Asignadas,Correos_Gmail,"",0))),"",XLOOKUP($A48,Laptops_Asignadas,Correos_Gmail,"",0))</f>
        <v/>
      </c>
      <c r="X48" s="5" t="str">
        <f t="array" ref="X48">IF(OR($A48="",ISBLANK(XLOOKUP($A48,Laptops_Asignadas,Correos_Institucionales,"",0))),"",XLOOKUP($A48,Laptops_Asignadas,Correos_Institucionales,"",0))</f>
        <v/>
      </c>
    </row>
    <row r="49" ht="15.75" customHeight="1">
      <c r="A49" s="5" t="s">
        <v>1527</v>
      </c>
      <c r="B49" s="54">
        <v>2500.0</v>
      </c>
      <c r="C49" s="54" t="s">
        <v>1132</v>
      </c>
      <c r="D49" s="54" t="s">
        <v>1290</v>
      </c>
      <c r="E49" s="54"/>
      <c r="F49" s="55" t="s">
        <v>1291</v>
      </c>
      <c r="G49" s="5" t="s">
        <v>1464</v>
      </c>
      <c r="H49" s="5" t="s">
        <v>1528</v>
      </c>
      <c r="I49" s="5" t="s">
        <v>1528</v>
      </c>
      <c r="J49" s="5" t="s">
        <v>1112</v>
      </c>
      <c r="K49" s="5" t="s">
        <v>1529</v>
      </c>
      <c r="L49" s="5" t="s">
        <v>1107</v>
      </c>
      <c r="M49" s="5" t="s">
        <v>1530</v>
      </c>
      <c r="N49" s="5" t="s">
        <v>1089</v>
      </c>
      <c r="O49" s="5" t="s">
        <v>1090</v>
      </c>
      <c r="P49" s="5" t="s">
        <v>223</v>
      </c>
      <c r="Q49" s="24" t="s">
        <v>1531</v>
      </c>
      <c r="R49" s="5" t="s">
        <v>1532</v>
      </c>
      <c r="S49" s="5" t="str">
        <f t="array" ref="S49">IF(OR($A49="",ISBLANK(XLOOKUP($A49,Laptops_Asignadas,Nombres_Directorio,"",0))),"",XLOOKUP($A49,Laptops_Asignadas,Nombres_Directorio,"",0))</f>
        <v/>
      </c>
      <c r="T49" s="5" t="str">
        <f t="array" ref="T49">IF(OR($A49="",ISBLANK(XLOOKUP($A49,Laptops_Asignadas,Sucursal_Asignada,"",0))),"",XLOOKUP($A49,Laptops_Asignadas,Sucursal_Asignada,"",0))</f>
        <v/>
      </c>
      <c r="U49" s="5" t="str">
        <f t="array" ref="U49">IF(OR($A49="",ISBLANK(XLOOKUP($A49,Laptops_Asignadas,Departamento_Asignado,"",0))),"",XLOOKUP($A49,Laptops_Asignadas,Departamento_Asignado,"",0))</f>
        <v/>
      </c>
      <c r="V49" s="5" t="str">
        <f t="array" ref="V49">IF(OR($A49="",ISBLANK(XLOOKUP($A49,Laptops_Asignadas,Nombres_Directorio,"",0))),"",XLOOKUP($A49,Laptops_Asignadas,Nombres_Directorio,"",0))</f>
        <v/>
      </c>
      <c r="W49" s="5" t="str">
        <f t="array" ref="W49">IF(OR($A49="",ISBLANK(XLOOKUP($A49,Laptops_Asignadas,Correos_Gmail,"",0))),"",XLOOKUP($A49,Laptops_Asignadas,Correos_Gmail,"",0))</f>
        <v/>
      </c>
      <c r="X49" s="5" t="str">
        <f t="array" ref="X49">IF(OR($A49="",ISBLANK(XLOOKUP($A49,Laptops_Asignadas,Correos_Institucionales,"",0))),"",XLOOKUP($A49,Laptops_Asignadas,Correos_Institucionales,"",0))</f>
        <v/>
      </c>
    </row>
    <row r="50" ht="15.75" customHeight="1">
      <c r="A50" s="22" t="s">
        <v>439</v>
      </c>
      <c r="B50" s="72">
        <v>6500.0</v>
      </c>
      <c r="C50" s="54" t="s">
        <v>1132</v>
      </c>
      <c r="D50" s="54" t="s">
        <v>1290</v>
      </c>
      <c r="E50" s="54"/>
      <c r="F50" s="70">
        <v>46146.0</v>
      </c>
      <c r="G50" s="5" t="s">
        <v>1365</v>
      </c>
      <c r="H50" s="5" t="s">
        <v>1299</v>
      </c>
      <c r="I50" s="5" t="s">
        <v>1533</v>
      </c>
      <c r="J50" s="5" t="s">
        <v>1112</v>
      </c>
      <c r="K50" s="5" t="s">
        <v>1302</v>
      </c>
      <c r="L50" s="5" t="s">
        <v>1087</v>
      </c>
      <c r="M50" s="5" t="s">
        <v>1423</v>
      </c>
      <c r="N50" s="5" t="s">
        <v>1089</v>
      </c>
      <c r="O50" s="5" t="s">
        <v>1090</v>
      </c>
      <c r="P50" s="5" t="s">
        <v>1091</v>
      </c>
      <c r="Q50" s="5"/>
      <c r="R50" s="5" t="s">
        <v>1534</v>
      </c>
      <c r="S50" s="5" t="str">
        <f t="array" ref="S50">IF(OR($A50="",ISBLANK(XLOOKUP($A50,Laptops_Asignadas,Nombres_Directorio,"",0))),"",XLOOKUP($A50,Laptops_Asignadas,Nombres_Directorio,"",0))</f>
        <v>Jesús Mora Pérez</v>
      </c>
      <c r="T50" s="5" t="str">
        <f t="array" ref="T50">IF(OR($A50="",ISBLANK(XLOOKUP($A50,Laptops_Asignadas,Sucursal_Asignada,"",0))),"",XLOOKUP($A50,Laptops_Asignadas,Sucursal_Asignada,"",0))</f>
        <v>Corporativo</v>
      </c>
      <c r="U50" s="5" t="str">
        <f t="array" ref="U50">IF(OR($A50="",ISBLANK(XLOOKUP($A50,Laptops_Asignadas,Departamento_Asignado,"",0))),"",XLOOKUP($A50,Laptops_Asignadas,Departamento_Asignado,"",0))</f>
        <v>Servicio</v>
      </c>
      <c r="V50" s="5" t="str">
        <f t="array" ref="V50">IF(OR($A50="",ISBLANK(XLOOKUP($A50,Laptops_Asignadas,Nombres_Directorio,"",0))),"",XLOOKUP($A50,Laptops_Asignadas,Nombres_Directorio,"",0))</f>
        <v>Jesús Mora Pérez</v>
      </c>
      <c r="W50" s="5" t="str">
        <f t="array" ref="W50">IF(OR($A50="",ISBLANK(XLOOKUP($A50,Laptops_Asignadas,Correos_Gmail,"",0))),"",XLOOKUP($A50,Laptops_Asignadas,Correos_Gmail,"",0))</f>
        <v>coordservicio.agro@gmail.com</v>
      </c>
      <c r="X50" s="5" t="str">
        <f t="array" ref="X50">IF(OR($A50="",ISBLANK(XLOOKUP($A50,Laptops_Asignadas,Correos_Institucionales,"",0))),"",XLOOKUP($A50,Laptops_Asignadas,Correos_Institucionales,"",0))</f>
        <v>jesus.mora@agrocisa.com.mx</v>
      </c>
    </row>
    <row r="51" ht="15.75" customHeight="1">
      <c r="A51" s="5" t="s">
        <v>425</v>
      </c>
      <c r="B51" s="54">
        <v>13249.0</v>
      </c>
      <c r="C51" s="54" t="s">
        <v>776</v>
      </c>
      <c r="D51" s="54" t="s">
        <v>1290</v>
      </c>
      <c r="E51" s="54"/>
      <c r="F51" s="55" t="s">
        <v>1084</v>
      </c>
      <c r="G51" s="5" t="s">
        <v>1292</v>
      </c>
      <c r="H51" s="5" t="s">
        <v>1535</v>
      </c>
      <c r="I51" s="5" t="s">
        <v>1536</v>
      </c>
      <c r="J51" s="5" t="s">
        <v>1537</v>
      </c>
      <c r="K51" s="5" t="s">
        <v>1538</v>
      </c>
      <c r="L51" s="5" t="s">
        <v>1154</v>
      </c>
      <c r="M51" s="5" t="s">
        <v>1312</v>
      </c>
      <c r="N51" s="5" t="s">
        <v>1109</v>
      </c>
      <c r="O51" s="5" t="s">
        <v>1090</v>
      </c>
      <c r="P51" s="5" t="s">
        <v>1091</v>
      </c>
      <c r="Q51" s="5" t="s">
        <v>1539</v>
      </c>
      <c r="R51" s="5" t="s">
        <v>1540</v>
      </c>
      <c r="S51" s="5" t="str">
        <f t="array" ref="S51">IF(OR($A51="",ISBLANK(XLOOKUP($A51,Laptops_Asignadas,Nombres_Directorio,"",0))),"",XLOOKUP($A51,Laptops_Asignadas,Nombres_Directorio,"",0))</f>
        <v>Andrés García García</v>
      </c>
      <c r="T51" s="5" t="str">
        <f t="array" ref="T51">IF(OR($A51="",ISBLANK(XLOOKUP($A51,Laptops_Asignadas,Sucursal_Asignada,"",0))),"",XLOOKUP($A51,Laptops_Asignadas,Sucursal_Asignada,"",0))</f>
        <v>Corporativo</v>
      </c>
      <c r="U51" s="5" t="str">
        <f t="array" ref="U51">IF(OR($A51="",ISBLANK(XLOOKUP($A51,Laptops_Asignadas,Departamento_Asignado,"",0))),"",XLOOKUP($A51,Laptops_Asignadas,Departamento_Asignado,"",0))</f>
        <v>Servicio</v>
      </c>
      <c r="V51" s="5" t="str">
        <f t="array" ref="V51">IF(OR($A51="",ISBLANK(XLOOKUP($A51,Laptops_Asignadas,Nombres_Directorio,"",0))),"",XLOOKUP($A51,Laptops_Asignadas,Nombres_Directorio,"",0))</f>
        <v>Andrés García García</v>
      </c>
      <c r="W51" s="5" t="str">
        <f t="array" ref="W51">IF(OR($A51="",ISBLANK(XLOOKUP($A51,Laptops_Asignadas,Correos_Gmail,"",0))),"",XLOOKUP($A51,Laptops_Asignadas,Correos_Gmail,"",0))</f>
        <v>andresgarcia.agro@gmail.com</v>
      </c>
      <c r="X51" s="5" t="str">
        <f t="array" ref="X51">IF(OR($A51="",ISBLANK(XLOOKUP($A51,Laptops_Asignadas,Correos_Institucionales,"",0))),"",XLOOKUP($A51,Laptops_Asignadas,Correos_Institucionales,"",0))</f>
        <v>andres.garcia@agrocisa.com.mx</v>
      </c>
    </row>
    <row r="52" ht="15.75" customHeight="1">
      <c r="A52" s="5" t="s">
        <v>416</v>
      </c>
      <c r="B52" s="54">
        <v>13249.0</v>
      </c>
      <c r="C52" s="54" t="s">
        <v>776</v>
      </c>
      <c r="D52" s="54" t="s">
        <v>1290</v>
      </c>
      <c r="E52" s="54"/>
      <c r="F52" s="55" t="s">
        <v>1541</v>
      </c>
      <c r="G52" s="5" t="s">
        <v>1292</v>
      </c>
      <c r="H52" s="5" t="s">
        <v>1542</v>
      </c>
      <c r="I52" s="5" t="s">
        <v>1543</v>
      </c>
      <c r="J52" s="5" t="s">
        <v>1537</v>
      </c>
      <c r="K52" s="5" t="s">
        <v>1538</v>
      </c>
      <c r="L52" s="5" t="s">
        <v>1154</v>
      </c>
      <c r="M52" s="5" t="s">
        <v>1312</v>
      </c>
      <c r="N52" s="5" t="s">
        <v>1109</v>
      </c>
      <c r="O52" s="5" t="s">
        <v>1090</v>
      </c>
      <c r="P52" s="5" t="s">
        <v>1091</v>
      </c>
      <c r="Q52" s="5" t="s">
        <v>1544</v>
      </c>
      <c r="R52" s="5" t="s">
        <v>1545</v>
      </c>
      <c r="S52" s="5" t="str">
        <f t="array" ref="S52">IF(OR($A52="",ISBLANK(XLOOKUP($A52,Laptops_Asignadas,Nombres_Directorio,"",0))),"",XLOOKUP($A52,Laptops_Asignadas,Nombres_Directorio,"",0))</f>
        <v>J. Jesús Velazco</v>
      </c>
      <c r="T52" s="5" t="str">
        <f t="array" ref="T52">IF(OR($A52="",ISBLANK(XLOOKUP($A52,Laptops_Asignadas,Sucursal_Asignada,"",0))),"",XLOOKUP($A52,Laptops_Asignadas,Sucursal_Asignada,"",0))</f>
        <v>Corporativo</v>
      </c>
      <c r="U52" s="5" t="str">
        <f t="array" ref="U52">IF(OR($A52="",ISBLANK(XLOOKUP($A52,Laptops_Asignadas,Departamento_Asignado,"",0))),"",XLOOKUP($A52,Laptops_Asignadas,Departamento_Asignado,"",0))</f>
        <v>Servicio</v>
      </c>
      <c r="V52" s="5" t="str">
        <f t="array" ref="V52">IF(OR($A52="",ISBLANK(XLOOKUP($A52,Laptops_Asignadas,Nombres_Directorio,"",0))),"",XLOOKUP($A52,Laptops_Asignadas,Nombres_Directorio,"",0))</f>
        <v>J. Jesús Velazco</v>
      </c>
      <c r="W52" s="5" t="str">
        <f t="array" ref="W52">IF(OR($A52="",ISBLANK(XLOOKUP($A52,Laptops_Asignadas,Correos_Gmail,"",0))),"",XLOOKUP($A52,Laptops_Asignadas,Correos_Gmail,"",0))</f>
        <v>jvelazco.agro@gmail.com</v>
      </c>
      <c r="X52" s="5" t="str">
        <f t="array" ref="X52">IF(OR($A52="",ISBLANK(XLOOKUP($A52,Laptops_Asignadas,Correos_Institucionales,"",0))),"",XLOOKUP($A52,Laptops_Asignadas,Correos_Institucionales,"",0))</f>
        <v>jesus.velazco@agrocisa.com.mx</v>
      </c>
    </row>
    <row r="53" ht="15.75" customHeight="1">
      <c r="A53" s="5" t="s">
        <v>232</v>
      </c>
      <c r="B53" s="54">
        <v>13249.0</v>
      </c>
      <c r="C53" s="54" t="s">
        <v>776</v>
      </c>
      <c r="D53" s="54" t="s">
        <v>1290</v>
      </c>
      <c r="E53" s="54"/>
      <c r="F53" s="55" t="s">
        <v>1546</v>
      </c>
      <c r="G53" s="5" t="s">
        <v>1292</v>
      </c>
      <c r="H53" s="5" t="s">
        <v>1542</v>
      </c>
      <c r="I53" s="5" t="s">
        <v>1547</v>
      </c>
      <c r="J53" s="5" t="s">
        <v>1537</v>
      </c>
      <c r="K53" s="5" t="s">
        <v>1538</v>
      </c>
      <c r="L53" s="5" t="s">
        <v>1154</v>
      </c>
      <c r="M53" s="5" t="s">
        <v>1312</v>
      </c>
      <c r="N53" s="5" t="s">
        <v>1109</v>
      </c>
      <c r="O53" s="5" t="s">
        <v>1090</v>
      </c>
      <c r="P53" s="5" t="s">
        <v>1091</v>
      </c>
      <c r="Q53" s="5" t="s">
        <v>1548</v>
      </c>
      <c r="R53" s="5" t="s">
        <v>1549</v>
      </c>
      <c r="S53" s="5" t="str">
        <f t="array" ref="S53">IF(OR($A53="",ISBLANK(XLOOKUP($A53,Laptops_Asignadas,Nombres_Directorio,"",0))),"",XLOOKUP($A53,Laptops_Asignadas,Nombres_Directorio,"",0))</f>
        <v>Daniel Gerardo Aviña Bravo</v>
      </c>
      <c r="T53" s="5" t="str">
        <f t="array" ref="T53">IF(OR($A53="",ISBLANK(XLOOKUP($A53,Laptops_Asignadas,Sucursal_Asignada,"",0))),"",XLOOKUP($A53,Laptops_Asignadas,Sucursal_Asignada,"",0))</f>
        <v>Corporativo</v>
      </c>
      <c r="U53" s="5" t="str">
        <f t="array" ref="U53">IF(OR($A53="",ISBLANK(XLOOKUP($A53,Laptops_Asignadas,Departamento_Asignado,"",0))),"",XLOOKUP($A53,Laptops_Asignadas,Departamento_Asignado,"",0))</f>
        <v>Maquinaria Agrícola</v>
      </c>
      <c r="V53" s="5" t="str">
        <f t="array" ref="V53">IF(OR($A53="",ISBLANK(XLOOKUP($A53,Laptops_Asignadas,Nombres_Directorio,"",0))),"",XLOOKUP($A53,Laptops_Asignadas,Nombres_Directorio,"",0))</f>
        <v>Daniel Gerardo Aviña Bravo</v>
      </c>
      <c r="W53" s="5" t="str">
        <f t="array" ref="W53">IF(OR($A53="",ISBLANK(XLOOKUP($A53,Laptops_Asignadas,Correos_Gmail,"",0))),"",XLOOKUP($A53,Laptops_Asignadas,Correos_Gmail,"",0))</f>
        <v>daniel.avina@agrocisa.com.mx</v>
      </c>
      <c r="X53" s="5" t="str">
        <f t="array" ref="X53">IF(OR($A53="",ISBLANK(XLOOKUP($A53,Laptops_Asignadas,Correos_Institucionales,"",0))),"",XLOOKUP($A53,Laptops_Asignadas,Correos_Institucionales,"",0))</f>
        <v>daniel.avina@agrocisa.com.mx</v>
      </c>
    </row>
    <row r="54" ht="15.75" customHeight="1">
      <c r="A54" s="5" t="s">
        <v>95</v>
      </c>
      <c r="B54" s="54">
        <v>13019.0</v>
      </c>
      <c r="C54" s="54" t="s">
        <v>776</v>
      </c>
      <c r="D54" s="54" t="s">
        <v>1290</v>
      </c>
      <c r="E54" s="54"/>
      <c r="F54" s="55" t="s">
        <v>1550</v>
      </c>
      <c r="G54" s="5" t="s">
        <v>1365</v>
      </c>
      <c r="H54" s="5" t="s">
        <v>1551</v>
      </c>
      <c r="I54" s="5" t="s">
        <v>1552</v>
      </c>
      <c r="J54" s="5" t="s">
        <v>1553</v>
      </c>
      <c r="K54" s="5" t="s">
        <v>1538</v>
      </c>
      <c r="L54" s="5" t="s">
        <v>1154</v>
      </c>
      <c r="M54" s="5" t="s">
        <v>1554</v>
      </c>
      <c r="N54" s="5" t="s">
        <v>1109</v>
      </c>
      <c r="O54" s="5" t="s">
        <v>1090</v>
      </c>
      <c r="P54" s="5" t="s">
        <v>1091</v>
      </c>
      <c r="Q54" s="5" t="s">
        <v>44</v>
      </c>
      <c r="R54" s="5" t="s">
        <v>1555</v>
      </c>
      <c r="S54" s="5" t="str">
        <f t="array" ref="S54">IF(OR($A54="",ISBLANK(XLOOKUP($A54,Laptops_Asignadas,Nombres_Directorio,"",0))),"",XLOOKUP($A54,Laptops_Asignadas,Nombres_Directorio,"",0))</f>
        <v>Saúl Hernández Becerra</v>
      </c>
      <c r="T54" s="5" t="str">
        <f t="array" ref="T54">IF(OR($A54="",ISBLANK(XLOOKUP($A54,Laptops_Asignadas,Sucursal_Asignada,"",0))),"",XLOOKUP($A54,Laptops_Asignadas,Sucursal_Asignada,"",0))</f>
        <v>Corporativo</v>
      </c>
      <c r="U54" s="5" t="str">
        <f t="array" ref="U54">IF(OR($A54="",ISBLANK(XLOOKUP($A54,Laptops_Asignadas,Departamento_Asignado,"",0))),"",XLOOKUP($A54,Laptops_Asignadas,Departamento_Asignado,"",0))</f>
        <v>Agricultura Inteligente</v>
      </c>
      <c r="V54" s="5" t="str">
        <f t="array" ref="V54">IF(OR($A54="",ISBLANK(XLOOKUP($A54,Laptops_Asignadas,Nombres_Directorio,"",0))),"",XLOOKUP($A54,Laptops_Asignadas,Nombres_Directorio,"",0))</f>
        <v>Saúl Hernández Becerra</v>
      </c>
      <c r="W54" s="5" t="str">
        <f t="array" ref="W54">IF(OR($A54="",ISBLANK(XLOOKUP($A54,Laptops_Asignadas,Correos_Gmail,"",0))),"",XLOOKUP($A54,Laptops_Asignadas,Correos_Gmail,"",0))</f>
        <v>saul.hernandez@agrocisa.com.mx</v>
      </c>
      <c r="X54" s="5" t="str">
        <f t="array" ref="X54">IF(OR($A54="",ISBLANK(XLOOKUP($A54,Laptops_Asignadas,Correos_Institucionales,"",0))),"",XLOOKUP($A54,Laptops_Asignadas,Correos_Institucionales,"",0))</f>
        <v>saul.hernandez@agrocisa.com.mx</v>
      </c>
    </row>
    <row r="55" ht="15.75" customHeight="1">
      <c r="A55" s="5" t="s">
        <v>242</v>
      </c>
      <c r="B55" s="54">
        <v>13019.0</v>
      </c>
      <c r="C55" s="54" t="s">
        <v>776</v>
      </c>
      <c r="D55" s="54" t="s">
        <v>1290</v>
      </c>
      <c r="E55" s="54"/>
      <c r="F55" s="55" t="s">
        <v>1556</v>
      </c>
      <c r="G55" s="5" t="s">
        <v>1365</v>
      </c>
      <c r="H55" s="5" t="s">
        <v>1551</v>
      </c>
      <c r="I55" s="5" t="s">
        <v>1557</v>
      </c>
      <c r="J55" s="5" t="s">
        <v>1553</v>
      </c>
      <c r="K55" s="5" t="s">
        <v>1538</v>
      </c>
      <c r="L55" s="5" t="s">
        <v>1154</v>
      </c>
      <c r="M55" s="5" t="s">
        <v>1554</v>
      </c>
      <c r="N55" s="5" t="s">
        <v>1109</v>
      </c>
      <c r="O55" s="5" t="s">
        <v>1090</v>
      </c>
      <c r="P55" s="5" t="s">
        <v>1091</v>
      </c>
      <c r="Q55" s="5" t="s">
        <v>44</v>
      </c>
      <c r="R55" s="5" t="s">
        <v>1558</v>
      </c>
      <c r="S55" s="5" t="str">
        <f t="array" ref="S55">IF(OR($A55="",ISBLANK(XLOOKUP($A55,Laptops_Asignadas,Nombres_Directorio,"",0))),"",XLOOKUP($A55,Laptops_Asignadas,Nombres_Directorio,"",0))</f>
        <v>Jesús Pérez Pérez</v>
      </c>
      <c r="T55" s="5" t="str">
        <f t="array" ref="T55">IF(OR($A55="",ISBLANK(XLOOKUP($A55,Laptops_Asignadas,Sucursal_Asignada,"",0))),"",XLOOKUP($A55,Laptops_Asignadas,Sucursal_Asignada,"",0))</f>
        <v>Corporativo</v>
      </c>
      <c r="U55" s="5" t="str">
        <f t="array" ref="U55">IF(OR($A55="",ISBLANK(XLOOKUP($A55,Laptops_Asignadas,Departamento_Asignado,"",0))),"",XLOOKUP($A55,Laptops_Asignadas,Departamento_Asignado,"",0))</f>
        <v>Maquinaria Agrícola</v>
      </c>
      <c r="V55" s="5" t="str">
        <f t="array" ref="V55">IF(OR($A55="",ISBLANK(XLOOKUP($A55,Laptops_Asignadas,Nombres_Directorio,"",0))),"",XLOOKUP($A55,Laptops_Asignadas,Nombres_Directorio,"",0))</f>
        <v>Jesús Pérez Pérez</v>
      </c>
      <c r="W55" s="5" t="str">
        <f t="array" ref="W55">IF(OR($A55="",ISBLANK(XLOOKUP($A55,Laptops_Asignadas,Correos_Gmail,"",0))),"",XLOOKUP($A55,Laptops_Asignadas,Correos_Gmail,"",0))</f>
        <v>jeperez.agro@gmail.com</v>
      </c>
      <c r="X55" s="5" t="str">
        <f t="array" ref="X55">IF(OR($A55="",ISBLANK(XLOOKUP($A55,Laptops_Asignadas,Correos_Institucionales,"",0))),"",XLOOKUP($A55,Laptops_Asignadas,Correos_Institucionales,"",0))</f>
        <v>jesus.perez@agrocisa.com.mx</v>
      </c>
    </row>
    <row r="56" ht="15.75" customHeight="1">
      <c r="A56" s="5" t="s">
        <v>398</v>
      </c>
      <c r="B56" s="54">
        <v>6500.0</v>
      </c>
      <c r="C56" s="54" t="s">
        <v>1132</v>
      </c>
      <c r="D56" s="54" t="s">
        <v>1381</v>
      </c>
      <c r="E56" s="54"/>
      <c r="F56" s="55" t="s">
        <v>1084</v>
      </c>
      <c r="G56" s="5" t="s">
        <v>1316</v>
      </c>
      <c r="H56" s="5" t="s">
        <v>1559</v>
      </c>
      <c r="I56" s="5" t="s">
        <v>1560</v>
      </c>
      <c r="J56" s="5" t="s">
        <v>1553</v>
      </c>
      <c r="K56" s="5"/>
      <c r="L56" s="5"/>
      <c r="M56" s="5"/>
      <c r="N56" s="5"/>
      <c r="O56" s="5"/>
      <c r="P56" s="5"/>
      <c r="Q56" s="5"/>
      <c r="R56" s="5" t="s">
        <v>1561</v>
      </c>
      <c r="S56" s="5" t="str">
        <f t="array" ref="S56">IF(OR($A56="",ISBLANK(XLOOKUP($A56,Laptops_Asignadas,Nombres_Directorio,"",0))),"",XLOOKUP($A56,Laptops_Asignadas,Nombres_Directorio,"",0))</f>
        <v>Juan Alfredo Baldovin López</v>
      </c>
      <c r="T56" s="5" t="str">
        <f t="array" ref="T56">IF(OR($A56="",ISBLANK(XLOOKUP($A56,Laptops_Asignadas,Sucursal_Asignada,"",0))),"",XLOOKUP($A56,Laptops_Asignadas,Sucursal_Asignada,"",0))</f>
        <v>Corporativo</v>
      </c>
      <c r="U56" s="5" t="str">
        <f t="array" ref="U56">IF(OR($A56="",ISBLANK(XLOOKUP($A56,Laptops_Asignadas,Departamento_Asignado,"",0))),"",XLOOKUP($A56,Laptops_Asignadas,Departamento_Asignado,"",0))</f>
        <v>Servicio</v>
      </c>
      <c r="V56" s="5" t="str">
        <f t="array" ref="V56">IF(OR($A56="",ISBLANK(XLOOKUP($A56,Laptops_Asignadas,Nombres_Directorio,"",0))),"",XLOOKUP($A56,Laptops_Asignadas,Nombres_Directorio,"",0))</f>
        <v>Juan Alfredo Baldovin López</v>
      </c>
      <c r="W56" s="5" t="str">
        <f t="array" ref="W56">IF(OR($A56="",ISBLANK(XLOOKUP($A56,Laptops_Asignadas,Correos_Gmail,"",0))),"",XLOOKUP($A56,Laptops_Asignadas,Correos_Gmail,"",0))</f>
        <v>dinamometrolb@agrocisa.com.mx</v>
      </c>
      <c r="X56" s="5" t="str">
        <f t="array" ref="X56">IF(OR($A56="",ISBLANK(XLOOKUP($A56,Laptops_Asignadas,Correos_Institucionales,"",0))),"",XLOOKUP($A56,Laptops_Asignadas,Correos_Institucionales,"",0))</f>
        <v>dinamometrolb@agrocisa.com.mx</v>
      </c>
    </row>
    <row r="57" ht="15.75" customHeight="1">
      <c r="A57" s="5" t="s">
        <v>312</v>
      </c>
      <c r="B57" s="54">
        <v>12500.0</v>
      </c>
      <c r="C57" s="54" t="s">
        <v>776</v>
      </c>
      <c r="D57" s="54" t="s">
        <v>1290</v>
      </c>
      <c r="E57" s="54"/>
      <c r="F57" s="55" t="s">
        <v>1562</v>
      </c>
      <c r="G57" s="5" t="s">
        <v>1563</v>
      </c>
      <c r="H57" s="5" t="s">
        <v>1564</v>
      </c>
      <c r="I57" s="5"/>
      <c r="J57" s="5" t="s">
        <v>1553</v>
      </c>
      <c r="K57" s="5" t="s">
        <v>1565</v>
      </c>
      <c r="L57" s="5" t="s">
        <v>1154</v>
      </c>
      <c r="M57" s="5" t="s">
        <v>1566</v>
      </c>
      <c r="N57" s="5" t="s">
        <v>1109</v>
      </c>
      <c r="O57" s="5" t="s">
        <v>1090</v>
      </c>
      <c r="P57" s="5" t="s">
        <v>1091</v>
      </c>
      <c r="Q57" s="5" t="s">
        <v>1567</v>
      </c>
      <c r="R57" s="5" t="s">
        <v>1568</v>
      </c>
      <c r="S57" s="5" t="str">
        <f t="array" ref="S57">IF(OR($A57="",ISBLANK(XLOOKUP($A57,Laptops_Asignadas,Nombres_Directorio,"",0))),"",XLOOKUP($A57,Laptops_Asignadas,Nombres_Directorio,"",0))</f>
        <v>Raúl Óscar Ortega Guillén</v>
      </c>
      <c r="T57" s="5" t="str">
        <f t="array" ref="T57">IF(OR($A57="",ISBLANK(XLOOKUP($A57,Laptops_Asignadas,Sucursal_Asignada,"",0))),"",XLOOKUP($A57,Laptops_Asignadas,Sucursal_Asignada,"",0))</f>
        <v>Corporativo</v>
      </c>
      <c r="U57" s="5" t="str">
        <f t="array" ref="U57">IF(OR($A57="",ISBLANK(XLOOKUP($A57,Laptops_Asignadas,Departamento_Asignado,"",0))),"",XLOOKUP($A57,Laptops_Asignadas,Departamento_Asignado,"",0))</f>
        <v>Marketing</v>
      </c>
      <c r="V57" s="5" t="str">
        <f t="array" ref="V57">IF(OR($A57="",ISBLANK(XLOOKUP($A57,Laptops_Asignadas,Nombres_Directorio,"",0))),"",XLOOKUP($A57,Laptops_Asignadas,Nombres_Directorio,"",0))</f>
        <v>Raúl Óscar Ortega Guillén</v>
      </c>
      <c r="W57" s="5" t="str">
        <f t="array" ref="W57">IF(OR($A57="",ISBLANK(XLOOKUP($A57,Laptops_Asignadas,Correos_Gmail,"",0))),"",XLOOKUP($A57,Laptops_Asignadas,Correos_Gmail,"",0))</f>
        <v>marketingdigital@agrocisa.com.mx</v>
      </c>
      <c r="X57" s="5" t="str">
        <f t="array" ref="X57">IF(OR($A57="",ISBLANK(XLOOKUP($A57,Laptops_Asignadas,Correos_Institucionales,"",0))),"",XLOOKUP($A57,Laptops_Asignadas,Correos_Institucionales,"",0))</f>
        <v>marketingexperiencial@agrocisa.com.mx</v>
      </c>
    </row>
    <row r="58" ht="15.75" customHeight="1">
      <c r="A58" s="5" t="s">
        <v>585</v>
      </c>
      <c r="B58" s="54">
        <v>8000.0</v>
      </c>
      <c r="C58" s="54" t="s">
        <v>776</v>
      </c>
      <c r="D58" s="54" t="s">
        <v>1290</v>
      </c>
      <c r="E58" s="54"/>
      <c r="F58" s="55" t="s">
        <v>1084</v>
      </c>
      <c r="G58" s="5" t="s">
        <v>1365</v>
      </c>
      <c r="H58" s="5" t="s">
        <v>1569</v>
      </c>
      <c r="I58" s="5" t="s">
        <v>1570</v>
      </c>
      <c r="J58" s="5" t="s">
        <v>1112</v>
      </c>
      <c r="K58" s="5" t="s">
        <v>1571</v>
      </c>
      <c r="L58" s="5" t="s">
        <v>1107</v>
      </c>
      <c r="M58" s="5" t="s">
        <v>1572</v>
      </c>
      <c r="N58" s="5" t="s">
        <v>1573</v>
      </c>
      <c r="O58" s="5" t="s">
        <v>1090</v>
      </c>
      <c r="P58" s="5" t="s">
        <v>1091</v>
      </c>
      <c r="Q58" s="5"/>
      <c r="R58" s="5" t="s">
        <v>1574</v>
      </c>
      <c r="S58" s="5" t="str">
        <f t="array" ref="S58">IF(OR($A58="",ISBLANK(XLOOKUP($A58,Laptops_Asignadas,Nombres_Directorio,"",0))),"",XLOOKUP($A58,Laptops_Asignadas,Nombres_Directorio,"",0))</f>
        <v>Roberto Adrián Ferreira Muñiz</v>
      </c>
      <c r="T58" s="5" t="str">
        <f t="array" ref="T58">IF(OR($A58="",ISBLANK(XLOOKUP($A58,Laptops_Asignadas,Sucursal_Asignada,"",0))),"",XLOOKUP($A58,Laptops_Asignadas,Sucursal_Asignada,"",0))</f>
        <v>Morelia</v>
      </c>
      <c r="U58" s="5" t="str">
        <f t="array" ref="U58">IF(OR($A58="",ISBLANK(XLOOKUP($A58,Laptops_Asignadas,Departamento_Asignado,"",0))),"",XLOOKUP($A58,Laptops_Asignadas,Departamento_Asignado,"",0))</f>
        <v>Maquinaria Agrícola</v>
      </c>
      <c r="V58" s="5" t="str">
        <f t="array" ref="V58">IF(OR($A58="",ISBLANK(XLOOKUP($A58,Laptops_Asignadas,Nombres_Directorio,"",0))),"",XLOOKUP($A58,Laptops_Asignadas,Nombres_Directorio,"",0))</f>
        <v>Roberto Adrián Ferreira Muñiz</v>
      </c>
      <c r="W58" s="5" t="str">
        <f t="array" ref="W58">IF(OR($A58="",ISBLANK(XLOOKUP($A58,Laptops_Asignadas,Correos_Gmail,"",0))),"",XLOOKUP($A58,Laptops_Asignadas,Correos_Gmail,"",0))</f>
        <v>ventasmo1.agro@gmail.com</v>
      </c>
      <c r="X58" s="5" t="str">
        <f t="array" ref="X58">IF(OR($A58="",ISBLANK(XLOOKUP($A58,Laptops_Asignadas,Correos_Institucionales,"",0))),"",XLOOKUP($A58,Laptops_Asignadas,Correos_Institucionales,"",0))</f>
        <v>roberto.ferreira@agrocisa.com.mx</v>
      </c>
    </row>
    <row r="59" ht="15.75" customHeight="1">
      <c r="A59" s="5" t="s">
        <v>447</v>
      </c>
      <c r="B59" s="54"/>
      <c r="C59" s="54" t="s">
        <v>776</v>
      </c>
      <c r="D59" s="54" t="s">
        <v>1290</v>
      </c>
      <c r="E59" s="54"/>
      <c r="F59" s="55" t="s">
        <v>1291</v>
      </c>
      <c r="G59" s="5" t="s">
        <v>1563</v>
      </c>
      <c r="H59" s="5" t="s">
        <v>1575</v>
      </c>
      <c r="I59" s="5" t="s">
        <v>1576</v>
      </c>
      <c r="J59" s="5" t="s">
        <v>1112</v>
      </c>
      <c r="K59" s="5" t="s">
        <v>1577</v>
      </c>
      <c r="L59" s="5" t="s">
        <v>1154</v>
      </c>
      <c r="M59" s="5" t="s">
        <v>1578</v>
      </c>
      <c r="N59" s="5" t="s">
        <v>1109</v>
      </c>
      <c r="O59" s="5" t="s">
        <v>1090</v>
      </c>
      <c r="P59" s="5" t="s">
        <v>1091</v>
      </c>
      <c r="Q59" s="5"/>
      <c r="R59" s="5" t="s">
        <v>1579</v>
      </c>
      <c r="S59" s="5" t="str">
        <f t="array" ref="S59">IF(OR($A59="",ISBLANK(XLOOKUP($A59,Laptops_Asignadas,Nombres_Directorio,"",0))),"",XLOOKUP($A59,Laptops_Asignadas,Nombres_Directorio,"",0))</f>
        <v>Lucia Guadalupe Trujillo Rodríguez</v>
      </c>
      <c r="T59" s="5" t="str">
        <f t="array" ref="T59">IF(OR($A59="",ISBLANK(XLOOKUP($A59,Laptops_Asignadas,Sucursal_Asignada,"",0))),"",XLOOKUP($A59,Laptops_Asignadas,Sucursal_Asignada,"",0))</f>
        <v>Corporativo</v>
      </c>
      <c r="U59" s="5" t="str">
        <f t="array" ref="U59">IF(OR($A59="",ISBLANK(XLOOKUP($A59,Laptops_Asignadas,Departamento_Asignado,"",0))),"",XLOOKUP($A59,Laptops_Asignadas,Departamento_Asignado,"",0))</f>
        <v>Sistemas</v>
      </c>
      <c r="V59" s="5" t="str">
        <f t="array" ref="V59">IF(OR($A59="",ISBLANK(XLOOKUP($A59,Laptops_Asignadas,Nombres_Directorio,"",0))),"",XLOOKUP($A59,Laptops_Asignadas,Nombres_Directorio,"",0))</f>
        <v>Lucia Guadalupe Trujillo Rodríguez</v>
      </c>
      <c r="W59" s="5" t="str">
        <f t="array" ref="W59">IF(OR($A59="",ISBLANK(XLOOKUP($A59,Laptops_Asignadas,Correos_Gmail,"",0))),"",XLOOKUP($A59,Laptops_Asignadas,Correos_Gmail,"",0))</f>
        <v>sistemas.agrocisa@gmail.com</v>
      </c>
      <c r="X59" s="5" t="str">
        <f t="array" ref="X59">IF(OR($A59="",ISBLANK(XLOOKUP($A59,Laptops_Asignadas,Correos_Institucionales,"",0))),"",XLOOKUP($A59,Laptops_Asignadas,Correos_Institucionales,"",0))</f>
        <v>sistemas@agrocisa.com.mx</v>
      </c>
    </row>
    <row r="60" ht="15.75" customHeight="1">
      <c r="A60" s="5" t="s">
        <v>99</v>
      </c>
      <c r="B60" s="54">
        <v>2500.0</v>
      </c>
      <c r="C60" s="54" t="s">
        <v>1132</v>
      </c>
      <c r="D60" s="54" t="s">
        <v>1290</v>
      </c>
      <c r="E60" s="54"/>
      <c r="F60" s="55" t="s">
        <v>1580</v>
      </c>
      <c r="G60" s="5" t="s">
        <v>1581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 t="s">
        <v>1396</v>
      </c>
      <c r="S60" s="5" t="str">
        <f t="array" ref="S60">IF(OR($A60="",ISBLANK(XLOOKUP($A60,Laptops_Asignadas,Nombres_Directorio,"",0))),"",XLOOKUP($A60,Laptops_Asignadas,Nombres_Directorio,"",0))</f>
        <v>José Alejandro Tellez Gómez</v>
      </c>
      <c r="T60" s="5" t="str">
        <f t="array" ref="T60">IF(OR($A60="",ISBLANK(XLOOKUP($A60,Laptops_Asignadas,Sucursal_Asignada,"",0))),"",XLOOKUP($A60,Laptops_Asignadas,Sucursal_Asignada,"",0))</f>
        <v>Corporativo</v>
      </c>
      <c r="U60" s="5" t="str">
        <f t="array" ref="U60">IF(OR($A60="",ISBLANK(XLOOKUP($A60,Laptops_Asignadas,Departamento_Asignado,"",0))),"",XLOOKUP($A60,Laptops_Asignadas,Departamento_Asignado,"",0))</f>
        <v>Agricultura Inteligente</v>
      </c>
      <c r="V60" s="5" t="str">
        <f t="array" ref="V60">IF(OR($A60="",ISBLANK(XLOOKUP($A60,Laptops_Asignadas,Nombres_Directorio,"",0))),"",XLOOKUP($A60,Laptops_Asignadas,Nombres_Directorio,"",0))</f>
        <v>José Alejandro Tellez Gómez</v>
      </c>
      <c r="W60" s="5" t="str">
        <f t="array" ref="W60">IF(OR($A60="",ISBLANK(XLOOKUP($A60,Laptops_Asignadas,Correos_Gmail,"",0))),"",XLOOKUP($A60,Laptops_Asignadas,Correos_Gmail,"",0))</f>
        <v>alejandro.tellez@agrocisa.com.mx</v>
      </c>
      <c r="X60" s="5" t="str">
        <f t="array" ref="X60">IF(OR($A60="",ISBLANK(XLOOKUP($A60,Laptops_Asignadas,Correos_Institucionales,"",0))),"",XLOOKUP($A60,Laptops_Asignadas,Correos_Institucionales,"",0))</f>
        <v>alejandro.tellez@agrocisa.com.mx</v>
      </c>
    </row>
    <row r="61" ht="15.75" customHeight="1">
      <c r="A61" s="5" t="s">
        <v>302</v>
      </c>
      <c r="B61" s="54">
        <v>14519.0</v>
      </c>
      <c r="C61" s="54" t="s">
        <v>776</v>
      </c>
      <c r="D61" s="54" t="s">
        <v>1290</v>
      </c>
      <c r="E61" s="54"/>
      <c r="F61" s="55" t="s">
        <v>1582</v>
      </c>
      <c r="G61" s="5" t="s">
        <v>1563</v>
      </c>
      <c r="H61" s="5" t="s">
        <v>1583</v>
      </c>
      <c r="I61" s="5" t="s">
        <v>1584</v>
      </c>
      <c r="J61" s="5" t="s">
        <v>1112</v>
      </c>
      <c r="K61" s="5" t="s">
        <v>1585</v>
      </c>
      <c r="L61" s="5" t="s">
        <v>1154</v>
      </c>
      <c r="M61" s="5" t="s">
        <v>1586</v>
      </c>
      <c r="N61" s="5" t="s">
        <v>1109</v>
      </c>
      <c r="O61" s="5" t="s">
        <v>1090</v>
      </c>
      <c r="P61" s="5" t="s">
        <v>1091</v>
      </c>
      <c r="Q61" s="5"/>
      <c r="R61" s="5" t="s">
        <v>1587</v>
      </c>
      <c r="S61" s="5" t="str">
        <f t="array" ref="S61">IF(OR($A61="",ISBLANK(XLOOKUP($A61,Laptops_Asignadas,Nombres_Directorio,"",0))),"",XLOOKUP($A61,Laptops_Asignadas,Nombres_Directorio,"",0))</f>
        <v>Adrián Paskinel Hernández Zavala</v>
      </c>
      <c r="T61" s="5" t="str">
        <f t="array" ref="T61">IF(OR($A61="",ISBLANK(XLOOKUP($A61,Laptops_Asignadas,Sucursal_Asignada,"",0))),"",XLOOKUP($A61,Laptops_Asignadas,Sucursal_Asignada,"",0))</f>
        <v>Corporativo</v>
      </c>
      <c r="U61" s="5" t="str">
        <f t="array" ref="U61">IF(OR($A61="",ISBLANK(XLOOKUP($A61,Laptops_Asignadas,Departamento_Asignado,"",0))),"",XLOOKUP($A61,Laptops_Asignadas,Departamento_Asignado,"",0))</f>
        <v>Maquinaria Construcción</v>
      </c>
      <c r="V61" s="5" t="str">
        <f t="array" ref="V61">IF(OR($A61="",ISBLANK(XLOOKUP($A61,Laptops_Asignadas,Nombres_Directorio,"",0))),"",XLOOKUP($A61,Laptops_Asignadas,Nombres_Directorio,"",0))</f>
        <v>Adrián Paskinel Hernández Zavala</v>
      </c>
      <c r="W61" s="5" t="str">
        <f t="array" ref="W61">IF(OR($A61="",ISBLANK(XLOOKUP($A61,Laptops_Asignadas,Correos_Gmail,"",0))),"",XLOOKUP($A61,Laptops_Asignadas,Correos_Gmail,"",0))</f>
        <v>adrian.hernandez@agrocisa.com.mx</v>
      </c>
      <c r="X61" s="5" t="str">
        <f t="array" ref="X61">IF(OR($A61="",ISBLANK(XLOOKUP($A61,Laptops_Asignadas,Correos_Institucionales,"",0))),"",XLOOKUP($A61,Laptops_Asignadas,Correos_Institucionales,"",0))</f>
        <v>adrian.hernandez@agrocisa.com.mx</v>
      </c>
    </row>
    <row r="62" ht="15.75" customHeight="1">
      <c r="A62" s="5" t="s">
        <v>450</v>
      </c>
      <c r="B62" s="54">
        <v>13684.0</v>
      </c>
      <c r="C62" s="54" t="s">
        <v>776</v>
      </c>
      <c r="D62" s="54" t="s">
        <v>1290</v>
      </c>
      <c r="E62" s="54"/>
      <c r="F62" s="55" t="s">
        <v>1291</v>
      </c>
      <c r="G62" s="5" t="s">
        <v>1563</v>
      </c>
      <c r="H62" s="5" t="s">
        <v>1588</v>
      </c>
      <c r="I62" s="5" t="s">
        <v>1589</v>
      </c>
      <c r="J62" s="5" t="s">
        <v>1112</v>
      </c>
      <c r="K62" s="5" t="s">
        <v>1590</v>
      </c>
      <c r="L62" s="5" t="s">
        <v>1154</v>
      </c>
      <c r="M62" s="5" t="s">
        <v>1591</v>
      </c>
      <c r="N62" s="5" t="s">
        <v>1109</v>
      </c>
      <c r="O62" s="5" t="s">
        <v>1090</v>
      </c>
      <c r="P62" s="5" t="s">
        <v>1091</v>
      </c>
      <c r="Q62" s="5" t="s">
        <v>1592</v>
      </c>
      <c r="R62" s="5" t="s">
        <v>1593</v>
      </c>
      <c r="S62" s="5" t="str">
        <f t="array" ref="S62">IF(OR($A62="",ISBLANK(XLOOKUP($A62,Laptops_Asignadas,Nombres_Directorio,"",0))),"",XLOOKUP($A62,Laptops_Asignadas,Nombres_Directorio,"",0))</f>
        <v>Pablo Alberto Barocio Valle</v>
      </c>
      <c r="T62" s="5" t="str">
        <f t="array" ref="T62">IF(OR($A62="",ISBLANK(XLOOKUP($A62,Laptops_Asignadas,Sucursal_Asignada,"",0))),"",XLOOKUP($A62,Laptops_Asignadas,Sucursal_Asignada,"",0))</f>
        <v>Corporativo</v>
      </c>
      <c r="U62" s="5" t="str">
        <f t="array" ref="U62">IF(OR($A62="",ISBLANK(XLOOKUP($A62,Laptops_Asignadas,Departamento_Asignado,"",0))),"",XLOOKUP($A62,Laptops_Asignadas,Departamento_Asignado,"",0))</f>
        <v>Sistemas</v>
      </c>
      <c r="V62" s="5" t="str">
        <f t="array" ref="V62">IF(OR($A62="",ISBLANK(XLOOKUP($A62,Laptops_Asignadas,Nombres_Directorio,"",0))),"",XLOOKUP($A62,Laptops_Asignadas,Nombres_Directorio,"",0))</f>
        <v>Pablo Alberto Barocio Valle</v>
      </c>
      <c r="W62" s="5" t="str">
        <f t="array" ref="W62">IF(OR($A62="",ISBLANK(XLOOKUP($A62,Laptops_Asignadas,Correos_Gmail,"",0))),"",XLOOKUP($A62,Laptops_Asignadas,Correos_Gmail,"",0))</f>
        <v>sistemas.agrocisa@gmail.com</v>
      </c>
      <c r="X62" s="5" t="str">
        <f t="array" ref="X62">IF(OR($A62="",ISBLANK(XLOOKUP($A62,Laptops_Asignadas,Correos_Institucionales,"",0))),"",XLOOKUP($A62,Laptops_Asignadas,Correos_Institucionales,"",0))</f>
        <v>sistemas@agrocisa.com.mx</v>
      </c>
    </row>
    <row r="63" ht="15.75" customHeight="1">
      <c r="A63" s="5" t="s">
        <v>1594</v>
      </c>
      <c r="B63" s="54">
        <v>13684.0</v>
      </c>
      <c r="C63" s="54" t="s">
        <v>776</v>
      </c>
      <c r="D63" s="54" t="s">
        <v>1290</v>
      </c>
      <c r="E63" s="54"/>
      <c r="F63" s="55" t="s">
        <v>1084</v>
      </c>
      <c r="G63" s="5" t="s">
        <v>1563</v>
      </c>
      <c r="H63" s="5" t="s">
        <v>1588</v>
      </c>
      <c r="I63" s="5" t="s">
        <v>1595</v>
      </c>
      <c r="J63" s="5" t="s">
        <v>1112</v>
      </c>
      <c r="K63" s="5" t="s">
        <v>1590</v>
      </c>
      <c r="L63" s="5" t="s">
        <v>1154</v>
      </c>
      <c r="M63" s="5" t="s">
        <v>1591</v>
      </c>
      <c r="N63" s="5" t="s">
        <v>1109</v>
      </c>
      <c r="O63" s="5" t="s">
        <v>1090</v>
      </c>
      <c r="P63" s="5" t="s">
        <v>1091</v>
      </c>
      <c r="Q63" s="5"/>
      <c r="R63" s="5" t="s">
        <v>1596</v>
      </c>
      <c r="S63" s="5" t="str">
        <f t="array" ref="S63">IF(OR($A63="",ISBLANK(XLOOKUP($A63,Laptops_Asignadas,Nombres_Directorio,"",0))),"",XLOOKUP($A63,Laptops_Asignadas,Nombres_Directorio,"",0))</f>
        <v/>
      </c>
      <c r="T63" s="5" t="str">
        <f t="array" ref="T63">IF(OR($A63="",ISBLANK(XLOOKUP($A63,Laptops_Asignadas,Sucursal_Asignada,"",0))),"",XLOOKUP($A63,Laptops_Asignadas,Sucursal_Asignada,"",0))</f>
        <v/>
      </c>
      <c r="U63" s="5" t="str">
        <f t="array" ref="U63">IF(OR($A63="",ISBLANK(XLOOKUP($A63,Laptops_Asignadas,Departamento_Asignado,"",0))),"",XLOOKUP($A63,Laptops_Asignadas,Departamento_Asignado,"",0))</f>
        <v/>
      </c>
      <c r="V63" s="5" t="str">
        <f t="array" ref="V63">IF(OR($A63="",ISBLANK(XLOOKUP($A63,Laptops_Asignadas,Nombres_Directorio,"",0))),"",XLOOKUP($A63,Laptops_Asignadas,Nombres_Directorio,"",0))</f>
        <v/>
      </c>
      <c r="W63" s="5" t="str">
        <f t="array" ref="W63">IF(OR($A63="",ISBLANK(XLOOKUP($A63,Laptops_Asignadas,Correos_Gmail,"",0))),"",XLOOKUP($A63,Laptops_Asignadas,Correos_Gmail,"",0))</f>
        <v/>
      </c>
      <c r="X63" s="5" t="str">
        <f t="array" ref="X63">IF(OR($A63="",ISBLANK(XLOOKUP($A63,Laptops_Asignadas,Correos_Institucionales,"",0))),"",XLOOKUP($A63,Laptops_Asignadas,Correos_Institucionales,"",0))</f>
        <v/>
      </c>
    </row>
    <row r="64" ht="15.75" customHeight="1">
      <c r="A64" s="5" t="s">
        <v>132</v>
      </c>
      <c r="B64" s="54">
        <v>11059.0</v>
      </c>
      <c r="C64" s="54" t="s">
        <v>776</v>
      </c>
      <c r="D64" s="54" t="s">
        <v>1290</v>
      </c>
      <c r="E64" s="54"/>
      <c r="F64" s="55" t="s">
        <v>1597</v>
      </c>
      <c r="G64" s="5" t="s">
        <v>1598</v>
      </c>
      <c r="H64" s="5" t="s">
        <v>1599</v>
      </c>
      <c r="I64" s="5" t="s">
        <v>1600</v>
      </c>
      <c r="J64" s="5" t="s">
        <v>1112</v>
      </c>
      <c r="K64" s="5" t="s">
        <v>1601</v>
      </c>
      <c r="L64" s="5" t="s">
        <v>1154</v>
      </c>
      <c r="M64" s="5" t="s">
        <v>1602</v>
      </c>
      <c r="N64" s="5" t="s">
        <v>1109</v>
      </c>
      <c r="O64" s="5" t="s">
        <v>1090</v>
      </c>
      <c r="P64" s="5" t="s">
        <v>1091</v>
      </c>
      <c r="Q64" s="5" t="s">
        <v>44</v>
      </c>
      <c r="R64" s="5" t="s">
        <v>1593</v>
      </c>
      <c r="S64" s="5" t="str">
        <f t="array" ref="S64">IF(OR($A64="",ISBLANK(XLOOKUP($A64,Laptops_Asignadas,Nombres_Directorio,"",0))),"",XLOOKUP($A64,Laptops_Asignadas,Nombres_Directorio,"",0))</f>
        <v>Alejandra Guadalupe Munguía Albisio</v>
      </c>
      <c r="T64" s="5" t="str">
        <f t="array" ref="T64">IF(OR($A64="",ISBLANK(XLOOKUP($A64,Laptops_Asignadas,Sucursal_Asignada,"",0))),"",XLOOKUP($A64,Laptops_Asignadas,Sucursal_Asignada,"",0))</f>
        <v>Corporativo</v>
      </c>
      <c r="U64" s="5" t="str">
        <f t="array" ref="U64">IF(OR($A64="",ISBLANK(XLOOKUP($A64,Laptops_Asignadas,Departamento_Asignado,"",0))),"",XLOOKUP($A64,Laptops_Asignadas,Departamento_Asignado,"",0))</f>
        <v>Compras Internacionales</v>
      </c>
      <c r="V64" s="5" t="str">
        <f t="array" ref="V64">IF(OR($A64="",ISBLANK(XLOOKUP($A64,Laptops_Asignadas,Nombres_Directorio,"",0))),"",XLOOKUP($A64,Laptops_Asignadas,Nombres_Directorio,"",0))</f>
        <v>Alejandra Guadalupe Munguía Albisio</v>
      </c>
      <c r="W64" s="5" t="str">
        <f t="array" ref="W64">IF(OR($A64="",ISBLANK(XLOOKUP($A64,Laptops_Asignadas,Correos_Gmail,"",0))),"",XLOOKUP($A64,Laptops_Asignadas,Correos_Gmail,"",0))</f>
        <v>comprasinternacionales@agrocisa.com.mx</v>
      </c>
      <c r="X64" s="5" t="str">
        <f t="array" ref="X64">IF(OR($A64="",ISBLANK(XLOOKUP($A64,Laptops_Asignadas,Correos_Institucionales,"",0))),"",XLOOKUP($A64,Laptops_Asignadas,Correos_Institucionales,"",0))</f>
        <v>comprasinternacionales@agrocisa.com.mx</v>
      </c>
    </row>
    <row r="65" ht="15.75" customHeight="1">
      <c r="A65" s="5" t="s">
        <v>115</v>
      </c>
      <c r="B65" s="54">
        <v>11059.0</v>
      </c>
      <c r="C65" s="54" t="s">
        <v>776</v>
      </c>
      <c r="D65" s="54" t="s">
        <v>1290</v>
      </c>
      <c r="E65" s="54"/>
      <c r="F65" s="55" t="s">
        <v>1603</v>
      </c>
      <c r="G65" s="5" t="s">
        <v>1598</v>
      </c>
      <c r="H65" s="5" t="s">
        <v>1599</v>
      </c>
      <c r="I65" s="23" t="s">
        <v>1604</v>
      </c>
      <c r="J65" s="5" t="s">
        <v>1112</v>
      </c>
      <c r="K65" s="5" t="s">
        <v>1601</v>
      </c>
      <c r="L65" s="5" t="s">
        <v>1154</v>
      </c>
      <c r="M65" s="5" t="s">
        <v>1602</v>
      </c>
      <c r="N65" s="5" t="s">
        <v>1109</v>
      </c>
      <c r="O65" s="5" t="s">
        <v>1090</v>
      </c>
      <c r="P65" s="5" t="s">
        <v>1091</v>
      </c>
      <c r="Q65" s="5" t="s">
        <v>44</v>
      </c>
      <c r="R65" s="5" t="s">
        <v>1605</v>
      </c>
      <c r="S65" s="5" t="str">
        <f t="array" ref="S65">IF(OR($A65="",ISBLANK(XLOOKUP($A65,Laptops_Asignadas,Nombres_Directorio,"",0))),"",XLOOKUP($A65,Laptops_Asignadas,Nombres_Directorio,"",0))</f>
        <v>María del Cármen Hernández Calderón</v>
      </c>
      <c r="T65" s="5" t="str">
        <f t="array" ref="T65">IF(OR($A65="",ISBLANK(XLOOKUP($A65,Laptops_Asignadas,Sucursal_Asignada,"",0))),"",XLOOKUP($A65,Laptops_Asignadas,Sucursal_Asignada,"",0))</f>
        <v>Corporativo</v>
      </c>
      <c r="U65" s="5" t="str">
        <f t="array" ref="U65">IF(OR($A65="",ISBLANK(XLOOKUP($A65,Laptops_Asignadas,Departamento_Asignado,"",0))),"",XLOOKUP($A65,Laptops_Asignadas,Departamento_Asignado,"",0))</f>
        <v>Capital Humano</v>
      </c>
      <c r="V65" s="5" t="str">
        <f t="array" ref="V65">IF(OR($A65="",ISBLANK(XLOOKUP($A65,Laptops_Asignadas,Nombres_Directorio,"",0))),"",XLOOKUP($A65,Laptops_Asignadas,Nombres_Directorio,"",0))</f>
        <v>María del Cármen Hernández Calderón</v>
      </c>
      <c r="W65" s="5" t="str">
        <f t="array" ref="W65">IF(OR($A65="",ISBLANK(XLOOKUP($A65,Laptops_Asignadas,Correos_Gmail,"",0))),"",XLOOKUP($A65,Laptops_Asignadas,Correos_Gmail,"",0))</f>
        <v>maria.hernandez@agrocisa.com.mx</v>
      </c>
      <c r="X65" s="5" t="str">
        <f t="array" ref="X65">IF(OR($A65="",ISBLANK(XLOOKUP($A65,Laptops_Asignadas,Correos_Institucionales,"",0))),"",XLOOKUP($A65,Laptops_Asignadas,Correos_Institucionales,"",0))</f>
        <v>maria.hernandez@agrocisa.com.mx</v>
      </c>
    </row>
    <row r="66" ht="15.75" customHeight="1">
      <c r="A66" s="5" t="s">
        <v>383</v>
      </c>
      <c r="B66" s="54">
        <v>11059.0</v>
      </c>
      <c r="C66" s="54" t="s">
        <v>776</v>
      </c>
      <c r="D66" s="54" t="s">
        <v>1290</v>
      </c>
      <c r="E66" s="54"/>
      <c r="F66" s="55" t="s">
        <v>1606</v>
      </c>
      <c r="G66" s="5" t="s">
        <v>1598</v>
      </c>
      <c r="H66" s="5" t="s">
        <v>1607</v>
      </c>
      <c r="I66" s="5" t="s">
        <v>1608</v>
      </c>
      <c r="J66" s="5" t="s">
        <v>1112</v>
      </c>
      <c r="K66" s="5" t="s">
        <v>1601</v>
      </c>
      <c r="L66" s="5" t="s">
        <v>1154</v>
      </c>
      <c r="M66" s="5" t="s">
        <v>1602</v>
      </c>
      <c r="N66" s="5" t="s">
        <v>1109</v>
      </c>
      <c r="O66" s="5" t="s">
        <v>1090</v>
      </c>
      <c r="P66" s="5" t="s">
        <v>1091</v>
      </c>
      <c r="Q66" s="5" t="s">
        <v>44</v>
      </c>
      <c r="R66" s="5" t="s">
        <v>1609</v>
      </c>
      <c r="S66" s="5" t="str">
        <f t="array" ref="S66">IF(OR($A66="",ISBLANK(XLOOKUP($A66,Laptops_Asignadas,Nombres_Directorio,"",0))),"",XLOOKUP($A66,Laptops_Asignadas,Nombres_Directorio,"",0))</f>
        <v>Abraham Octavio García Sahagún</v>
      </c>
      <c r="T66" s="5" t="str">
        <f t="array" ref="T66">IF(OR($A66="",ISBLANK(XLOOKUP($A66,Laptops_Asignadas,Sucursal_Asignada,"",0))),"",XLOOKUP($A66,Laptops_Asignadas,Sucursal_Asignada,"",0))</f>
        <v>Corporativo</v>
      </c>
      <c r="U66" s="5" t="str">
        <f t="array" ref="U66">IF(OR($A66="",ISBLANK(XLOOKUP($A66,Laptops_Asignadas,Departamento_Asignado,"",0))),"",XLOOKUP($A66,Laptops_Asignadas,Departamento_Asignado,"",0))</f>
        <v>Refacciones</v>
      </c>
      <c r="V66" s="5" t="str">
        <f t="array" ref="V66">IF(OR($A66="",ISBLANK(XLOOKUP($A66,Laptops_Asignadas,Nombres_Directorio,"",0))),"",XLOOKUP($A66,Laptops_Asignadas,Nombres_Directorio,"",0))</f>
        <v>Abraham Octavio García Sahagún</v>
      </c>
      <c r="W66" s="5" t="str">
        <f t="array" ref="W66">IF(OR($A66="",ISBLANK(XLOOKUP($A66,Laptops_Asignadas,Correos_Gmail,"",0))),"",XLOOKUP($A66,Laptops_Asignadas,Correos_Gmail,"",0))</f>
        <v>refalabarca.agro@gmail.com</v>
      </c>
      <c r="X66" s="5" t="str">
        <f t="array" ref="X66">IF(OR($A66="",ISBLANK(XLOOKUP($A66,Laptops_Asignadas,Correos_Institucionales,"",0))),"",XLOOKUP($A66,Laptops_Asignadas,Correos_Institucionales,"",0))</f>
        <v>abraham.garcia@agrocisa.com.mx</v>
      </c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1"/>
  <dataValidations>
    <dataValidation type="list" allowBlank="1" showErrorMessage="1" sqref="P2:P66">
      <formula1>Renovar</formula1>
    </dataValidation>
    <dataValidation type="list" allowBlank="1" showErrorMessage="1" sqref="C2:C66">
      <formula1>Condición</formula1>
    </dataValidation>
    <dataValidation type="list" allowBlank="1" showErrorMessage="1" sqref="D2:D66">
      <formula1>Cargadores</formula1>
    </dataValidation>
    <dataValidation type="list" allowBlank="1" showErrorMessage="1" sqref="O2:O66">
      <formula1>Tipo_HD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71"/>
    <col customWidth="1" min="2" max="2" width="13.14"/>
    <col customWidth="1" min="3" max="3" width="9.0"/>
    <col customWidth="1" min="4" max="4" width="27.86"/>
    <col customWidth="1" min="5" max="5" width="26.86"/>
    <col customWidth="1" min="6" max="6" width="23.29"/>
    <col customWidth="1" min="7" max="7" width="32.0"/>
    <col customWidth="1" min="8" max="8" width="13.71"/>
    <col customWidth="1" min="9" max="9" width="11.29"/>
    <col customWidth="1" min="10" max="10" width="20.57"/>
    <col customWidth="1" min="11" max="11" width="32.14"/>
    <col customWidth="1" min="12" max="12" width="11.57"/>
    <col customWidth="1" min="13" max="13" width="31.86"/>
    <col customWidth="1" min="14" max="14" width="32.14"/>
    <col customWidth="1" min="15" max="15" width="34.14"/>
    <col customWidth="1" min="16" max="16" width="35.0"/>
  </cols>
  <sheetData>
    <row r="1">
      <c r="A1" s="15" t="s">
        <v>1067</v>
      </c>
      <c r="B1" s="15" t="s">
        <v>766</v>
      </c>
      <c r="C1" s="15" t="s">
        <v>1068</v>
      </c>
      <c r="D1" s="15" t="s">
        <v>1610</v>
      </c>
      <c r="E1" s="15" t="s">
        <v>769</v>
      </c>
      <c r="F1" s="15"/>
      <c r="G1" s="15" t="s">
        <v>764</v>
      </c>
      <c r="H1" s="15" t="s">
        <v>1611</v>
      </c>
      <c r="I1" s="15" t="s">
        <v>1076</v>
      </c>
      <c r="J1" s="15" t="s">
        <v>1612</v>
      </c>
      <c r="K1" s="15" t="s">
        <v>6</v>
      </c>
      <c r="L1" s="15" t="s">
        <v>11</v>
      </c>
      <c r="M1" s="15" t="s">
        <v>28</v>
      </c>
      <c r="N1" s="15" t="s">
        <v>29</v>
      </c>
      <c r="O1" s="15" t="s">
        <v>60</v>
      </c>
      <c r="P1" s="15" t="s">
        <v>1289</v>
      </c>
    </row>
    <row r="2">
      <c r="A2" s="5" t="s">
        <v>158</v>
      </c>
      <c r="B2" s="5"/>
      <c r="C2" s="17"/>
      <c r="D2" s="5"/>
      <c r="E2" s="55"/>
      <c r="F2" s="5" t="s">
        <v>1613</v>
      </c>
      <c r="G2" s="5" t="s">
        <v>1614</v>
      </c>
      <c r="H2" s="5"/>
      <c r="I2" s="5" t="s">
        <v>1091</v>
      </c>
      <c r="J2" s="5" t="s">
        <v>1092</v>
      </c>
      <c r="K2" s="5" t="str">
        <f t="array" ref="K2">IF(OR($A2="",ISBLANK(XLOOKUP($A2,Monitor_Asignado,Nombres_Directorio,"",0))),"",XLOOKUP($A2,Monitor_Asignado,Nombres_Directorio,"",0))</f>
        <v>Ricardo Durán Ulloa</v>
      </c>
      <c r="L2" s="5" t="str">
        <f t="array" ref="L2">IF(OR($A2="",ISBLANK(XLOOKUP($A2,Monitor_Asignado,Sucursal_Asignada,"",0))),"",XLOOKUP($A2,Monitor_Asignado,Sucursal_Asignada,"",0))</f>
        <v>Corporativo</v>
      </c>
      <c r="M2" s="5" t="str">
        <f t="array" ref="M2">IF(OR($A2="",ISBLANK(XLOOKUP($A2,Monitor_Asignado,Departamento_Asignado,"",0))),"",XLOOKUP($A2,Monitor_Asignado,Departamento_Asignado,"",0))</f>
        <v>Contabilidad</v>
      </c>
      <c r="N2" s="5" t="str">
        <f t="array" ref="N2">IF(OR($A2="",ISBLANK(XLOOKUP($A2,Monitor_Asignado,Nombres_Directorio,"",0))),"",XLOOKUP($A2,Monitor_Asignado,Nombres_Directorio,"",0))</f>
        <v>Ricardo Durán Ulloa</v>
      </c>
      <c r="O2" s="5" t="str">
        <f t="array" ref="O2">IF(OR($A2="",ISBLANK(XLOOKUP($A2,Monitor_Asignado,Correos_Gmail,"",0))),"",XLOOKUP($A2,Monitor_Asignado,Correos_Gmail,"",0))</f>
        <v>rduran.agro@gmail.com</v>
      </c>
      <c r="P2" s="5" t="str">
        <f t="array" ref="P2">IF(OR($A2="",ISBLANK(XLOOKUP($A2,Monitor_Asignado,Correos_Institucionales,"",0))),"",XLOOKUP($A2,Monitor_Asignado,Correos_Institucionales,"",0))</f>
        <v>ricardo.duran@agrocisa.com.mx</v>
      </c>
    </row>
    <row r="3">
      <c r="A3" s="5" t="s">
        <v>210</v>
      </c>
      <c r="B3" s="5"/>
      <c r="C3" s="17"/>
      <c r="D3" s="5"/>
      <c r="E3" s="55" t="s">
        <v>1084</v>
      </c>
      <c r="F3" s="5" t="s">
        <v>1615</v>
      </c>
      <c r="G3" s="5" t="s">
        <v>1616</v>
      </c>
      <c r="H3" s="5"/>
      <c r="I3" s="5" t="s">
        <v>1091</v>
      </c>
      <c r="J3" s="5" t="s">
        <v>1617</v>
      </c>
      <c r="K3" s="5" t="str">
        <f t="array" ref="K3">IF(OR($A3="",ISBLANK(XLOOKUP($A3,Monitor_Asignado,Nombres_Directorio,"",0))),"",XLOOKUP($A3,Monitor_Asignado,Nombres_Directorio,"",0))</f>
        <v>Kathya Margarita Cerpa Velazco</v>
      </c>
      <c r="L3" s="5" t="str">
        <f t="array" ref="L3">IF(OR($A3="",ISBLANK(XLOOKUP($A3,Monitor_Asignado,Sucursal_Asignada,"",0))),"",XLOOKUP($A3,Monitor_Asignado,Sucursal_Asignada,"",0))</f>
        <v>Corporativo</v>
      </c>
      <c r="M3" s="5" t="str">
        <f t="array" ref="M3">IF(OR($A3="",ISBLANK(XLOOKUP($A3,Monitor_Asignado,Departamento_Asignado,"",0))),"",XLOOKUP($A3,Monitor_Asignado,Departamento_Asignado,"",0))</f>
        <v>Finanzas</v>
      </c>
      <c r="N3" s="5" t="str">
        <f t="array" ref="N3">IF(OR($A3="",ISBLANK(XLOOKUP($A3,Monitor_Asignado,Nombres_Directorio,"",0))),"",XLOOKUP($A3,Monitor_Asignado,Nombres_Directorio,"",0))</f>
        <v>Kathya Margarita Cerpa Velazco</v>
      </c>
      <c r="O3" s="5" t="str">
        <f t="array" ref="O3">IF(OR($A3="",ISBLANK(XLOOKUP($A3,Monitor_Asignado,Correos_Gmail,"",0))),"",XLOOKUP($A3,Monitor_Asignado,Correos_Gmail,"",0))</f>
        <v>kacerpa.agro@gmail.com</v>
      </c>
      <c r="P3" s="5" t="str">
        <f t="array" ref="P3">IF(OR($A3="",ISBLANK(XLOOKUP($A3,Monitor_Asignado,Correos_Institucionales,"",0))),"",XLOOKUP($A3,Monitor_Asignado,Correos_Institucionales,"",0))</f>
        <v>kathya.cerpa@agrocisa.com.mx</v>
      </c>
    </row>
    <row r="4">
      <c r="A4" s="5" t="s">
        <v>1095</v>
      </c>
      <c r="B4" s="5"/>
      <c r="C4" s="17"/>
      <c r="D4" s="5"/>
      <c r="E4" s="55" t="s">
        <v>1084</v>
      </c>
      <c r="F4" s="5" t="s">
        <v>1618</v>
      </c>
      <c r="G4" s="5" t="s">
        <v>1619</v>
      </c>
      <c r="H4" s="5"/>
      <c r="I4" s="5" t="s">
        <v>223</v>
      </c>
      <c r="J4" s="5" t="s">
        <v>1620</v>
      </c>
      <c r="K4" s="5" t="str">
        <f t="array" ref="K4">IF(OR($A4="",ISBLANK(XLOOKUP($A4,Monitor_Asignado,Nombres_Directorio,"",0))),"",XLOOKUP($A4,Monitor_Asignado,Nombres_Directorio,"",0))</f>
        <v/>
      </c>
      <c r="L4" s="5" t="str">
        <f t="array" ref="L4">IF(OR($A4="",ISBLANK(XLOOKUP($A4,Monitor_Asignado,Sucursal_Asignada,"",0))),"",XLOOKUP($A4,Monitor_Asignado,Sucursal_Asignada,"",0))</f>
        <v/>
      </c>
      <c r="M4" s="5" t="str">
        <f t="array" ref="M4">IF(OR($A4="",ISBLANK(XLOOKUP($A4,Monitor_Asignado,Departamento_Asignado,"",0))),"",XLOOKUP($A4,Monitor_Asignado,Departamento_Asignado,"",0))</f>
        <v/>
      </c>
      <c r="N4" s="5" t="str">
        <f t="array" ref="N4">IF(OR($A4="",ISBLANK(XLOOKUP($A4,Monitor_Asignado,Nombres_Directorio,"",0))),"",XLOOKUP($A4,Monitor_Asignado,Nombres_Directorio,"",0))</f>
        <v/>
      </c>
      <c r="O4" s="5" t="str">
        <f t="array" ref="O4">IF(OR($A4="",ISBLANK(XLOOKUP($A4,Monitor_Asignado,Correos_Gmail,"",0))),"",XLOOKUP($A4,Monitor_Asignado,Correos_Gmail,"",0))</f>
        <v/>
      </c>
      <c r="P4" s="5" t="str">
        <f t="array" ref="P4">IF(OR($A4="",ISBLANK(XLOOKUP($A4,Monitor_Asignado,Correos_Institucionales,"",0))),"",XLOOKUP($A4,Monitor_Asignado,Correos_Institucionales,"",0))</f>
        <v/>
      </c>
    </row>
    <row r="5">
      <c r="A5" s="5" t="s">
        <v>1104</v>
      </c>
      <c r="B5" s="5"/>
      <c r="C5" s="17"/>
      <c r="D5" s="5"/>
      <c r="E5" s="55" t="s">
        <v>1084</v>
      </c>
      <c r="F5" s="5" t="s">
        <v>1621</v>
      </c>
      <c r="G5" s="5" t="s">
        <v>1622</v>
      </c>
      <c r="H5" s="5"/>
      <c r="I5" s="5" t="s">
        <v>1091</v>
      </c>
      <c r="J5" s="5" t="s">
        <v>1199</v>
      </c>
      <c r="K5" s="5" t="str">
        <f t="array" ref="K5">IF(OR($A5="",ISBLANK(XLOOKUP($A5,Monitor_Asignado,Nombres_Directorio,"",0))),"",XLOOKUP($A5,Monitor_Asignado,Nombres_Directorio,"",0))</f>
        <v/>
      </c>
      <c r="L5" s="5" t="str">
        <f t="array" ref="L5">IF(OR($A5="",ISBLANK(XLOOKUP($A5,Monitor_Asignado,Sucursal_Asignada,"",0))),"",XLOOKUP($A5,Monitor_Asignado,Sucursal_Asignada,"",0))</f>
        <v/>
      </c>
      <c r="M5" s="5" t="str">
        <f t="array" ref="M5">IF(OR($A5="",ISBLANK(XLOOKUP($A5,Monitor_Asignado,Departamento_Asignado,"",0))),"",XLOOKUP($A5,Monitor_Asignado,Departamento_Asignado,"",0))</f>
        <v/>
      </c>
      <c r="N5" s="5" t="str">
        <f t="array" ref="N5">IF(OR($A5="",ISBLANK(XLOOKUP($A5,Monitor_Asignado,Nombres_Directorio,"",0))),"",XLOOKUP($A5,Monitor_Asignado,Nombres_Directorio,"",0))</f>
        <v/>
      </c>
      <c r="O5" s="5" t="str">
        <f t="array" ref="O5">IF(OR($A5="",ISBLANK(XLOOKUP($A5,Monitor_Asignado,Correos_Gmail,"",0))),"",XLOOKUP($A5,Monitor_Asignado,Correos_Gmail,"",0))</f>
        <v/>
      </c>
      <c r="P5" s="5" t="str">
        <f t="array" ref="P5">IF(OR($A5="",ISBLANK(XLOOKUP($A5,Monitor_Asignado,Correos_Institucionales,"",0))),"",XLOOKUP($A5,Monitor_Asignado,Correos_Institucionales,"",0))</f>
        <v/>
      </c>
    </row>
    <row r="6">
      <c r="A6" s="56" t="s">
        <v>377</v>
      </c>
      <c r="B6" s="5"/>
      <c r="C6" s="17"/>
      <c r="D6" s="5"/>
      <c r="E6" s="55" t="s">
        <v>1084</v>
      </c>
      <c r="F6" s="5" t="s">
        <v>1623</v>
      </c>
      <c r="G6" s="5" t="s">
        <v>1624</v>
      </c>
      <c r="H6" s="5"/>
      <c r="I6" s="5" t="s">
        <v>1091</v>
      </c>
      <c r="J6" s="5" t="s">
        <v>1092</v>
      </c>
      <c r="K6" s="5" t="str">
        <f t="array" ref="K6">IF(OR($A6="",ISBLANK(XLOOKUP($A6,Monitor_Asignado,Nombres_Directorio,"",0))),"",XLOOKUP($A6,Monitor_Asignado,Nombres_Directorio,"",0))</f>
        <v>Félix Antonio Román Becerra</v>
      </c>
      <c r="L6" s="5" t="str">
        <f t="array" ref="L6">IF(OR($A6="",ISBLANK(XLOOKUP($A6,Monitor_Asignado,Sucursal_Asignada,"",0))),"",XLOOKUP($A6,Monitor_Asignado,Sucursal_Asignada,"",0))</f>
        <v>Corporativo</v>
      </c>
      <c r="M6" s="5" t="str">
        <f t="array" ref="M6">IF(OR($A6="",ISBLANK(XLOOKUP($A6,Monitor_Asignado,Departamento_Asignado,"",0))),"",XLOOKUP($A6,Monitor_Asignado,Departamento_Asignado,"",0))</f>
        <v>Refacciones</v>
      </c>
      <c r="N6" s="5" t="str">
        <f t="array" ref="N6">IF(OR($A6="",ISBLANK(XLOOKUP($A6,Monitor_Asignado,Nombres_Directorio,"",0))),"",XLOOKUP($A6,Monitor_Asignado,Nombres_Directorio,"",0))</f>
        <v>Félix Antonio Román Becerra</v>
      </c>
      <c r="O6" s="5" t="str">
        <f t="array" ref="O6">IF(OR($A6="",ISBLANK(XLOOKUP($A6,Monitor_Asignado,Correos_Gmail,"",0))),"",XLOOKUP($A6,Monitor_Asignado,Correos_Gmail,"",0))</f>
        <v>felix.roman@agrocisa.com.mx</v>
      </c>
      <c r="P6" s="5" t="str">
        <f t="array" ref="P6">IF(OR($A6="",ISBLANK(XLOOKUP($A6,Monitor_Asignado,Correos_Institucionales,"",0))),"",XLOOKUP($A6,Monitor_Asignado,Correos_Institucionales,"",0))</f>
        <v>felix.roman@agrocisa.com.mx</v>
      </c>
    </row>
    <row r="7">
      <c r="A7" s="5" t="s">
        <v>1625</v>
      </c>
      <c r="B7" s="5"/>
      <c r="C7" s="17"/>
      <c r="D7" s="5"/>
      <c r="E7" s="55" t="s">
        <v>1084</v>
      </c>
      <c r="F7" s="5" t="s">
        <v>1626</v>
      </c>
      <c r="G7" s="5" t="s">
        <v>1627</v>
      </c>
      <c r="H7" s="5"/>
      <c r="I7" s="5" t="s">
        <v>1091</v>
      </c>
      <c r="J7" s="5" t="s">
        <v>1092</v>
      </c>
      <c r="K7" s="5" t="str">
        <f t="array" ref="K7">IF(OR($A7="",ISBLANK(XLOOKUP($A7,Monitor_Asignado,Nombres_Directorio,"",0))),"",XLOOKUP($A7,Monitor_Asignado,Nombres_Directorio,"",0))</f>
        <v/>
      </c>
      <c r="L7" s="5" t="str">
        <f t="array" ref="L7">IF(OR($A7="",ISBLANK(XLOOKUP($A7,Monitor_Asignado,Sucursal_Asignada,"",0))),"",XLOOKUP($A7,Monitor_Asignado,Sucursal_Asignada,"",0))</f>
        <v/>
      </c>
      <c r="M7" s="5" t="str">
        <f t="array" ref="M7">IF(OR($A7="",ISBLANK(XLOOKUP($A7,Monitor_Asignado,Departamento_Asignado,"",0))),"",XLOOKUP($A7,Monitor_Asignado,Departamento_Asignado,"",0))</f>
        <v/>
      </c>
      <c r="N7" s="5" t="str">
        <f t="array" ref="N7">IF(OR($A7="",ISBLANK(XLOOKUP($A7,Monitor_Asignado,Nombres_Directorio,"",0))),"",XLOOKUP($A7,Monitor_Asignado,Nombres_Directorio,"",0))</f>
        <v/>
      </c>
      <c r="O7" s="5" t="str">
        <f t="array" ref="O7">IF(OR($A7="",ISBLANK(XLOOKUP($A7,Monitor_Asignado,Correos_Gmail,"",0))),"",XLOOKUP($A7,Monitor_Asignado,Correos_Gmail,"",0))</f>
        <v/>
      </c>
      <c r="P7" s="5" t="str">
        <f t="array" ref="P7">IF(OR($A7="",ISBLANK(XLOOKUP($A7,Monitor_Asignado,Correos_Institucionales,"",0))),"",XLOOKUP($A7,Monitor_Asignado,Correos_Institucionales,"",0))</f>
        <v/>
      </c>
    </row>
    <row r="8">
      <c r="A8" s="5" t="s">
        <v>1628</v>
      </c>
      <c r="B8" s="5"/>
      <c r="C8" s="17"/>
      <c r="D8" s="5"/>
      <c r="E8" s="55" t="s">
        <v>1084</v>
      </c>
      <c r="F8" s="5" t="s">
        <v>1629</v>
      </c>
      <c r="G8" s="5" t="s">
        <v>1630</v>
      </c>
      <c r="H8" s="5"/>
      <c r="I8" s="5" t="s">
        <v>1091</v>
      </c>
      <c r="J8" s="5" t="s">
        <v>1092</v>
      </c>
      <c r="K8" s="5" t="str">
        <f t="array" ref="K8">IF(OR($A8="",ISBLANK(XLOOKUP($A8,Monitor_Asignado,Nombres_Directorio,"",0))),"",XLOOKUP($A8,Monitor_Asignado,Nombres_Directorio,"",0))</f>
        <v/>
      </c>
      <c r="L8" s="5" t="str">
        <f t="array" ref="L8">IF(OR($A8="",ISBLANK(XLOOKUP($A8,Monitor_Asignado,Sucursal_Asignada,"",0))),"",XLOOKUP($A8,Monitor_Asignado,Sucursal_Asignada,"",0))</f>
        <v/>
      </c>
      <c r="M8" s="5" t="str">
        <f t="array" ref="M8">IF(OR($A8="",ISBLANK(XLOOKUP($A8,Monitor_Asignado,Departamento_Asignado,"",0))),"",XLOOKUP($A8,Monitor_Asignado,Departamento_Asignado,"",0))</f>
        <v/>
      </c>
      <c r="N8" s="5" t="str">
        <f t="array" ref="N8">IF(OR($A8="",ISBLANK(XLOOKUP($A8,Monitor_Asignado,Nombres_Directorio,"",0))),"",XLOOKUP($A8,Monitor_Asignado,Nombres_Directorio,"",0))</f>
        <v/>
      </c>
      <c r="O8" s="5" t="str">
        <f t="array" ref="O8">IF(OR($A8="",ISBLANK(XLOOKUP($A8,Monitor_Asignado,Correos_Gmail,"",0))),"",XLOOKUP($A8,Monitor_Asignado,Correos_Gmail,"",0))</f>
        <v/>
      </c>
      <c r="P8" s="5" t="str">
        <f t="array" ref="P8">IF(OR($A8="",ISBLANK(XLOOKUP($A8,Monitor_Asignado,Correos_Institucionales,"",0))),"",XLOOKUP($A8,Monitor_Asignado,Correos_Institucionales,"",0))</f>
        <v/>
      </c>
    </row>
    <row r="9">
      <c r="A9" s="56" t="s">
        <v>279</v>
      </c>
      <c r="B9" s="5"/>
      <c r="C9" s="17">
        <v>1700.0</v>
      </c>
      <c r="D9" s="5"/>
      <c r="E9" s="55" t="s">
        <v>1127</v>
      </c>
      <c r="F9" s="5" t="s">
        <v>1631</v>
      </c>
      <c r="G9" s="5" t="s">
        <v>1632</v>
      </c>
      <c r="H9" s="5"/>
      <c r="I9" s="5" t="s">
        <v>1091</v>
      </c>
      <c r="J9" s="5" t="s">
        <v>1092</v>
      </c>
      <c r="K9" s="5" t="str">
        <f t="array" ref="K9">IF(OR($A9="",ISBLANK(XLOOKUP($A9,Monitor_Asignado,Nombres_Directorio,"",0))),"",XLOOKUP($A9,Monitor_Asignado,Nombres_Directorio,"",0))</f>
        <v>Arleth Paola Martínez Carreón</v>
      </c>
      <c r="L9" s="5" t="str">
        <f t="array" ref="L9">IF(OR($A9="",ISBLANK(XLOOKUP($A9,Monitor_Asignado,Sucursal_Asignada,"",0))),"",XLOOKUP($A9,Monitor_Asignado,Sucursal_Asignada,"",0))</f>
        <v>Corporativo</v>
      </c>
      <c r="M9" s="5" t="str">
        <f t="array" ref="M9">IF(OR($A9="",ISBLANK(XLOOKUP($A9,Monitor_Asignado,Departamento_Asignado,"",0))),"",XLOOKUP($A9,Monitor_Asignado,Departamento_Asignado,"",0))</f>
        <v>Maquinaria Agrícola y Construcción</v>
      </c>
      <c r="N9" s="5" t="str">
        <f t="array" ref="N9">IF(OR($A9="",ISBLANK(XLOOKUP($A9,Monitor_Asignado,Nombres_Directorio,"",0))),"",XLOOKUP($A9,Monitor_Asignado,Nombres_Directorio,"",0))</f>
        <v>Arleth Paola Martínez Carreón</v>
      </c>
      <c r="O9" s="5" t="str">
        <f t="array" ref="O9">IF(OR($A9="",ISBLANK(XLOOKUP($A9,Monitor_Asignado,Correos_Gmail,"",0))),"",XLOOKUP($A9,Monitor_Asignado,Correos_Gmail,"",0))</f>
        <v>ventaslabarca@agrocisa.com.mx</v>
      </c>
      <c r="P9" s="5" t="str">
        <f t="array" ref="P9">IF(OR($A9="",ISBLANK(XLOOKUP($A9,Monitor_Asignado,Correos_Institucionales,"",0))),"",XLOOKUP($A9,Monitor_Asignado,Correos_Institucionales,"",0))</f>
        <v>ventaslabarca@agrocisa.com.mx</v>
      </c>
    </row>
    <row r="10">
      <c r="A10" s="5" t="s">
        <v>178</v>
      </c>
      <c r="B10" s="5"/>
      <c r="C10" s="17"/>
      <c r="D10" s="5"/>
      <c r="E10" s="55" t="s">
        <v>1084</v>
      </c>
      <c r="F10" s="5" t="s">
        <v>762</v>
      </c>
      <c r="G10" s="5"/>
      <c r="H10" s="5"/>
      <c r="I10" s="5" t="s">
        <v>223</v>
      </c>
      <c r="J10" s="5" t="s">
        <v>1199</v>
      </c>
      <c r="K10" s="5" t="str">
        <f t="array" ref="K10">IF(OR($A10="",ISBLANK(XLOOKUP($A10,Monitor_Asignado,Nombres_Directorio,"",0))),"",XLOOKUP($A10,Monitor_Asignado,Nombres_Directorio,"",0))</f>
        <v>Lucia Barboza Santiago</v>
      </c>
      <c r="L10" s="5" t="str">
        <f t="array" ref="L10">IF(OR($A10="",ISBLANK(XLOOKUP($A10,Monitor_Asignado,Sucursal_Asignada,"",0))),"",XLOOKUP($A10,Monitor_Asignado,Sucursal_Asignada,"",0))</f>
        <v>Corporativo</v>
      </c>
      <c r="M10" s="5" t="str">
        <f t="array" ref="M10">IF(OR($A10="",ISBLANK(XLOOKUP($A10,Monitor_Asignado,Departamento_Asignado,"",0))),"",XLOOKUP($A10,Monitor_Asignado,Departamento_Asignado,"",0))</f>
        <v>Crédito y Cobranza</v>
      </c>
      <c r="N10" s="5" t="str">
        <f t="array" ref="N10">IF(OR($A10="",ISBLANK(XLOOKUP($A10,Monitor_Asignado,Nombres_Directorio,"",0))),"",XLOOKUP($A10,Monitor_Asignado,Nombres_Directorio,"",0))</f>
        <v>Lucia Barboza Santiago</v>
      </c>
      <c r="O10" s="5" t="str">
        <f t="array" ref="O10">IF(OR($A10="",ISBLANK(XLOOKUP($A10,Monitor_Asignado,Correos_Gmail,"",0))),"",XLOOKUP($A10,Monitor_Asignado,Correos_Gmail,"",0))</f>
        <v>lbarboza.agro@gmail.com</v>
      </c>
      <c r="P10" s="5" t="str">
        <f t="array" ref="P10">IF(OR($A10="",ISBLANK(XLOOKUP($A10,Monitor_Asignado,Correos_Institucionales,"",0))),"",XLOOKUP($A10,Monitor_Asignado,Correos_Institucionales,"",0))</f>
        <v>lucia.barboza@agrocisa.com.mx</v>
      </c>
    </row>
    <row r="11">
      <c r="A11" s="5"/>
      <c r="B11" s="5"/>
      <c r="C11" s="17"/>
      <c r="D11" s="5"/>
      <c r="E11" s="55" t="s">
        <v>1084</v>
      </c>
      <c r="F11" s="5" t="s">
        <v>1633</v>
      </c>
      <c r="G11" s="5" t="s">
        <v>1634</v>
      </c>
      <c r="H11" s="5"/>
      <c r="I11" s="5" t="s">
        <v>1091</v>
      </c>
      <c r="J11" s="5" t="s">
        <v>1617</v>
      </c>
      <c r="K11" s="5" t="str">
        <f t="array" ref="K11">IF(OR($A11="",ISBLANK(XLOOKUP($A11,Monitor_Asignado,Nombres_Directorio,"",0))),"",XLOOKUP($A11,Monitor_Asignado,Nombres_Directorio,"",0))</f>
        <v/>
      </c>
      <c r="L11" s="5" t="str">
        <f t="array" ref="L11">IF(OR($A11="",ISBLANK(XLOOKUP($A11,Monitor_Asignado,Sucursal_Asignada,"",0))),"",XLOOKUP($A11,Monitor_Asignado,Sucursal_Asignada,"",0))</f>
        <v/>
      </c>
      <c r="M11" s="5" t="str">
        <f t="array" ref="M11">IF(OR($A11="",ISBLANK(XLOOKUP($A11,Monitor_Asignado,Departamento_Asignado,"",0))),"",XLOOKUP($A11,Monitor_Asignado,Departamento_Asignado,"",0))</f>
        <v/>
      </c>
      <c r="N11" s="5" t="str">
        <f t="array" ref="N11">IF(OR($A11="",ISBLANK(XLOOKUP($A11,Monitor_Asignado,Nombres_Directorio,"",0))),"",XLOOKUP($A11,Monitor_Asignado,Nombres_Directorio,"",0))</f>
        <v/>
      </c>
      <c r="O11" s="5" t="str">
        <f t="array" ref="O11">IF(OR($A11="",ISBLANK(XLOOKUP($A11,Monitor_Asignado,Correos_Gmail,"",0))),"",XLOOKUP($A11,Monitor_Asignado,Correos_Gmail,"",0))</f>
        <v/>
      </c>
      <c r="P11" s="5" t="str">
        <f t="array" ref="P11">IF(OR($A11="",ISBLANK(XLOOKUP($A11,Monitor_Asignado,Correos_Institucionales,"",0))),"",XLOOKUP($A11,Monitor_Asignado,Correos_Institucionales,"",0))</f>
        <v/>
      </c>
    </row>
    <row r="12">
      <c r="A12" s="5" t="s">
        <v>138</v>
      </c>
      <c r="B12" s="5"/>
      <c r="C12" s="17"/>
      <c r="D12" s="5"/>
      <c r="E12" s="55" t="s">
        <v>1084</v>
      </c>
      <c r="F12" s="5" t="s">
        <v>1635</v>
      </c>
      <c r="G12" s="5" t="s">
        <v>1636</v>
      </c>
      <c r="H12" s="5"/>
      <c r="I12" s="5" t="s">
        <v>1091</v>
      </c>
      <c r="J12" s="5" t="s">
        <v>1617</v>
      </c>
      <c r="K12" s="5" t="str">
        <f t="array" ref="K12">IF(OR($A12="",ISBLANK(XLOOKUP($A12,Monitor_Asignado,Nombres_Directorio,"",0))),"",XLOOKUP($A12,Monitor_Asignado,Nombres_Directorio,"",0))</f>
        <v>Juan Antonio Lara Mendoza</v>
      </c>
      <c r="L12" s="5" t="str">
        <f t="array" ref="L12">IF(OR($A12="",ISBLANK(XLOOKUP($A12,Monitor_Asignado,Sucursal_Asignada,"",0))),"",XLOOKUP($A12,Monitor_Asignado,Sucursal_Asignada,"",0))</f>
        <v>Corporativo</v>
      </c>
      <c r="M12" s="5" t="str">
        <f t="array" ref="M12">IF(OR($A12="",ISBLANK(XLOOKUP($A12,Monitor_Asignado,Departamento_Asignado,"",0))),"",XLOOKUP($A12,Monitor_Asignado,Departamento_Asignado,"",0))</f>
        <v>Contabilidad</v>
      </c>
      <c r="N12" s="5" t="str">
        <f t="array" ref="N12">IF(OR($A12="",ISBLANK(XLOOKUP($A12,Monitor_Asignado,Nombres_Directorio,"",0))),"",XLOOKUP($A12,Monitor_Asignado,Nombres_Directorio,"",0))</f>
        <v>Juan Antonio Lara Mendoza</v>
      </c>
      <c r="O12" s="5" t="str">
        <f t="array" ref="O12">IF(OR($A12="",ISBLANK(XLOOKUP($A12,Monitor_Asignado,Correos_Gmail,"",0))),"",XLOOKUP($A12,Monitor_Asignado,Correos_Gmail,"",0))</f>
        <v>antonio.lara@agrocisa.com.mx</v>
      </c>
      <c r="P12" s="5" t="str">
        <f t="array" ref="P12">IF(OR($A12="",ISBLANK(XLOOKUP($A12,Monitor_Asignado,Correos_Institucionales,"",0))),"",XLOOKUP($A12,Monitor_Asignado,Correos_Institucionales,"",0))</f>
        <v>juan.lara@agrocisa.com.mx</v>
      </c>
    </row>
    <row r="13">
      <c r="A13" s="5" t="s">
        <v>513</v>
      </c>
      <c r="B13" s="54" t="s">
        <v>1132</v>
      </c>
      <c r="C13" s="17">
        <v>600.0</v>
      </c>
      <c r="D13" s="5" t="s">
        <v>1637</v>
      </c>
      <c r="E13" s="55" t="s">
        <v>1084</v>
      </c>
      <c r="F13" s="5" t="s">
        <v>1638</v>
      </c>
      <c r="G13" s="5" t="s">
        <v>1639</v>
      </c>
      <c r="H13" s="5"/>
      <c r="I13" s="5" t="s">
        <v>223</v>
      </c>
      <c r="J13" s="5" t="s">
        <v>1617</v>
      </c>
      <c r="K13" s="5" t="str">
        <f t="array" ref="K13">IF(OR($A13="",ISBLANK(XLOOKUP($A13,Monitor_Asignado,Nombres_Directorio,"",0))),"",XLOOKUP($A13,Monitor_Asignado,Nombres_Directorio,"",0))</f>
        <v>Rafael Godínez Ramirez</v>
      </c>
      <c r="L13" s="5" t="str">
        <f t="array" ref="L13">IF(OR($A13="",ISBLANK(XLOOKUP($A13,Monitor_Asignado,Sucursal_Asignada,"",0))),"",XLOOKUP($A13,Monitor_Asignado,Sucursal_Asignada,"",0))</f>
        <v>La Piedad</v>
      </c>
      <c r="M13" s="5" t="str">
        <f t="array" ref="M13">IF(OR($A13="",ISBLANK(XLOOKUP($A13,Monitor_Asignado,Departamento_Asignado,"",0))),"",XLOOKUP($A13,Monitor_Asignado,Departamento_Asignado,"",0))</f>
        <v>Maquinaria Agrícola</v>
      </c>
      <c r="N13" s="5" t="str">
        <f t="array" ref="N13">IF(OR($A13="",ISBLANK(XLOOKUP($A13,Monitor_Asignado,Nombres_Directorio,"",0))),"",XLOOKUP($A13,Monitor_Asignado,Nombres_Directorio,"",0))</f>
        <v>Rafael Godínez Ramirez</v>
      </c>
      <c r="O13" s="5" t="str">
        <f t="array" ref="O13">IF(OR($A13="",ISBLANK(XLOOKUP($A13,Monitor_Asignado,Correos_Gmail,"",0))),"",XLOOKUP($A13,Monitor_Asignado,Correos_Gmail,"",0))</f>
        <v>zonabajiolp14@agrocisa.com.mx</v>
      </c>
      <c r="P13" s="5" t="str">
        <f t="array" ref="P13">IF(OR($A13="",ISBLANK(XLOOKUP($A13,Monitor_Asignado,Correos_Institucionales,"",0))),"",XLOOKUP($A13,Monitor_Asignado,Correos_Institucionales,"",0))</f>
        <v>zonabajiolp14@agrocisa.com.mx</v>
      </c>
    </row>
    <row r="14">
      <c r="A14" s="5" t="s">
        <v>142</v>
      </c>
      <c r="B14" s="54" t="s">
        <v>1132</v>
      </c>
      <c r="C14" s="17">
        <v>1500.0</v>
      </c>
      <c r="D14" s="5"/>
      <c r="E14" s="55" t="s">
        <v>1640</v>
      </c>
      <c r="F14" s="5" t="s">
        <v>1635</v>
      </c>
      <c r="G14" s="5" t="s">
        <v>1636</v>
      </c>
      <c r="H14" s="5"/>
      <c r="I14" s="5" t="s">
        <v>1091</v>
      </c>
      <c r="J14" s="5" t="s">
        <v>1617</v>
      </c>
      <c r="K14" s="5" t="str">
        <f t="array" ref="K14">IF(OR($A14="",ISBLANK(XLOOKUP($A14,Monitor_Asignado,Nombres_Directorio,"",0))),"",XLOOKUP($A14,Monitor_Asignado,Nombres_Directorio,"",0))</f>
        <v>María Rodríguez González</v>
      </c>
      <c r="L14" s="5" t="str">
        <f t="array" ref="L14">IF(OR($A14="",ISBLANK(XLOOKUP($A14,Monitor_Asignado,Sucursal_Asignada,"",0))),"",XLOOKUP($A14,Monitor_Asignado,Sucursal_Asignada,"",0))</f>
        <v>Corporativo</v>
      </c>
      <c r="M14" s="5" t="str">
        <f t="array" ref="M14">IF(OR($A14="",ISBLANK(XLOOKUP($A14,Monitor_Asignado,Departamento_Asignado,"",0))),"",XLOOKUP($A14,Monitor_Asignado,Departamento_Asignado,"",0))</f>
        <v>Contabilidad</v>
      </c>
      <c r="N14" s="5" t="str">
        <f t="array" ref="N14">IF(OR($A14="",ISBLANK(XLOOKUP($A14,Monitor_Asignado,Nombres_Directorio,"",0))),"",XLOOKUP($A14,Monitor_Asignado,Nombres_Directorio,"",0))</f>
        <v>María Rodríguez González</v>
      </c>
      <c r="O14" s="5" t="str">
        <f t="array" ref="O14">IF(OR($A14="",ISBLANK(XLOOKUP($A14,Monitor_Asignado,Correos_Gmail,"",0))),"",XLOOKUP($A14,Monitor_Asignado,Correos_Gmail,"",0))</f>
        <v>mariarodriguez.agro@gmail.com</v>
      </c>
      <c r="P14" s="5" t="str">
        <f t="array" ref="P14">IF(OR($A14="",ISBLANK(XLOOKUP($A14,Monitor_Asignado,Correos_Institucionales,"",0))),"",XLOOKUP($A14,Monitor_Asignado,Correos_Institucionales,"",0))</f>
        <v>maria.rodriguez@agrocisa.com.mx</v>
      </c>
    </row>
    <row r="15">
      <c r="A15" s="5" t="s">
        <v>152</v>
      </c>
      <c r="B15" s="5"/>
      <c r="C15" s="17"/>
      <c r="D15" s="5"/>
      <c r="E15" s="55" t="s">
        <v>1084</v>
      </c>
      <c r="F15" s="5" t="s">
        <v>1641</v>
      </c>
      <c r="G15" s="5" t="s">
        <v>1642</v>
      </c>
      <c r="H15" s="5"/>
      <c r="I15" s="5" t="s">
        <v>1091</v>
      </c>
      <c r="J15" s="5" t="s">
        <v>1617</v>
      </c>
      <c r="K15" s="5" t="str">
        <f t="array" ref="K15">IF(OR($A15="",ISBLANK(XLOOKUP($A15,Monitor_Asignado,Nombres_Directorio,"",0))),"",XLOOKUP($A15,Monitor_Asignado,Nombres_Directorio,"",0))</f>
        <v>Ramona Araceli Palos Chairez</v>
      </c>
      <c r="L15" s="5" t="str">
        <f t="array" ref="L15">IF(OR($A15="",ISBLANK(XLOOKUP($A15,Monitor_Asignado,Sucursal_Asignada,"",0))),"",XLOOKUP($A15,Monitor_Asignado,Sucursal_Asignada,"",0))</f>
        <v>Corporativo</v>
      </c>
      <c r="M15" s="5" t="str">
        <f t="array" ref="M15">IF(OR($A15="",ISBLANK(XLOOKUP($A15,Monitor_Asignado,Departamento_Asignado,"",0))),"",XLOOKUP($A15,Monitor_Asignado,Departamento_Asignado,"",0))</f>
        <v>Contabilidad</v>
      </c>
      <c r="N15" s="5" t="str">
        <f t="array" ref="N15">IF(OR($A15="",ISBLANK(XLOOKUP($A15,Monitor_Asignado,Nombres_Directorio,"",0))),"",XLOOKUP($A15,Monitor_Asignado,Nombres_Directorio,"",0))</f>
        <v>Ramona Araceli Palos Chairez</v>
      </c>
      <c r="O15" s="5" t="str">
        <f t="array" ref="O15">IF(OR($A15="",ISBLANK(XLOOKUP($A15,Monitor_Asignado,Correos_Gmail,"",0))),"",XLOOKUP($A15,Monitor_Asignado,Correos_Gmail,"",0))</f>
        <v>arpalos.agro@gmail.com</v>
      </c>
      <c r="P15" s="5" t="str">
        <f t="array" ref="P15">IF(OR($A15="",ISBLANK(XLOOKUP($A15,Monitor_Asignado,Correos_Institucionales,"",0))),"",XLOOKUP($A15,Monitor_Asignado,Correos_Institucionales,"",0))</f>
        <v>araceli.palos@agrocisa.com.mx</v>
      </c>
    </row>
    <row r="16">
      <c r="A16" s="5" t="s">
        <v>172</v>
      </c>
      <c r="B16" s="5"/>
      <c r="C16" s="17">
        <v>2000.0</v>
      </c>
      <c r="D16" s="5"/>
      <c r="E16" s="55" t="s">
        <v>1643</v>
      </c>
      <c r="F16" s="5" t="s">
        <v>1631</v>
      </c>
      <c r="G16" s="5" t="s">
        <v>1644</v>
      </c>
      <c r="H16" s="5"/>
      <c r="I16" s="5" t="s">
        <v>1091</v>
      </c>
      <c r="J16" s="5" t="s">
        <v>1617</v>
      </c>
      <c r="K16" s="5" t="str">
        <f t="array" ref="K16">IF(OR($A16="",ISBLANK(XLOOKUP($A16,Monitor_Asignado,Nombres_Directorio,"",0))),"",XLOOKUP($A16,Monitor_Asignado,Nombres_Directorio,"",0))</f>
        <v>Patricia Lorena Covarrubias Tello</v>
      </c>
      <c r="L16" s="5" t="str">
        <f t="array" ref="L16">IF(OR($A16="",ISBLANK(XLOOKUP($A16,Monitor_Asignado,Sucursal_Asignada,"",0))),"",XLOOKUP($A16,Monitor_Asignado,Sucursal_Asignada,"",0))</f>
        <v>Corporativo</v>
      </c>
      <c r="M16" s="5" t="str">
        <f t="array" ref="M16">IF(OR($A16="",ISBLANK(XLOOKUP($A16,Monitor_Asignado,Departamento_Asignado,"",0))),"",XLOOKUP($A16,Monitor_Asignado,Departamento_Asignado,"",0))</f>
        <v>Crédito y Cobranza</v>
      </c>
      <c r="N16" s="5" t="str">
        <f t="array" ref="N16">IF(OR($A16="",ISBLANK(XLOOKUP($A16,Monitor_Asignado,Nombres_Directorio,"",0))),"",XLOOKUP($A16,Monitor_Asignado,Nombres_Directorio,"",0))</f>
        <v>Patricia Lorena Covarrubias Tello</v>
      </c>
      <c r="O16" s="5" t="str">
        <f t="array" ref="O16">IF(OR($A16="",ISBLANK(XLOOKUP($A16,Monitor_Asignado,Correos_Gmail,"",0))),"",XLOOKUP($A16,Monitor_Asignado,Correos_Gmail,"",0))</f>
        <v>auxiliarcredito.agro@gmail.com</v>
      </c>
      <c r="P16" s="5" t="str">
        <f t="array" ref="P16">IF(OR($A16="",ISBLANK(XLOOKUP($A16,Monitor_Asignado,Correos_Institucionales,"",0))),"",XLOOKUP($A16,Monitor_Asignado,Correos_Institucionales,"",0))</f>
        <v>credito01@agrocisa.com.mx</v>
      </c>
    </row>
    <row r="17">
      <c r="A17" s="5" t="s">
        <v>168</v>
      </c>
      <c r="B17" s="5"/>
      <c r="C17" s="17"/>
      <c r="D17" s="5"/>
      <c r="E17" s="55" t="s">
        <v>1084</v>
      </c>
      <c r="F17" s="5" t="s">
        <v>1645</v>
      </c>
      <c r="G17" s="5" t="s">
        <v>1646</v>
      </c>
      <c r="H17" s="5"/>
      <c r="I17" s="5" t="s">
        <v>1091</v>
      </c>
      <c r="J17" s="5" t="s">
        <v>1617</v>
      </c>
      <c r="K17" s="5" t="str">
        <f t="array" ref="K17">IF(OR($A17="",ISBLANK(XLOOKUP($A17,Monitor_Asignado,Nombres_Directorio,"",0))),"",XLOOKUP($A17,Monitor_Asignado,Nombres_Directorio,"",0))</f>
        <v>Dulce Sahagún Serna</v>
      </c>
      <c r="L17" s="5" t="str">
        <f t="array" ref="L17">IF(OR($A17="",ISBLANK(XLOOKUP($A17,Monitor_Asignado,Sucursal_Asignada,"",0))),"",XLOOKUP($A17,Monitor_Asignado,Sucursal_Asignada,"",0))</f>
        <v>Corporativo</v>
      </c>
      <c r="M17" s="5" t="str">
        <f t="array" ref="M17">IF(OR($A17="",ISBLANK(XLOOKUP($A17,Monitor_Asignado,Departamento_Asignado,"",0))),"",XLOOKUP($A17,Monitor_Asignado,Departamento_Asignado,"",0))</f>
        <v>Crédito y Cobranza</v>
      </c>
      <c r="N17" s="5" t="str">
        <f t="array" ref="N17">IF(OR($A17="",ISBLANK(XLOOKUP($A17,Monitor_Asignado,Nombres_Directorio,"",0))),"",XLOOKUP($A17,Monitor_Asignado,Nombres_Directorio,"",0))</f>
        <v>Dulce Sahagún Serna</v>
      </c>
      <c r="O17" s="5" t="str">
        <f t="array" ref="O17">IF(OR($A17="",ISBLANK(XLOOKUP($A17,Monitor_Asignado,Correos_Gmail,"",0))),"",XLOOKUP($A17,Monitor_Asignado,Correos_Gmail,"",0))</f>
        <v>credito03.agro@gmail.com</v>
      </c>
      <c r="P17" s="5" t="str">
        <f t="array" ref="P17">IF(OR($A17="",ISBLANK(XLOOKUP($A17,Monitor_Asignado,Correos_Institucionales,"",0))),"",XLOOKUP($A17,Monitor_Asignado,Correos_Institucionales,"",0))</f>
        <v>credito03@agrocisa.com.mx</v>
      </c>
    </row>
    <row r="18">
      <c r="A18" s="5" t="s">
        <v>163</v>
      </c>
      <c r="B18" s="5"/>
      <c r="C18" s="17"/>
      <c r="D18" s="5"/>
      <c r="E18" s="55" t="s">
        <v>1084</v>
      </c>
      <c r="F18" s="5" t="s">
        <v>1647</v>
      </c>
      <c r="G18" s="5"/>
      <c r="H18" s="5"/>
      <c r="I18" s="5" t="s">
        <v>223</v>
      </c>
      <c r="J18" s="5" t="s">
        <v>1092</v>
      </c>
      <c r="K18" s="5" t="str">
        <f t="array" ref="K18">IF(OR($A18="",ISBLANK(XLOOKUP($A18,Monitor_Asignado,Nombres_Directorio,"",0))),"",XLOOKUP($A18,Monitor_Asignado,Nombres_Directorio,"",0))</f>
        <v>Brenda Guadalupe Martínez Aguilar</v>
      </c>
      <c r="L18" s="5" t="str">
        <f t="array" ref="L18">IF(OR($A18="",ISBLANK(XLOOKUP($A18,Monitor_Asignado,Sucursal_Asignada,"",0))),"",XLOOKUP($A18,Monitor_Asignado,Sucursal_Asignada,"",0))</f>
        <v>Corporativo</v>
      </c>
      <c r="M18" s="5" t="str">
        <f t="array" ref="M18">IF(OR($A18="",ISBLANK(XLOOKUP($A18,Monitor_Asignado,Departamento_Asignado,"",0))),"",XLOOKUP($A18,Monitor_Asignado,Departamento_Asignado,"",0))</f>
        <v>Crédito y Cobranza</v>
      </c>
      <c r="N18" s="5" t="str">
        <f t="array" ref="N18">IF(OR($A18="",ISBLANK(XLOOKUP($A18,Monitor_Asignado,Nombres_Directorio,"",0))),"",XLOOKUP($A18,Monitor_Asignado,Nombres_Directorio,"",0))</f>
        <v>Brenda Guadalupe Martínez Aguilar</v>
      </c>
      <c r="O18" s="5" t="str">
        <f t="array" ref="O18">IF(OR($A18="",ISBLANK(XLOOKUP($A18,Monitor_Asignado,Correos_Gmail,"",0))),"",XLOOKUP($A18,Monitor_Asignado,Correos_Gmail,"",0))</f>
        <v>brenda.martinez@agrocisa.com.mx</v>
      </c>
      <c r="P18" s="5" t="str">
        <f t="array" ref="P18">IF(OR($A18="",ISBLANK(XLOOKUP($A18,Monitor_Asignado,Correos_Institucionales,"",0))),"",XLOOKUP($A18,Monitor_Asignado,Correos_Institucionales,"",0))</f>
        <v>brenda.martinez@agrocisa.com.mx</v>
      </c>
    </row>
    <row r="19">
      <c r="A19" s="5" t="s">
        <v>125</v>
      </c>
      <c r="B19" s="5"/>
      <c r="C19" s="17"/>
      <c r="D19" s="5"/>
      <c r="E19" s="55" t="s">
        <v>1084</v>
      </c>
      <c r="F19" s="5" t="s">
        <v>1648</v>
      </c>
      <c r="G19" s="5" t="s">
        <v>1649</v>
      </c>
      <c r="H19" s="5"/>
      <c r="I19" s="5" t="s">
        <v>223</v>
      </c>
      <c r="J19" s="5" t="s">
        <v>1199</v>
      </c>
      <c r="K19" s="5" t="str">
        <f t="array" ref="K19">IF(OR($A19="",ISBLANK(XLOOKUP($A19,Monitor_Asignado,Nombres_Directorio,"",0))),"",XLOOKUP($A19,Monitor_Asignado,Nombres_Directorio,"",0))</f>
        <v/>
      </c>
      <c r="L19" s="5" t="str">
        <f t="array" ref="L19">IF(OR($A19="",ISBLANK(XLOOKUP($A19,Monitor_Asignado,Sucursal_Asignada,"",0))),"",XLOOKUP($A19,Monitor_Asignado,Sucursal_Asignada,"",0))</f>
        <v/>
      </c>
      <c r="M19" s="5" t="str">
        <f t="array" ref="M19">IF(OR($A19="",ISBLANK(XLOOKUP($A19,Monitor_Asignado,Departamento_Asignado,"",0))),"",XLOOKUP($A19,Monitor_Asignado,Departamento_Asignado,"",0))</f>
        <v/>
      </c>
      <c r="N19" s="5" t="str">
        <f t="array" ref="N19">IF(OR($A19="",ISBLANK(XLOOKUP($A19,Monitor_Asignado,Nombres_Directorio,"",0))),"",XLOOKUP($A19,Monitor_Asignado,Nombres_Directorio,"",0))</f>
        <v/>
      </c>
      <c r="O19" s="5" t="str">
        <f t="array" ref="O19">IF(OR($A19="",ISBLANK(XLOOKUP($A19,Monitor_Asignado,Correos_Gmail,"",0))),"",XLOOKUP($A19,Monitor_Asignado,Correos_Gmail,"",0))</f>
        <v/>
      </c>
      <c r="P19" s="5" t="str">
        <f t="array" ref="P19">IF(OR($A19="",ISBLANK(XLOOKUP($A19,Monitor_Asignado,Correos_Institucionales,"",0))),"",XLOOKUP($A19,Monitor_Asignado,Correos_Institucionales,"",0))</f>
        <v/>
      </c>
    </row>
    <row r="20">
      <c r="A20" s="5" t="s">
        <v>312</v>
      </c>
      <c r="B20" s="54" t="s">
        <v>1132</v>
      </c>
      <c r="C20" s="17"/>
      <c r="D20" s="5"/>
      <c r="E20" s="55" t="s">
        <v>1084</v>
      </c>
      <c r="F20" s="5" t="s">
        <v>1650</v>
      </c>
      <c r="G20" s="5" t="s">
        <v>1651</v>
      </c>
      <c r="H20" s="5"/>
      <c r="I20" s="5" t="s">
        <v>1091</v>
      </c>
      <c r="J20" s="5" t="s">
        <v>1092</v>
      </c>
      <c r="K20" s="5" t="str">
        <f t="array" ref="K20">IF(OR($A20="",ISBLANK(XLOOKUP($A20,Monitor_Asignado,Nombres_Directorio,"",0))),"",XLOOKUP($A20,Monitor_Asignado,Nombres_Directorio,"",0))</f>
        <v>Raúl Óscar Ortega Guillén</v>
      </c>
      <c r="L20" s="5" t="str">
        <f t="array" ref="L20">IF(OR($A20="",ISBLANK(XLOOKUP($A20,Monitor_Asignado,Sucursal_Asignada,"",0))),"",XLOOKUP($A20,Monitor_Asignado,Sucursal_Asignada,"",0))</f>
        <v>Corporativo</v>
      </c>
      <c r="M20" s="5" t="str">
        <f t="array" ref="M20">IF(OR($A20="",ISBLANK(XLOOKUP($A20,Monitor_Asignado,Departamento_Asignado,"",0))),"",XLOOKUP($A20,Monitor_Asignado,Departamento_Asignado,"",0))</f>
        <v>Marketing</v>
      </c>
      <c r="N20" s="5" t="str">
        <f t="array" ref="N20">IF(OR($A20="",ISBLANK(XLOOKUP($A20,Monitor_Asignado,Nombres_Directorio,"",0))),"",XLOOKUP($A20,Monitor_Asignado,Nombres_Directorio,"",0))</f>
        <v>Raúl Óscar Ortega Guillén</v>
      </c>
      <c r="O20" s="5" t="str">
        <f t="array" ref="O20">IF(OR($A20="",ISBLANK(XLOOKUP($A20,Monitor_Asignado,Correos_Gmail,"",0))),"",XLOOKUP($A20,Monitor_Asignado,Correos_Gmail,"",0))</f>
        <v>marketingdigital@agrocisa.com.mx</v>
      </c>
      <c r="P20" s="5" t="str">
        <f t="array" ref="P20">IF(OR($A20="",ISBLANK(XLOOKUP($A20,Monitor_Asignado,Correos_Institucionales,"",0))),"",XLOOKUP($A20,Monitor_Asignado,Correos_Institucionales,"",0))</f>
        <v>marketingexperiencial@agrocisa.com.mx</v>
      </c>
    </row>
    <row r="21" ht="15.75" customHeight="1">
      <c r="A21" s="5" t="s">
        <v>1158</v>
      </c>
      <c r="B21" s="5"/>
      <c r="C21" s="17"/>
      <c r="D21" s="5"/>
      <c r="E21" s="55" t="s">
        <v>1084</v>
      </c>
      <c r="F21" s="5" t="s">
        <v>1652</v>
      </c>
      <c r="G21" s="5" t="s">
        <v>1653</v>
      </c>
      <c r="H21" s="5"/>
      <c r="I21" s="5" t="s">
        <v>1091</v>
      </c>
      <c r="J21" s="5" t="s">
        <v>1092</v>
      </c>
      <c r="K21" s="5" t="str">
        <f t="array" ref="K21">IF(OR($A21="",ISBLANK(XLOOKUP($A21,Monitor_Asignado,Nombres_Directorio,"",0))),"",XLOOKUP($A21,Monitor_Asignado,Nombres_Directorio,"",0))</f>
        <v/>
      </c>
      <c r="L21" s="5" t="str">
        <f t="array" ref="L21">IF(OR($A21="",ISBLANK(XLOOKUP($A21,Monitor_Asignado,Sucursal_Asignada,"",0))),"",XLOOKUP($A21,Monitor_Asignado,Sucursal_Asignada,"",0))</f>
        <v/>
      </c>
      <c r="M21" s="5" t="str">
        <f t="array" ref="M21">IF(OR($A21="",ISBLANK(XLOOKUP($A21,Monitor_Asignado,Departamento_Asignado,"",0))),"",XLOOKUP($A21,Monitor_Asignado,Departamento_Asignado,"",0))</f>
        <v/>
      </c>
      <c r="N21" s="5" t="str">
        <f t="array" ref="N21">IF(OR($A21="",ISBLANK(XLOOKUP($A21,Monitor_Asignado,Nombres_Directorio,"",0))),"",XLOOKUP($A21,Monitor_Asignado,Nombres_Directorio,"",0))</f>
        <v/>
      </c>
      <c r="O21" s="5" t="str">
        <f t="array" ref="O21">IF(OR($A21="",ISBLANK(XLOOKUP($A21,Monitor_Asignado,Correos_Gmail,"",0))),"",XLOOKUP($A21,Monitor_Asignado,Correos_Gmail,"",0))</f>
        <v/>
      </c>
      <c r="P21" s="5" t="str">
        <f t="array" ref="P21">IF(OR($A21="",ISBLANK(XLOOKUP($A21,Monitor_Asignado,Correos_Institucionales,"",0))),"",XLOOKUP($A21,Monitor_Asignado,Correos_Institucionales,"",0))</f>
        <v/>
      </c>
    </row>
    <row r="22" ht="15.75" customHeight="1">
      <c r="A22" s="5" t="s">
        <v>373</v>
      </c>
      <c r="B22" s="5"/>
      <c r="C22" s="17"/>
      <c r="D22" s="5"/>
      <c r="E22" s="55" t="s">
        <v>1084</v>
      </c>
      <c r="F22" s="5" t="s">
        <v>1654</v>
      </c>
      <c r="G22" s="5" t="s">
        <v>1655</v>
      </c>
      <c r="H22" s="5"/>
      <c r="I22" s="5" t="s">
        <v>223</v>
      </c>
      <c r="J22" s="5" t="s">
        <v>1199</v>
      </c>
      <c r="K22" s="5" t="str">
        <f t="array" ref="K22">IF(OR($A22="",ISBLANK(XLOOKUP($A22,Monitor_Asignado,Nombres_Directorio,"",0))),"",XLOOKUP($A22,Monitor_Asignado,Nombres_Directorio,"",0))</f>
        <v>Damián Zaragoza Hernández</v>
      </c>
      <c r="L22" s="5" t="str">
        <f t="array" ref="L22">IF(OR($A22="",ISBLANK(XLOOKUP($A22,Monitor_Asignado,Sucursal_Asignada,"",0))),"",XLOOKUP($A22,Monitor_Asignado,Sucursal_Asignada,"",0))</f>
        <v>Corporativo</v>
      </c>
      <c r="M22" s="5" t="str">
        <f t="array" ref="M22">IF(OR($A22="",ISBLANK(XLOOKUP($A22,Monitor_Asignado,Departamento_Asignado,"",0))),"",XLOOKUP($A22,Monitor_Asignado,Departamento_Asignado,"",0))</f>
        <v>Refacciones</v>
      </c>
      <c r="N22" s="5" t="str">
        <f t="array" ref="N22">IF(OR($A22="",ISBLANK(XLOOKUP($A22,Monitor_Asignado,Nombres_Directorio,"",0))),"",XLOOKUP($A22,Monitor_Asignado,Nombres_Directorio,"",0))</f>
        <v>Damián Zaragoza Hernández</v>
      </c>
      <c r="O22" s="5" t="str">
        <f t="array" ref="O22">IF(OR($A22="",ISBLANK(XLOOKUP($A22,Monitor_Asignado,Correos_Gmail,"",0))),"",XLOOKUP($A22,Monitor_Asignado,Correos_Gmail,"",0))</f>
        <v>damian.zaragoza@agrocisa.com.mx</v>
      </c>
      <c r="P22" s="5" t="str">
        <f t="array" ref="P22">IF(OR($A22="",ISBLANK(XLOOKUP($A22,Monitor_Asignado,Correos_Institucionales,"",0))),"",XLOOKUP($A22,Monitor_Asignado,Correos_Institucionales,"",0))</f>
        <v>damian.zaragoza@agrocisa.com.mx</v>
      </c>
    </row>
    <row r="23" ht="15.75" customHeight="1">
      <c r="A23" s="5" t="s">
        <v>1166</v>
      </c>
      <c r="B23" s="5"/>
      <c r="C23" s="17"/>
      <c r="D23" s="5"/>
      <c r="E23" s="55" t="s">
        <v>1084</v>
      </c>
      <c r="F23" s="5" t="s">
        <v>1656</v>
      </c>
      <c r="G23" s="5" t="s">
        <v>1657</v>
      </c>
      <c r="H23" s="5"/>
      <c r="I23" s="5" t="s">
        <v>1091</v>
      </c>
      <c r="J23" s="5" t="s">
        <v>1092</v>
      </c>
      <c r="K23" s="5" t="str">
        <f t="array" ref="K23">IF(OR($A23="",ISBLANK(XLOOKUP($A23,Monitor_Asignado,Nombres_Directorio,"",0))),"",XLOOKUP($A23,Monitor_Asignado,Nombres_Directorio,"",0))</f>
        <v/>
      </c>
      <c r="L23" s="5" t="str">
        <f t="array" ref="L23">IF(OR($A23="",ISBLANK(XLOOKUP($A23,Monitor_Asignado,Sucursal_Asignada,"",0))),"",XLOOKUP($A23,Monitor_Asignado,Sucursal_Asignada,"",0))</f>
        <v/>
      </c>
      <c r="M23" s="5" t="str">
        <f t="array" ref="M23">IF(OR($A23="",ISBLANK(XLOOKUP($A23,Monitor_Asignado,Departamento_Asignado,"",0))),"",XLOOKUP($A23,Monitor_Asignado,Departamento_Asignado,"",0))</f>
        <v/>
      </c>
      <c r="N23" s="5" t="str">
        <f t="array" ref="N23">IF(OR($A23="",ISBLANK(XLOOKUP($A23,Monitor_Asignado,Nombres_Directorio,"",0))),"",XLOOKUP($A23,Monitor_Asignado,Nombres_Directorio,"",0))</f>
        <v/>
      </c>
      <c r="O23" s="5" t="str">
        <f t="array" ref="O23">IF(OR($A23="",ISBLANK(XLOOKUP($A23,Monitor_Asignado,Correos_Gmail,"",0))),"",XLOOKUP($A23,Monitor_Asignado,Correos_Gmail,"",0))</f>
        <v/>
      </c>
      <c r="P23" s="5" t="str">
        <f t="array" ref="P23">IF(OR($A23="",ISBLANK(XLOOKUP($A23,Monitor_Asignado,Correos_Institucionales,"",0))),"",XLOOKUP($A23,Monitor_Asignado,Correos_Institucionales,"",0))</f>
        <v/>
      </c>
    </row>
    <row r="24" ht="15.75" customHeight="1">
      <c r="A24" s="5" t="s">
        <v>393</v>
      </c>
      <c r="B24" s="5"/>
      <c r="C24" s="17"/>
      <c r="D24" s="5"/>
      <c r="E24" s="55" t="s">
        <v>1084</v>
      </c>
      <c r="F24" s="5" t="s">
        <v>1658</v>
      </c>
      <c r="G24" s="5" t="s">
        <v>1659</v>
      </c>
      <c r="H24" s="5"/>
      <c r="I24" s="5" t="s">
        <v>1091</v>
      </c>
      <c r="J24" s="5" t="s">
        <v>1617</v>
      </c>
      <c r="K24" s="5" t="str">
        <f t="array" ref="K24">IF(OR($A24="",ISBLANK(XLOOKUP($A24,Monitor_Asignado,Nombres_Directorio,"",0))),"",XLOOKUP($A24,Monitor_Asignado,Nombres_Directorio,"",0))</f>
        <v>Ashly Guadalupe López Martínez</v>
      </c>
      <c r="L24" s="5" t="str">
        <f t="array" ref="L24">IF(OR($A24="",ISBLANK(XLOOKUP($A24,Monitor_Asignado,Sucursal_Asignada,"",0))),"",XLOOKUP($A24,Monitor_Asignado,Sucursal_Asignada,"",0))</f>
        <v>Corporativo</v>
      </c>
      <c r="M24" s="5" t="str">
        <f t="array" ref="M24">IF(OR($A24="",ISBLANK(XLOOKUP($A24,Monitor_Asignado,Departamento_Asignado,"",0))),"",XLOOKUP($A24,Monitor_Asignado,Departamento_Asignado,"",0))</f>
        <v>Servicio</v>
      </c>
      <c r="N24" s="5" t="str">
        <f t="array" ref="N24">IF(OR($A24="",ISBLANK(XLOOKUP($A24,Monitor_Asignado,Nombres_Directorio,"",0))),"",XLOOKUP($A24,Monitor_Asignado,Nombres_Directorio,"",0))</f>
        <v>Ashly Guadalupe López Martínez</v>
      </c>
      <c r="O24" s="5" t="str">
        <f t="array" ref="O24">IF(OR($A24="",ISBLANK(XLOOKUP($A24,Monitor_Asignado,Correos_Gmail,"",0))),"",XLOOKUP($A24,Monitor_Asignado,Correos_Gmail,"",0))</f>
        <v>garantiaslabarca@agrocisa.com.mx</v>
      </c>
      <c r="P24" s="5" t="str">
        <f t="array" ref="P24">IF(OR($A24="",ISBLANK(XLOOKUP($A24,Monitor_Asignado,Correos_Institucionales,"",0))),"",XLOOKUP($A24,Monitor_Asignado,Correos_Institucionales,"",0))</f>
        <v>ashly.lopez@agrocisa.com.mx</v>
      </c>
    </row>
    <row r="25" ht="15.75" customHeight="1">
      <c r="A25" s="5" t="s">
        <v>388</v>
      </c>
      <c r="B25" s="5"/>
      <c r="C25" s="17"/>
      <c r="D25" s="5"/>
      <c r="E25" s="55" t="s">
        <v>1084</v>
      </c>
      <c r="F25" s="5" t="s">
        <v>1638</v>
      </c>
      <c r="G25" s="5" t="s">
        <v>1660</v>
      </c>
      <c r="H25" s="5"/>
      <c r="I25" s="5" t="s">
        <v>1091</v>
      </c>
      <c r="J25" s="5" t="s">
        <v>1617</v>
      </c>
      <c r="K25" s="5" t="str">
        <f t="array" ref="K25">IF(OR($A25="",ISBLANK(XLOOKUP($A25,Monitor_Asignado,Nombres_Directorio,"",0))),"",XLOOKUP($A25,Monitor_Asignado,Nombres_Directorio,"",0))</f>
        <v>Andrea Becerra Cisneros</v>
      </c>
      <c r="L25" s="5" t="str">
        <f t="array" ref="L25">IF(OR($A25="",ISBLANK(XLOOKUP($A25,Monitor_Asignado,Sucursal_Asignada,"",0))),"",XLOOKUP($A25,Monitor_Asignado,Sucursal_Asignada,"",0))</f>
        <v>Corporativo</v>
      </c>
      <c r="M25" s="5" t="str">
        <f t="array" ref="M25">IF(OR($A25="",ISBLANK(XLOOKUP($A25,Monitor_Asignado,Departamento_Asignado,"",0))),"",XLOOKUP($A25,Monitor_Asignado,Departamento_Asignado,"",0))</f>
        <v>Servicio</v>
      </c>
      <c r="N25" s="5" t="str">
        <f t="array" ref="N25">IF(OR($A25="",ISBLANK(XLOOKUP($A25,Monitor_Asignado,Nombres_Directorio,"",0))),"",XLOOKUP($A25,Monitor_Asignado,Nombres_Directorio,"",0))</f>
        <v>Andrea Becerra Cisneros</v>
      </c>
      <c r="O25" s="5" t="str">
        <f t="array" ref="O25">IF(OR($A25="",ISBLANK(XLOOKUP($A25,Monitor_Asignado,Correos_Gmail,"",0))),"",XLOOKUP($A25,Monitor_Asignado,Correos_Gmail,"",0))</f>
        <v>serviciolabarca@agrocisa.com.mx</v>
      </c>
      <c r="P25" s="5" t="str">
        <f t="array" ref="P25">IF(OR($A25="",ISBLANK(XLOOKUP($A25,Monitor_Asignado,Correos_Institucionales,"",0))),"",XLOOKUP($A25,Monitor_Asignado,Correos_Institucionales,"",0))</f>
        <v>serviciolabarca@agrocisa.com.mx</v>
      </c>
    </row>
    <row r="26" ht="15.75" customHeight="1">
      <c r="A26" s="5" t="s">
        <v>433</v>
      </c>
      <c r="B26" s="5"/>
      <c r="C26" s="17">
        <v>3000.0</v>
      </c>
      <c r="D26" s="5"/>
      <c r="E26" s="55" t="s">
        <v>1661</v>
      </c>
      <c r="F26" s="5" t="s">
        <v>1662</v>
      </c>
      <c r="G26" s="5" t="s">
        <v>1663</v>
      </c>
      <c r="H26" s="5"/>
      <c r="I26" s="5" t="s">
        <v>1091</v>
      </c>
      <c r="J26" s="5" t="s">
        <v>1092</v>
      </c>
      <c r="K26" s="5" t="str">
        <f t="array" ref="K26">IF(OR($A26="",ISBLANK(XLOOKUP($A26,Monitor_Asignado,Nombres_Directorio,"",0))),"",XLOOKUP($A26,Monitor_Asignado,Nombres_Directorio,"",0))</f>
        <v/>
      </c>
      <c r="L26" s="5" t="str">
        <f t="array" ref="L26">IF(OR($A26="",ISBLANK(XLOOKUP($A26,Monitor_Asignado,Sucursal_Asignada,"",0))),"",XLOOKUP($A26,Monitor_Asignado,Sucursal_Asignada,"",0))</f>
        <v/>
      </c>
      <c r="M26" s="5" t="str">
        <f t="array" ref="M26">IF(OR($A26="",ISBLANK(XLOOKUP($A26,Monitor_Asignado,Departamento_Asignado,"",0))),"",XLOOKUP($A26,Monitor_Asignado,Departamento_Asignado,"",0))</f>
        <v/>
      </c>
      <c r="N26" s="5" t="str">
        <f t="array" ref="N26">IF(OR($A26="",ISBLANK(XLOOKUP($A26,Monitor_Asignado,Nombres_Directorio,"",0))),"",XLOOKUP($A26,Monitor_Asignado,Nombres_Directorio,"",0))</f>
        <v/>
      </c>
      <c r="O26" s="5" t="str">
        <f t="array" ref="O26">IF(OR($A26="",ISBLANK(XLOOKUP($A26,Monitor_Asignado,Correos_Gmail,"",0))),"",XLOOKUP($A26,Monitor_Asignado,Correos_Gmail,"",0))</f>
        <v/>
      </c>
      <c r="P26" s="5" t="str">
        <f t="array" ref="P26">IF(OR($A26="",ISBLANK(XLOOKUP($A26,Monitor_Asignado,Correos_Institucionales,"",0))),"",XLOOKUP($A26,Monitor_Asignado,Correos_Institucionales,"",0))</f>
        <v/>
      </c>
    </row>
    <row r="27" ht="15.75" customHeight="1">
      <c r="A27" s="5" t="s">
        <v>434</v>
      </c>
      <c r="B27" s="5"/>
      <c r="C27" s="17">
        <v>3000.0</v>
      </c>
      <c r="D27" s="5"/>
      <c r="E27" s="55" t="s">
        <v>1661</v>
      </c>
      <c r="F27" s="5" t="s">
        <v>1662</v>
      </c>
      <c r="G27" s="5" t="s">
        <v>1664</v>
      </c>
      <c r="H27" s="5"/>
      <c r="I27" s="5" t="s">
        <v>1091</v>
      </c>
      <c r="J27" s="5" t="s">
        <v>1092</v>
      </c>
      <c r="K27" s="5" t="str">
        <f t="array" ref="K27">IF(OR($A27="",ISBLANK(XLOOKUP($A27,Monitor_Asignado,Nombres_Directorio,"",0))),"",XLOOKUP($A27,Monitor_Asignado,Nombres_Directorio,"",0))</f>
        <v>Félix Eugenio Ávalos Hernández</v>
      </c>
      <c r="L27" s="5" t="str">
        <f t="array" ref="L27">IF(OR($A27="",ISBLANK(XLOOKUP($A27,Monitor_Asignado,Sucursal_Asignada,"",0))),"",XLOOKUP($A27,Monitor_Asignado,Sucursal_Asignada,"",0))</f>
        <v>Corporativo</v>
      </c>
      <c r="M27" s="5" t="str">
        <f t="array" ref="M27">IF(OR($A27="",ISBLANK(XLOOKUP($A27,Monitor_Asignado,Departamento_Asignado,"",0))),"",XLOOKUP($A27,Monitor_Asignado,Departamento_Asignado,"",0))</f>
        <v>Servicio</v>
      </c>
      <c r="N27" s="5" t="str">
        <f t="array" ref="N27">IF(OR($A27="",ISBLANK(XLOOKUP($A27,Monitor_Asignado,Nombres_Directorio,"",0))),"",XLOOKUP($A27,Monitor_Asignado,Nombres_Directorio,"",0))</f>
        <v>Félix Eugenio Ávalos Hernández</v>
      </c>
      <c r="O27" s="5" t="str">
        <f t="array" ref="O27">IF(OR($A27="",ISBLANK(XLOOKUP($A27,Monitor_Asignado,Correos_Gmail,"",0))),"",XLOOKUP($A27,Monitor_Asignado,Correos_Gmail,"",0))</f>
        <v>telematrix.agrocisa@gmail.com</v>
      </c>
      <c r="P27" s="5" t="str">
        <f t="array" ref="P27">IF(OR($A27="",ISBLANK(XLOOKUP($A27,Monitor_Asignado,Correos_Institucionales,"",0))),"",XLOOKUP($A27,Monitor_Asignado,Correos_Institucionales,"",0))</f>
        <v>telemetria@agrocisa.com.mx</v>
      </c>
    </row>
    <row r="28" ht="15.75" customHeight="1">
      <c r="A28" s="5" t="s">
        <v>517</v>
      </c>
      <c r="B28" s="54" t="s">
        <v>1132</v>
      </c>
      <c r="C28" s="17">
        <v>400.0</v>
      </c>
      <c r="D28" s="5"/>
      <c r="E28" s="55" t="s">
        <v>1084</v>
      </c>
      <c r="F28" s="5" t="s">
        <v>1665</v>
      </c>
      <c r="G28" s="5" t="s">
        <v>1666</v>
      </c>
      <c r="H28" s="5"/>
      <c r="I28" s="5" t="s">
        <v>223</v>
      </c>
      <c r="J28" s="5" t="s">
        <v>1199</v>
      </c>
      <c r="K28" s="5" t="str">
        <f t="array" ref="K28">IF(OR($A28="",ISBLANK(XLOOKUP($A28,Monitor_Asignado,Nombres_Directorio,"",0))),"",XLOOKUP($A28,Monitor_Asignado,Nombres_Directorio,"",0))</f>
        <v>Marco Antonio Falcón Ramirez</v>
      </c>
      <c r="L28" s="5" t="str">
        <f t="array" ref="L28">IF(OR($A28="",ISBLANK(XLOOKUP($A28,Monitor_Asignado,Sucursal_Asignada,"",0))),"",XLOOKUP($A28,Monitor_Asignado,Sucursal_Asignada,"",0))</f>
        <v>La Piedad</v>
      </c>
      <c r="M28" s="5" t="str">
        <f t="array" ref="M28">IF(OR($A28="",ISBLANK(XLOOKUP($A28,Monitor_Asignado,Departamento_Asignado,"",0))),"",XLOOKUP($A28,Monitor_Asignado,Departamento_Asignado,"",0))</f>
        <v>Maquinaria Construcción</v>
      </c>
      <c r="N28" s="5" t="str">
        <f t="array" ref="N28">IF(OR($A28="",ISBLANK(XLOOKUP($A28,Monitor_Asignado,Nombres_Directorio,"",0))),"",XLOOKUP($A28,Monitor_Asignado,Nombres_Directorio,"",0))</f>
        <v>Marco Antonio Falcón Ramirez</v>
      </c>
      <c r="O28" s="5" t="str">
        <f t="array" ref="O28">IF(OR($A28="",ISBLANK(XLOOKUP($A28,Monitor_Asignado,Correos_Gmail,"",0))),"",XLOOKUP($A28,Monitor_Asignado,Correos_Gmail,"",0))</f>
        <v>construccionlapiedad@agrocisa.com.mx</v>
      </c>
      <c r="P28" s="5" t="str">
        <f t="array" ref="P28">IF(OR($A28="",ISBLANK(XLOOKUP($A28,Monitor_Asignado,Correos_Institucionales,"",0))),"",XLOOKUP($A28,Monitor_Asignado,Correos_Institucionales,"",0))</f>
        <v>construccionlapiedad@agrocisa.com.mx</v>
      </c>
    </row>
    <row r="29" ht="15.75" customHeight="1">
      <c r="A29" s="5" t="s">
        <v>534</v>
      </c>
      <c r="B29" s="5"/>
      <c r="C29" s="17">
        <v>2500.0</v>
      </c>
      <c r="D29" s="5"/>
      <c r="E29" s="55" t="s">
        <v>1190</v>
      </c>
      <c r="F29" s="5" t="s">
        <v>1631</v>
      </c>
      <c r="G29" s="5" t="s">
        <v>1667</v>
      </c>
      <c r="H29" s="5"/>
      <c r="I29" s="5" t="s">
        <v>1091</v>
      </c>
      <c r="J29" s="5" t="s">
        <v>1092</v>
      </c>
      <c r="K29" s="5" t="str">
        <f t="array" ref="K29">IF(OR($A29="",ISBLANK(XLOOKUP($A29,Monitor_Asignado,Nombres_Directorio,"",0))),"",XLOOKUP($A29,Monitor_Asignado,Nombres_Directorio,"",0))</f>
        <v>Elsa Guadalupe Ramírez López</v>
      </c>
      <c r="L29" s="5" t="str">
        <f t="array" ref="L29">IF(OR($A29="",ISBLANK(XLOOKUP($A29,Monitor_Asignado,Sucursal_Asignada,"",0))),"",XLOOKUP($A29,Monitor_Asignado,Sucursal_Asignada,"",0))</f>
        <v>La Piedad</v>
      </c>
      <c r="M29" s="5" t="str">
        <f t="array" ref="M29">IF(OR($A29="",ISBLANK(XLOOKUP($A29,Monitor_Asignado,Departamento_Asignado,"",0))),"",XLOOKUP($A29,Monitor_Asignado,Departamento_Asignado,"",0))</f>
        <v>Refacciones</v>
      </c>
      <c r="N29" s="5" t="str">
        <f t="array" ref="N29">IF(OR($A29="",ISBLANK(XLOOKUP($A29,Monitor_Asignado,Nombres_Directorio,"",0))),"",XLOOKUP($A29,Monitor_Asignado,Nombres_Directorio,"",0))</f>
        <v>Elsa Guadalupe Ramírez López</v>
      </c>
      <c r="O29" s="5" t="str">
        <f t="array" ref="O29">IF(OR($A29="",ISBLANK(XLOOKUP($A29,Monitor_Asignado,Correos_Gmail,"",0))),"",XLOOKUP($A29,Monitor_Asignado,Correos_Gmail,"",0))</f>
        <v>refaccioneslapiedad@agrocisa.com.mx</v>
      </c>
      <c r="P29" s="5" t="str">
        <f t="array" ref="P29">IF(OR($A29="",ISBLANK(XLOOKUP($A29,Monitor_Asignado,Correos_Institucionales,"",0))),"",XLOOKUP($A29,Monitor_Asignado,Correos_Institucionales,"",0))</f>
        <v>elsa.ramirez@agrocisa.com.mx</v>
      </c>
    </row>
    <row r="30" ht="15.75" customHeight="1">
      <c r="A30" s="5" t="s">
        <v>481</v>
      </c>
      <c r="B30" s="5"/>
      <c r="C30" s="17"/>
      <c r="D30" s="5"/>
      <c r="E30" s="55" t="s">
        <v>1084</v>
      </c>
      <c r="F30" s="5" t="s">
        <v>1633</v>
      </c>
      <c r="G30" s="5" t="s">
        <v>1668</v>
      </c>
      <c r="H30" s="5"/>
      <c r="I30" s="5" t="s">
        <v>1091</v>
      </c>
      <c r="J30" s="5" t="s">
        <v>1617</v>
      </c>
      <c r="K30" s="5" t="str">
        <f t="array" ref="K30">IF(OR($A30="",ISBLANK(XLOOKUP($A30,Monitor_Asignado,Nombres_Directorio,"",0))),"",XLOOKUP($A30,Monitor_Asignado,Nombres_Directorio,"",0))</f>
        <v>Diana Monserrat Osorio Hernández</v>
      </c>
      <c r="L30" s="5" t="str">
        <f t="array" ref="L30">IF(OR($A30="",ISBLANK(XLOOKUP($A30,Monitor_Asignado,Sucursal_Asignada,"",0))),"",XLOOKUP($A30,Monitor_Asignado,Sucursal_Asignada,"",0))</f>
        <v>La Piedad</v>
      </c>
      <c r="M30" s="5" t="str">
        <f t="array" ref="M30">IF(OR($A30="",ISBLANK(XLOOKUP($A30,Monitor_Asignado,Departamento_Asignado,"",0))),"",XLOOKUP($A30,Monitor_Asignado,Departamento_Asignado,"",0))</f>
        <v>Crédito y Cobranza</v>
      </c>
      <c r="N30" s="5" t="str">
        <f t="array" ref="N30">IF(OR($A30="",ISBLANK(XLOOKUP($A30,Monitor_Asignado,Nombres_Directorio,"",0))),"",XLOOKUP($A30,Monitor_Asignado,Nombres_Directorio,"",0))</f>
        <v>Diana Monserrat Osorio Hernández</v>
      </c>
      <c r="O30" s="5" t="str">
        <f t="array" ref="O30">IF(OR($A30="",ISBLANK(XLOOKUP($A30,Monitor_Asignado,Correos_Gmail,"",0))),"",XLOOKUP($A30,Monitor_Asignado,Correos_Gmail,"",0))</f>
        <v>diosorio.agro@gmail.com</v>
      </c>
      <c r="P30" s="5" t="str">
        <f t="array" ref="P30">IF(OR($A30="",ISBLANK(XLOOKUP($A30,Monitor_Asignado,Correos_Institucionales,"",0))),"",XLOOKUP($A30,Monitor_Asignado,Correos_Institucionales,"",0))</f>
        <v>caja.lp@agrocisa.com.mx</v>
      </c>
    </row>
    <row r="31" ht="15.75" customHeight="1">
      <c r="A31" s="5" t="s">
        <v>509</v>
      </c>
      <c r="B31" s="54" t="s">
        <v>1132</v>
      </c>
      <c r="C31" s="17">
        <v>700.0</v>
      </c>
      <c r="D31" s="5"/>
      <c r="E31" s="55" t="s">
        <v>1084</v>
      </c>
      <c r="F31" s="5" t="s">
        <v>1658</v>
      </c>
      <c r="G31" s="5" t="s">
        <v>1669</v>
      </c>
      <c r="H31" s="5"/>
      <c r="I31" s="5" t="s">
        <v>223</v>
      </c>
      <c r="J31" s="5" t="s">
        <v>1199</v>
      </c>
      <c r="K31" s="5" t="str">
        <f t="array" ref="K31">IF(OR($A31="",ISBLANK(XLOOKUP($A31,Monitor_Asignado,Nombres_Directorio,"",0))),"",XLOOKUP($A31,Monitor_Asignado,Nombres_Directorio,"",0))</f>
        <v>Vacante</v>
      </c>
      <c r="L31" s="5" t="str">
        <f t="array" ref="L31">IF(OR($A31="",ISBLANK(XLOOKUP($A31,Monitor_Asignado,Sucursal_Asignada,"",0))),"",XLOOKUP($A31,Monitor_Asignado,Sucursal_Asignada,"",0))</f>
        <v>La Piedad</v>
      </c>
      <c r="M31" s="5" t="str">
        <f t="array" ref="M31">IF(OR($A31="",ISBLANK(XLOOKUP($A31,Monitor_Asignado,Departamento_Asignado,"",0))),"",XLOOKUP($A31,Monitor_Asignado,Departamento_Asignado,"",0))</f>
        <v>Maquinaria Agrícola</v>
      </c>
      <c r="N31" s="5" t="str">
        <f t="array" ref="N31">IF(OR($A31="",ISBLANK(XLOOKUP($A31,Monitor_Asignado,Nombres_Directorio,"",0))),"",XLOOKUP($A31,Monitor_Asignado,Nombres_Directorio,"",0))</f>
        <v>Vacante</v>
      </c>
      <c r="O31" s="5" t="str">
        <f t="array" ref="O31">IF(OR($A31="",ISBLANK(XLOOKUP($A31,Monitor_Asignado,Correos_Gmail,"",0))),"",XLOOKUP($A31,Monitor_Asignado,Correos_Gmail,"",0))</f>
        <v>ventaszonabajio.agro@gmail.com</v>
      </c>
      <c r="P31" s="5" t="str">
        <f t="array" ref="P31">IF(OR($A31="",ISBLANK(XLOOKUP($A31,Monitor_Asignado,Correos_Institucionales,"",0))),"",XLOOKUP($A31,Monitor_Asignado,Correos_Institucionales,"",0))</f>
        <v>ventaszonabajio@agrocisa.com.mx</v>
      </c>
    </row>
    <row r="32" ht="15.75" customHeight="1">
      <c r="A32" s="56" t="s">
        <v>1670</v>
      </c>
      <c r="B32" s="5"/>
      <c r="C32" s="17"/>
      <c r="D32" s="5"/>
      <c r="E32" s="55" t="s">
        <v>1084</v>
      </c>
      <c r="F32" s="5" t="s">
        <v>1671</v>
      </c>
      <c r="G32" s="5" t="s">
        <v>1672</v>
      </c>
      <c r="H32" s="5"/>
      <c r="I32" s="5" t="s">
        <v>223</v>
      </c>
      <c r="J32" s="5" t="s">
        <v>1199</v>
      </c>
      <c r="K32" s="5" t="str">
        <f t="array" ref="K32">IF(OR($A32="",ISBLANK(XLOOKUP($A32,Monitor_Asignado,Nombres_Directorio,"",0))),"",XLOOKUP($A32,Monitor_Asignado,Nombres_Directorio,"",0))</f>
        <v/>
      </c>
      <c r="L32" s="5" t="str">
        <f t="array" ref="L32">IF(OR($A32="",ISBLANK(XLOOKUP($A32,Monitor_Asignado,Sucursal_Asignada,"",0))),"",XLOOKUP($A32,Monitor_Asignado,Sucursal_Asignada,"",0))</f>
        <v/>
      </c>
      <c r="M32" s="5" t="str">
        <f t="array" ref="M32">IF(OR($A32="",ISBLANK(XLOOKUP($A32,Monitor_Asignado,Departamento_Asignado,"",0))),"",XLOOKUP($A32,Monitor_Asignado,Departamento_Asignado,"",0))</f>
        <v/>
      </c>
      <c r="N32" s="5" t="str">
        <f t="array" ref="N32">IF(OR($A32="",ISBLANK(XLOOKUP($A32,Monitor_Asignado,Nombres_Directorio,"",0))),"",XLOOKUP($A32,Monitor_Asignado,Nombres_Directorio,"",0))</f>
        <v/>
      </c>
      <c r="O32" s="5" t="str">
        <f t="array" ref="O32">IF(OR($A32="",ISBLANK(XLOOKUP($A32,Monitor_Asignado,Correos_Gmail,"",0))),"",XLOOKUP($A32,Monitor_Asignado,Correos_Gmail,"",0))</f>
        <v/>
      </c>
      <c r="P32" s="5" t="str">
        <f t="array" ref="P32">IF(OR($A32="",ISBLANK(XLOOKUP($A32,Monitor_Asignado,Correos_Institucionales,"",0))),"",XLOOKUP($A32,Monitor_Asignado,Correos_Institucionales,"",0))</f>
        <v/>
      </c>
    </row>
    <row r="33" ht="15.75" customHeight="1">
      <c r="A33" s="5" t="s">
        <v>523</v>
      </c>
      <c r="B33" s="5"/>
      <c r="C33" s="17">
        <v>1800.0</v>
      </c>
      <c r="D33" s="5"/>
      <c r="E33" s="55" t="s">
        <v>1084</v>
      </c>
      <c r="F33" s="5" t="s">
        <v>1673</v>
      </c>
      <c r="G33" s="5" t="s">
        <v>1674</v>
      </c>
      <c r="H33" s="5"/>
      <c r="I33" s="5" t="s">
        <v>1091</v>
      </c>
      <c r="J33" s="5"/>
      <c r="K33" s="5" t="str">
        <f t="array" ref="K33">IF(OR($A33="",ISBLANK(XLOOKUP($A33,Monitor_Asignado,Nombres_Directorio,"",0))),"",XLOOKUP($A33,Monitor_Asignado,Nombres_Directorio,"",0))</f>
        <v>Uziel Sánchez Martínez</v>
      </c>
      <c r="L33" s="5" t="str">
        <f t="array" ref="L33">IF(OR($A33="",ISBLANK(XLOOKUP($A33,Monitor_Asignado,Sucursal_Asignada,"",0))),"",XLOOKUP($A33,Monitor_Asignado,Sucursal_Asignada,"",0))</f>
        <v>La Piedad</v>
      </c>
      <c r="M33" s="5" t="str">
        <f t="array" ref="M33">IF(OR($A33="",ISBLANK(XLOOKUP($A33,Monitor_Asignado,Departamento_Asignado,"",0))),"",XLOOKUP($A33,Monitor_Asignado,Departamento_Asignado,"",0))</f>
        <v>Refacciones</v>
      </c>
      <c r="N33" s="5" t="str">
        <f t="array" ref="N33">IF(OR($A33="",ISBLANK(XLOOKUP($A33,Monitor_Asignado,Nombres_Directorio,"",0))),"",XLOOKUP($A33,Monitor_Asignado,Nombres_Directorio,"",0))</f>
        <v>Uziel Sánchez Martínez</v>
      </c>
      <c r="O33" s="5" t="str">
        <f t="array" ref="O33">IF(OR($A33="",ISBLANK(XLOOKUP($A33,Monitor_Asignado,Correos_Gmail,"",0))),"",XLOOKUP($A33,Monitor_Asignado,Correos_Gmail,"",0))</f>
        <v>uzsanchez.agro@gmail.com</v>
      </c>
      <c r="P33" s="5" t="str">
        <f t="array" ref="P33">IF(OR($A33="",ISBLANK(XLOOKUP($A33,Monitor_Asignado,Correos_Institucionales,"",0))),"",XLOOKUP($A33,Monitor_Asignado,Correos_Institucionales,"",0))</f>
        <v>uziel.sanchez@agrocisa.com.mx</v>
      </c>
    </row>
    <row r="34" ht="15.75" customHeight="1">
      <c r="A34" s="56" t="s">
        <v>528</v>
      </c>
      <c r="B34" s="5"/>
      <c r="C34" s="17">
        <v>1800.0</v>
      </c>
      <c r="D34" s="5"/>
      <c r="E34" s="55" t="s">
        <v>1190</v>
      </c>
      <c r="F34" s="5" t="s">
        <v>1658</v>
      </c>
      <c r="G34" s="5" t="s">
        <v>1675</v>
      </c>
      <c r="H34" s="5"/>
      <c r="I34" s="5" t="s">
        <v>1091</v>
      </c>
      <c r="J34" s="5"/>
      <c r="K34" s="5" t="str">
        <f t="array" ref="K34">IF(OR($A34="",ISBLANK(XLOOKUP($A34,Monitor_Asignado,Nombres_Directorio,"",0))),"",XLOOKUP($A34,Monitor_Asignado,Nombres_Directorio,"",0))</f>
        <v>Manuel Martínez Rizo</v>
      </c>
      <c r="L34" s="5" t="str">
        <f t="array" ref="L34">IF(OR($A34="",ISBLANK(XLOOKUP($A34,Monitor_Asignado,Sucursal_Asignada,"",0))),"",XLOOKUP($A34,Monitor_Asignado,Sucursal_Asignada,"",0))</f>
        <v>La Piedad</v>
      </c>
      <c r="M34" s="5" t="str">
        <f t="array" ref="M34">IF(OR($A34="",ISBLANK(XLOOKUP($A34,Monitor_Asignado,Departamento_Asignado,"",0))),"",XLOOKUP($A34,Monitor_Asignado,Departamento_Asignado,"",0))</f>
        <v>Refacciones</v>
      </c>
      <c r="N34" s="5" t="str">
        <f t="array" ref="N34">IF(OR($A34="",ISBLANK(XLOOKUP($A34,Monitor_Asignado,Nombres_Directorio,"",0))),"",XLOOKUP($A34,Monitor_Asignado,Nombres_Directorio,"",0))</f>
        <v>Manuel Martínez Rizo</v>
      </c>
      <c r="O34" s="5" t="str">
        <f t="array" ref="O34">IF(OR($A34="",ISBLANK(XLOOKUP($A34,Monitor_Asignado,Correos_Gmail,"",0))),"",XLOOKUP($A34,Monitor_Asignado,Correos_Gmail,"",0))</f>
        <v>refaccioneslapieda01@agrocisa.com.mx</v>
      </c>
      <c r="P34" s="5" t="str">
        <f t="array" ref="P34">IF(OR($A34="",ISBLANK(XLOOKUP($A34,Monitor_Asignado,Correos_Institucionales,"",0))),"",XLOOKUP($A34,Monitor_Asignado,Correos_Institucionales,"",0))</f>
        <v>manuel.martinez@agrocisa.com.mx</v>
      </c>
    </row>
    <row r="35" ht="15.75" customHeight="1">
      <c r="A35" s="5" t="s">
        <v>539</v>
      </c>
      <c r="B35" s="5"/>
      <c r="C35" s="17">
        <v>2000.0</v>
      </c>
      <c r="D35" s="5"/>
      <c r="E35" s="55" t="s">
        <v>1205</v>
      </c>
      <c r="F35" s="5" t="s">
        <v>1676</v>
      </c>
      <c r="G35" s="5" t="s">
        <v>1677</v>
      </c>
      <c r="H35" s="5"/>
      <c r="I35" s="5" t="s">
        <v>1091</v>
      </c>
      <c r="J35" s="5"/>
      <c r="K35" s="5" t="str">
        <f t="array" ref="K35">IF(OR($A35="",ISBLANK(XLOOKUP($A35,Monitor_Asignado,Nombres_Directorio,"",0))),"",XLOOKUP($A35,Monitor_Asignado,Nombres_Directorio,"",0))</f>
        <v>María Fernanda Navarro Salazar</v>
      </c>
      <c r="L35" s="5" t="str">
        <f t="array" ref="L35">IF(OR($A35="",ISBLANK(XLOOKUP($A35,Monitor_Asignado,Sucursal_Asignada,"",0))),"",XLOOKUP($A35,Monitor_Asignado,Sucursal_Asignada,"",0))</f>
        <v>La Piedad</v>
      </c>
      <c r="M35" s="5" t="str">
        <f t="array" ref="M35">IF(OR($A35="",ISBLANK(XLOOKUP($A35,Monitor_Asignado,Departamento_Asignado,"",0))),"",XLOOKUP($A35,Monitor_Asignado,Departamento_Asignado,"",0))</f>
        <v>Servicio</v>
      </c>
      <c r="N35" s="5" t="str">
        <f t="array" ref="N35">IF(OR($A35="",ISBLANK(XLOOKUP($A35,Monitor_Asignado,Nombres_Directorio,"",0))),"",XLOOKUP($A35,Monitor_Asignado,Nombres_Directorio,"",0))</f>
        <v>María Fernanda Navarro Salazar</v>
      </c>
      <c r="O35" s="5" t="str">
        <f t="array" ref="O35">IF(OR($A35="",ISBLANK(XLOOKUP($A35,Monitor_Asignado,Correos_Gmail,"",0))),"",XLOOKUP($A35,Monitor_Asignado,Correos_Gmail,"",0))</f>
        <v>serviciolp.agro@gmail.com</v>
      </c>
      <c r="P35" s="5" t="str">
        <f t="array" ref="P35">IF(OR($A35="",ISBLANK(XLOOKUP($A35,Monitor_Asignado,Correos_Institucionales,"",0))),"",XLOOKUP($A35,Monitor_Asignado,Correos_Institucionales,"",0))</f>
        <v>serviciolapiedad@agrocisa.com.mx</v>
      </c>
    </row>
    <row r="36" ht="15.75" customHeight="1">
      <c r="A36" s="56" t="s">
        <v>542</v>
      </c>
      <c r="B36" s="5"/>
      <c r="C36" s="17">
        <v>2000.0</v>
      </c>
      <c r="D36" s="5"/>
      <c r="E36" s="55" t="s">
        <v>1205</v>
      </c>
      <c r="F36" s="5" t="s">
        <v>1658</v>
      </c>
      <c r="G36" s="5" t="s">
        <v>1678</v>
      </c>
      <c r="H36" s="5"/>
      <c r="I36" s="5" t="s">
        <v>1091</v>
      </c>
      <c r="J36" s="5"/>
      <c r="K36" s="5" t="str">
        <f t="array" ref="K36">IF(OR($A36="",ISBLANK(XLOOKUP($A36,Monitor_Asignado,Nombres_Directorio,"",0))),"",XLOOKUP($A36,Monitor_Asignado,Nombres_Directorio,"",0))</f>
        <v>Vacante Garantías LP</v>
      </c>
      <c r="L36" s="5" t="str">
        <f t="array" ref="L36">IF(OR($A36="",ISBLANK(XLOOKUP($A36,Monitor_Asignado,Sucursal_Asignada,"",0))),"",XLOOKUP($A36,Monitor_Asignado,Sucursal_Asignada,"",0))</f>
        <v>La Piedad</v>
      </c>
      <c r="M36" s="5" t="str">
        <f t="array" ref="M36">IF(OR($A36="",ISBLANK(XLOOKUP($A36,Monitor_Asignado,Departamento_Asignado,"",0))),"",XLOOKUP($A36,Monitor_Asignado,Departamento_Asignado,"",0))</f>
        <v>Servicio</v>
      </c>
      <c r="N36" s="5" t="str">
        <f t="array" ref="N36">IF(OR($A36="",ISBLANK(XLOOKUP($A36,Monitor_Asignado,Nombres_Directorio,"",0))),"",XLOOKUP($A36,Monitor_Asignado,Nombres_Directorio,"",0))</f>
        <v>Vacante Garantías LP</v>
      </c>
      <c r="O36" s="5" t="str">
        <f t="array" ref="O36">IF(OR($A36="",ISBLANK(XLOOKUP($A36,Monitor_Asignado,Correos_Gmail,"",0))),"",XLOOKUP($A36,Monitor_Asignado,Correos_Gmail,"",0))</f>
        <v>garantiaslapiedad@agrocisa.com.mx</v>
      </c>
      <c r="P36" s="5" t="str">
        <f t="array" ref="P36">IF(OR($A36="",ISBLANK(XLOOKUP($A36,Monitor_Asignado,Correos_Institucionales,"",0))),"",XLOOKUP($A36,Monitor_Asignado,Correos_Institucionales,"",0))</f>
        <v>garantiaslapiedad@agrocisa.com.mx</v>
      </c>
    </row>
    <row r="37" ht="15.75" customHeight="1">
      <c r="A37" s="5" t="s">
        <v>546</v>
      </c>
      <c r="B37" s="5"/>
      <c r="C37" s="17">
        <v>1500.0</v>
      </c>
      <c r="D37" s="5"/>
      <c r="E37" s="55" t="s">
        <v>1210</v>
      </c>
      <c r="F37" s="5" t="s">
        <v>1679</v>
      </c>
      <c r="G37" s="5" t="s">
        <v>1680</v>
      </c>
      <c r="H37" s="5"/>
      <c r="I37" s="5" t="s">
        <v>223</v>
      </c>
      <c r="J37" s="5"/>
      <c r="K37" s="5" t="str">
        <f t="array" ref="K37">IF(OR($A37="",ISBLANK(XLOOKUP($A37,Monitor_Asignado,Nombres_Directorio,"",0))),"",XLOOKUP($A37,Monitor_Asignado,Nombres_Directorio,"",0))</f>
        <v>Abraham Rodríguez Mendoza</v>
      </c>
      <c r="L37" s="5" t="str">
        <f t="array" ref="L37">IF(OR($A37="",ISBLANK(XLOOKUP($A37,Monitor_Asignado,Sucursal_Asignada,"",0))),"",XLOOKUP($A37,Monitor_Asignado,Sucursal_Asignada,"",0))</f>
        <v>La Piedad</v>
      </c>
      <c r="M37" s="5" t="str">
        <f t="array" ref="M37">IF(OR($A37="",ISBLANK(XLOOKUP($A37,Monitor_Asignado,Departamento_Asignado,"",0))),"",XLOOKUP($A37,Monitor_Asignado,Departamento_Asignado,"",0))</f>
        <v>Servicio</v>
      </c>
      <c r="N37" s="5" t="str">
        <f t="array" ref="N37">IF(OR($A37="",ISBLANK(XLOOKUP($A37,Monitor_Asignado,Nombres_Directorio,"",0))),"",XLOOKUP($A37,Monitor_Asignado,Nombres_Directorio,"",0))</f>
        <v>Abraham Rodríguez Mendoza</v>
      </c>
      <c r="O37" s="5" t="str">
        <f t="array" ref="O37">IF(OR($A37="",ISBLANK(XLOOKUP($A37,Monitor_Asignado,Correos_Gmail,"",0))),"",XLOOKUP($A37,Monitor_Asignado,Correos_Gmail,"",0))</f>
        <v>tallerlapiedad@agrocisa.com.mx</v>
      </c>
      <c r="P37" s="5" t="str">
        <f t="array" ref="P37">IF(OR($A37="",ISBLANK(XLOOKUP($A37,Monitor_Asignado,Correos_Institucionales,"",0))),"",XLOOKUP($A37,Monitor_Asignado,Correos_Institucionales,"",0))</f>
        <v>tallerlapiedad@agrocisa.com.mx</v>
      </c>
    </row>
    <row r="38" ht="15.75" customHeight="1">
      <c r="A38" s="5" t="s">
        <v>486</v>
      </c>
      <c r="B38" s="54" t="s">
        <v>1132</v>
      </c>
      <c r="C38" s="17">
        <v>3189.0</v>
      </c>
      <c r="D38" s="5"/>
      <c r="E38" s="55" t="s">
        <v>1214</v>
      </c>
      <c r="F38" s="5" t="s">
        <v>1652</v>
      </c>
      <c r="G38" s="5" t="s">
        <v>1681</v>
      </c>
      <c r="H38" s="5"/>
      <c r="I38" s="5" t="s">
        <v>1091</v>
      </c>
      <c r="J38" s="5"/>
      <c r="K38" s="5" t="str">
        <f t="array" ref="K38">IF(OR($A38="",ISBLANK(XLOOKUP($A38,Monitor_Asignado,Nombres_Directorio,"",0))),"",XLOOKUP($A38,Monitor_Asignado,Nombres_Directorio,"",0))</f>
        <v>Alicia Viridiana Rodríguez Paredes</v>
      </c>
      <c r="L38" s="5" t="str">
        <f t="array" ref="L38">IF(OR($A38="",ISBLANK(XLOOKUP($A38,Monitor_Asignado,Sucursal_Asignada,"",0))),"",XLOOKUP($A38,Monitor_Asignado,Sucursal_Asignada,"",0))</f>
        <v>La Piedad</v>
      </c>
      <c r="M38" s="5" t="str">
        <f t="array" ref="M38">IF(OR($A38="",ISBLANK(XLOOKUP($A38,Monitor_Asignado,Departamento_Asignado,"",0))),"",XLOOKUP($A38,Monitor_Asignado,Departamento_Asignado,"",0))</f>
        <v>Maquinaria</v>
      </c>
      <c r="N38" s="5" t="str">
        <f t="array" ref="N38">IF(OR($A38="",ISBLANK(XLOOKUP($A38,Monitor_Asignado,Nombres_Directorio,"",0))),"",XLOOKUP($A38,Monitor_Asignado,Nombres_Directorio,"",0))</f>
        <v>Alicia Viridiana Rodríguez Paredes</v>
      </c>
      <c r="O38" s="5" t="str">
        <f t="array" ref="O38">IF(OR($A38="",ISBLANK(XLOOKUP($A38,Monitor_Asignado,Correos_Gmail,"",0))),"",XLOOKUP($A38,Monitor_Asignado,Correos_Gmail,"",0))</f>
        <v>ventaslapiedad.agro@gmail.com</v>
      </c>
      <c r="P38" s="5" t="str">
        <f t="array" ref="P38">IF(OR($A38="",ISBLANK(XLOOKUP($A38,Monitor_Asignado,Correos_Institucionales,"",0))),"",XLOOKUP($A38,Monitor_Asignado,Correos_Institucionales,"",0))</f>
        <v>ventaslapiedad@agrocisa.com.mx</v>
      </c>
    </row>
    <row r="39" ht="15.75" customHeight="1">
      <c r="A39" s="5" t="s">
        <v>602</v>
      </c>
      <c r="B39" s="5"/>
      <c r="C39" s="17"/>
      <c r="D39" s="5"/>
      <c r="E39" s="55" t="s">
        <v>1084</v>
      </c>
      <c r="F39" s="5" t="s">
        <v>1658</v>
      </c>
      <c r="G39" s="5" t="s">
        <v>1682</v>
      </c>
      <c r="H39" s="5"/>
      <c r="I39" s="5" t="s">
        <v>1091</v>
      </c>
      <c r="J39" s="5"/>
      <c r="K39" s="5" t="str">
        <f t="array" ref="K39">IF(OR($A39="",ISBLANK(XLOOKUP($A39,Monitor_Asignado,Nombres_Directorio,"",0))),"",XLOOKUP($A39,Monitor_Asignado,Nombres_Directorio,"",0))</f>
        <v>Luis Ángel Reyes Tena </v>
      </c>
      <c r="L39" s="5" t="str">
        <f t="array" ref="L39">IF(OR($A39="",ISBLANK(XLOOKUP($A39,Monitor_Asignado,Sucursal_Asignada,"",0))),"",XLOOKUP($A39,Monitor_Asignado,Sucursal_Asignada,"",0))</f>
        <v>Morelia</v>
      </c>
      <c r="M39" s="5" t="str">
        <f t="array" ref="M39">IF(OR($A39="",ISBLANK(XLOOKUP($A39,Monitor_Asignado,Departamento_Asignado,"",0))),"",XLOOKUP($A39,Monitor_Asignado,Departamento_Asignado,"",0))</f>
        <v>Refacciones</v>
      </c>
      <c r="N39" s="5" t="str">
        <f t="array" ref="N39">IF(OR($A39="",ISBLANK(XLOOKUP($A39,Monitor_Asignado,Nombres_Directorio,"",0))),"",XLOOKUP($A39,Monitor_Asignado,Nombres_Directorio,"",0))</f>
        <v>Luis Ángel Reyes Tena </v>
      </c>
      <c r="O39" s="5" t="str">
        <f t="array" ref="O39">IF(OR($A39="",ISBLANK(XLOOKUP($A39,Monitor_Asignado,Correos_Gmail,"",0))),"",XLOOKUP($A39,Monitor_Asignado,Correos_Gmail,"",0))</f>
        <v>luis.reyes@agrocisa.com.mx</v>
      </c>
      <c r="P39" s="5" t="str">
        <f t="array" ref="P39">IF(OR($A39="",ISBLANK(XLOOKUP($A39,Monitor_Asignado,Correos_Institucionales,"",0))),"",XLOOKUP($A39,Monitor_Asignado,Correos_Institucionales,"",0))</f>
        <v>luis.reyes@agrocisa.com.mx</v>
      </c>
    </row>
    <row r="40" ht="15.75" customHeight="1">
      <c r="A40" s="56" t="s">
        <v>554</v>
      </c>
      <c r="B40" s="5"/>
      <c r="C40" s="73"/>
      <c r="D40" s="5"/>
      <c r="E40" s="55" t="s">
        <v>1084</v>
      </c>
      <c r="F40" s="5" t="s">
        <v>1658</v>
      </c>
      <c r="G40" s="5" t="s">
        <v>1683</v>
      </c>
      <c r="H40" s="5"/>
      <c r="I40" s="5" t="s">
        <v>1091</v>
      </c>
      <c r="J40" s="5"/>
      <c r="K40" s="5" t="str">
        <f t="array" ref="K40">IF(OR($A40="",ISBLANK(XLOOKUP($A40,Monitor_Asignado,Nombres_Directorio,"",0))),"",XLOOKUP($A40,Monitor_Asignado,Nombres_Directorio,"",0))</f>
        <v>Ana Karen Rocel Guerrero</v>
      </c>
      <c r="L40" s="5" t="str">
        <f t="array" ref="L40">IF(OR($A40="",ISBLANK(XLOOKUP($A40,Monitor_Asignado,Sucursal_Asignada,"",0))),"",XLOOKUP($A40,Monitor_Asignado,Sucursal_Asignada,"",0))</f>
        <v>Morelia</v>
      </c>
      <c r="M40" s="5" t="str">
        <f t="array" ref="M40">IF(OR($A40="",ISBLANK(XLOOKUP($A40,Monitor_Asignado,Departamento_Asignado,"",0))),"",XLOOKUP($A40,Monitor_Asignado,Departamento_Asignado,"",0))</f>
        <v>Crédito y Cobranza</v>
      </c>
      <c r="N40" s="5" t="str">
        <f t="array" ref="N40">IF(OR($A40="",ISBLANK(XLOOKUP($A40,Monitor_Asignado,Nombres_Directorio,"",0))),"",XLOOKUP($A40,Monitor_Asignado,Nombres_Directorio,"",0))</f>
        <v>Ana Karen Rocel Guerrero</v>
      </c>
      <c r="O40" s="5" t="str">
        <f t="array" ref="O40">IF(OR($A40="",ISBLANK(XLOOKUP($A40,Monitor_Asignado,Correos_Gmail,"",0))),"",XLOOKUP($A40,Monitor_Asignado,Correos_Gmail,"",0))</f>
        <v>cajamorelia@agrocisa.com.mx</v>
      </c>
      <c r="P40" s="5" t="str">
        <f t="array" ref="P40">IF(OR($A40="",ISBLANK(XLOOKUP($A40,Monitor_Asignado,Correos_Institucionales,"",0))),"",XLOOKUP($A40,Monitor_Asignado,Correos_Institucionales,"",0))</f>
        <v>cajamorelia@agrocisa.com.mx</v>
      </c>
    </row>
    <row r="41" ht="15.75" customHeight="1">
      <c r="A41" s="5" t="s">
        <v>1684</v>
      </c>
      <c r="B41" s="5"/>
      <c r="C41" s="17"/>
      <c r="D41" s="5"/>
      <c r="E41" s="55" t="s">
        <v>1084</v>
      </c>
      <c r="F41" s="5" t="s">
        <v>1673</v>
      </c>
      <c r="G41" s="5" t="s">
        <v>1685</v>
      </c>
      <c r="H41" s="5"/>
      <c r="I41" s="5" t="s">
        <v>1091</v>
      </c>
      <c r="J41" s="5"/>
      <c r="K41" s="5" t="str">
        <f t="array" ref="K41">IF(OR($A41="",ISBLANK(XLOOKUP($A41,Monitor_Asignado,Nombres_Directorio,"",0))),"",XLOOKUP($A41,Monitor_Asignado,Nombres_Directorio,"",0))</f>
        <v/>
      </c>
      <c r="L41" s="5" t="str">
        <f t="array" ref="L41">IF(OR($A41="",ISBLANK(XLOOKUP($A41,Monitor_Asignado,Sucursal_Asignada,"",0))),"",XLOOKUP($A41,Monitor_Asignado,Sucursal_Asignada,"",0))</f>
        <v/>
      </c>
      <c r="M41" s="5" t="str">
        <f t="array" ref="M41">IF(OR($A41="",ISBLANK(XLOOKUP($A41,Monitor_Asignado,Departamento_Asignado,"",0))),"",XLOOKUP($A41,Monitor_Asignado,Departamento_Asignado,"",0))</f>
        <v/>
      </c>
      <c r="N41" s="5" t="str">
        <f t="array" ref="N41">IF(OR($A41="",ISBLANK(XLOOKUP($A41,Monitor_Asignado,Nombres_Directorio,"",0))),"",XLOOKUP($A41,Monitor_Asignado,Nombres_Directorio,"",0))</f>
        <v/>
      </c>
      <c r="O41" s="5" t="str">
        <f t="array" ref="O41">IF(OR($A41="",ISBLANK(XLOOKUP($A41,Monitor_Asignado,Correos_Gmail,"",0))),"",XLOOKUP($A41,Monitor_Asignado,Correos_Gmail,"",0))</f>
        <v/>
      </c>
      <c r="P41" s="5" t="str">
        <f t="array" ref="P41">IF(OR($A41="",ISBLANK(XLOOKUP($A41,Monitor_Asignado,Correos_Institucionales,"",0))),"",XLOOKUP($A41,Monitor_Asignado,Correos_Institucionales,"",0))</f>
        <v/>
      </c>
    </row>
    <row r="42" ht="15.75" customHeight="1">
      <c r="A42" s="56" t="s">
        <v>616</v>
      </c>
      <c r="B42" s="5"/>
      <c r="C42" s="17"/>
      <c r="D42" s="5"/>
      <c r="E42" s="55" t="s">
        <v>1084</v>
      </c>
      <c r="F42" s="5" t="s">
        <v>1658</v>
      </c>
      <c r="G42" s="5" t="s">
        <v>1686</v>
      </c>
      <c r="H42" s="5"/>
      <c r="I42" s="5" t="s">
        <v>1091</v>
      </c>
      <c r="J42" s="5"/>
      <c r="K42" s="5" t="str">
        <f t="array" ref="K42">IF(OR($A42="",ISBLANK(XLOOKUP($A42,Monitor_Asignado,Nombres_Directorio,"",0))),"",XLOOKUP($A42,Monitor_Asignado,Nombres_Directorio,"",0))</f>
        <v>Yadira Torres Barajas</v>
      </c>
      <c r="L42" s="5" t="str">
        <f t="array" ref="L42">IF(OR($A42="",ISBLANK(XLOOKUP($A42,Monitor_Asignado,Sucursal_Asignada,"",0))),"",XLOOKUP($A42,Monitor_Asignado,Sucursal_Asignada,"",0))</f>
        <v>Morelia</v>
      </c>
      <c r="M42" s="5" t="str">
        <f t="array" ref="M42">IF(OR($A42="",ISBLANK(XLOOKUP($A42,Monitor_Asignado,Departamento_Asignado,"",0))),"",XLOOKUP($A42,Monitor_Asignado,Departamento_Asignado,"",0))</f>
        <v>Refacciones</v>
      </c>
      <c r="N42" s="5" t="str">
        <f t="array" ref="N42">IF(OR($A42="",ISBLANK(XLOOKUP($A42,Monitor_Asignado,Nombres_Directorio,"",0))),"",XLOOKUP($A42,Monitor_Asignado,Nombres_Directorio,"",0))</f>
        <v>Yadira Torres Barajas</v>
      </c>
      <c r="O42" s="5" t="str">
        <f t="array" ref="O42">IF(OR($A42="",ISBLANK(XLOOKUP($A42,Monitor_Asignado,Correos_Gmail,"",0))),"",XLOOKUP($A42,Monitor_Asignado,Correos_Gmail,"",0))</f>
        <v>refamostradormorelia.agro@gmail.com</v>
      </c>
      <c r="P42" s="5" t="str">
        <f t="array" ref="P42">IF(OR($A42="",ISBLANK(XLOOKUP($A42,Monitor_Asignado,Correos_Institucionales,"",0))),"",XLOOKUP($A42,Monitor_Asignado,Correos_Institucionales,"",0))</f>
        <v>yadira.torres@agrocisa.com.mx</v>
      </c>
    </row>
    <row r="43" ht="15.75" customHeight="1">
      <c r="A43" s="56" t="s">
        <v>606</v>
      </c>
      <c r="B43" s="5"/>
      <c r="C43" s="17">
        <v>2300.0</v>
      </c>
      <c r="D43" s="5"/>
      <c r="E43" s="55" t="s">
        <v>1216</v>
      </c>
      <c r="F43" s="5" t="s">
        <v>1658</v>
      </c>
      <c r="G43" s="5" t="s">
        <v>1687</v>
      </c>
      <c r="H43" s="5"/>
      <c r="I43" s="5" t="s">
        <v>1091</v>
      </c>
      <c r="J43" s="5"/>
      <c r="K43" s="5" t="str">
        <f t="array" ref="K43">IF(OR($A43="",ISBLANK(XLOOKUP($A43,Monitor_Asignado,Nombres_Directorio,"",0))),"",XLOOKUP($A43,Monitor_Asignado,Nombres_Directorio,"",0))</f>
        <v>Jaime Salazar Guzmán</v>
      </c>
      <c r="L43" s="5" t="str">
        <f t="array" ref="L43">IF(OR($A43="",ISBLANK(XLOOKUP($A43,Monitor_Asignado,Sucursal_Asignada,"",0))),"",XLOOKUP($A43,Monitor_Asignado,Sucursal_Asignada,"",0))</f>
        <v>Morelia</v>
      </c>
      <c r="M43" s="5" t="str">
        <f t="array" ref="M43">IF(OR($A43="",ISBLANK(XLOOKUP($A43,Monitor_Asignado,Departamento_Asignado,"",0))),"",XLOOKUP($A43,Monitor_Asignado,Departamento_Asignado,"",0))</f>
        <v>Refacciones</v>
      </c>
      <c r="N43" s="5" t="str">
        <f t="array" ref="N43">IF(OR($A43="",ISBLANK(XLOOKUP($A43,Monitor_Asignado,Nombres_Directorio,"",0))),"",XLOOKUP($A43,Monitor_Asignado,Nombres_Directorio,"",0))</f>
        <v>Jaime Salazar Guzmán</v>
      </c>
      <c r="O43" s="5" t="str">
        <f t="array" ref="O43">IF(OR($A43="",ISBLANK(XLOOKUP($A43,Monitor_Asignado,Correos_Gmail,"",0))),"",XLOOKUP($A43,Monitor_Asignado,Correos_Gmail,"",0))</f>
        <v>jaimesalazar.agro@gmail.com</v>
      </c>
      <c r="P43" s="5" t="str">
        <f t="array" ref="P43">IF(OR($A43="",ISBLANK(XLOOKUP($A43,Monitor_Asignado,Correos_Institucionales,"",0))),"",XLOOKUP($A43,Monitor_Asignado,Correos_Institucionales,"",0))</f>
        <v>jaime.salazar@agrocisa.com.mx</v>
      </c>
    </row>
    <row r="44" ht="15.75" customHeight="1">
      <c r="A44" s="5" t="s">
        <v>611</v>
      </c>
      <c r="B44" s="5"/>
      <c r="C44" s="17"/>
      <c r="D44" s="5"/>
      <c r="E44" s="55" t="s">
        <v>1084</v>
      </c>
      <c r="F44" s="5" t="s">
        <v>1658</v>
      </c>
      <c r="G44" s="5" t="s">
        <v>1688</v>
      </c>
      <c r="H44" s="5"/>
      <c r="I44" s="5" t="s">
        <v>1091</v>
      </c>
      <c r="J44" s="5"/>
      <c r="K44" s="5" t="str">
        <f t="array" ref="K44">IF(OR($A44="",ISBLANK(XLOOKUP($A44,Monitor_Asignado,Nombres_Directorio,"",0))),"",XLOOKUP($A44,Monitor_Asignado,Nombres_Directorio,"",0))</f>
        <v>Juan José Márquez Villanueva</v>
      </c>
      <c r="L44" s="5" t="str">
        <f t="array" ref="L44">IF(OR($A44="",ISBLANK(XLOOKUP($A44,Monitor_Asignado,Sucursal_Asignada,"",0))),"",XLOOKUP($A44,Monitor_Asignado,Sucursal_Asignada,"",0))</f>
        <v>Morelia</v>
      </c>
      <c r="M44" s="5" t="str">
        <f t="array" ref="M44">IF(OR($A44="",ISBLANK(XLOOKUP($A44,Monitor_Asignado,Departamento_Asignado,"",0))),"",XLOOKUP($A44,Monitor_Asignado,Departamento_Asignado,"",0))</f>
        <v>Refacciones</v>
      </c>
      <c r="N44" s="5" t="str">
        <f t="array" ref="N44">IF(OR($A44="",ISBLANK(XLOOKUP($A44,Monitor_Asignado,Nombres_Directorio,"",0))),"",XLOOKUP($A44,Monitor_Asignado,Nombres_Directorio,"",0))</f>
        <v>Juan José Márquez Villanueva</v>
      </c>
      <c r="O44" s="5" t="str">
        <f t="array" ref="O44">IF(OR($A44="",ISBLANK(XLOOKUP($A44,Monitor_Asignado,Correos_Gmail,"",0))),"",XLOOKUP($A44,Monitor_Asignado,Correos_Gmail,"",0))</f>
        <v>refacciones.mozona02.agro@gmail.com</v>
      </c>
      <c r="P44" s="5" t="str">
        <f t="array" ref="P44">IF(OR($A44="",ISBLANK(XLOOKUP($A44,Monitor_Asignado,Correos_Institucionales,"",0))),"",XLOOKUP($A44,Monitor_Asignado,Correos_Institucionales,"",0))</f>
        <v>juan.marquez@agrocisa.com.mx</v>
      </c>
    </row>
    <row r="45" ht="15.75" customHeight="1">
      <c r="A45" s="5" t="s">
        <v>620</v>
      </c>
      <c r="B45" s="5"/>
      <c r="C45" s="17">
        <v>2200.0</v>
      </c>
      <c r="D45" s="5"/>
      <c r="E45" s="55" t="s">
        <v>1216</v>
      </c>
      <c r="F45" s="5" t="s">
        <v>1689</v>
      </c>
      <c r="G45" s="5" t="s">
        <v>1690</v>
      </c>
      <c r="H45" s="5"/>
      <c r="I45" s="5" t="s">
        <v>1091</v>
      </c>
      <c r="J45" s="5"/>
      <c r="K45" s="5" t="str">
        <f t="array" ref="K45">IF(OR($A45="",ISBLANK(XLOOKUP($A45,Monitor_Asignado,Nombres_Directorio,"",0))),"",XLOOKUP($A45,Monitor_Asignado,Nombres_Directorio,"",0))</f>
        <v>Gabriela González Hinojosa</v>
      </c>
      <c r="L45" s="5" t="str">
        <f t="array" ref="L45">IF(OR($A45="",ISBLANK(XLOOKUP($A45,Monitor_Asignado,Sucursal_Asignada,"",0))),"",XLOOKUP($A45,Monitor_Asignado,Sucursal_Asignada,"",0))</f>
        <v>Morelia</v>
      </c>
      <c r="M45" s="5" t="str">
        <f t="array" ref="M45">IF(OR($A45="",ISBLANK(XLOOKUP($A45,Monitor_Asignado,Departamento_Asignado,"",0))),"",XLOOKUP($A45,Monitor_Asignado,Departamento_Asignado,"",0))</f>
        <v>Servicio</v>
      </c>
      <c r="N45" s="5" t="str">
        <f t="array" ref="N45">IF(OR($A45="",ISBLANK(XLOOKUP($A45,Monitor_Asignado,Nombres_Directorio,"",0))),"",XLOOKUP($A45,Monitor_Asignado,Nombres_Directorio,"",0))</f>
        <v>Gabriela González Hinojosa</v>
      </c>
      <c r="O45" s="5" t="str">
        <f t="array" ref="O45">IF(OR($A45="",ISBLANK(XLOOKUP($A45,Monitor_Asignado,Correos_Gmail,"",0))),"",XLOOKUP($A45,Monitor_Asignado,Correos_Gmail,"",0))</f>
        <v>servicio.mo.agro@gmail.com</v>
      </c>
      <c r="P45" s="5" t="str">
        <f t="array" ref="P45">IF(OR($A45="",ISBLANK(XLOOKUP($A45,Monitor_Asignado,Correos_Institucionales,"",0))),"",XLOOKUP($A45,Monitor_Asignado,Correos_Institucionales,"",0))</f>
        <v>serviciomorelia@agrocisa.com.mx</v>
      </c>
    </row>
    <row r="46" ht="15.75" customHeight="1">
      <c r="A46" s="5" t="s">
        <v>625</v>
      </c>
      <c r="B46" s="5"/>
      <c r="C46" s="17">
        <v>2300.0</v>
      </c>
      <c r="D46" s="5"/>
      <c r="E46" s="55" t="s">
        <v>1216</v>
      </c>
      <c r="F46" s="5" t="s">
        <v>1691</v>
      </c>
      <c r="G46" s="5" t="s">
        <v>1692</v>
      </c>
      <c r="H46" s="5"/>
      <c r="I46" s="5" t="s">
        <v>1091</v>
      </c>
      <c r="J46" s="5"/>
      <c r="K46" s="5" t="str">
        <f t="array" ref="K46">IF(OR($A46="",ISBLANK(XLOOKUP($A46,Monitor_Asignado,Nombres_Directorio,"",0))),"",XLOOKUP($A46,Monitor_Asignado,Nombres_Directorio,"",0))</f>
        <v>Vacante Jefe de Taller Morelia</v>
      </c>
      <c r="L46" s="5" t="str">
        <f t="array" ref="L46">IF(OR($A46="",ISBLANK(XLOOKUP($A46,Monitor_Asignado,Sucursal_Asignada,"",0))),"",XLOOKUP($A46,Monitor_Asignado,Sucursal_Asignada,"",0))</f>
        <v>Morelia</v>
      </c>
      <c r="M46" s="5" t="str">
        <f t="array" ref="M46">IF(OR($A46="",ISBLANK(XLOOKUP($A46,Monitor_Asignado,Departamento_Asignado,"",0))),"",XLOOKUP($A46,Monitor_Asignado,Departamento_Asignado,"",0))</f>
        <v>Servicio</v>
      </c>
      <c r="N46" s="5" t="str">
        <f t="array" ref="N46">IF(OR($A46="",ISBLANK(XLOOKUP($A46,Monitor_Asignado,Nombres_Directorio,"",0))),"",XLOOKUP($A46,Monitor_Asignado,Nombres_Directorio,"",0))</f>
        <v>Vacante Jefe de Taller Morelia</v>
      </c>
      <c r="O46" s="5" t="str">
        <f t="array" ref="O46">IF(OR($A46="",ISBLANK(XLOOKUP($A46,Monitor_Asignado,Correos_Gmail,"",0))),"",XLOOKUP($A46,Monitor_Asignado,Correos_Gmail,"",0))</f>
        <v>tallermor.agro@gmail.com</v>
      </c>
      <c r="P46" s="5" t="str">
        <f t="array" ref="P46">IF(OR($A46="",ISBLANK(XLOOKUP($A46,Monitor_Asignado,Correos_Institucionales,"",0))),"",XLOOKUP($A46,Monitor_Asignado,Correos_Institucionales,"",0))</f>
        <v>tallermorelia@agrocisa.com.mx</v>
      </c>
    </row>
    <row r="47" ht="15.75" customHeight="1">
      <c r="A47" s="5" t="s">
        <v>560</v>
      </c>
      <c r="B47" s="5"/>
      <c r="C47" s="17">
        <v>2500.0</v>
      </c>
      <c r="D47" s="5"/>
      <c r="E47" s="55" t="s">
        <v>1216</v>
      </c>
      <c r="F47" s="5" t="s">
        <v>1658</v>
      </c>
      <c r="G47" s="5" t="s">
        <v>1693</v>
      </c>
      <c r="H47" s="5"/>
      <c r="I47" s="5" t="s">
        <v>1091</v>
      </c>
      <c r="J47" s="5"/>
      <c r="K47" s="5" t="str">
        <f t="array" ref="K47">IF(OR($A47="",ISBLANK(XLOOKUP($A47,Monitor_Asignado,Nombres_Directorio,"",0))),"",XLOOKUP($A47,Monitor_Asignado,Nombres_Directorio,"",0))</f>
        <v>Karla Edith Escalante Rodríguez</v>
      </c>
      <c r="L47" s="5" t="str">
        <f t="array" ref="L47">IF(OR($A47="",ISBLANK(XLOOKUP($A47,Monitor_Asignado,Sucursal_Asignada,"",0))),"",XLOOKUP($A47,Monitor_Asignado,Sucursal_Asignada,"",0))</f>
        <v>Morelia</v>
      </c>
      <c r="M47" s="5" t="str">
        <f t="array" ref="M47">IF(OR($A47="",ISBLANK(XLOOKUP($A47,Monitor_Asignado,Departamento_Asignado,"",0))),"",XLOOKUP($A47,Monitor_Asignado,Departamento_Asignado,"",0))</f>
        <v>Maquinaria</v>
      </c>
      <c r="N47" s="5" t="str">
        <f t="array" ref="N47">IF(OR($A47="",ISBLANK(XLOOKUP($A47,Monitor_Asignado,Nombres_Directorio,"",0))),"",XLOOKUP($A47,Monitor_Asignado,Nombres_Directorio,"",0))</f>
        <v>Karla Edith Escalante Rodríguez</v>
      </c>
      <c r="O47" s="5" t="str">
        <f t="array" ref="O47">IF(OR($A47="",ISBLANK(XLOOKUP($A47,Monitor_Asignado,Correos_Gmail,"",0))),"",XLOOKUP($A47,Monitor_Asignado,Correos_Gmail,"",0))</f>
        <v>ventasmorelia.agro@gmail.com</v>
      </c>
      <c r="P47" s="5" t="str">
        <f t="array" ref="P47">IF(OR($A47="",ISBLANK(XLOOKUP($A47,Monitor_Asignado,Correos_Institucionales,"",0))),"",XLOOKUP($A47,Monitor_Asignado,Correos_Institucionales,"",0))</f>
        <v>ventas.morelia@agrocisa.com.mx</v>
      </c>
    </row>
    <row r="48" ht="15.75" customHeight="1">
      <c r="A48" s="5" t="s">
        <v>679</v>
      </c>
      <c r="B48" s="5"/>
      <c r="C48" s="17"/>
      <c r="D48" s="5"/>
      <c r="E48" s="55" t="s">
        <v>1084</v>
      </c>
      <c r="F48" s="5" t="s">
        <v>1694</v>
      </c>
      <c r="G48" s="5" t="s">
        <v>1695</v>
      </c>
      <c r="H48" s="5"/>
      <c r="I48" s="5" t="s">
        <v>1091</v>
      </c>
      <c r="J48" s="5"/>
      <c r="K48" s="5" t="str">
        <f t="array" ref="K48">IF(OR($A48="",ISBLANK(XLOOKUP($A48,Monitor_Asignado,Nombres_Directorio,"",0))),"",XLOOKUP($A48,Monitor_Asignado,Nombres_Directorio,"",0))</f>
        <v>Pedro Castañeda Vázquez</v>
      </c>
      <c r="L48" s="5" t="str">
        <f t="array" ref="L48">IF(OR($A48="",ISBLANK(XLOOKUP($A48,Monitor_Asignado,Sucursal_Asignada,"",0))),"",XLOOKUP($A48,Monitor_Asignado,Sucursal_Asignada,"",0))</f>
        <v>Pénjamo</v>
      </c>
      <c r="M48" s="5" t="str">
        <f t="array" ref="M48">IF(OR($A48="",ISBLANK(XLOOKUP($A48,Monitor_Asignado,Departamento_Asignado,"",0))),"",XLOOKUP($A48,Monitor_Asignado,Departamento_Asignado,"",0))</f>
        <v>Refacciones</v>
      </c>
      <c r="N48" s="5" t="str">
        <f t="array" ref="N48">IF(OR($A48="",ISBLANK(XLOOKUP($A48,Monitor_Asignado,Nombres_Directorio,"",0))),"",XLOOKUP($A48,Monitor_Asignado,Nombres_Directorio,"",0))</f>
        <v>Pedro Castañeda Vázquez</v>
      </c>
      <c r="O48" s="5" t="str">
        <f t="array" ref="O48">IF(OR($A48="",ISBLANK(XLOOKUP($A48,Monitor_Asignado,Correos_Gmail,"",0))),"",XLOOKUP($A48,Monitor_Asignado,Correos_Gmail,"",0))</f>
        <v>pcastaneda.agro@gmail.com</v>
      </c>
      <c r="P48" s="5" t="str">
        <f t="array" ref="P48">IF(OR($A48="",ISBLANK(XLOOKUP($A48,Monitor_Asignado,Correos_Institucionales,"",0))),"",XLOOKUP($A48,Monitor_Asignado,Correos_Institucionales,"",0))</f>
        <v>pedro.castaneda@agrocisa.com.mx</v>
      </c>
    </row>
    <row r="49" ht="15.75" customHeight="1">
      <c r="A49" s="5" t="s">
        <v>636</v>
      </c>
      <c r="B49" s="5"/>
      <c r="C49" s="17">
        <v>2500.0</v>
      </c>
      <c r="D49" s="5"/>
      <c r="E49" s="55" t="s">
        <v>1230</v>
      </c>
      <c r="F49" s="5" t="s">
        <v>1694</v>
      </c>
      <c r="G49" s="5" t="s">
        <v>1696</v>
      </c>
      <c r="H49" s="5"/>
      <c r="I49" s="5" t="s">
        <v>1091</v>
      </c>
      <c r="J49" s="5"/>
      <c r="K49" s="5" t="str">
        <f t="array" ref="K49">IF(OR($A49="",ISBLANK(XLOOKUP($A49,Monitor_Asignado,Nombres_Directorio,"",0))),"",XLOOKUP($A49,Monitor_Asignado,Nombres_Directorio,"",0))</f>
        <v>Nancy Yaneth Arroyo Cabello</v>
      </c>
      <c r="L49" s="5" t="str">
        <f t="array" ref="L49">IF(OR($A49="",ISBLANK(XLOOKUP($A49,Monitor_Asignado,Sucursal_Asignada,"",0))),"",XLOOKUP($A49,Monitor_Asignado,Sucursal_Asignada,"",0))</f>
        <v>Pénjamo</v>
      </c>
      <c r="M49" s="5" t="str">
        <f t="array" ref="M49">IF(OR($A49="",ISBLANK(XLOOKUP($A49,Monitor_Asignado,Departamento_Asignado,"",0))),"",XLOOKUP($A49,Monitor_Asignado,Departamento_Asignado,"",0))</f>
        <v>Maquinaria</v>
      </c>
      <c r="N49" s="5" t="str">
        <f t="array" ref="N49">IF(OR($A49="",ISBLANK(XLOOKUP($A49,Monitor_Asignado,Nombres_Directorio,"",0))),"",XLOOKUP($A49,Monitor_Asignado,Nombres_Directorio,"",0))</f>
        <v>Nancy Yaneth Arroyo Cabello</v>
      </c>
      <c r="O49" s="5" t="str">
        <f t="array" ref="O49">IF(OR($A49="",ISBLANK(XLOOKUP($A49,Monitor_Asignado,Correos_Gmail,"",0))),"",XLOOKUP($A49,Monitor_Asignado,Correos_Gmail,"",0))</f>
        <v>ventaspenjamo@agrocisa.com.mx</v>
      </c>
      <c r="P49" s="5" t="str">
        <f t="array" ref="P49">IF(OR($A49="",ISBLANK(XLOOKUP($A49,Monitor_Asignado,Correos_Institucionales,"",0))),"",XLOOKUP($A49,Monitor_Asignado,Correos_Institucionales,"",0))</f>
        <v>ventaspenjamo@agrocisa.com.mx</v>
      </c>
    </row>
    <row r="50" ht="15.75" customHeight="1">
      <c r="A50" s="5" t="s">
        <v>633</v>
      </c>
      <c r="B50" s="5"/>
      <c r="C50" s="17"/>
      <c r="D50" s="5"/>
      <c r="E50" s="55" t="s">
        <v>1084</v>
      </c>
      <c r="F50" s="5" t="s">
        <v>1694</v>
      </c>
      <c r="G50" s="5" t="s">
        <v>1697</v>
      </c>
      <c r="H50" s="5"/>
      <c r="I50" s="5" t="s">
        <v>1091</v>
      </c>
      <c r="J50" s="5"/>
      <c r="K50" s="5" t="str">
        <f t="array" ref="K50">IF(OR($A50="",ISBLANK(XLOOKUP($A50,Monitor_Asignado,Nombres_Directorio,"",0))),"",XLOOKUP($A50,Monitor_Asignado,Nombres_Directorio,"",0))</f>
        <v>María Guadalupe Gutiérrez Magaña</v>
      </c>
      <c r="L50" s="5" t="str">
        <f t="array" ref="L50">IF(OR($A50="",ISBLANK(XLOOKUP($A50,Monitor_Asignado,Sucursal_Asignada,"",0))),"",XLOOKUP($A50,Monitor_Asignado,Sucursal_Asignada,"",0))</f>
        <v>Pénjamo</v>
      </c>
      <c r="M50" s="5" t="str">
        <f t="array" ref="M50">IF(OR($A50="",ISBLANK(XLOOKUP($A50,Monitor_Asignado,Departamento_Asignado,"",0))),"",XLOOKUP($A50,Monitor_Asignado,Departamento_Asignado,"",0))</f>
        <v>Crédito y Cobranza</v>
      </c>
      <c r="N50" s="5" t="str">
        <f t="array" ref="N50">IF(OR($A50="",ISBLANK(XLOOKUP($A50,Monitor_Asignado,Nombres_Directorio,"",0))),"",XLOOKUP($A50,Monitor_Asignado,Nombres_Directorio,"",0))</f>
        <v>María Guadalupe Gutiérrez Magaña</v>
      </c>
      <c r="O50" s="5" t="str">
        <f t="array" ref="O50">IF(OR($A50="",ISBLANK(XLOOKUP($A50,Monitor_Asignado,Correos_Gmail,"",0))),"",XLOOKUP($A50,Monitor_Asignado,Correos_Gmail,"",0))</f>
        <v>lgutierrez.agro@gmail.com</v>
      </c>
      <c r="P50" s="5" t="str">
        <f t="array" ref="P50">IF(OR($A50="",ISBLANK(XLOOKUP($A50,Monitor_Asignado,Correos_Institucionales,"",0))),"",XLOOKUP($A50,Monitor_Asignado,Correos_Institucionales,"",0))</f>
        <v>guadalupe.gutierrez@agrocisa.com.mx</v>
      </c>
    </row>
    <row r="51" ht="15.75" customHeight="1">
      <c r="A51" s="5" t="s">
        <v>683</v>
      </c>
      <c r="B51" s="5"/>
      <c r="C51" s="17"/>
      <c r="D51" s="5"/>
      <c r="E51" s="55" t="s">
        <v>1084</v>
      </c>
      <c r="F51" s="5" t="s">
        <v>1694</v>
      </c>
      <c r="G51" s="5" t="s">
        <v>1698</v>
      </c>
      <c r="H51" s="5"/>
      <c r="I51" s="5" t="s">
        <v>1091</v>
      </c>
      <c r="J51" s="5"/>
      <c r="K51" s="5" t="str">
        <f t="array" ref="K51">IF(OR($A51="",ISBLANK(XLOOKUP($A51,Monitor_Asignado,Nombres_Directorio,"",0))),"",XLOOKUP($A51,Monitor_Asignado,Nombres_Directorio,"",0))</f>
        <v>Lorena González Macías</v>
      </c>
      <c r="L51" s="5" t="str">
        <f t="array" ref="L51">IF(OR($A51="",ISBLANK(XLOOKUP($A51,Monitor_Asignado,Sucursal_Asignada,"",0))),"",XLOOKUP($A51,Monitor_Asignado,Sucursal_Asignada,"",0))</f>
        <v>Pénjamo</v>
      </c>
      <c r="M51" s="5" t="str">
        <f t="array" ref="M51">IF(OR($A51="",ISBLANK(XLOOKUP($A51,Monitor_Asignado,Departamento_Asignado,"",0))),"",XLOOKUP($A51,Monitor_Asignado,Departamento_Asignado,"",0))</f>
        <v>Servicio</v>
      </c>
      <c r="N51" s="5" t="str">
        <f t="array" ref="N51">IF(OR($A51="",ISBLANK(XLOOKUP($A51,Monitor_Asignado,Nombres_Directorio,"",0))),"",XLOOKUP($A51,Monitor_Asignado,Nombres_Directorio,"",0))</f>
        <v>Lorena González Macías</v>
      </c>
      <c r="O51" s="5" t="str">
        <f t="array" ref="O51">IF(OR($A51="",ISBLANK(XLOOKUP($A51,Monitor_Asignado,Correos_Gmail,"",0))),"",XLOOKUP($A51,Monitor_Asignado,Correos_Gmail,"",0))</f>
        <v>garantiaspj.agro@gmail.com</v>
      </c>
      <c r="P51" s="5" t="str">
        <f t="array" ref="P51">IF(OR($A51="",ISBLANK(XLOOKUP($A51,Monitor_Asignado,Correos_Institucionales,"",0))),"",XLOOKUP($A51,Monitor_Asignado,Correos_Institucionales,"",0))</f>
        <v>garantias.pj@agrocisa.com.mx</v>
      </c>
    </row>
    <row r="52" ht="15.75" customHeight="1">
      <c r="A52" s="5" t="s">
        <v>1699</v>
      </c>
      <c r="B52" s="5"/>
      <c r="C52" s="17"/>
      <c r="D52" s="5"/>
      <c r="E52" s="55" t="s">
        <v>1084</v>
      </c>
      <c r="F52" s="5" t="s">
        <v>1700</v>
      </c>
      <c r="G52" s="5">
        <v>80220.0</v>
      </c>
      <c r="H52" s="5"/>
      <c r="I52" s="5" t="s">
        <v>223</v>
      </c>
      <c r="J52" s="5"/>
      <c r="K52" s="5" t="str">
        <f t="array" ref="K52">IF(OR($A52="",ISBLANK(XLOOKUP($A52,Monitor_Asignado,Nombres_Directorio,"",0))),"",XLOOKUP($A52,Monitor_Asignado,Nombres_Directorio,"",0))</f>
        <v/>
      </c>
      <c r="L52" s="5" t="str">
        <f t="array" ref="L52">IF(OR($A52="",ISBLANK(XLOOKUP($A52,Monitor_Asignado,Sucursal_Asignada,"",0))),"",XLOOKUP($A52,Monitor_Asignado,Sucursal_Asignada,"",0))</f>
        <v/>
      </c>
      <c r="M52" s="5" t="str">
        <f t="array" ref="M52">IF(OR($A52="",ISBLANK(XLOOKUP($A52,Monitor_Asignado,Departamento_Asignado,"",0))),"",XLOOKUP($A52,Monitor_Asignado,Departamento_Asignado,"",0))</f>
        <v/>
      </c>
      <c r="N52" s="5" t="str">
        <f t="array" ref="N52">IF(OR($A52="",ISBLANK(XLOOKUP($A52,Monitor_Asignado,Nombres_Directorio,"",0))),"",XLOOKUP($A52,Monitor_Asignado,Nombres_Directorio,"",0))</f>
        <v/>
      </c>
      <c r="O52" s="5" t="str">
        <f t="array" ref="O52">IF(OR($A52="",ISBLANK(XLOOKUP($A52,Monitor_Asignado,Correos_Gmail,"",0))),"",XLOOKUP($A52,Monitor_Asignado,Correos_Gmail,"",0))</f>
        <v/>
      </c>
      <c r="P52" s="5" t="str">
        <f t="array" ref="P52">IF(OR($A52="",ISBLANK(XLOOKUP($A52,Monitor_Asignado,Correos_Institucionales,"",0))),"",XLOOKUP($A52,Monitor_Asignado,Correos_Institucionales,"",0))</f>
        <v/>
      </c>
    </row>
    <row r="53" ht="15.75" customHeight="1">
      <c r="A53" s="5" t="s">
        <v>675</v>
      </c>
      <c r="B53" s="5"/>
      <c r="C53" s="17"/>
      <c r="D53" s="5"/>
      <c r="E53" s="55" t="s">
        <v>1084</v>
      </c>
      <c r="F53" s="5" t="s">
        <v>1673</v>
      </c>
      <c r="G53" s="5" t="s">
        <v>1701</v>
      </c>
      <c r="H53" s="5"/>
      <c r="I53" s="5" t="s">
        <v>1091</v>
      </c>
      <c r="J53" s="5"/>
      <c r="K53" s="5" t="str">
        <f t="array" ref="K53">IF(OR($A53="",ISBLANK(XLOOKUP($A53,Monitor_Asignado,Nombres_Directorio,"",0))),"",XLOOKUP($A53,Monitor_Asignado,Nombres_Directorio,"",0))</f>
        <v>Brenda Alcocer Alcocer</v>
      </c>
      <c r="L53" s="5" t="str">
        <f t="array" ref="L53">IF(OR($A53="",ISBLANK(XLOOKUP($A53,Monitor_Asignado,Sucursal_Asignada,"",0))),"",XLOOKUP($A53,Monitor_Asignado,Sucursal_Asignada,"",0))</f>
        <v>Pénjamo</v>
      </c>
      <c r="M53" s="5" t="str">
        <f t="array" ref="M53">IF(OR($A53="",ISBLANK(XLOOKUP($A53,Monitor_Asignado,Departamento_Asignado,"",0))),"",XLOOKUP($A53,Monitor_Asignado,Departamento_Asignado,"",0))</f>
        <v>Refacciones</v>
      </c>
      <c r="N53" s="5" t="str">
        <f t="array" ref="N53">IF(OR($A53="",ISBLANK(XLOOKUP($A53,Monitor_Asignado,Nombres_Directorio,"",0))),"",XLOOKUP($A53,Monitor_Asignado,Nombres_Directorio,"",0))</f>
        <v>Brenda Alcocer Alcocer</v>
      </c>
      <c r="O53" s="5" t="str">
        <f t="array" ref="O53">IF(OR($A53="",ISBLANK(XLOOKUP($A53,Monitor_Asignado,Correos_Gmail,"",0))),"",XLOOKUP($A53,Monitor_Asignado,Correos_Gmail,"",0))</f>
        <v>refapj.agro@gmail.com</v>
      </c>
      <c r="P53" s="5" t="str">
        <f t="array" ref="P53">IF(OR($A53="",ISBLANK(XLOOKUP($A53,Monitor_Asignado,Correos_Institucionales,"",0))),"",XLOOKUP($A53,Monitor_Asignado,Correos_Institucionales,"",0))</f>
        <v>brenda.alcocer@agrocisa.com.mx</v>
      </c>
    </row>
    <row r="54" ht="15.75" customHeight="1">
      <c r="A54" s="5" t="s">
        <v>670</v>
      </c>
      <c r="B54" s="5"/>
      <c r="C54" s="17"/>
      <c r="D54" s="5"/>
      <c r="E54" s="55" t="s">
        <v>1084</v>
      </c>
      <c r="F54" s="5" t="s">
        <v>1702</v>
      </c>
      <c r="G54" s="5" t="s">
        <v>1703</v>
      </c>
      <c r="H54" s="5"/>
      <c r="I54" s="5" t="s">
        <v>1091</v>
      </c>
      <c r="J54" s="5"/>
      <c r="K54" s="5" t="str">
        <f t="array" ref="K54">IF(OR($A54="",ISBLANK(XLOOKUP($A54,Monitor_Asignado,Nombres_Directorio,"",0))),"",XLOOKUP($A54,Monitor_Asignado,Nombres_Directorio,"",0))</f>
        <v>Uriel Martínez Martínez</v>
      </c>
      <c r="L54" s="5" t="str">
        <f t="array" ref="L54">IF(OR($A54="",ISBLANK(XLOOKUP($A54,Monitor_Asignado,Sucursal_Asignada,"",0))),"",XLOOKUP($A54,Monitor_Asignado,Sucursal_Asignada,"",0))</f>
        <v>Pénjamo</v>
      </c>
      <c r="M54" s="5" t="str">
        <f t="array" ref="M54">IF(OR($A54="",ISBLANK(XLOOKUP($A54,Monitor_Asignado,Departamento_Asignado,"",0))),"",XLOOKUP($A54,Monitor_Asignado,Departamento_Asignado,"",0))</f>
        <v>Refacciones</v>
      </c>
      <c r="N54" s="5" t="str">
        <f t="array" ref="N54">IF(OR($A54="",ISBLANK(XLOOKUP($A54,Monitor_Asignado,Nombres_Directorio,"",0))),"",XLOOKUP($A54,Monitor_Asignado,Nombres_Directorio,"",0))</f>
        <v>Uriel Martínez Martínez</v>
      </c>
      <c r="O54" s="5" t="str">
        <f t="array" ref="O54">IF(OR($A54="",ISBLANK(XLOOKUP($A54,Monitor_Asignado,Correos_Gmail,"",0))),"",XLOOKUP($A54,Monitor_Asignado,Correos_Gmail,"",0))</f>
        <v>uriel.martinez@agrocisa.com.mx</v>
      </c>
      <c r="P54" s="5" t="str">
        <f t="array" ref="P54">IF(OR($A54="",ISBLANK(XLOOKUP($A54,Monitor_Asignado,Correos_Institucionales,"",0))),"",XLOOKUP($A54,Monitor_Asignado,Correos_Institucionales,"",0))</f>
        <v>uriel.martinez@agrocisa.com.mx</v>
      </c>
    </row>
    <row r="55" ht="15.75" customHeight="1">
      <c r="A55" s="5" t="s">
        <v>1241</v>
      </c>
      <c r="B55" s="5"/>
      <c r="C55" s="17"/>
      <c r="D55" s="5"/>
      <c r="E55" s="55" t="s">
        <v>1084</v>
      </c>
      <c r="F55" s="5" t="s">
        <v>1704</v>
      </c>
      <c r="G55" s="5" t="s">
        <v>1705</v>
      </c>
      <c r="H55" s="5"/>
      <c r="I55" s="5" t="s">
        <v>223</v>
      </c>
      <c r="J55" s="5"/>
      <c r="K55" s="5" t="str">
        <f t="array" ref="K55">IF(OR($A55="",ISBLANK(XLOOKUP($A55,Monitor_Asignado,Nombres_Directorio,"",0))),"",XLOOKUP($A55,Monitor_Asignado,Nombres_Directorio,"",0))</f>
        <v/>
      </c>
      <c r="L55" s="5" t="str">
        <f t="array" ref="L55">IF(OR($A55="",ISBLANK(XLOOKUP($A55,Monitor_Asignado,Sucursal_Asignada,"",0))),"",XLOOKUP($A55,Monitor_Asignado,Sucursal_Asignada,"",0))</f>
        <v/>
      </c>
      <c r="M55" s="5" t="str">
        <f t="array" ref="M55">IF(OR($A55="",ISBLANK(XLOOKUP($A55,Monitor_Asignado,Departamento_Asignado,"",0))),"",XLOOKUP($A55,Monitor_Asignado,Departamento_Asignado,"",0))</f>
        <v/>
      </c>
      <c r="N55" s="5" t="str">
        <f t="array" ref="N55">IF(OR($A55="",ISBLANK(XLOOKUP($A55,Monitor_Asignado,Nombres_Directorio,"",0))),"",XLOOKUP($A55,Monitor_Asignado,Nombres_Directorio,"",0))</f>
        <v/>
      </c>
      <c r="O55" s="5" t="str">
        <f t="array" ref="O55">IF(OR($A55="",ISBLANK(XLOOKUP($A55,Monitor_Asignado,Correos_Gmail,"",0))),"",XLOOKUP($A55,Monitor_Asignado,Correos_Gmail,"",0))</f>
        <v/>
      </c>
      <c r="P55" s="5" t="str">
        <f t="array" ref="P55">IF(OR($A55="",ISBLANK(XLOOKUP($A55,Monitor_Asignado,Correos_Institucionales,"",0))),"",XLOOKUP($A55,Monitor_Asignado,Correos_Institucionales,"",0))</f>
        <v/>
      </c>
    </row>
    <row r="56" ht="15.75" customHeight="1">
      <c r="A56" s="5" t="s">
        <v>1244</v>
      </c>
      <c r="B56" s="5"/>
      <c r="C56" s="17"/>
      <c r="D56" s="5"/>
      <c r="E56" s="55" t="s">
        <v>1084</v>
      </c>
      <c r="F56" s="5" t="s">
        <v>1658</v>
      </c>
      <c r="G56" s="5" t="s">
        <v>1706</v>
      </c>
      <c r="H56" s="5"/>
      <c r="I56" s="5" t="s">
        <v>1091</v>
      </c>
      <c r="J56" s="5"/>
      <c r="K56" s="5" t="str">
        <f t="array" ref="K56">IF(OR($A56="",ISBLANK(XLOOKUP($A56,Monitor_Asignado,Nombres_Directorio,"",0))),"",XLOOKUP($A56,Monitor_Asignado,Nombres_Directorio,"",0))</f>
        <v/>
      </c>
      <c r="L56" s="5" t="str">
        <f t="array" ref="L56">IF(OR($A56="",ISBLANK(XLOOKUP($A56,Monitor_Asignado,Sucursal_Asignada,"",0))),"",XLOOKUP($A56,Monitor_Asignado,Sucursal_Asignada,"",0))</f>
        <v/>
      </c>
      <c r="M56" s="5" t="str">
        <f t="array" ref="M56">IF(OR($A56="",ISBLANK(XLOOKUP($A56,Monitor_Asignado,Departamento_Asignado,"",0))),"",XLOOKUP($A56,Monitor_Asignado,Departamento_Asignado,"",0))</f>
        <v/>
      </c>
      <c r="N56" s="5" t="str">
        <f t="array" ref="N56">IF(OR($A56="",ISBLANK(XLOOKUP($A56,Monitor_Asignado,Nombres_Directorio,"",0))),"",XLOOKUP($A56,Monitor_Asignado,Nombres_Directorio,"",0))</f>
        <v/>
      </c>
      <c r="O56" s="5" t="str">
        <f t="array" ref="O56">IF(OR($A56="",ISBLANK(XLOOKUP($A56,Monitor_Asignado,Correos_Gmail,"",0))),"",XLOOKUP($A56,Monitor_Asignado,Correos_Gmail,"",0))</f>
        <v/>
      </c>
      <c r="P56" s="5" t="str">
        <f t="array" ref="P56">IF(OR($A56="",ISBLANK(XLOOKUP($A56,Monitor_Asignado,Correos_Institucionales,"",0))),"",XLOOKUP($A56,Monitor_Asignado,Correos_Institucionales,"",0))</f>
        <v/>
      </c>
    </row>
    <row r="57" ht="15.75" customHeight="1">
      <c r="A57" s="5" t="s">
        <v>1247</v>
      </c>
      <c r="B57" s="5"/>
      <c r="C57" s="17"/>
      <c r="D57" s="5"/>
      <c r="E57" s="55" t="s">
        <v>1084</v>
      </c>
      <c r="F57" s="5" t="s">
        <v>1707</v>
      </c>
      <c r="G57" s="5" t="s">
        <v>1708</v>
      </c>
      <c r="H57" s="5"/>
      <c r="I57" s="5" t="s">
        <v>223</v>
      </c>
      <c r="J57" s="5"/>
      <c r="K57" s="5" t="str">
        <f t="array" ref="K57">IF(OR($A57="",ISBLANK(XLOOKUP($A57,Monitor_Asignado,Nombres_Directorio,"",0))),"",XLOOKUP($A57,Monitor_Asignado,Nombres_Directorio,"",0))</f>
        <v/>
      </c>
      <c r="L57" s="5" t="str">
        <f t="array" ref="L57">IF(OR($A57="",ISBLANK(XLOOKUP($A57,Monitor_Asignado,Sucursal_Asignada,"",0))),"",XLOOKUP($A57,Monitor_Asignado,Sucursal_Asignada,"",0))</f>
        <v/>
      </c>
      <c r="M57" s="5" t="str">
        <f t="array" ref="M57">IF(OR($A57="",ISBLANK(XLOOKUP($A57,Monitor_Asignado,Departamento_Asignado,"",0))),"",XLOOKUP($A57,Monitor_Asignado,Departamento_Asignado,"",0))</f>
        <v/>
      </c>
      <c r="N57" s="5" t="str">
        <f t="array" ref="N57">IF(OR($A57="",ISBLANK(XLOOKUP($A57,Monitor_Asignado,Nombres_Directorio,"",0))),"",XLOOKUP($A57,Monitor_Asignado,Nombres_Directorio,"",0))</f>
        <v/>
      </c>
      <c r="O57" s="5" t="str">
        <f t="array" ref="O57">IF(OR($A57="",ISBLANK(XLOOKUP($A57,Monitor_Asignado,Correos_Gmail,"",0))),"",XLOOKUP($A57,Monitor_Asignado,Correos_Gmail,"",0))</f>
        <v/>
      </c>
      <c r="P57" s="5" t="str">
        <f t="array" ref="P57">IF(OR($A57="",ISBLANK(XLOOKUP($A57,Monitor_Asignado,Correos_Institucionales,"",0))),"",XLOOKUP($A57,Monitor_Asignado,Correos_Institucionales,"",0))</f>
        <v/>
      </c>
    </row>
    <row r="58" ht="15.75" customHeight="1">
      <c r="A58" s="5" t="s">
        <v>697</v>
      </c>
      <c r="B58" s="5"/>
      <c r="C58" s="17"/>
      <c r="D58" s="5"/>
      <c r="E58" s="55" t="s">
        <v>1084</v>
      </c>
      <c r="F58" s="5" t="s">
        <v>1658</v>
      </c>
      <c r="G58" s="5" t="s">
        <v>1709</v>
      </c>
      <c r="H58" s="5"/>
      <c r="I58" s="5" t="s">
        <v>1091</v>
      </c>
      <c r="J58" s="5"/>
      <c r="K58" s="5" t="str">
        <f t="array" ref="K58">IF(OR($A58="",ISBLANK(XLOOKUP($A58,Monitor_Asignado,Nombres_Directorio,"",0))),"",XLOOKUP($A58,Monitor_Asignado,Nombres_Directorio,"",0))</f>
        <v>Maribel Cervantes Flores</v>
      </c>
      <c r="L58" s="5" t="str">
        <f t="array" ref="L58">IF(OR($A58="",ISBLANK(XLOOKUP($A58,Monitor_Asignado,Sucursal_Asignada,"",0))),"",XLOOKUP($A58,Monitor_Asignado,Sucursal_Asignada,"",0))</f>
        <v>Poncitlán</v>
      </c>
      <c r="M58" s="5" t="str">
        <f t="array" ref="M58">IF(OR($A58="",ISBLANK(XLOOKUP($A58,Monitor_Asignado,Departamento_Asignado,"",0))),"",XLOOKUP($A58,Monitor_Asignado,Departamento_Asignado,"",0))</f>
        <v>Crédito y Cobranza</v>
      </c>
      <c r="N58" s="5" t="str">
        <f t="array" ref="N58">IF(OR($A58="",ISBLANK(XLOOKUP($A58,Monitor_Asignado,Nombres_Directorio,"",0))),"",XLOOKUP($A58,Monitor_Asignado,Nombres_Directorio,"",0))</f>
        <v>Maribel Cervantes Flores</v>
      </c>
      <c r="O58" s="5" t="str">
        <f t="array" ref="O58">IF(OR($A58="",ISBLANK(XLOOKUP($A58,Monitor_Asignado,Correos_Gmail,"",0))),"",XLOOKUP($A58,Monitor_Asignado,Correos_Gmail,"",0))</f>
        <v>cajaponcitlan@agrocisa.com.mx</v>
      </c>
      <c r="P58" s="5" t="str">
        <f t="array" ref="P58">IF(OR($A58="",ISBLANK(XLOOKUP($A58,Monitor_Asignado,Correos_Institucionales,"",0))),"",XLOOKUP($A58,Monitor_Asignado,Correos_Institucionales,"",0))</f>
        <v>cajaponcitlan@agrocisa.com.mx</v>
      </c>
    </row>
    <row r="59" ht="15.75" customHeight="1">
      <c r="A59" s="5" t="s">
        <v>1254</v>
      </c>
      <c r="B59" s="5"/>
      <c r="C59" s="17"/>
      <c r="D59" s="5"/>
      <c r="E59" s="55" t="s">
        <v>1084</v>
      </c>
      <c r="F59" s="5" t="s">
        <v>1658</v>
      </c>
      <c r="G59" s="5" t="s">
        <v>1710</v>
      </c>
      <c r="H59" s="5"/>
      <c r="I59" s="5" t="s">
        <v>1091</v>
      </c>
      <c r="J59" s="5"/>
      <c r="K59" s="5" t="str">
        <f t="array" ref="K59">IF(OR($A59="",ISBLANK(XLOOKUP($A59,Monitor_Asignado,Nombres_Directorio,"",0))),"",XLOOKUP($A59,Monitor_Asignado,Nombres_Directorio,"",0))</f>
        <v/>
      </c>
      <c r="L59" s="5" t="str">
        <f t="array" ref="L59">IF(OR($A59="",ISBLANK(XLOOKUP($A59,Monitor_Asignado,Sucursal_Asignada,"",0))),"",XLOOKUP($A59,Monitor_Asignado,Sucursal_Asignada,"",0))</f>
        <v/>
      </c>
      <c r="M59" s="5" t="str">
        <f t="array" ref="M59">IF(OR($A59="",ISBLANK(XLOOKUP($A59,Monitor_Asignado,Departamento_Asignado,"",0))),"",XLOOKUP($A59,Monitor_Asignado,Departamento_Asignado,"",0))</f>
        <v/>
      </c>
      <c r="N59" s="5" t="str">
        <f t="array" ref="N59">IF(OR($A59="",ISBLANK(XLOOKUP($A59,Monitor_Asignado,Nombres_Directorio,"",0))),"",XLOOKUP($A59,Monitor_Asignado,Nombres_Directorio,"",0))</f>
        <v/>
      </c>
      <c r="O59" s="5" t="str">
        <f t="array" ref="O59">IF(OR($A59="",ISBLANK(XLOOKUP($A59,Monitor_Asignado,Correos_Gmail,"",0))),"",XLOOKUP($A59,Monitor_Asignado,Correos_Gmail,"",0))</f>
        <v/>
      </c>
      <c r="P59" s="5" t="str">
        <f t="array" ref="P59">IF(OR($A59="",ISBLANK(XLOOKUP($A59,Monitor_Asignado,Correos_Institucionales,"",0))),"",XLOOKUP($A59,Monitor_Asignado,Correos_Institucionales,"",0))</f>
        <v/>
      </c>
    </row>
    <row r="60" ht="15.75" customHeight="1">
      <c r="A60" s="5" t="s">
        <v>1258</v>
      </c>
      <c r="B60" s="5"/>
      <c r="C60" s="17"/>
      <c r="D60" s="5"/>
      <c r="E60" s="55" t="s">
        <v>1084</v>
      </c>
      <c r="F60" s="5" t="s">
        <v>1658</v>
      </c>
      <c r="G60" s="5" t="s">
        <v>1711</v>
      </c>
      <c r="H60" s="5"/>
      <c r="I60" s="5" t="s">
        <v>1091</v>
      </c>
      <c r="J60" s="5"/>
      <c r="K60" s="5" t="str">
        <f t="array" ref="K60">IF(OR($A60="",ISBLANK(XLOOKUP($A60,Monitor_Asignado,Nombres_Directorio,"",0))),"",XLOOKUP($A60,Monitor_Asignado,Nombres_Directorio,"",0))</f>
        <v/>
      </c>
      <c r="L60" s="5" t="str">
        <f t="array" ref="L60">IF(OR($A60="",ISBLANK(XLOOKUP($A60,Monitor_Asignado,Sucursal_Asignada,"",0))),"",XLOOKUP($A60,Monitor_Asignado,Sucursal_Asignada,"",0))</f>
        <v/>
      </c>
      <c r="M60" s="5" t="str">
        <f t="array" ref="M60">IF(OR($A60="",ISBLANK(XLOOKUP($A60,Monitor_Asignado,Departamento_Asignado,"",0))),"",XLOOKUP($A60,Monitor_Asignado,Departamento_Asignado,"",0))</f>
        <v/>
      </c>
      <c r="N60" s="5" t="str">
        <f t="array" ref="N60">IF(OR($A60="",ISBLANK(XLOOKUP($A60,Monitor_Asignado,Nombres_Directorio,"",0))),"",XLOOKUP($A60,Monitor_Asignado,Nombres_Directorio,"",0))</f>
        <v/>
      </c>
      <c r="O60" s="5" t="str">
        <f t="array" ref="O60">IF(OR($A60="",ISBLANK(XLOOKUP($A60,Monitor_Asignado,Correos_Gmail,"",0))),"",XLOOKUP($A60,Monitor_Asignado,Correos_Gmail,"",0))</f>
        <v/>
      </c>
      <c r="P60" s="5" t="str">
        <f t="array" ref="P60">IF(OR($A60="",ISBLANK(XLOOKUP($A60,Monitor_Asignado,Correos_Institucionales,"",0))),"",XLOOKUP($A60,Monitor_Asignado,Correos_Institucionales,"",0))</f>
        <v/>
      </c>
    </row>
    <row r="61" ht="15.75" customHeight="1">
      <c r="A61" s="5" t="s">
        <v>1263</v>
      </c>
      <c r="B61" s="5"/>
      <c r="C61" s="17"/>
      <c r="D61" s="5"/>
      <c r="E61" s="55" t="s">
        <v>1084</v>
      </c>
      <c r="F61" s="5" t="s">
        <v>1658</v>
      </c>
      <c r="G61" s="5" t="s">
        <v>1712</v>
      </c>
      <c r="H61" s="5"/>
      <c r="I61" s="5" t="s">
        <v>1091</v>
      </c>
      <c r="J61" s="5"/>
      <c r="K61" s="5" t="str">
        <f t="array" ref="K61">IF(OR($A61="",ISBLANK(XLOOKUP($A61,Monitor_Asignado,Nombres_Directorio,"",0))),"",XLOOKUP($A61,Monitor_Asignado,Nombres_Directorio,"",0))</f>
        <v/>
      </c>
      <c r="L61" s="5" t="str">
        <f t="array" ref="L61">IF(OR($A61="",ISBLANK(XLOOKUP($A61,Monitor_Asignado,Sucursal_Asignada,"",0))),"",XLOOKUP($A61,Monitor_Asignado,Sucursal_Asignada,"",0))</f>
        <v/>
      </c>
      <c r="M61" s="5" t="str">
        <f t="array" ref="M61">IF(OR($A61="",ISBLANK(XLOOKUP($A61,Monitor_Asignado,Departamento_Asignado,"",0))),"",XLOOKUP($A61,Monitor_Asignado,Departamento_Asignado,"",0))</f>
        <v/>
      </c>
      <c r="N61" s="5" t="str">
        <f t="array" ref="N61">IF(OR($A61="",ISBLANK(XLOOKUP($A61,Monitor_Asignado,Nombres_Directorio,"",0))),"",XLOOKUP($A61,Monitor_Asignado,Nombres_Directorio,"",0))</f>
        <v/>
      </c>
      <c r="O61" s="5" t="str">
        <f t="array" ref="O61">IF(OR($A61="",ISBLANK(XLOOKUP($A61,Monitor_Asignado,Correos_Gmail,"",0))),"",XLOOKUP($A61,Monitor_Asignado,Correos_Gmail,"",0))</f>
        <v/>
      </c>
      <c r="P61" s="5" t="str">
        <f t="array" ref="P61">IF(OR($A61="",ISBLANK(XLOOKUP($A61,Monitor_Asignado,Correos_Institucionales,"",0))),"",XLOOKUP($A61,Monitor_Asignado,Correos_Institucionales,"",0))</f>
        <v/>
      </c>
    </row>
    <row r="62" ht="15.75" customHeight="1">
      <c r="A62" s="5" t="s">
        <v>735</v>
      </c>
      <c r="B62" s="5"/>
      <c r="C62" s="17"/>
      <c r="D62" s="5"/>
      <c r="E62" s="55" t="s">
        <v>1084</v>
      </c>
      <c r="F62" s="5" t="s">
        <v>1645</v>
      </c>
      <c r="G62" s="5" t="s">
        <v>1713</v>
      </c>
      <c r="H62" s="5"/>
      <c r="I62" s="5" t="s">
        <v>1091</v>
      </c>
      <c r="J62" s="5"/>
      <c r="K62" s="5" t="str">
        <f t="array" ref="K62">IF(OR($A62="",ISBLANK(XLOOKUP($A62,Monitor_Asignado,Nombres_Directorio,"",0))),"",XLOOKUP($A62,Monitor_Asignado,Nombres_Directorio,"",0))</f>
        <v>Patricia Yunuen Vázquez Villa </v>
      </c>
      <c r="L62" s="5" t="str">
        <f t="array" ref="L62">IF(OR($A62="",ISBLANK(XLOOKUP($A62,Monitor_Asignado,Sucursal_Asignada,"",0))),"",XLOOKUP($A62,Monitor_Asignado,Sucursal_Asignada,"",0))</f>
        <v>Poncitlán</v>
      </c>
      <c r="M62" s="5" t="str">
        <f t="array" ref="M62">IF(OR($A62="",ISBLANK(XLOOKUP($A62,Monitor_Asignado,Departamento_Asignado,"",0))),"",XLOOKUP($A62,Monitor_Asignado,Departamento_Asignado,"",0))</f>
        <v>Servicio</v>
      </c>
      <c r="N62" s="5" t="str">
        <f t="array" ref="N62">IF(OR($A62="",ISBLANK(XLOOKUP($A62,Monitor_Asignado,Nombres_Directorio,"",0))),"",XLOOKUP($A62,Monitor_Asignado,Nombres_Directorio,"",0))</f>
        <v>Patricia Yunuen Vázquez Villa </v>
      </c>
      <c r="O62" s="5" t="str">
        <f t="array" ref="O62">IF(OR($A62="",ISBLANK(XLOOKUP($A62,Monitor_Asignado,Correos_Gmail,"",0))),"",XLOOKUP($A62,Monitor_Asignado,Correos_Gmail,"",0))</f>
        <v>pvazquez.agro@gmail.com</v>
      </c>
      <c r="P62" s="5" t="str">
        <f t="array" ref="P62">IF(OR($A62="",ISBLANK(XLOOKUP($A62,Monitor_Asignado,Correos_Institucionales,"",0))),"",XLOOKUP($A62,Monitor_Asignado,Correos_Institucionales,"",0))</f>
        <v>patricia.vazquez@agrocisa.com.mx</v>
      </c>
    </row>
    <row r="63" ht="15.75" customHeight="1">
      <c r="A63" s="5" t="s">
        <v>738</v>
      </c>
      <c r="B63" s="5"/>
      <c r="C63" s="17">
        <v>950.0</v>
      </c>
      <c r="D63" s="5"/>
      <c r="E63" s="55" t="s">
        <v>1266</v>
      </c>
      <c r="F63" s="5" t="s">
        <v>1714</v>
      </c>
      <c r="G63" s="5" t="s">
        <v>1715</v>
      </c>
      <c r="H63" s="5"/>
      <c r="I63" s="5" t="s">
        <v>223</v>
      </c>
      <c r="J63" s="5"/>
      <c r="K63" s="5" t="str">
        <f t="array" ref="K63">IF(OR($A63="",ISBLANK(XLOOKUP($A63,Monitor_Asignado,Nombres_Directorio,"",0))),"",XLOOKUP($A63,Monitor_Asignado,Nombres_Directorio,"",0))</f>
        <v>César Enrique Flores Franco</v>
      </c>
      <c r="L63" s="5" t="str">
        <f t="array" ref="L63">IF(OR($A63="",ISBLANK(XLOOKUP($A63,Monitor_Asignado,Sucursal_Asignada,"",0))),"",XLOOKUP($A63,Monitor_Asignado,Sucursal_Asignada,"",0))</f>
        <v>Poncitlán</v>
      </c>
      <c r="M63" s="5" t="str">
        <f t="array" ref="M63">IF(OR($A63="",ISBLANK(XLOOKUP($A63,Monitor_Asignado,Departamento_Asignado,"",0))),"",XLOOKUP($A63,Monitor_Asignado,Departamento_Asignado,"",0))</f>
        <v>Servicio</v>
      </c>
      <c r="N63" s="5" t="str">
        <f t="array" ref="N63">IF(OR($A63="",ISBLANK(XLOOKUP($A63,Monitor_Asignado,Nombres_Directorio,"",0))),"",XLOOKUP($A63,Monitor_Asignado,Nombres_Directorio,"",0))</f>
        <v>César Enrique Flores Franco</v>
      </c>
      <c r="O63" s="5" t="str">
        <f t="array" ref="O63">IF(OR($A63="",ISBLANK(XLOOKUP($A63,Monitor_Asignado,Correos_Gmail,"",0))),"",XLOOKUP($A63,Monitor_Asignado,Correos_Gmail,"",0))</f>
        <v>tallerponcitlan@agrocisa.com.mx</v>
      </c>
      <c r="P63" s="5" t="str">
        <f t="array" ref="P63">IF(OR($A63="",ISBLANK(XLOOKUP($A63,Monitor_Asignado,Correos_Institucionales,"",0))),"",XLOOKUP($A63,Monitor_Asignado,Correos_Institucionales,"",0))</f>
        <v>tallerponcitlan@agrocisa.com.mx</v>
      </c>
    </row>
    <row r="64" ht="15.75" customHeight="1">
      <c r="A64" s="5" t="s">
        <v>1269</v>
      </c>
      <c r="B64" s="5"/>
      <c r="C64" s="17"/>
      <c r="D64" s="5"/>
      <c r="E64" s="55" t="s">
        <v>1084</v>
      </c>
      <c r="F64" s="5" t="s">
        <v>1716</v>
      </c>
      <c r="G64" s="5" t="s">
        <v>1717</v>
      </c>
      <c r="H64" s="5"/>
      <c r="I64" s="5" t="s">
        <v>223</v>
      </c>
      <c r="J64" s="5"/>
      <c r="K64" s="5" t="str">
        <f t="array" ref="K64">IF(OR($A64="",ISBLANK(XLOOKUP($A64,Monitor_Asignado,Nombres_Directorio,"",0))),"",XLOOKUP($A64,Monitor_Asignado,Nombres_Directorio,"",0))</f>
        <v/>
      </c>
      <c r="L64" s="5" t="str">
        <f t="array" ref="L64">IF(OR($A64="",ISBLANK(XLOOKUP($A64,Monitor_Asignado,Sucursal_Asignada,"",0))),"",XLOOKUP($A64,Monitor_Asignado,Sucursal_Asignada,"",0))</f>
        <v/>
      </c>
      <c r="M64" s="5" t="str">
        <f t="array" ref="M64">IF(OR($A64="",ISBLANK(XLOOKUP($A64,Monitor_Asignado,Departamento_Asignado,"",0))),"",XLOOKUP($A64,Monitor_Asignado,Departamento_Asignado,"",0))</f>
        <v/>
      </c>
      <c r="N64" s="5" t="str">
        <f t="array" ref="N64">IF(OR($A64="",ISBLANK(XLOOKUP($A64,Monitor_Asignado,Nombres_Directorio,"",0))),"",XLOOKUP($A64,Monitor_Asignado,Nombres_Directorio,"",0))</f>
        <v/>
      </c>
      <c r="O64" s="5" t="str">
        <f t="array" ref="O64">IF(OR($A64="",ISBLANK(XLOOKUP($A64,Monitor_Asignado,Correos_Gmail,"",0))),"",XLOOKUP($A64,Monitor_Asignado,Correos_Gmail,"",0))</f>
        <v/>
      </c>
      <c r="P64" s="5" t="str">
        <f t="array" ref="P64">IF(OR($A64="",ISBLANK(XLOOKUP($A64,Monitor_Asignado,Correos_Institucionales,"",0))),"",XLOOKUP($A64,Monitor_Asignado,Correos_Institucionales,"",0))</f>
        <v/>
      </c>
    </row>
    <row r="65" ht="15.75" customHeight="1">
      <c r="A65" s="5" t="s">
        <v>703</v>
      </c>
      <c r="B65" s="5"/>
      <c r="C65" s="17"/>
      <c r="D65" s="5"/>
      <c r="E65" s="55" t="s">
        <v>1084</v>
      </c>
      <c r="F65" s="5" t="s">
        <v>1673</v>
      </c>
      <c r="G65" s="5" t="s">
        <v>1718</v>
      </c>
      <c r="H65" s="5"/>
      <c r="I65" s="5" t="s">
        <v>1091</v>
      </c>
      <c r="J65" s="5"/>
      <c r="K65" s="5" t="str">
        <f t="array" ref="K65">IF(OR($A65="",ISBLANK(XLOOKUP($A65,Monitor_Asignado,Nombres_Directorio,"",0))),"",XLOOKUP($A65,Monitor_Asignado,Nombres_Directorio,"",0))</f>
        <v>Airam Monserrat Vázquez Segura</v>
      </c>
      <c r="L65" s="5" t="str">
        <f t="array" ref="L65">IF(OR($A65="",ISBLANK(XLOOKUP($A65,Monitor_Asignado,Sucursal_Asignada,"",0))),"",XLOOKUP($A65,Monitor_Asignado,Sucursal_Asignada,"",0))</f>
        <v>Poncitlán</v>
      </c>
      <c r="M65" s="5" t="str">
        <f t="array" ref="M65">IF(OR($A65="",ISBLANK(XLOOKUP($A65,Monitor_Asignado,Departamento_Asignado,"",0))),"",XLOOKUP($A65,Monitor_Asignado,Departamento_Asignado,"",0))</f>
        <v>Maquinaria</v>
      </c>
      <c r="N65" s="5" t="str">
        <f t="array" ref="N65">IF(OR($A65="",ISBLANK(XLOOKUP($A65,Monitor_Asignado,Nombres_Directorio,"",0))),"",XLOOKUP($A65,Monitor_Asignado,Nombres_Directorio,"",0))</f>
        <v>Airam Monserrat Vázquez Segura</v>
      </c>
      <c r="O65" s="5" t="str">
        <f t="array" ref="O65">IF(OR($A65="",ISBLANK(XLOOKUP($A65,Monitor_Asignado,Correos_Gmail,"",0))),"",XLOOKUP($A65,Monitor_Asignado,Correos_Gmail,"",0))</f>
        <v>ventasponci.agrocisa@gmail.com</v>
      </c>
      <c r="P65" s="5" t="str">
        <f t="array" ref="P65">IF(OR($A65="",ISBLANK(XLOOKUP($A65,Monitor_Asignado,Correos_Institucionales,"",0))),"",XLOOKUP($A65,Monitor_Asignado,Correos_Institucionales,"",0))</f>
        <v>airam.vazquez@agrocisa.com.mx</v>
      </c>
    </row>
    <row r="66" ht="15.75" customHeight="1">
      <c r="A66" s="5" t="s">
        <v>1719</v>
      </c>
      <c r="B66" s="5"/>
      <c r="C66" s="17"/>
      <c r="D66" s="5"/>
      <c r="E66" s="55" t="s">
        <v>1084</v>
      </c>
      <c r="F66" s="5" t="s">
        <v>1720</v>
      </c>
      <c r="G66" s="5" t="s">
        <v>1721</v>
      </c>
      <c r="H66" s="5"/>
      <c r="I66" s="5" t="s">
        <v>1091</v>
      </c>
      <c r="J66" s="5"/>
      <c r="K66" s="5" t="str">
        <f t="array" ref="K66">IF(OR($A66="",ISBLANK(XLOOKUP($A66,Monitor_Asignado,Nombres_Directorio,"",0))),"",XLOOKUP($A66,Monitor_Asignado,Nombres_Directorio,"",0))</f>
        <v/>
      </c>
      <c r="L66" s="5" t="str">
        <f t="array" ref="L66">IF(OR($A66="",ISBLANK(XLOOKUP($A66,Monitor_Asignado,Sucursal_Asignada,"",0))),"",XLOOKUP($A66,Monitor_Asignado,Sucursal_Asignada,"",0))</f>
        <v/>
      </c>
      <c r="M66" s="5" t="str">
        <f t="array" ref="M66">IF(OR($A66="",ISBLANK(XLOOKUP($A66,Monitor_Asignado,Departamento_Asignado,"",0))),"",XLOOKUP($A66,Monitor_Asignado,Departamento_Asignado,"",0))</f>
        <v/>
      </c>
      <c r="N66" s="5" t="str">
        <f t="array" ref="N66">IF(OR($A66="",ISBLANK(XLOOKUP($A66,Monitor_Asignado,Nombres_Directorio,"",0))),"",XLOOKUP($A66,Monitor_Asignado,Nombres_Directorio,"",0))</f>
        <v/>
      </c>
      <c r="O66" s="5" t="str">
        <f t="array" ref="O66">IF(OR($A66="",ISBLANK(XLOOKUP($A66,Monitor_Asignado,Correos_Gmail,"",0))),"",XLOOKUP($A66,Monitor_Asignado,Correos_Gmail,"",0))</f>
        <v/>
      </c>
      <c r="P66" s="5" t="str">
        <f t="array" ref="P66">IF(OR($A66="",ISBLANK(XLOOKUP($A66,Monitor_Asignado,Correos_Institucionales,"",0))),"",XLOOKUP($A66,Monitor_Asignado,Correos_Institucionales,"",0))</f>
        <v/>
      </c>
    </row>
    <row r="67" ht="15.75" customHeight="1">
      <c r="A67" s="5" t="s">
        <v>1251</v>
      </c>
      <c r="B67" s="5"/>
      <c r="C67" s="17"/>
      <c r="D67" s="5"/>
      <c r="E67" s="55" t="s">
        <v>1722</v>
      </c>
      <c r="F67" s="5" t="s">
        <v>1723</v>
      </c>
      <c r="G67" s="5" t="s">
        <v>1630</v>
      </c>
      <c r="H67" s="5"/>
      <c r="I67" s="5" t="s">
        <v>1091</v>
      </c>
      <c r="J67" s="5"/>
      <c r="K67" s="5" t="str">
        <f t="array" ref="K67">IF(OR($A67="",ISBLANK(XLOOKUP($A67,Monitor_Asignado,Nombres_Directorio,"",0))),"",XLOOKUP($A67,Monitor_Asignado,Nombres_Directorio,"",0))</f>
        <v/>
      </c>
      <c r="L67" s="5" t="str">
        <f t="array" ref="L67">IF(OR($A67="",ISBLANK(XLOOKUP($A67,Monitor_Asignado,Sucursal_Asignada,"",0))),"",XLOOKUP($A67,Monitor_Asignado,Sucursal_Asignada,"",0))</f>
        <v/>
      </c>
      <c r="M67" s="5" t="str">
        <f t="array" ref="M67">IF(OR($A67="",ISBLANK(XLOOKUP($A67,Monitor_Asignado,Departamento_Asignado,"",0))),"",XLOOKUP($A67,Monitor_Asignado,Departamento_Asignado,"",0))</f>
        <v/>
      </c>
      <c r="N67" s="5" t="str">
        <f t="array" ref="N67">IF(OR($A67="",ISBLANK(XLOOKUP($A67,Monitor_Asignado,Nombres_Directorio,"",0))),"",XLOOKUP($A67,Monitor_Asignado,Nombres_Directorio,"",0))</f>
        <v/>
      </c>
      <c r="O67" s="5" t="str">
        <f t="array" ref="O67">IF(OR($A67="",ISBLANK(XLOOKUP($A67,Monitor_Asignado,Correos_Gmail,"",0))),"",XLOOKUP($A67,Monitor_Asignado,Correos_Gmail,"",0))</f>
        <v/>
      </c>
      <c r="P67" s="5" t="str">
        <f t="array" ref="P67">IF(OR($A67="",ISBLANK(XLOOKUP($A67,Monitor_Asignado,Correos_Institucionales,"",0))),"",XLOOKUP($A67,Monitor_Asignado,Correos_Institucionales,"",0))</f>
        <v/>
      </c>
    </row>
    <row r="68" ht="15.75" customHeight="1">
      <c r="A68" s="5"/>
      <c r="B68" s="5"/>
      <c r="C68" s="17"/>
      <c r="D68" s="5"/>
      <c r="E68" s="55"/>
      <c r="F68" s="5" t="s">
        <v>1665</v>
      </c>
      <c r="G68" s="5" t="s">
        <v>1666</v>
      </c>
      <c r="H68" s="5"/>
      <c r="I68" s="5"/>
      <c r="J68" s="5"/>
      <c r="K68" s="5" t="str">
        <f t="array" ref="K68">IF(OR($A68="",ISBLANK(XLOOKUP($A68,Monitor_Asignado,Nombres_Directorio,"",0))),"",XLOOKUP($A68,Monitor_Asignado,Nombres_Directorio,"",0))</f>
        <v/>
      </c>
      <c r="L68" s="5" t="str">
        <f t="array" ref="L68">IF(OR($A68="",ISBLANK(XLOOKUP($A68,Monitor_Asignado,Sucursal_Asignada,"",0))),"",XLOOKUP($A68,Monitor_Asignado,Sucursal_Asignada,"",0))</f>
        <v/>
      </c>
      <c r="M68" s="5" t="str">
        <f t="array" ref="M68">IF(OR($A68="",ISBLANK(XLOOKUP($A68,Monitor_Asignado,Departamento_Asignado,"",0))),"",XLOOKUP($A68,Monitor_Asignado,Departamento_Asignado,"",0))</f>
        <v/>
      </c>
      <c r="N68" s="5" t="str">
        <f t="array" ref="N68">IF(OR($A68="",ISBLANK(XLOOKUP($A68,Monitor_Asignado,Nombres_Directorio,"",0))),"",XLOOKUP($A68,Monitor_Asignado,Nombres_Directorio,"",0))</f>
        <v/>
      </c>
      <c r="O68" s="5" t="str">
        <f t="array" ref="O68">IF(OR($A68="",ISBLANK(XLOOKUP($A68,Monitor_Asignado,Correos_Gmail,"",0))),"",XLOOKUP($A68,Monitor_Asignado,Correos_Gmail,"",0))</f>
        <v/>
      </c>
      <c r="P68" s="5" t="str">
        <f t="array" ref="P68">IF(OR($A68="",ISBLANK(XLOOKUP($A68,Monitor_Asignado,Correos_Institucionales,"",0))),"",XLOOKUP($A68,Monitor_Asignado,Correos_Institucionales,"",0))</f>
        <v/>
      </c>
    </row>
    <row r="69" ht="15.75" customHeight="1">
      <c r="A69" s="5"/>
      <c r="B69" s="5"/>
      <c r="C69" s="17"/>
      <c r="D69" s="5"/>
      <c r="E69" s="55"/>
      <c r="F69" s="5"/>
      <c r="G69" s="5"/>
      <c r="H69" s="5"/>
      <c r="I69" s="5"/>
      <c r="J69" s="5"/>
      <c r="K69" s="5" t="str">
        <f t="array" ref="K69">IF(OR($A69="",ISBLANK(XLOOKUP($A69,Monitor_Asignado,Nombres_Directorio,"",0))),"",XLOOKUP($A69,Monitor_Asignado,Nombres_Directorio,"",0))</f>
        <v/>
      </c>
      <c r="L69" s="5" t="str">
        <f t="array" ref="L69">IF(OR($A69="",ISBLANK(XLOOKUP($A69,Monitor_Asignado,Sucursal_Asignada,"",0))),"",XLOOKUP($A69,Monitor_Asignado,Sucursal_Asignada,"",0))</f>
        <v/>
      </c>
      <c r="M69" s="5" t="str">
        <f t="array" ref="M69">IF(OR($A69="",ISBLANK(XLOOKUP($A69,Monitor_Asignado,Departamento_Asignado,"",0))),"",XLOOKUP($A69,Monitor_Asignado,Departamento_Asignado,"",0))</f>
        <v/>
      </c>
      <c r="N69" s="5" t="str">
        <f t="array" ref="N69">IF(OR($A69="",ISBLANK(XLOOKUP($A69,Monitor_Asignado,Nombres_Directorio,"",0))),"",XLOOKUP($A69,Monitor_Asignado,Nombres_Directorio,"",0))</f>
        <v/>
      </c>
      <c r="O69" s="5" t="str">
        <f t="array" ref="O69">IF(OR($A69="",ISBLANK(XLOOKUP($A69,Monitor_Asignado,Correos_Gmail,"",0))),"",XLOOKUP($A69,Monitor_Asignado,Correos_Gmail,"",0))</f>
        <v/>
      </c>
      <c r="P69" s="5" t="str">
        <f t="array" ref="P69">IF(OR($A69="",ISBLANK(XLOOKUP($A69,Monitor_Asignado,Correos_Institucionales,"",0))),"",XLOOKUP($A69,Monitor_Asignado,Correos_Institucionales,"",0))</f>
        <v/>
      </c>
    </row>
    <row r="70" ht="15.75" customHeight="1">
      <c r="A70" s="5"/>
      <c r="B70" s="5"/>
      <c r="C70" s="17"/>
      <c r="D70" s="5"/>
      <c r="E70" s="55"/>
      <c r="F70" s="5"/>
      <c r="G70" s="5"/>
      <c r="H70" s="5"/>
      <c r="I70" s="5"/>
      <c r="J70" s="5"/>
      <c r="K70" s="5" t="str">
        <f t="array" ref="K70">IF(OR($A70="",ISBLANK(XLOOKUP($A70,Monitor_Asignado,Nombres_Directorio,"",0))),"",XLOOKUP($A70,Monitor_Asignado,Nombres_Directorio,"",0))</f>
        <v/>
      </c>
      <c r="L70" s="5" t="str">
        <f t="array" ref="L70">IF(OR($A70="",ISBLANK(XLOOKUP($A70,Monitor_Asignado,Sucursal_Asignada,"",0))),"",XLOOKUP($A70,Monitor_Asignado,Sucursal_Asignada,"",0))</f>
        <v/>
      </c>
      <c r="M70" s="5" t="str">
        <f t="array" ref="M70">IF(OR($A70="",ISBLANK(XLOOKUP($A70,Monitor_Asignado,Departamento_Asignado,"",0))),"",XLOOKUP($A70,Monitor_Asignado,Departamento_Asignado,"",0))</f>
        <v/>
      </c>
      <c r="N70" s="5" t="str">
        <f t="array" ref="N70">IF(OR($A70="",ISBLANK(XLOOKUP($A70,Monitor_Asignado,Nombres_Directorio,"",0))),"",XLOOKUP($A70,Monitor_Asignado,Nombres_Directorio,"",0))</f>
        <v/>
      </c>
      <c r="O70" s="5" t="str">
        <f t="array" ref="O70">IF(OR($A70="",ISBLANK(XLOOKUP($A70,Monitor_Asignado,Correos_Gmail,"",0))),"",XLOOKUP($A70,Monitor_Asignado,Correos_Gmail,"",0))</f>
        <v/>
      </c>
      <c r="P70" s="5" t="str">
        <f t="array" ref="P70">IF(OR($A70="",ISBLANK(XLOOKUP($A70,Monitor_Asignado,Correos_Institucionales,"",0))),"",XLOOKUP($A70,Monitor_Asignado,Correos_Institucionales,"",0))</f>
        <v/>
      </c>
    </row>
    <row r="71" ht="15.75" customHeight="1">
      <c r="A71" s="5"/>
      <c r="B71" s="5"/>
      <c r="C71" s="17"/>
      <c r="D71" s="5"/>
      <c r="E71" s="55"/>
      <c r="F71" s="5"/>
      <c r="G71" s="5"/>
      <c r="H71" s="5"/>
      <c r="I71" s="5"/>
      <c r="J71" s="5"/>
      <c r="K71" s="5" t="str">
        <f t="array" ref="K71">IF(OR($A71="",ISBLANK(XLOOKUP($A71,Monitor_Asignado,Nombres_Directorio,"",0))),"",XLOOKUP($A71,Monitor_Asignado,Nombres_Directorio,"",0))</f>
        <v/>
      </c>
      <c r="L71" s="5" t="str">
        <f t="array" ref="L71">IF(OR($A71="",ISBLANK(XLOOKUP($A71,Monitor_Asignado,Sucursal_Asignada,"",0))),"",XLOOKUP($A71,Monitor_Asignado,Sucursal_Asignada,"",0))</f>
        <v/>
      </c>
      <c r="M71" s="5" t="str">
        <f t="array" ref="M71">IF(OR($A71="",ISBLANK(XLOOKUP($A71,Monitor_Asignado,Departamento_Asignado,"",0))),"",XLOOKUP($A71,Monitor_Asignado,Departamento_Asignado,"",0))</f>
        <v/>
      </c>
      <c r="N71" s="5" t="str">
        <f t="array" ref="N71">IF(OR($A71="",ISBLANK(XLOOKUP($A71,Monitor_Asignado,Nombres_Directorio,"",0))),"",XLOOKUP($A71,Monitor_Asignado,Nombres_Directorio,"",0))</f>
        <v/>
      </c>
      <c r="O71" s="5" t="str">
        <f t="array" ref="O71">IF(OR($A71="",ISBLANK(XLOOKUP($A71,Monitor_Asignado,Correos_Gmail,"",0))),"",XLOOKUP($A71,Monitor_Asignado,Correos_Gmail,"",0))</f>
        <v/>
      </c>
      <c r="P71" s="5" t="str">
        <f t="array" ref="P71">IF(OR($A71="",ISBLANK(XLOOKUP($A71,Monitor_Asignado,Correos_Institucionales,"",0))),"",XLOOKUP($A71,Monitor_Asignado,Correos_Institucionales,"",0))</f>
        <v/>
      </c>
    </row>
    <row r="72" ht="15.75" customHeight="1">
      <c r="A72" s="5"/>
      <c r="B72" s="5"/>
      <c r="C72" s="17"/>
      <c r="D72" s="5"/>
      <c r="E72" s="55"/>
      <c r="F72" s="5"/>
      <c r="G72" s="5"/>
      <c r="H72" s="5"/>
      <c r="I72" s="5"/>
      <c r="J72" s="5"/>
      <c r="K72" s="5" t="str">
        <f t="array" ref="K72">IF(OR($A72="",ISBLANK(XLOOKUP($A72,Monitor_Asignado,Nombres_Directorio,"",0))),"",XLOOKUP($A72,Monitor_Asignado,Nombres_Directorio,"",0))</f>
        <v/>
      </c>
      <c r="L72" s="5" t="str">
        <f t="array" ref="L72">IF(OR($A72="",ISBLANK(XLOOKUP($A72,Monitor_Asignado,Sucursal_Asignada,"",0))),"",XLOOKUP($A72,Monitor_Asignado,Sucursal_Asignada,"",0))</f>
        <v/>
      </c>
      <c r="M72" s="5" t="str">
        <f t="array" ref="M72">IF(OR($A72="",ISBLANK(XLOOKUP($A72,Monitor_Asignado,Departamento_Asignado,"",0))),"",XLOOKUP($A72,Monitor_Asignado,Departamento_Asignado,"",0))</f>
        <v/>
      </c>
      <c r="N72" s="5" t="str">
        <f t="array" ref="N72">IF(OR($A72="",ISBLANK(XLOOKUP($A72,Monitor_Asignado,Nombres_Directorio,"",0))),"",XLOOKUP($A72,Monitor_Asignado,Nombres_Directorio,"",0))</f>
        <v/>
      </c>
      <c r="O72" s="5" t="str">
        <f t="array" ref="O72">IF(OR($A72="",ISBLANK(XLOOKUP($A72,Monitor_Asignado,Correos_Gmail,"",0))),"",XLOOKUP($A72,Monitor_Asignado,Correos_Gmail,"",0))</f>
        <v/>
      </c>
      <c r="P72" s="5" t="str">
        <f t="array" ref="P72">IF(OR($A72="",ISBLANK(XLOOKUP($A72,Monitor_Asignado,Correos_Institucionales,"",0))),"",XLOOKUP($A72,Monitor_Asignado,Correos_Institucionales,"",0))</f>
        <v/>
      </c>
    </row>
    <row r="73" ht="15.75" customHeight="1">
      <c r="A73" s="5"/>
      <c r="B73" s="5"/>
      <c r="C73" s="17"/>
      <c r="D73" s="5"/>
      <c r="E73" s="55"/>
      <c r="F73" s="5"/>
      <c r="G73" s="5"/>
      <c r="H73" s="5"/>
      <c r="I73" s="5"/>
      <c r="J73" s="5"/>
      <c r="K73" s="5" t="str">
        <f t="array" ref="K73">IF(OR($A73="",ISBLANK(XLOOKUP($A73,Monitor_Asignado,Nombres_Directorio,"",0))),"",XLOOKUP($A73,Monitor_Asignado,Nombres_Directorio,"",0))</f>
        <v/>
      </c>
      <c r="L73" s="5" t="str">
        <f t="array" ref="L73">IF(OR($A73="",ISBLANK(XLOOKUP($A73,Monitor_Asignado,Sucursal_Asignada,"",0))),"",XLOOKUP($A73,Monitor_Asignado,Sucursal_Asignada,"",0))</f>
        <v/>
      </c>
      <c r="M73" s="5" t="str">
        <f t="array" ref="M73">IF(OR($A73="",ISBLANK(XLOOKUP($A73,Monitor_Asignado,Departamento_Asignado,"",0))),"",XLOOKUP($A73,Monitor_Asignado,Departamento_Asignado,"",0))</f>
        <v/>
      </c>
      <c r="N73" s="5" t="str">
        <f t="array" ref="N73">IF(OR($A73="",ISBLANK(XLOOKUP($A73,Monitor_Asignado,Nombres_Directorio,"",0))),"",XLOOKUP($A73,Monitor_Asignado,Nombres_Directorio,"",0))</f>
        <v/>
      </c>
      <c r="O73" s="5" t="str">
        <f t="array" ref="O73">IF(OR($A73="",ISBLANK(XLOOKUP($A73,Monitor_Asignado,Correos_Gmail,"",0))),"",XLOOKUP($A73,Monitor_Asignado,Correos_Gmail,"",0))</f>
        <v/>
      </c>
      <c r="P73" s="5" t="str">
        <f t="array" ref="P73">IF(OR($A73="",ISBLANK(XLOOKUP($A73,Monitor_Asignado,Correos_Institucionales,"",0))),"",XLOOKUP($A73,Monitor_Asignado,Correos_Institucionales,"",0))</f>
        <v/>
      </c>
    </row>
    <row r="74" ht="15.75" customHeight="1">
      <c r="A74" s="5"/>
      <c r="B74" s="5"/>
      <c r="C74" s="17"/>
      <c r="D74" s="5"/>
      <c r="E74" s="55"/>
      <c r="F74" s="5"/>
      <c r="G74" s="5"/>
      <c r="H74" s="5"/>
      <c r="I74" s="5"/>
      <c r="J74" s="5"/>
      <c r="K74" s="5" t="str">
        <f t="array" ref="K74">IF(OR($A74="",ISBLANK(XLOOKUP($A74,Monitor_Asignado,Nombres_Directorio,"",0))),"",XLOOKUP($A74,Monitor_Asignado,Nombres_Directorio,"",0))</f>
        <v/>
      </c>
      <c r="L74" s="5" t="str">
        <f t="array" ref="L74">IF(OR($A74="",ISBLANK(XLOOKUP($A74,Monitor_Asignado,Sucursal_Asignada,"",0))),"",XLOOKUP($A74,Monitor_Asignado,Sucursal_Asignada,"",0))</f>
        <v/>
      </c>
      <c r="M74" s="5" t="str">
        <f t="array" ref="M74">IF(OR($A74="",ISBLANK(XLOOKUP($A74,Monitor_Asignado,Departamento_Asignado,"",0))),"",XLOOKUP($A74,Monitor_Asignado,Departamento_Asignado,"",0))</f>
        <v/>
      </c>
      <c r="N74" s="5" t="str">
        <f t="array" ref="N74">IF(OR($A74="",ISBLANK(XLOOKUP($A74,Monitor_Asignado,Nombres_Directorio,"",0))),"",XLOOKUP($A74,Monitor_Asignado,Nombres_Directorio,"",0))</f>
        <v/>
      </c>
      <c r="O74" s="5" t="str">
        <f t="array" ref="O74">IF(OR($A74="",ISBLANK(XLOOKUP($A74,Monitor_Asignado,Correos_Gmail,"",0))),"",XLOOKUP($A74,Monitor_Asignado,Correos_Gmail,"",0))</f>
        <v/>
      </c>
      <c r="P74" s="5" t="str">
        <f t="array" ref="P74">IF(OR($A74="",ISBLANK(XLOOKUP($A74,Monitor_Asignado,Correos_Institucionales,"",0))),"",XLOOKUP($A74,Monitor_Asignado,Correos_Institucionales,"",0))</f>
        <v/>
      </c>
    </row>
    <row r="75" ht="15.75" customHeight="1">
      <c r="A75" s="5"/>
      <c r="B75" s="5"/>
      <c r="C75" s="17"/>
      <c r="D75" s="5"/>
      <c r="E75" s="55"/>
      <c r="F75" s="5"/>
      <c r="G75" s="5"/>
      <c r="H75" s="5"/>
      <c r="I75" s="5"/>
      <c r="J75" s="5"/>
      <c r="K75" s="5" t="str">
        <f t="array" ref="K75">IF(OR($A75="",ISBLANK(XLOOKUP($A75,Monitor_Asignado,Nombres_Directorio,"",0))),"",XLOOKUP($A75,Monitor_Asignado,Nombres_Directorio,"",0))</f>
        <v/>
      </c>
      <c r="L75" s="5" t="str">
        <f t="array" ref="L75">IF(OR($A75="",ISBLANK(XLOOKUP($A75,Monitor_Asignado,Sucursal_Asignada,"",0))),"",XLOOKUP($A75,Monitor_Asignado,Sucursal_Asignada,"",0))</f>
        <v/>
      </c>
      <c r="M75" s="5" t="str">
        <f t="array" ref="M75">IF(OR($A75="",ISBLANK(XLOOKUP($A75,Monitor_Asignado,Departamento_Asignado,"",0))),"",XLOOKUP($A75,Monitor_Asignado,Departamento_Asignado,"",0))</f>
        <v/>
      </c>
      <c r="N75" s="5" t="str">
        <f t="array" ref="N75">IF(OR($A75="",ISBLANK(XLOOKUP($A75,Monitor_Asignado,Nombres_Directorio,"",0))),"",XLOOKUP($A75,Monitor_Asignado,Nombres_Directorio,"",0))</f>
        <v/>
      </c>
      <c r="O75" s="5" t="str">
        <f t="array" ref="O75">IF(OR($A75="",ISBLANK(XLOOKUP($A75,Monitor_Asignado,Correos_Gmail,"",0))),"",XLOOKUP($A75,Monitor_Asignado,Correos_Gmail,"",0))</f>
        <v/>
      </c>
      <c r="P75" s="5" t="str">
        <f t="array" ref="P75">IF(OR($A75="",ISBLANK(XLOOKUP($A75,Monitor_Asignado,Correos_Institucionales,"",0))),"",XLOOKUP($A75,Monitor_Asignado,Correos_Institucionales,"",0))</f>
        <v/>
      </c>
    </row>
    <row r="76" ht="15.75" customHeight="1">
      <c r="A76" s="5"/>
      <c r="B76" s="5"/>
      <c r="C76" s="17"/>
      <c r="D76" s="5"/>
      <c r="E76" s="55"/>
      <c r="F76" s="5"/>
      <c r="G76" s="5"/>
      <c r="H76" s="5"/>
      <c r="I76" s="5"/>
      <c r="J76" s="5"/>
      <c r="K76" s="5" t="str">
        <f t="array" ref="K76">IF(OR($A76="",ISBLANK(XLOOKUP($A76,Monitor_Asignado,Nombres_Directorio,"",0))),"",XLOOKUP($A76,Monitor_Asignado,Nombres_Directorio,"",0))</f>
        <v/>
      </c>
      <c r="L76" s="5" t="str">
        <f t="array" ref="L76">IF(OR($A76="",ISBLANK(XLOOKUP($A76,Monitor_Asignado,Sucursal_Asignada,"",0))),"",XLOOKUP($A76,Monitor_Asignado,Sucursal_Asignada,"",0))</f>
        <v/>
      </c>
      <c r="M76" s="5" t="str">
        <f t="array" ref="M76">IF(OR($A76="",ISBLANK(XLOOKUP($A76,Monitor_Asignado,Departamento_Asignado,"",0))),"",XLOOKUP($A76,Monitor_Asignado,Departamento_Asignado,"",0))</f>
        <v/>
      </c>
      <c r="N76" s="5" t="str">
        <f t="array" ref="N76">IF(OR($A76="",ISBLANK(XLOOKUP($A76,Monitor_Asignado,Nombres_Directorio,"",0))),"",XLOOKUP($A76,Monitor_Asignado,Nombres_Directorio,"",0))</f>
        <v/>
      </c>
      <c r="O76" s="5" t="str">
        <f t="array" ref="O76">IF(OR($A76="",ISBLANK(XLOOKUP($A76,Monitor_Asignado,Correos_Gmail,"",0))),"",XLOOKUP($A76,Monitor_Asignado,Correos_Gmail,"",0))</f>
        <v/>
      </c>
      <c r="P76" s="5" t="str">
        <f t="array" ref="P76">IF(OR($A76="",ISBLANK(XLOOKUP($A76,Monitor_Asignado,Correos_Institucionales,"",0))),"",XLOOKUP($A76,Monitor_Asignado,Correos_Institucionales,"",0))</f>
        <v/>
      </c>
    </row>
    <row r="77" ht="15.75" customHeight="1">
      <c r="A77" s="5"/>
      <c r="B77" s="5"/>
      <c r="C77" s="17"/>
      <c r="D77" s="5"/>
      <c r="E77" s="55"/>
      <c r="F77" s="5"/>
      <c r="G77" s="5"/>
      <c r="H77" s="5"/>
      <c r="I77" s="5"/>
      <c r="J77" s="5"/>
      <c r="K77" s="5" t="str">
        <f t="array" ref="K77">IF(OR($A77="",ISBLANK(XLOOKUP($A77,Monitor_Asignado,Nombres_Directorio,"",0))),"",XLOOKUP($A77,Monitor_Asignado,Nombres_Directorio,"",0))</f>
        <v/>
      </c>
      <c r="L77" s="5" t="str">
        <f t="array" ref="L77">IF(OR($A77="",ISBLANK(XLOOKUP($A77,Monitor_Asignado,Sucursal_Asignada,"",0))),"",XLOOKUP($A77,Monitor_Asignado,Sucursal_Asignada,"",0))</f>
        <v/>
      </c>
      <c r="M77" s="5" t="str">
        <f t="array" ref="M77">IF(OR($A77="",ISBLANK(XLOOKUP($A77,Monitor_Asignado,Departamento_Asignado,"",0))),"",XLOOKUP($A77,Monitor_Asignado,Departamento_Asignado,"",0))</f>
        <v/>
      </c>
      <c r="N77" s="5" t="str">
        <f t="array" ref="N77">IF(OR($A77="",ISBLANK(XLOOKUP($A77,Monitor_Asignado,Nombres_Directorio,"",0))),"",XLOOKUP($A77,Monitor_Asignado,Nombres_Directorio,"",0))</f>
        <v/>
      </c>
      <c r="O77" s="5" t="str">
        <f t="array" ref="O77">IF(OR($A77="",ISBLANK(XLOOKUP($A77,Monitor_Asignado,Correos_Gmail,"",0))),"",XLOOKUP($A77,Monitor_Asignado,Correos_Gmail,"",0))</f>
        <v/>
      </c>
      <c r="P77" s="5" t="str">
        <f t="array" ref="P77">IF(OR($A77="",ISBLANK(XLOOKUP($A77,Monitor_Asignado,Correos_Institucionales,"",0))),"",XLOOKUP($A77,Monitor_Asignado,Correos_Institucionales,"",0))</f>
        <v/>
      </c>
    </row>
    <row r="78" ht="15.75" customHeight="1">
      <c r="A78" s="5"/>
      <c r="B78" s="5"/>
      <c r="C78" s="17"/>
      <c r="D78" s="5"/>
      <c r="E78" s="55"/>
      <c r="F78" s="5"/>
      <c r="G78" s="5"/>
      <c r="H78" s="5"/>
      <c r="I78" s="5"/>
      <c r="J78" s="5"/>
      <c r="K78" s="5" t="str">
        <f t="array" ref="K78">IF(OR($A78="",ISBLANK(XLOOKUP($A78,Monitor_Asignado,Nombres_Directorio,"",0))),"",XLOOKUP($A78,Monitor_Asignado,Nombres_Directorio,"",0))</f>
        <v/>
      </c>
      <c r="L78" s="5" t="str">
        <f t="array" ref="L78">IF(OR($A78="",ISBLANK(XLOOKUP($A78,Monitor_Asignado,Sucursal_Asignada,"",0))),"",XLOOKUP($A78,Monitor_Asignado,Sucursal_Asignada,"",0))</f>
        <v/>
      </c>
      <c r="M78" s="5" t="str">
        <f t="array" ref="M78">IF(OR($A78="",ISBLANK(XLOOKUP($A78,Monitor_Asignado,Departamento_Asignado,"",0))),"",XLOOKUP($A78,Monitor_Asignado,Departamento_Asignado,"",0))</f>
        <v/>
      </c>
      <c r="N78" s="5" t="str">
        <f t="array" ref="N78">IF(OR($A78="",ISBLANK(XLOOKUP($A78,Monitor_Asignado,Nombres_Directorio,"",0))),"",XLOOKUP($A78,Monitor_Asignado,Nombres_Directorio,"",0))</f>
        <v/>
      </c>
      <c r="O78" s="5" t="str">
        <f t="array" ref="O78">IF(OR($A78="",ISBLANK(XLOOKUP($A78,Monitor_Asignado,Correos_Gmail,"",0))),"",XLOOKUP($A78,Monitor_Asignado,Correos_Gmail,"",0))</f>
        <v/>
      </c>
      <c r="P78" s="5" t="str">
        <f t="array" ref="P78">IF(OR($A78="",ISBLANK(XLOOKUP($A78,Monitor_Asignado,Correos_Institucionales,"",0))),"",XLOOKUP($A78,Monitor_Asignado,Correos_Institucionales,"",0))</f>
        <v/>
      </c>
    </row>
    <row r="79" ht="15.75" customHeight="1">
      <c r="A79" s="5"/>
      <c r="B79" s="5"/>
      <c r="C79" s="17"/>
      <c r="D79" s="5"/>
      <c r="E79" s="55"/>
      <c r="F79" s="5"/>
      <c r="G79" s="5"/>
      <c r="H79" s="5"/>
      <c r="I79" s="5"/>
      <c r="J79" s="5"/>
      <c r="K79" s="5" t="str">
        <f t="array" ref="K79">IF(OR($A79="",ISBLANK(XLOOKUP($A79,Monitor_Asignado,Nombres_Directorio,"",0))),"",XLOOKUP($A79,Monitor_Asignado,Nombres_Directorio,"",0))</f>
        <v/>
      </c>
      <c r="L79" s="5" t="str">
        <f t="array" ref="L79">IF(OR($A79="",ISBLANK(XLOOKUP($A79,Monitor_Asignado,Sucursal_Asignada,"",0))),"",XLOOKUP($A79,Monitor_Asignado,Sucursal_Asignada,"",0))</f>
        <v/>
      </c>
      <c r="M79" s="5" t="str">
        <f t="array" ref="M79">IF(OR($A79="",ISBLANK(XLOOKUP($A79,Monitor_Asignado,Departamento_Asignado,"",0))),"",XLOOKUP($A79,Monitor_Asignado,Departamento_Asignado,"",0))</f>
        <v/>
      </c>
      <c r="N79" s="5" t="str">
        <f t="array" ref="N79">IF(OR($A79="",ISBLANK(XLOOKUP($A79,Monitor_Asignado,Nombres_Directorio,"",0))),"",XLOOKUP($A79,Monitor_Asignado,Nombres_Directorio,"",0))</f>
        <v/>
      </c>
      <c r="O79" s="5" t="str">
        <f t="array" ref="O79">IF(OR($A79="",ISBLANK(XLOOKUP($A79,Monitor_Asignado,Correos_Gmail,"",0))),"",XLOOKUP($A79,Monitor_Asignado,Correos_Gmail,"",0))</f>
        <v/>
      </c>
      <c r="P79" s="5" t="str">
        <f t="array" ref="P79">IF(OR($A79="",ISBLANK(XLOOKUP($A79,Monitor_Asignado,Correos_Institucionales,"",0))),"",XLOOKUP($A79,Monitor_Asignado,Correos_Institucionales,"",0))</f>
        <v/>
      </c>
    </row>
    <row r="80" ht="15.75" customHeight="1">
      <c r="A80" s="5"/>
      <c r="B80" s="5"/>
      <c r="C80" s="17"/>
      <c r="D80" s="5"/>
      <c r="E80" s="55"/>
      <c r="F80" s="5"/>
      <c r="G80" s="5"/>
      <c r="H80" s="5"/>
      <c r="I80" s="5"/>
      <c r="J80" s="5"/>
      <c r="K80" s="5" t="str">
        <f t="array" ref="K80">IF(OR($A80="",ISBLANK(XLOOKUP($A80,Monitor_Asignado,Nombres_Directorio,"",0))),"",XLOOKUP($A80,Monitor_Asignado,Nombres_Directorio,"",0))</f>
        <v/>
      </c>
      <c r="L80" s="5" t="str">
        <f t="array" ref="L80">IF(OR($A80="",ISBLANK(XLOOKUP($A80,Monitor_Asignado,Sucursal_Asignada,"",0))),"",XLOOKUP($A80,Monitor_Asignado,Sucursal_Asignada,"",0))</f>
        <v/>
      </c>
      <c r="M80" s="5" t="str">
        <f t="array" ref="M80">IF(OR($A80="",ISBLANK(XLOOKUP($A80,Monitor_Asignado,Departamento_Asignado,"",0))),"",XLOOKUP($A80,Monitor_Asignado,Departamento_Asignado,"",0))</f>
        <v/>
      </c>
      <c r="N80" s="5" t="str">
        <f t="array" ref="N80">IF(OR($A80="",ISBLANK(XLOOKUP($A80,Monitor_Asignado,Nombres_Directorio,"",0))),"",XLOOKUP($A80,Monitor_Asignado,Nombres_Directorio,"",0))</f>
        <v/>
      </c>
      <c r="O80" s="5" t="str">
        <f t="array" ref="O80">IF(OR($A80="",ISBLANK(XLOOKUP($A80,Monitor_Asignado,Correos_Gmail,"",0))),"",XLOOKUP($A80,Monitor_Asignado,Correos_Gmail,"",0))</f>
        <v/>
      </c>
      <c r="P80" s="5" t="str">
        <f t="array" ref="P80">IF(OR($A80="",ISBLANK(XLOOKUP($A80,Monitor_Asignado,Correos_Institucionales,"",0))),"",XLOOKUP($A80,Monitor_Asignado,Correos_Institucionales,"",0))</f>
        <v/>
      </c>
    </row>
    <row r="81" ht="15.75" customHeight="1">
      <c r="A81" s="5"/>
      <c r="B81" s="5"/>
      <c r="C81" s="17"/>
      <c r="D81" s="5"/>
      <c r="E81" s="55"/>
      <c r="F81" s="5"/>
      <c r="G81" s="5"/>
      <c r="H81" s="5"/>
      <c r="I81" s="5"/>
      <c r="J81" s="5"/>
      <c r="K81" s="5" t="str">
        <f t="array" ref="K81">IF(OR($A81="",ISBLANK(XLOOKUP($A81,Monitor_Asignado,Nombres_Directorio,"",0))),"",XLOOKUP($A81,Monitor_Asignado,Nombres_Directorio,"",0))</f>
        <v/>
      </c>
      <c r="L81" s="5" t="str">
        <f t="array" ref="L81">IF(OR($A81="",ISBLANK(XLOOKUP($A81,Monitor_Asignado,Sucursal_Asignada,"",0))),"",XLOOKUP($A81,Monitor_Asignado,Sucursal_Asignada,"",0))</f>
        <v/>
      </c>
      <c r="M81" s="5" t="str">
        <f t="array" ref="M81">IF(OR($A81="",ISBLANK(XLOOKUP($A81,Monitor_Asignado,Departamento_Asignado,"",0))),"",XLOOKUP($A81,Monitor_Asignado,Departamento_Asignado,"",0))</f>
        <v/>
      </c>
      <c r="N81" s="5" t="str">
        <f t="array" ref="N81">IF(OR($A81="",ISBLANK(XLOOKUP($A81,Monitor_Asignado,Nombres_Directorio,"",0))),"",XLOOKUP($A81,Monitor_Asignado,Nombres_Directorio,"",0))</f>
        <v/>
      </c>
      <c r="O81" s="5" t="str">
        <f t="array" ref="O81">IF(OR($A81="",ISBLANK(XLOOKUP($A81,Monitor_Asignado,Correos_Gmail,"",0))),"",XLOOKUP($A81,Monitor_Asignado,Correos_Gmail,"",0))</f>
        <v/>
      </c>
      <c r="P81" s="5" t="str">
        <f t="array" ref="P81">IF(OR($A81="",ISBLANK(XLOOKUP($A81,Monitor_Asignado,Correos_Institucionales,"",0))),"",XLOOKUP($A81,Monitor_Asignado,Correos_Institucionales,"",0))</f>
        <v/>
      </c>
    </row>
    <row r="82" ht="15.75" customHeight="1">
      <c r="A82" s="5"/>
      <c r="B82" s="5"/>
      <c r="C82" s="17"/>
      <c r="D82" s="5"/>
      <c r="E82" s="55"/>
      <c r="F82" s="5"/>
      <c r="G82" s="5"/>
      <c r="H82" s="5"/>
      <c r="I82" s="5"/>
      <c r="J82" s="5"/>
      <c r="K82" s="5" t="str">
        <f t="array" ref="K82">IF(OR($A82="",ISBLANK(XLOOKUP($A82,Monitor_Asignado,Nombres_Directorio,"",0))),"",XLOOKUP($A82,Monitor_Asignado,Nombres_Directorio,"",0))</f>
        <v/>
      </c>
      <c r="L82" s="5" t="str">
        <f t="array" ref="L82">IF(OR($A82="",ISBLANK(XLOOKUP($A82,Monitor_Asignado,Sucursal_Asignada,"",0))),"",XLOOKUP($A82,Monitor_Asignado,Sucursal_Asignada,"",0))</f>
        <v/>
      </c>
      <c r="M82" s="5" t="str">
        <f t="array" ref="M82">IF(OR($A82="",ISBLANK(XLOOKUP($A82,Monitor_Asignado,Departamento_Asignado,"",0))),"",XLOOKUP($A82,Monitor_Asignado,Departamento_Asignado,"",0))</f>
        <v/>
      </c>
      <c r="N82" s="5" t="str">
        <f t="array" ref="N82">IF(OR($A82="",ISBLANK(XLOOKUP($A82,Monitor_Asignado,Nombres_Directorio,"",0))),"",XLOOKUP($A82,Monitor_Asignado,Nombres_Directorio,"",0))</f>
        <v/>
      </c>
      <c r="O82" s="5" t="str">
        <f t="array" ref="O82">IF(OR($A82="",ISBLANK(XLOOKUP($A82,Monitor_Asignado,Correos_Gmail,"",0))),"",XLOOKUP($A82,Monitor_Asignado,Correos_Gmail,"",0))</f>
        <v/>
      </c>
      <c r="P82" s="5" t="str">
        <f t="array" ref="P82">IF(OR($A82="",ISBLANK(XLOOKUP($A82,Monitor_Asignado,Correos_Institucionales,"",0))),"",XLOOKUP($A82,Monitor_Asignado,Correos_Institucionales,"",0))</f>
        <v/>
      </c>
    </row>
    <row r="83" ht="15.75" customHeight="1">
      <c r="A83" s="5"/>
      <c r="B83" s="5"/>
      <c r="C83" s="17"/>
      <c r="D83" s="5"/>
      <c r="E83" s="55"/>
      <c r="F83" s="5"/>
      <c r="G83" s="5"/>
      <c r="H83" s="5"/>
      <c r="I83" s="5"/>
      <c r="J83" s="5"/>
      <c r="K83" s="5" t="str">
        <f t="array" ref="K83">IF(OR($A83="",ISBLANK(XLOOKUP($A83,Monitor_Asignado,Nombres_Directorio,"",0))),"",XLOOKUP($A83,Monitor_Asignado,Nombres_Directorio,"",0))</f>
        <v/>
      </c>
      <c r="L83" s="5" t="str">
        <f t="array" ref="L83">IF(OR($A83="",ISBLANK(XLOOKUP($A83,Monitor_Asignado,Sucursal_Asignada,"",0))),"",XLOOKUP($A83,Monitor_Asignado,Sucursal_Asignada,"",0))</f>
        <v/>
      </c>
      <c r="M83" s="5" t="str">
        <f t="array" ref="M83">IF(OR($A83="",ISBLANK(XLOOKUP($A83,Monitor_Asignado,Departamento_Asignado,"",0))),"",XLOOKUP($A83,Monitor_Asignado,Departamento_Asignado,"",0))</f>
        <v/>
      </c>
      <c r="N83" s="5" t="str">
        <f t="array" ref="N83">IF(OR($A83="",ISBLANK(XLOOKUP($A83,Monitor_Asignado,Nombres_Directorio,"",0))),"",XLOOKUP($A83,Monitor_Asignado,Nombres_Directorio,"",0))</f>
        <v/>
      </c>
      <c r="O83" s="5" t="str">
        <f t="array" ref="O83">IF(OR($A83="",ISBLANK(XLOOKUP($A83,Monitor_Asignado,Correos_Gmail,"",0))),"",XLOOKUP($A83,Monitor_Asignado,Correos_Gmail,"",0))</f>
        <v/>
      </c>
      <c r="P83" s="5" t="str">
        <f t="array" ref="P83">IF(OR($A83="",ISBLANK(XLOOKUP($A83,Monitor_Asignado,Correos_Institucionales,"",0))),"",XLOOKUP($A83,Monitor_Asignado,Correos_Institucionales,"",0))</f>
        <v/>
      </c>
    </row>
    <row r="84" ht="15.75" customHeight="1">
      <c r="A84" s="5"/>
      <c r="B84" s="5"/>
      <c r="C84" s="17"/>
      <c r="D84" s="5"/>
      <c r="E84" s="55"/>
      <c r="F84" s="5"/>
      <c r="G84" s="5"/>
      <c r="H84" s="5"/>
      <c r="I84" s="5"/>
      <c r="J84" s="5"/>
      <c r="K84" s="5" t="str">
        <f t="array" ref="K84">IF(OR($A84="",ISBLANK(XLOOKUP($A84,Monitor_Asignado,Nombres_Directorio,"",0))),"",XLOOKUP($A84,Monitor_Asignado,Nombres_Directorio,"",0))</f>
        <v/>
      </c>
      <c r="L84" s="5" t="str">
        <f t="array" ref="L84">IF(OR($A84="",ISBLANK(XLOOKUP($A84,Monitor_Asignado,Sucursal_Asignada,"",0))),"",XLOOKUP($A84,Monitor_Asignado,Sucursal_Asignada,"",0))</f>
        <v/>
      </c>
      <c r="M84" s="5" t="str">
        <f t="array" ref="M84">IF(OR($A84="",ISBLANK(XLOOKUP($A84,Monitor_Asignado,Departamento_Asignado,"",0))),"",XLOOKUP($A84,Monitor_Asignado,Departamento_Asignado,"",0))</f>
        <v/>
      </c>
      <c r="N84" s="5" t="str">
        <f t="array" ref="N84">IF(OR($A84="",ISBLANK(XLOOKUP($A84,Monitor_Asignado,Nombres_Directorio,"",0))),"",XLOOKUP($A84,Monitor_Asignado,Nombres_Directorio,"",0))</f>
        <v/>
      </c>
      <c r="O84" s="5" t="str">
        <f t="array" ref="O84">IF(OR($A84="",ISBLANK(XLOOKUP($A84,Monitor_Asignado,Correos_Gmail,"",0))),"",XLOOKUP($A84,Monitor_Asignado,Correos_Gmail,"",0))</f>
        <v/>
      </c>
      <c r="P84" s="5" t="str">
        <f t="array" ref="P84">IF(OR($A84="",ISBLANK(XLOOKUP($A84,Monitor_Asignado,Correos_Institucionales,"",0))),"",XLOOKUP($A84,Monitor_Asignado,Correos_Institucionales,"",0))</f>
        <v/>
      </c>
    </row>
    <row r="85" ht="15.75" customHeight="1">
      <c r="A85" s="5"/>
      <c r="B85" s="5"/>
      <c r="C85" s="17"/>
      <c r="D85" s="5"/>
      <c r="E85" s="55"/>
      <c r="F85" s="5"/>
      <c r="G85" s="5"/>
      <c r="H85" s="5"/>
      <c r="I85" s="5"/>
      <c r="J85" s="5"/>
      <c r="K85" s="5" t="str">
        <f t="array" ref="K85">IF(OR($A85="",ISBLANK(XLOOKUP($A85,Monitor_Asignado,Nombres_Directorio,"",0))),"",XLOOKUP($A85,Monitor_Asignado,Nombres_Directorio,"",0))</f>
        <v/>
      </c>
      <c r="L85" s="5" t="str">
        <f t="array" ref="L85">IF(OR($A85="",ISBLANK(XLOOKUP($A85,Monitor_Asignado,Sucursal_Asignada,"",0))),"",XLOOKUP($A85,Monitor_Asignado,Sucursal_Asignada,"",0))</f>
        <v/>
      </c>
      <c r="M85" s="5" t="str">
        <f t="array" ref="M85">IF(OR($A85="",ISBLANK(XLOOKUP($A85,Monitor_Asignado,Departamento_Asignado,"",0))),"",XLOOKUP($A85,Monitor_Asignado,Departamento_Asignado,"",0))</f>
        <v/>
      </c>
      <c r="N85" s="5" t="str">
        <f t="array" ref="N85">IF(OR($A85="",ISBLANK(XLOOKUP($A85,Monitor_Asignado,Nombres_Directorio,"",0))),"",XLOOKUP($A85,Monitor_Asignado,Nombres_Directorio,"",0))</f>
        <v/>
      </c>
      <c r="O85" s="5" t="str">
        <f t="array" ref="O85">IF(OR($A85="",ISBLANK(XLOOKUP($A85,Monitor_Asignado,Correos_Gmail,"",0))),"",XLOOKUP($A85,Monitor_Asignado,Correos_Gmail,"",0))</f>
        <v/>
      </c>
      <c r="P85" s="5" t="str">
        <f t="array" ref="P85">IF(OR($A85="",ISBLANK(XLOOKUP($A85,Monitor_Asignado,Correos_Institucionales,"",0))),"",XLOOKUP($A85,Monitor_Asignado,Correos_Institucionales,"",0))</f>
        <v/>
      </c>
    </row>
    <row r="86" ht="15.75" customHeight="1">
      <c r="A86" s="5"/>
      <c r="B86" s="5"/>
      <c r="C86" s="17"/>
      <c r="D86" s="5"/>
      <c r="E86" s="55"/>
      <c r="F86" s="5"/>
      <c r="G86" s="5"/>
      <c r="H86" s="5"/>
      <c r="I86" s="5"/>
      <c r="J86" s="5"/>
      <c r="K86" s="5" t="str">
        <f t="array" ref="K86">IF(OR($A86="",ISBLANK(XLOOKUP($A86,Monitor_Asignado,Nombres_Directorio,"",0))),"",XLOOKUP($A86,Monitor_Asignado,Nombres_Directorio,"",0))</f>
        <v/>
      </c>
      <c r="L86" s="5" t="str">
        <f t="array" ref="L86">IF(OR($A86="",ISBLANK(XLOOKUP($A86,Monitor_Asignado,Sucursal_Asignada,"",0))),"",XLOOKUP($A86,Monitor_Asignado,Sucursal_Asignada,"",0))</f>
        <v/>
      </c>
      <c r="M86" s="5" t="str">
        <f t="array" ref="M86">IF(OR($A86="",ISBLANK(XLOOKUP($A86,Monitor_Asignado,Departamento_Asignado,"",0))),"",XLOOKUP($A86,Monitor_Asignado,Departamento_Asignado,"",0))</f>
        <v/>
      </c>
      <c r="N86" s="5" t="str">
        <f t="array" ref="N86">IF(OR($A86="",ISBLANK(XLOOKUP($A86,Monitor_Asignado,Nombres_Directorio,"",0))),"",XLOOKUP($A86,Monitor_Asignado,Nombres_Directorio,"",0))</f>
        <v/>
      </c>
      <c r="O86" s="5" t="str">
        <f t="array" ref="O86">IF(OR($A86="",ISBLANK(XLOOKUP($A86,Monitor_Asignado,Correos_Gmail,"",0))),"",XLOOKUP($A86,Monitor_Asignado,Correos_Gmail,"",0))</f>
        <v/>
      </c>
      <c r="P86" s="5" t="str">
        <f t="array" ref="P86">IF(OR($A86="",ISBLANK(XLOOKUP($A86,Monitor_Asignado,Correos_Institucionales,"",0))),"",XLOOKUP($A86,Monitor_Asignado,Correos_Institucionales,"",0))</f>
        <v/>
      </c>
    </row>
    <row r="87" ht="15.75" customHeight="1">
      <c r="A87" s="5"/>
      <c r="B87" s="5"/>
      <c r="C87" s="17"/>
      <c r="D87" s="5"/>
      <c r="E87" s="55"/>
      <c r="F87" s="5"/>
      <c r="G87" s="5"/>
      <c r="H87" s="5"/>
      <c r="I87" s="5"/>
      <c r="J87" s="5"/>
      <c r="K87" s="5" t="str">
        <f t="array" ref="K87">IF(OR($A87="",ISBLANK(XLOOKUP($A87,Monitor_Asignado,Nombres_Directorio,"",0))),"",XLOOKUP($A87,Monitor_Asignado,Nombres_Directorio,"",0))</f>
        <v/>
      </c>
      <c r="L87" s="5" t="str">
        <f t="array" ref="L87">IF(OR($A87="",ISBLANK(XLOOKUP($A87,Monitor_Asignado,Sucursal_Asignada,"",0))),"",XLOOKUP($A87,Monitor_Asignado,Sucursal_Asignada,"",0))</f>
        <v/>
      </c>
      <c r="M87" s="5" t="str">
        <f t="array" ref="M87">IF(OR($A87="",ISBLANK(XLOOKUP($A87,Monitor_Asignado,Departamento_Asignado,"",0))),"",XLOOKUP($A87,Monitor_Asignado,Departamento_Asignado,"",0))</f>
        <v/>
      </c>
      <c r="N87" s="5" t="str">
        <f t="array" ref="N87">IF(OR($A87="",ISBLANK(XLOOKUP($A87,Monitor_Asignado,Nombres_Directorio,"",0))),"",XLOOKUP($A87,Monitor_Asignado,Nombres_Directorio,"",0))</f>
        <v/>
      </c>
      <c r="O87" s="5" t="str">
        <f t="array" ref="O87">IF(OR($A87="",ISBLANK(XLOOKUP($A87,Monitor_Asignado,Correos_Gmail,"",0))),"",XLOOKUP($A87,Monitor_Asignado,Correos_Gmail,"",0))</f>
        <v/>
      </c>
      <c r="P87" s="5" t="str">
        <f t="array" ref="P87">IF(OR($A87="",ISBLANK(XLOOKUP($A87,Monitor_Asignado,Correos_Institucionales,"",0))),"",XLOOKUP($A87,Monitor_Asignado,Correos_Institucionales,"",0))</f>
        <v/>
      </c>
    </row>
    <row r="88" ht="15.75" customHeight="1">
      <c r="A88" s="5"/>
      <c r="B88" s="5"/>
      <c r="C88" s="17"/>
      <c r="D88" s="5"/>
      <c r="E88" s="55"/>
      <c r="F88" s="5"/>
      <c r="G88" s="5"/>
      <c r="H88" s="5"/>
      <c r="I88" s="5"/>
      <c r="J88" s="5"/>
      <c r="K88" s="5" t="str">
        <f t="array" ref="K88">IF(OR($A88="",ISBLANK(XLOOKUP($A88,Monitor_Asignado,Nombres_Directorio,"",0))),"",XLOOKUP($A88,Monitor_Asignado,Nombres_Directorio,"",0))</f>
        <v/>
      </c>
      <c r="L88" s="5" t="str">
        <f t="array" ref="L88">IF(OR($A88="",ISBLANK(XLOOKUP($A88,Monitor_Asignado,Sucursal_Asignada,"",0))),"",XLOOKUP($A88,Monitor_Asignado,Sucursal_Asignada,"",0))</f>
        <v/>
      </c>
      <c r="M88" s="5" t="str">
        <f t="array" ref="M88">IF(OR($A88="",ISBLANK(XLOOKUP($A88,Monitor_Asignado,Departamento_Asignado,"",0))),"",XLOOKUP($A88,Monitor_Asignado,Departamento_Asignado,"",0))</f>
        <v/>
      </c>
      <c r="N88" s="5" t="str">
        <f t="array" ref="N88">IF(OR($A88="",ISBLANK(XLOOKUP($A88,Monitor_Asignado,Nombres_Directorio,"",0))),"",XLOOKUP($A88,Monitor_Asignado,Nombres_Directorio,"",0))</f>
        <v/>
      </c>
      <c r="O88" s="5" t="str">
        <f t="array" ref="O88">IF(OR($A88="",ISBLANK(XLOOKUP($A88,Monitor_Asignado,Correos_Gmail,"",0))),"",XLOOKUP($A88,Monitor_Asignado,Correos_Gmail,"",0))</f>
        <v/>
      </c>
      <c r="P88" s="5" t="str">
        <f t="array" ref="P88">IF(OR($A88="",ISBLANK(XLOOKUP($A88,Monitor_Asignado,Correos_Institucionales,"",0))),"",XLOOKUP($A88,Monitor_Asignado,Correos_Institucionales,"",0))</f>
        <v/>
      </c>
    </row>
    <row r="89" ht="15.75" customHeight="1">
      <c r="A89" s="5"/>
      <c r="B89" s="5"/>
      <c r="C89" s="17"/>
      <c r="D89" s="5"/>
      <c r="E89" s="55"/>
      <c r="F89" s="5"/>
      <c r="G89" s="5"/>
      <c r="H89" s="5"/>
      <c r="I89" s="5"/>
      <c r="J89" s="5"/>
      <c r="K89" s="5" t="str">
        <f t="array" ref="K89">IF(OR($A89="",ISBLANK(XLOOKUP($A89,Monitor_Asignado,Nombres_Directorio,"",0))),"",XLOOKUP($A89,Monitor_Asignado,Nombres_Directorio,"",0))</f>
        <v/>
      </c>
      <c r="L89" s="5" t="str">
        <f t="array" ref="L89">IF(OR($A89="",ISBLANK(XLOOKUP($A89,Monitor_Asignado,Sucursal_Asignada,"",0))),"",XLOOKUP($A89,Monitor_Asignado,Sucursal_Asignada,"",0))</f>
        <v/>
      </c>
      <c r="M89" s="5" t="str">
        <f t="array" ref="M89">IF(OR($A89="",ISBLANK(XLOOKUP($A89,Monitor_Asignado,Departamento_Asignado,"",0))),"",XLOOKUP($A89,Monitor_Asignado,Departamento_Asignado,"",0))</f>
        <v/>
      </c>
      <c r="N89" s="5" t="str">
        <f t="array" ref="N89">IF(OR($A89="",ISBLANK(XLOOKUP($A89,Monitor_Asignado,Nombres_Directorio,"",0))),"",XLOOKUP($A89,Monitor_Asignado,Nombres_Directorio,"",0))</f>
        <v/>
      </c>
      <c r="O89" s="5" t="str">
        <f t="array" ref="O89">IF(OR($A89="",ISBLANK(XLOOKUP($A89,Monitor_Asignado,Correos_Gmail,"",0))),"",XLOOKUP($A89,Monitor_Asignado,Correos_Gmail,"",0))</f>
        <v/>
      </c>
      <c r="P89" s="5" t="str">
        <f t="array" ref="P89">IF(OR($A89="",ISBLANK(XLOOKUP($A89,Monitor_Asignado,Correos_Institucionales,"",0))),"",XLOOKUP($A89,Monitor_Asignado,Correos_Institucionales,"",0))</f>
        <v/>
      </c>
    </row>
    <row r="90" ht="15.75" customHeight="1">
      <c r="A90" s="5"/>
      <c r="B90" s="5"/>
      <c r="C90" s="17"/>
      <c r="D90" s="5"/>
      <c r="E90" s="55"/>
      <c r="F90" s="5"/>
      <c r="G90" s="5"/>
      <c r="H90" s="5"/>
      <c r="I90" s="5"/>
      <c r="J90" s="5"/>
      <c r="K90" s="5" t="str">
        <f t="array" ref="K90">IF(OR($A90="",ISBLANK(XLOOKUP($A90,Monitor_Asignado,Nombres_Directorio,"",0))),"",XLOOKUP($A90,Monitor_Asignado,Nombres_Directorio,"",0))</f>
        <v/>
      </c>
      <c r="L90" s="5" t="str">
        <f t="array" ref="L90">IF(OR($A90="",ISBLANK(XLOOKUP($A90,Monitor_Asignado,Sucursal_Asignada,"",0))),"",XLOOKUP($A90,Monitor_Asignado,Sucursal_Asignada,"",0))</f>
        <v/>
      </c>
      <c r="M90" s="5" t="str">
        <f t="array" ref="M90">IF(OR($A90="",ISBLANK(XLOOKUP($A90,Monitor_Asignado,Departamento_Asignado,"",0))),"",XLOOKUP($A90,Monitor_Asignado,Departamento_Asignado,"",0))</f>
        <v/>
      </c>
      <c r="N90" s="5" t="str">
        <f t="array" ref="N90">IF(OR($A90="",ISBLANK(XLOOKUP($A90,Monitor_Asignado,Nombres_Directorio,"",0))),"",XLOOKUP($A90,Monitor_Asignado,Nombres_Directorio,"",0))</f>
        <v/>
      </c>
      <c r="O90" s="5" t="str">
        <f t="array" ref="O90">IF(OR($A90="",ISBLANK(XLOOKUP($A90,Monitor_Asignado,Correos_Gmail,"",0))),"",XLOOKUP($A90,Monitor_Asignado,Correos_Gmail,"",0))</f>
        <v/>
      </c>
      <c r="P90" s="5" t="str">
        <f t="array" ref="P90">IF(OR($A90="",ISBLANK(XLOOKUP($A90,Monitor_Asignado,Correos_Institucionales,"",0))),"",XLOOKUP($A90,Monitor_Asignado,Correos_Institucionales,"",0))</f>
        <v/>
      </c>
    </row>
    <row r="91" ht="15.75" customHeight="1">
      <c r="A91" s="5"/>
      <c r="B91" s="5"/>
      <c r="C91" s="17"/>
      <c r="D91" s="5"/>
      <c r="E91" s="55"/>
      <c r="F91" s="5"/>
      <c r="G91" s="5"/>
      <c r="H91" s="5"/>
      <c r="I91" s="5"/>
      <c r="J91" s="5"/>
      <c r="K91" s="5" t="str">
        <f t="array" ref="K91">IF(OR($A91="",ISBLANK(XLOOKUP($A91,Monitor_Asignado,Nombres_Directorio,"",0))),"",XLOOKUP($A91,Monitor_Asignado,Nombres_Directorio,"",0))</f>
        <v/>
      </c>
      <c r="L91" s="5" t="str">
        <f t="array" ref="L91">IF(OR($A91="",ISBLANK(XLOOKUP($A91,Monitor_Asignado,Sucursal_Asignada,"",0))),"",XLOOKUP($A91,Monitor_Asignado,Sucursal_Asignada,"",0))</f>
        <v/>
      </c>
      <c r="M91" s="5" t="str">
        <f t="array" ref="M91">IF(OR($A91="",ISBLANK(XLOOKUP($A91,Monitor_Asignado,Departamento_Asignado,"",0))),"",XLOOKUP($A91,Monitor_Asignado,Departamento_Asignado,"",0))</f>
        <v/>
      </c>
      <c r="N91" s="5" t="str">
        <f t="array" ref="N91">IF(OR($A91="",ISBLANK(XLOOKUP($A91,Monitor_Asignado,Nombres_Directorio,"",0))),"",XLOOKUP($A91,Monitor_Asignado,Nombres_Directorio,"",0))</f>
        <v/>
      </c>
      <c r="O91" s="5" t="str">
        <f t="array" ref="O91">IF(OR($A91="",ISBLANK(XLOOKUP($A91,Monitor_Asignado,Correos_Gmail,"",0))),"",XLOOKUP($A91,Monitor_Asignado,Correos_Gmail,"",0))</f>
        <v/>
      </c>
      <c r="P91" s="5" t="str">
        <f t="array" ref="P91">IF(OR($A91="",ISBLANK(XLOOKUP($A91,Monitor_Asignado,Correos_Institucionales,"",0))),"",XLOOKUP($A91,Monitor_Asignado,Correos_Institucionales,"",0))</f>
        <v/>
      </c>
    </row>
    <row r="92" ht="15.75" customHeight="1">
      <c r="A92" s="5"/>
      <c r="B92" s="5"/>
      <c r="C92" s="17"/>
      <c r="D92" s="5"/>
      <c r="E92" s="55"/>
      <c r="F92" s="5"/>
      <c r="G92" s="5"/>
      <c r="H92" s="5"/>
      <c r="I92" s="5"/>
      <c r="J92" s="5"/>
      <c r="K92" s="5" t="str">
        <f t="array" ref="K92">IF(OR($A92="",ISBLANK(XLOOKUP($A92,Monitor_Asignado,Nombres_Directorio,"",0))),"",XLOOKUP($A92,Monitor_Asignado,Nombres_Directorio,"",0))</f>
        <v/>
      </c>
      <c r="L92" s="5" t="str">
        <f t="array" ref="L92">IF(OR($A92="",ISBLANK(XLOOKUP($A92,Monitor_Asignado,Sucursal_Asignada,"",0))),"",XLOOKUP($A92,Monitor_Asignado,Sucursal_Asignada,"",0))</f>
        <v/>
      </c>
      <c r="M92" s="5" t="str">
        <f t="array" ref="M92">IF(OR($A92="",ISBLANK(XLOOKUP($A92,Monitor_Asignado,Departamento_Asignado,"",0))),"",XLOOKUP($A92,Monitor_Asignado,Departamento_Asignado,"",0))</f>
        <v/>
      </c>
      <c r="N92" s="5" t="str">
        <f t="array" ref="N92">IF(OR($A92="",ISBLANK(XLOOKUP($A92,Monitor_Asignado,Nombres_Directorio,"",0))),"",XLOOKUP($A92,Monitor_Asignado,Nombres_Directorio,"",0))</f>
        <v/>
      </c>
      <c r="O92" s="5" t="str">
        <f t="array" ref="O92">IF(OR($A92="",ISBLANK(XLOOKUP($A92,Monitor_Asignado,Correos_Gmail,"",0))),"",XLOOKUP($A92,Monitor_Asignado,Correos_Gmail,"",0))</f>
        <v/>
      </c>
      <c r="P92" s="5" t="str">
        <f t="array" ref="P92">IF(OR($A92="",ISBLANK(XLOOKUP($A92,Monitor_Asignado,Correos_Institucionales,"",0))),"",XLOOKUP($A92,Monitor_Asignado,Correos_Institucionales,"",0))</f>
        <v/>
      </c>
    </row>
    <row r="93" ht="15.75" customHeight="1">
      <c r="A93" s="5"/>
      <c r="B93" s="5"/>
      <c r="C93" s="17"/>
      <c r="D93" s="5"/>
      <c r="E93" s="55"/>
      <c r="F93" s="5"/>
      <c r="G93" s="5"/>
      <c r="H93" s="5"/>
      <c r="I93" s="5"/>
      <c r="J93" s="5"/>
      <c r="K93" s="5" t="str">
        <f t="array" ref="K93">IF(OR($A93="",ISBLANK(XLOOKUP($A93,Monitor_Asignado,Nombres_Directorio,"",0))),"",XLOOKUP($A93,Monitor_Asignado,Nombres_Directorio,"",0))</f>
        <v/>
      </c>
      <c r="L93" s="5" t="str">
        <f t="array" ref="L93">IF(OR($A93="",ISBLANK(XLOOKUP($A93,Monitor_Asignado,Sucursal_Asignada,"",0))),"",XLOOKUP($A93,Monitor_Asignado,Sucursal_Asignada,"",0))</f>
        <v/>
      </c>
      <c r="M93" s="5" t="str">
        <f t="array" ref="M93">IF(OR($A93="",ISBLANK(XLOOKUP($A93,Monitor_Asignado,Departamento_Asignado,"",0))),"",XLOOKUP($A93,Monitor_Asignado,Departamento_Asignado,"",0))</f>
        <v/>
      </c>
      <c r="N93" s="5" t="str">
        <f t="array" ref="N93">IF(OR($A93="",ISBLANK(XLOOKUP($A93,Monitor_Asignado,Nombres_Directorio,"",0))),"",XLOOKUP($A93,Monitor_Asignado,Nombres_Directorio,"",0))</f>
        <v/>
      </c>
      <c r="O93" s="5" t="str">
        <f t="array" ref="O93">IF(OR($A93="",ISBLANK(XLOOKUP($A93,Monitor_Asignado,Correos_Gmail,"",0))),"",XLOOKUP($A93,Monitor_Asignado,Correos_Gmail,"",0))</f>
        <v/>
      </c>
      <c r="P93" s="5" t="str">
        <f t="array" ref="P93">IF(OR($A93="",ISBLANK(XLOOKUP($A93,Monitor_Asignado,Correos_Institucionales,"",0))),"",XLOOKUP($A93,Monitor_Asignado,Correos_Institucionales,"",0))</f>
        <v/>
      </c>
    </row>
    <row r="94" ht="15.75" customHeight="1">
      <c r="A94" s="5"/>
      <c r="B94" s="5"/>
      <c r="C94" s="17"/>
      <c r="D94" s="5"/>
      <c r="E94" s="55"/>
      <c r="F94" s="5"/>
      <c r="G94" s="5"/>
      <c r="H94" s="5"/>
      <c r="I94" s="5"/>
      <c r="J94" s="5"/>
      <c r="K94" s="5" t="str">
        <f t="array" ref="K94">IF(OR($A94="",ISBLANK(XLOOKUP($A94,Monitor_Asignado,Nombres_Directorio,"",0))),"",XLOOKUP($A94,Monitor_Asignado,Nombres_Directorio,"",0))</f>
        <v/>
      </c>
      <c r="L94" s="5" t="str">
        <f t="array" ref="L94">IF(OR($A94="",ISBLANK(XLOOKUP($A94,Monitor_Asignado,Sucursal_Asignada,"",0))),"",XLOOKUP($A94,Monitor_Asignado,Sucursal_Asignada,"",0))</f>
        <v/>
      </c>
      <c r="M94" s="5" t="str">
        <f t="array" ref="M94">IF(OR($A94="",ISBLANK(XLOOKUP($A94,Monitor_Asignado,Departamento_Asignado,"",0))),"",XLOOKUP($A94,Monitor_Asignado,Departamento_Asignado,"",0))</f>
        <v/>
      </c>
      <c r="N94" s="5" t="str">
        <f t="array" ref="N94">IF(OR($A94="",ISBLANK(XLOOKUP($A94,Monitor_Asignado,Nombres_Directorio,"",0))),"",XLOOKUP($A94,Monitor_Asignado,Nombres_Directorio,"",0))</f>
        <v/>
      </c>
      <c r="O94" s="5" t="str">
        <f t="array" ref="O94">IF(OR($A94="",ISBLANK(XLOOKUP($A94,Monitor_Asignado,Correos_Gmail,"",0))),"",XLOOKUP($A94,Monitor_Asignado,Correos_Gmail,"",0))</f>
        <v/>
      </c>
      <c r="P94" s="5" t="str">
        <f t="array" ref="P94">IF(OR($A94="",ISBLANK(XLOOKUP($A94,Monitor_Asignado,Correos_Institucionales,"",0))),"",XLOOKUP($A94,Monitor_Asignado,Correos_Institucionales,"",0))</f>
        <v/>
      </c>
    </row>
    <row r="95" ht="15.75" customHeight="1">
      <c r="A95" s="5"/>
      <c r="B95" s="5"/>
      <c r="C95" s="17"/>
      <c r="D95" s="5"/>
      <c r="E95" s="55"/>
      <c r="F95" s="5"/>
      <c r="G95" s="5"/>
      <c r="H95" s="5"/>
      <c r="I95" s="5"/>
      <c r="J95" s="5"/>
      <c r="K95" s="5" t="str">
        <f t="array" ref="K95">IF(OR($A95="",ISBLANK(XLOOKUP($A95,Monitor_Asignado,Nombres_Directorio,"",0))),"",XLOOKUP($A95,Monitor_Asignado,Nombres_Directorio,"",0))</f>
        <v/>
      </c>
      <c r="L95" s="5" t="str">
        <f t="array" ref="L95">IF(OR($A95="",ISBLANK(XLOOKUP($A95,Monitor_Asignado,Sucursal_Asignada,"",0))),"",XLOOKUP($A95,Monitor_Asignado,Sucursal_Asignada,"",0))</f>
        <v/>
      </c>
      <c r="M95" s="5" t="str">
        <f t="array" ref="M95">IF(OR($A95="",ISBLANK(XLOOKUP($A95,Monitor_Asignado,Departamento_Asignado,"",0))),"",XLOOKUP($A95,Monitor_Asignado,Departamento_Asignado,"",0))</f>
        <v/>
      </c>
      <c r="N95" s="5" t="str">
        <f t="array" ref="N95">IF(OR($A95="",ISBLANK(XLOOKUP($A95,Monitor_Asignado,Nombres_Directorio,"",0))),"",XLOOKUP($A95,Monitor_Asignado,Nombres_Directorio,"",0))</f>
        <v/>
      </c>
      <c r="O95" s="5" t="str">
        <f t="array" ref="O95">IF(OR($A95="",ISBLANK(XLOOKUP($A95,Monitor_Asignado,Correos_Gmail,"",0))),"",XLOOKUP($A95,Monitor_Asignado,Correos_Gmail,"",0))</f>
        <v/>
      </c>
      <c r="P95" s="5" t="str">
        <f t="array" ref="P95">IF(OR($A95="",ISBLANK(XLOOKUP($A95,Monitor_Asignado,Correos_Institucionales,"",0))),"",XLOOKUP($A95,Monitor_Asignado,Correos_Institucionales,"",0))</f>
        <v/>
      </c>
    </row>
    <row r="96" ht="15.75" customHeight="1">
      <c r="A96" s="5"/>
      <c r="B96" s="5"/>
      <c r="C96" s="17"/>
      <c r="D96" s="5"/>
      <c r="E96" s="55"/>
      <c r="F96" s="5"/>
      <c r="G96" s="5"/>
      <c r="H96" s="5"/>
      <c r="I96" s="5"/>
      <c r="J96" s="5"/>
      <c r="K96" s="5" t="str">
        <f t="array" ref="K96">IF(OR($A96="",ISBLANK(XLOOKUP($A96,Monitor_Asignado,Nombres_Directorio,"",0))),"",XLOOKUP($A96,Monitor_Asignado,Nombres_Directorio,"",0))</f>
        <v/>
      </c>
      <c r="L96" s="5" t="str">
        <f t="array" ref="L96">IF(OR($A96="",ISBLANK(XLOOKUP($A96,Monitor_Asignado,Sucursal_Asignada,"",0))),"",XLOOKUP($A96,Monitor_Asignado,Sucursal_Asignada,"",0))</f>
        <v/>
      </c>
      <c r="M96" s="5" t="str">
        <f t="array" ref="M96">IF(OR($A96="",ISBLANK(XLOOKUP($A96,Monitor_Asignado,Departamento_Asignado,"",0))),"",XLOOKUP($A96,Monitor_Asignado,Departamento_Asignado,"",0))</f>
        <v/>
      </c>
      <c r="N96" s="5" t="str">
        <f t="array" ref="N96">IF(OR($A96="",ISBLANK(XLOOKUP($A96,Monitor_Asignado,Nombres_Directorio,"",0))),"",XLOOKUP($A96,Monitor_Asignado,Nombres_Directorio,"",0))</f>
        <v/>
      </c>
      <c r="O96" s="5" t="str">
        <f t="array" ref="O96">IF(OR($A96="",ISBLANK(XLOOKUP($A96,Monitor_Asignado,Correos_Gmail,"",0))),"",XLOOKUP($A96,Monitor_Asignado,Correos_Gmail,"",0))</f>
        <v/>
      </c>
      <c r="P96" s="5" t="str">
        <f t="array" ref="P96">IF(OR($A96="",ISBLANK(XLOOKUP($A96,Monitor_Asignado,Correos_Institucionales,"",0))),"",XLOOKUP($A96,Monitor_Asignado,Correos_Institucionales,"",0))</f>
        <v/>
      </c>
    </row>
    <row r="97" ht="15.75" customHeight="1">
      <c r="A97" s="5"/>
      <c r="B97" s="5"/>
      <c r="C97" s="17"/>
      <c r="D97" s="5"/>
      <c r="E97" s="55"/>
      <c r="F97" s="5"/>
      <c r="G97" s="5"/>
      <c r="H97" s="5"/>
      <c r="I97" s="5"/>
      <c r="J97" s="5"/>
      <c r="K97" s="5" t="str">
        <f t="array" ref="K97">IF(OR($A97="",ISBLANK(XLOOKUP($A97,Monitor_Asignado,Nombres_Directorio,"",0))),"",XLOOKUP($A97,Monitor_Asignado,Nombres_Directorio,"",0))</f>
        <v/>
      </c>
      <c r="L97" s="5" t="str">
        <f t="array" ref="L97">IF(OR($A97="",ISBLANK(XLOOKUP($A97,Monitor_Asignado,Sucursal_Asignada,"",0))),"",XLOOKUP($A97,Monitor_Asignado,Sucursal_Asignada,"",0))</f>
        <v/>
      </c>
      <c r="M97" s="5" t="str">
        <f t="array" ref="M97">IF(OR($A97="",ISBLANK(XLOOKUP($A97,Monitor_Asignado,Departamento_Asignado,"",0))),"",XLOOKUP($A97,Monitor_Asignado,Departamento_Asignado,"",0))</f>
        <v/>
      </c>
      <c r="N97" s="5" t="str">
        <f t="array" ref="N97">IF(OR($A97="",ISBLANK(XLOOKUP($A97,Monitor_Asignado,Nombres_Directorio,"",0))),"",XLOOKUP($A97,Monitor_Asignado,Nombres_Directorio,"",0))</f>
        <v/>
      </c>
      <c r="O97" s="5" t="str">
        <f t="array" ref="O97">IF(OR($A97="",ISBLANK(XLOOKUP($A97,Monitor_Asignado,Correos_Gmail,"",0))),"",XLOOKUP($A97,Monitor_Asignado,Correos_Gmail,"",0))</f>
        <v/>
      </c>
      <c r="P97" s="5" t="str">
        <f t="array" ref="P97">IF(OR($A97="",ISBLANK(XLOOKUP($A97,Monitor_Asignado,Correos_Institucionales,"",0))),"",XLOOKUP($A97,Monitor_Asignado,Correos_Institucionales,"",0))</f>
        <v/>
      </c>
    </row>
    <row r="98" ht="15.75" customHeight="1">
      <c r="A98" s="5"/>
      <c r="B98" s="5"/>
      <c r="C98" s="17"/>
      <c r="D98" s="5"/>
      <c r="E98" s="55"/>
      <c r="F98" s="5"/>
      <c r="G98" s="5"/>
      <c r="H98" s="5"/>
      <c r="I98" s="5"/>
      <c r="J98" s="5"/>
      <c r="K98" s="5" t="str">
        <f t="array" ref="K98">IF(OR($A98="",ISBLANK(XLOOKUP($A98,Monitor_Asignado,Nombres_Directorio,"",0))),"",XLOOKUP($A98,Monitor_Asignado,Nombres_Directorio,"",0))</f>
        <v/>
      </c>
      <c r="L98" s="5" t="str">
        <f t="array" ref="L98">IF(OR($A98="",ISBLANK(XLOOKUP($A98,Monitor_Asignado,Sucursal_Asignada,"",0))),"",XLOOKUP($A98,Monitor_Asignado,Sucursal_Asignada,"",0))</f>
        <v/>
      </c>
      <c r="M98" s="5" t="str">
        <f t="array" ref="M98">IF(OR($A98="",ISBLANK(XLOOKUP($A98,Monitor_Asignado,Departamento_Asignado,"",0))),"",XLOOKUP($A98,Monitor_Asignado,Departamento_Asignado,"",0))</f>
        <v/>
      </c>
      <c r="N98" s="5" t="str">
        <f t="array" ref="N98">IF(OR($A98="",ISBLANK(XLOOKUP($A98,Monitor_Asignado,Nombres_Directorio,"",0))),"",XLOOKUP($A98,Monitor_Asignado,Nombres_Directorio,"",0))</f>
        <v/>
      </c>
      <c r="O98" s="5" t="str">
        <f t="array" ref="O98">IF(OR($A98="",ISBLANK(XLOOKUP($A98,Monitor_Asignado,Correos_Gmail,"",0))),"",XLOOKUP($A98,Monitor_Asignado,Correos_Gmail,"",0))</f>
        <v/>
      </c>
      <c r="P98" s="5" t="str">
        <f t="array" ref="P98">IF(OR($A98="",ISBLANK(XLOOKUP($A98,Monitor_Asignado,Correos_Institucionales,"",0))),"",XLOOKUP($A98,Monitor_Asignado,Correos_Institucionales,"",0))</f>
        <v/>
      </c>
    </row>
    <row r="99" ht="15.75" customHeight="1">
      <c r="A99" s="5"/>
      <c r="B99" s="5"/>
      <c r="C99" s="17"/>
      <c r="D99" s="5"/>
      <c r="E99" s="55"/>
      <c r="F99" s="5"/>
      <c r="G99" s="5"/>
      <c r="H99" s="5"/>
      <c r="I99" s="5"/>
      <c r="J99" s="5"/>
      <c r="K99" s="5" t="str">
        <f t="array" ref="K99">IF(OR($A99="",ISBLANK(XLOOKUP($A99,Monitor_Asignado,Nombres_Directorio,"",0))),"",XLOOKUP($A99,Monitor_Asignado,Nombres_Directorio,"",0))</f>
        <v/>
      </c>
      <c r="L99" s="5" t="str">
        <f t="array" ref="L99">IF(OR($A99="",ISBLANK(XLOOKUP($A99,Monitor_Asignado,Sucursal_Asignada,"",0))),"",XLOOKUP($A99,Monitor_Asignado,Sucursal_Asignada,"",0))</f>
        <v/>
      </c>
      <c r="M99" s="5" t="str">
        <f t="array" ref="M99">IF(OR($A99="",ISBLANK(XLOOKUP($A99,Monitor_Asignado,Departamento_Asignado,"",0))),"",XLOOKUP($A99,Monitor_Asignado,Departamento_Asignado,"",0))</f>
        <v/>
      </c>
      <c r="N99" s="5" t="str">
        <f t="array" ref="N99">IF(OR($A99="",ISBLANK(XLOOKUP($A99,Monitor_Asignado,Nombres_Directorio,"",0))),"",XLOOKUP($A99,Monitor_Asignado,Nombres_Directorio,"",0))</f>
        <v/>
      </c>
      <c r="O99" s="5" t="str">
        <f t="array" ref="O99">IF(OR($A99="",ISBLANK(XLOOKUP($A99,Monitor_Asignado,Correos_Gmail,"",0))),"",XLOOKUP($A99,Monitor_Asignado,Correos_Gmail,"",0))</f>
        <v/>
      </c>
      <c r="P99" s="5" t="str">
        <f t="array" ref="P99">IF(OR($A99="",ISBLANK(XLOOKUP($A99,Monitor_Asignado,Correos_Institucionales,"",0))),"",XLOOKUP($A99,Monitor_Asignado,Correos_Institucionales,"",0))</f>
        <v/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autoFilter ref="$A$1:$P$67"/>
  <dataValidations>
    <dataValidation type="list" allowBlank="1" showErrorMessage="1" sqref="I2:I91">
      <formula1>Renovar</formula1>
    </dataValidation>
    <dataValidation type="list" allowBlank="1" showErrorMessage="1" sqref="B2:B99 J2:J99">
      <formula1>Condición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9.43"/>
    <col customWidth="1" min="3" max="3" width="16.71"/>
    <col customWidth="1" min="4" max="4" width="18.14"/>
    <col customWidth="1" min="5" max="5" width="21.43"/>
    <col customWidth="1" min="6" max="6" width="17.43"/>
    <col customWidth="1" min="7" max="7" width="13.14"/>
    <col customWidth="1" min="8" max="8" width="36.86"/>
    <col customWidth="1" min="9" max="9" width="16.86"/>
    <col customWidth="1" min="10" max="10" width="24.57"/>
    <col customWidth="1" min="11" max="11" width="16.29"/>
    <col customWidth="1" min="12" max="12" width="17.86"/>
    <col customWidth="1" min="13" max="13" width="30.86"/>
    <col customWidth="1" min="14" max="14" width="11.57"/>
    <col customWidth="1" min="15" max="15" width="22.71"/>
    <col customWidth="1" min="16" max="16" width="30.86"/>
    <col customWidth="1" min="17" max="18" width="31.57"/>
  </cols>
  <sheetData>
    <row r="1">
      <c r="A1" s="15" t="s">
        <v>1724</v>
      </c>
      <c r="B1" s="15" t="s">
        <v>1286</v>
      </c>
      <c r="C1" s="15" t="s">
        <v>1287</v>
      </c>
      <c r="D1" s="15" t="s">
        <v>763</v>
      </c>
      <c r="E1" s="15" t="s">
        <v>1288</v>
      </c>
      <c r="F1" s="8" t="s">
        <v>1725</v>
      </c>
      <c r="G1" s="15" t="s">
        <v>766</v>
      </c>
      <c r="H1" s="15" t="s">
        <v>767</v>
      </c>
      <c r="I1" s="15" t="s">
        <v>771</v>
      </c>
      <c r="J1" s="15" t="s">
        <v>769</v>
      </c>
      <c r="K1" s="15" t="s">
        <v>1726</v>
      </c>
      <c r="L1" s="15" t="s">
        <v>1727</v>
      </c>
      <c r="M1" s="15" t="s">
        <v>6</v>
      </c>
      <c r="N1" s="15" t="s">
        <v>11</v>
      </c>
      <c r="O1" s="15" t="s">
        <v>28</v>
      </c>
      <c r="P1" s="15" t="s">
        <v>29</v>
      </c>
      <c r="Q1" s="15" t="s">
        <v>60</v>
      </c>
      <c r="R1" s="15" t="s">
        <v>1289</v>
      </c>
    </row>
    <row r="2">
      <c r="A2" s="5">
        <v>1.0</v>
      </c>
      <c r="B2" s="5" t="s">
        <v>1728</v>
      </c>
      <c r="C2" s="5" t="s">
        <v>1729</v>
      </c>
      <c r="D2" s="23" t="s">
        <v>44</v>
      </c>
      <c r="E2" s="74" t="s">
        <v>1730</v>
      </c>
      <c r="F2" s="75"/>
      <c r="G2" s="5" t="s">
        <v>1132</v>
      </c>
      <c r="H2" s="75"/>
      <c r="I2" s="75"/>
      <c r="J2" s="55"/>
      <c r="K2" s="76">
        <v>1428.0</v>
      </c>
      <c r="L2" s="76">
        <v>700.0</v>
      </c>
      <c r="M2" s="5" t="str">
        <f t="array" ref="M2">IF(OR($A2="",ISBLANK(XLOOKUP($A2,Tablet_Asignada,Nombres_Directorio,"",0))),"",XLOOKUP($A2,Tablet_Asignada,Nombres_Directorio,"",0))</f>
        <v/>
      </c>
      <c r="N2" s="5" t="str">
        <f t="array" ref="N2">IF(OR($A2="",ISBLANK(XLOOKUP($A2,Tablet_Asignada,Sucursal_Asignada,"",0))),"",XLOOKUP($A2,Tablet_Asignada,Sucursal_Asignada,"",0))</f>
        <v/>
      </c>
      <c r="O2" s="5" t="str">
        <f t="array" ref="O2">IF(OR($A2="",ISBLANK(XLOOKUP($A2,Tablet_Asignada,Departamento_Asignado,"",0))),"",XLOOKUP($A2,Tablet_Asignada,Departamento_Asignado,"",0))</f>
        <v/>
      </c>
      <c r="P2" s="5" t="str">
        <f t="array" ref="P2">IF(OR($A2="",ISBLANK(XLOOKUP($A2,Tablet_Asignada,Nombres_Directorio,"",0))),"",XLOOKUP($A2,Tablet_Asignada,Nombres_Directorio,"",0))</f>
        <v/>
      </c>
      <c r="Q2" s="5" t="str">
        <f t="array" ref="Q2">IF(OR($A2="",ISBLANK(XLOOKUP($A2,Tablet_Asignada,Correos_Gmail,"",0))),"",XLOOKUP($A2,Tablet_Asignada,Correos_Gmail,"",0))</f>
        <v/>
      </c>
      <c r="R2" s="5" t="str">
        <f t="array" ref="R2">IF(OR($A2="",ISBLANK(XLOOKUP($A2,Tablet_Asignada,Correos_Institucionales,"",0))),"",XLOOKUP($A2,Tablet_Asignada,Correos_Institucionales,"",0))</f>
        <v/>
      </c>
    </row>
    <row r="3">
      <c r="A3" s="5">
        <v>2.0</v>
      </c>
      <c r="B3" s="5" t="s">
        <v>1728</v>
      </c>
      <c r="C3" s="5" t="s">
        <v>1729</v>
      </c>
      <c r="D3" s="23" t="s">
        <v>44</v>
      </c>
      <c r="E3" s="74" t="s">
        <v>1731</v>
      </c>
      <c r="F3" s="75"/>
      <c r="G3" s="5" t="s">
        <v>1132</v>
      </c>
      <c r="H3" s="75"/>
      <c r="I3" s="75"/>
      <c r="J3" s="55"/>
      <c r="K3" s="76">
        <v>1428.0</v>
      </c>
      <c r="L3" s="76">
        <v>700.0</v>
      </c>
      <c r="M3" s="5" t="str">
        <f t="array" ref="M3">IF(OR($A3="",ISBLANK(XLOOKUP($A3,Tablet_Asignada,Nombres_Directorio,"",0))),"",XLOOKUP($A3,Tablet_Asignada,Nombres_Directorio,"",0))</f>
        <v/>
      </c>
      <c r="N3" s="5" t="str">
        <f t="array" ref="N3">IF(OR($A3="",ISBLANK(XLOOKUP($A3,Tablet_Asignada,Sucursal_Asignada,"",0))),"",XLOOKUP($A3,Tablet_Asignada,Sucursal_Asignada,"",0))</f>
        <v/>
      </c>
      <c r="O3" s="5" t="str">
        <f t="array" ref="O3">IF(OR($A3="",ISBLANK(XLOOKUP($A3,Tablet_Asignada,Departamento_Asignado,"",0))),"",XLOOKUP($A3,Tablet_Asignada,Departamento_Asignado,"",0))</f>
        <v/>
      </c>
      <c r="P3" s="5" t="str">
        <f t="array" ref="P3">IF(OR($A3="",ISBLANK(XLOOKUP($A3,Tablet_Asignada,Nombres_Directorio,"",0))),"",XLOOKUP($A3,Tablet_Asignada,Nombres_Directorio,"",0))</f>
        <v/>
      </c>
      <c r="Q3" s="5" t="str">
        <f t="array" ref="Q3">IF(OR($A3="",ISBLANK(XLOOKUP($A3,Tablet_Asignada,Correos_Gmail,"",0))),"",XLOOKUP($A3,Tablet_Asignada,Correos_Gmail,"",0))</f>
        <v/>
      </c>
      <c r="R3" s="5" t="str">
        <f t="array" ref="R3">IF(OR($A3="",ISBLANK(XLOOKUP($A3,Tablet_Asignada,Correos_Institucionales,"",0))),"",XLOOKUP($A3,Tablet_Asignada,Correos_Institucionales,"",0))</f>
        <v/>
      </c>
    </row>
    <row r="4">
      <c r="A4" s="5">
        <v>3.0</v>
      </c>
      <c r="B4" s="5" t="s">
        <v>1728</v>
      </c>
      <c r="C4" s="5" t="s">
        <v>1729</v>
      </c>
      <c r="D4" s="23" t="s">
        <v>44</v>
      </c>
      <c r="E4" s="74" t="s">
        <v>1732</v>
      </c>
      <c r="F4" s="75"/>
      <c r="G4" s="5" t="s">
        <v>1132</v>
      </c>
      <c r="H4" s="75"/>
      <c r="I4" s="75"/>
      <c r="J4" s="55"/>
      <c r="K4" s="76">
        <v>1428.0</v>
      </c>
      <c r="L4" s="76">
        <v>700.0</v>
      </c>
      <c r="M4" s="5" t="str">
        <f t="array" ref="M4">IF(OR($A4="",ISBLANK(XLOOKUP($A4,Tablet_Asignada,Nombres_Directorio,"",0))),"",XLOOKUP($A4,Tablet_Asignada,Nombres_Directorio,"",0))</f>
        <v/>
      </c>
      <c r="N4" s="5" t="str">
        <f t="array" ref="N4">IF(OR($A4="",ISBLANK(XLOOKUP($A4,Tablet_Asignada,Sucursal_Asignada,"",0))),"",XLOOKUP($A4,Tablet_Asignada,Sucursal_Asignada,"",0))</f>
        <v/>
      </c>
      <c r="O4" s="5" t="str">
        <f t="array" ref="O4">IF(OR($A4="",ISBLANK(XLOOKUP($A4,Tablet_Asignada,Departamento_Asignado,"",0))),"",XLOOKUP($A4,Tablet_Asignada,Departamento_Asignado,"",0))</f>
        <v/>
      </c>
      <c r="P4" s="5" t="str">
        <f t="array" ref="P4">IF(OR($A4="",ISBLANK(XLOOKUP($A4,Tablet_Asignada,Nombres_Directorio,"",0))),"",XLOOKUP($A4,Tablet_Asignada,Nombres_Directorio,"",0))</f>
        <v/>
      </c>
      <c r="Q4" s="5" t="str">
        <f t="array" ref="Q4">IF(OR($A4="",ISBLANK(XLOOKUP($A4,Tablet_Asignada,Correos_Gmail,"",0))),"",XLOOKUP($A4,Tablet_Asignada,Correos_Gmail,"",0))</f>
        <v/>
      </c>
      <c r="R4" s="5" t="str">
        <f t="array" ref="R4">IF(OR($A4="",ISBLANK(XLOOKUP($A4,Tablet_Asignada,Correos_Institucionales,"",0))),"",XLOOKUP($A4,Tablet_Asignada,Correos_Institucionales,"",0))</f>
        <v/>
      </c>
    </row>
    <row r="5">
      <c r="A5" s="5">
        <v>4.0</v>
      </c>
      <c r="B5" s="5" t="s">
        <v>1728</v>
      </c>
      <c r="C5" s="5" t="s">
        <v>1729</v>
      </c>
      <c r="D5" s="23" t="s">
        <v>44</v>
      </c>
      <c r="E5" s="74" t="s">
        <v>1733</v>
      </c>
      <c r="F5" s="75"/>
      <c r="G5" s="5" t="s">
        <v>1132</v>
      </c>
      <c r="H5" s="75"/>
      <c r="I5" s="75"/>
      <c r="J5" s="55"/>
      <c r="K5" s="76">
        <v>1428.0</v>
      </c>
      <c r="L5" s="76">
        <v>700.0</v>
      </c>
      <c r="M5" s="5" t="str">
        <f t="array" ref="M5">IF(OR($A5="",ISBLANK(XLOOKUP($A5,Tablet_Asignada,Nombres_Directorio,"",0))),"",XLOOKUP($A5,Tablet_Asignada,Nombres_Directorio,"",0))</f>
        <v/>
      </c>
      <c r="N5" s="5" t="str">
        <f t="array" ref="N5">IF(OR($A5="",ISBLANK(XLOOKUP($A5,Tablet_Asignada,Sucursal_Asignada,"",0))),"",XLOOKUP($A5,Tablet_Asignada,Sucursal_Asignada,"",0))</f>
        <v/>
      </c>
      <c r="O5" s="5" t="str">
        <f t="array" ref="O5">IF(OR($A5="",ISBLANK(XLOOKUP($A5,Tablet_Asignada,Departamento_Asignado,"",0))),"",XLOOKUP($A5,Tablet_Asignada,Departamento_Asignado,"",0))</f>
        <v/>
      </c>
      <c r="P5" s="5" t="str">
        <f t="array" ref="P5">IF(OR($A5="",ISBLANK(XLOOKUP($A5,Tablet_Asignada,Nombres_Directorio,"",0))),"",XLOOKUP($A5,Tablet_Asignada,Nombres_Directorio,"",0))</f>
        <v/>
      </c>
      <c r="Q5" s="5" t="str">
        <f t="array" ref="Q5">IF(OR($A5="",ISBLANK(XLOOKUP($A5,Tablet_Asignada,Correos_Gmail,"",0))),"",XLOOKUP($A5,Tablet_Asignada,Correos_Gmail,"",0))</f>
        <v/>
      </c>
      <c r="R5" s="5" t="str">
        <f t="array" ref="R5">IF(OR($A5="",ISBLANK(XLOOKUP($A5,Tablet_Asignada,Correos_Institucionales,"",0))),"",XLOOKUP($A5,Tablet_Asignada,Correos_Institucionales,"",0))</f>
        <v/>
      </c>
    </row>
    <row r="6">
      <c r="A6" s="5">
        <v>5.0</v>
      </c>
      <c r="B6" s="5" t="s">
        <v>1728</v>
      </c>
      <c r="C6" s="5" t="s">
        <v>1729</v>
      </c>
      <c r="D6" s="23" t="s">
        <v>44</v>
      </c>
      <c r="E6" s="74" t="s">
        <v>1734</v>
      </c>
      <c r="F6" s="75"/>
      <c r="G6" s="5" t="s">
        <v>1132</v>
      </c>
      <c r="H6" s="75"/>
      <c r="I6" s="75"/>
      <c r="J6" s="55"/>
      <c r="K6" s="76">
        <v>1428.0</v>
      </c>
      <c r="L6" s="76">
        <v>700.0</v>
      </c>
      <c r="M6" s="5" t="str">
        <f t="array" ref="M6">IF(OR($A6="",ISBLANK(XLOOKUP($A6,Tablet_Asignada,Nombres_Directorio,"",0))),"",XLOOKUP($A6,Tablet_Asignada,Nombres_Directorio,"",0))</f>
        <v/>
      </c>
      <c r="N6" s="5" t="str">
        <f t="array" ref="N6">IF(OR($A6="",ISBLANK(XLOOKUP($A6,Tablet_Asignada,Sucursal_Asignada,"",0))),"",XLOOKUP($A6,Tablet_Asignada,Sucursal_Asignada,"",0))</f>
        <v/>
      </c>
      <c r="O6" s="5" t="str">
        <f t="array" ref="O6">IF(OR($A6="",ISBLANK(XLOOKUP($A6,Tablet_Asignada,Departamento_Asignado,"",0))),"",XLOOKUP($A6,Tablet_Asignada,Departamento_Asignado,"",0))</f>
        <v/>
      </c>
      <c r="P6" s="5" t="str">
        <f t="array" ref="P6">IF(OR($A6="",ISBLANK(XLOOKUP($A6,Tablet_Asignada,Nombres_Directorio,"",0))),"",XLOOKUP($A6,Tablet_Asignada,Nombres_Directorio,"",0))</f>
        <v/>
      </c>
      <c r="Q6" s="5" t="str">
        <f t="array" ref="Q6">IF(OR($A6="",ISBLANK(XLOOKUP($A6,Tablet_Asignada,Correos_Gmail,"",0))),"",XLOOKUP($A6,Tablet_Asignada,Correos_Gmail,"",0))</f>
        <v/>
      </c>
      <c r="R6" s="5" t="str">
        <f t="array" ref="R6">IF(OR($A6="",ISBLANK(XLOOKUP($A6,Tablet_Asignada,Correos_Institucionales,"",0))),"",XLOOKUP($A6,Tablet_Asignada,Correos_Institucionales,"",0))</f>
        <v/>
      </c>
    </row>
    <row r="7">
      <c r="A7" s="5">
        <v>6.0</v>
      </c>
      <c r="B7" s="5" t="s">
        <v>1735</v>
      </c>
      <c r="C7" s="5" t="s">
        <v>1736</v>
      </c>
      <c r="D7" s="23">
        <v>3.57153344161209E14</v>
      </c>
      <c r="E7" s="23">
        <v>3.57153344158148E14</v>
      </c>
      <c r="F7" s="75"/>
      <c r="G7" s="5" t="s">
        <v>1132</v>
      </c>
      <c r="H7" s="75"/>
      <c r="I7" s="75"/>
      <c r="J7" s="55"/>
      <c r="K7" s="76">
        <v>3100.0</v>
      </c>
      <c r="L7" s="76">
        <v>200.0</v>
      </c>
      <c r="M7" s="5" t="str">
        <f t="array" ref="M7">IF(OR($A7="",ISBLANK(XLOOKUP($A7,Tablet_Asignada,Nombres_Directorio,"",0))),"",XLOOKUP($A7,Tablet_Asignada,Nombres_Directorio,"",0))</f>
        <v/>
      </c>
      <c r="N7" s="5" t="str">
        <f t="array" ref="N7">IF(OR($A7="",ISBLANK(XLOOKUP($A7,Tablet_Asignada,Sucursal_Asignada,"",0))),"",XLOOKUP($A7,Tablet_Asignada,Sucursal_Asignada,"",0))</f>
        <v/>
      </c>
      <c r="O7" s="5" t="str">
        <f t="array" ref="O7">IF(OR($A7="",ISBLANK(XLOOKUP($A7,Tablet_Asignada,Departamento_Asignado,"",0))),"",XLOOKUP($A7,Tablet_Asignada,Departamento_Asignado,"",0))</f>
        <v/>
      </c>
      <c r="P7" s="5" t="str">
        <f t="array" ref="P7">IF(OR($A7="",ISBLANK(XLOOKUP($A7,Tablet_Asignada,Nombres_Directorio,"",0))),"",XLOOKUP($A7,Tablet_Asignada,Nombres_Directorio,"",0))</f>
        <v/>
      </c>
      <c r="Q7" s="5" t="str">
        <f t="array" ref="Q7">IF(OR($A7="",ISBLANK(XLOOKUP($A7,Tablet_Asignada,Correos_Gmail,"",0))),"",XLOOKUP($A7,Tablet_Asignada,Correos_Gmail,"",0))</f>
        <v/>
      </c>
      <c r="R7" s="5" t="str">
        <f t="array" ref="R7">IF(OR($A7="",ISBLANK(XLOOKUP($A7,Tablet_Asignada,Correos_Institucionales,"",0))),"",XLOOKUP($A7,Tablet_Asignada,Correos_Institucionales,"",0))</f>
        <v/>
      </c>
    </row>
    <row r="8">
      <c r="A8" s="5">
        <v>7.0</v>
      </c>
      <c r="B8" s="5" t="s">
        <v>1735</v>
      </c>
      <c r="C8" s="5" t="s">
        <v>1736</v>
      </c>
      <c r="D8" s="77"/>
      <c r="E8" s="23">
        <v>3.57153344158148E14</v>
      </c>
      <c r="F8" s="75"/>
      <c r="G8" s="5" t="s">
        <v>1132</v>
      </c>
      <c r="H8" s="75"/>
      <c r="I8" s="75"/>
      <c r="J8" s="55"/>
      <c r="K8" s="76">
        <v>3100.0</v>
      </c>
      <c r="L8" s="76">
        <v>200.0</v>
      </c>
      <c r="M8" s="5" t="str">
        <f t="array" ref="M8">IF(OR($A8="",ISBLANK(XLOOKUP($A8,Tablet_Asignada,Nombres_Directorio,"",0))),"",XLOOKUP($A8,Tablet_Asignada,Nombres_Directorio,"",0))</f>
        <v/>
      </c>
      <c r="N8" s="5" t="str">
        <f t="array" ref="N8">IF(OR($A8="",ISBLANK(XLOOKUP($A8,Tablet_Asignada,Sucursal_Asignada,"",0))),"",XLOOKUP($A8,Tablet_Asignada,Sucursal_Asignada,"",0))</f>
        <v/>
      </c>
      <c r="O8" s="5" t="str">
        <f t="array" ref="O8">IF(OR($A8="",ISBLANK(XLOOKUP($A8,Tablet_Asignada,Departamento_Asignado,"",0))),"",XLOOKUP($A8,Tablet_Asignada,Departamento_Asignado,"",0))</f>
        <v/>
      </c>
      <c r="P8" s="5" t="str">
        <f t="array" ref="P8">IF(OR($A8="",ISBLANK(XLOOKUP($A8,Tablet_Asignada,Nombres_Directorio,"",0))),"",XLOOKUP($A8,Tablet_Asignada,Nombres_Directorio,"",0))</f>
        <v/>
      </c>
      <c r="Q8" s="5" t="str">
        <f t="array" ref="Q8">IF(OR($A8="",ISBLANK(XLOOKUP($A8,Tablet_Asignada,Correos_Gmail,"",0))),"",XLOOKUP($A8,Tablet_Asignada,Correos_Gmail,"",0))</f>
        <v/>
      </c>
      <c r="R8" s="5" t="str">
        <f t="array" ref="R8">IF(OR($A8="",ISBLANK(XLOOKUP($A8,Tablet_Asignada,Correos_Institucionales,"",0))),"",XLOOKUP($A8,Tablet_Asignada,Correos_Institucionales,"",0))</f>
        <v/>
      </c>
    </row>
    <row r="9">
      <c r="A9" s="5">
        <v>8.0</v>
      </c>
      <c r="B9" s="5" t="s">
        <v>1737</v>
      </c>
      <c r="C9" s="5" t="s">
        <v>1738</v>
      </c>
      <c r="D9" s="23">
        <v>8.64273033261619E14</v>
      </c>
      <c r="E9" s="74" t="s">
        <v>1739</v>
      </c>
      <c r="F9" s="75"/>
      <c r="G9" s="5" t="s">
        <v>1132</v>
      </c>
      <c r="H9" s="75"/>
      <c r="I9" s="75"/>
      <c r="J9" s="55"/>
      <c r="K9" s="76">
        <v>2900.0</v>
      </c>
      <c r="L9" s="76">
        <v>1500.0</v>
      </c>
      <c r="M9" s="5" t="str">
        <f t="array" ref="M9">IF(OR($A9="",ISBLANK(XLOOKUP($A9,Tablet_Asignada,Nombres_Directorio,"",0))),"",XLOOKUP($A9,Tablet_Asignada,Nombres_Directorio,"",0))</f>
        <v/>
      </c>
      <c r="N9" s="5" t="str">
        <f t="array" ref="N9">IF(OR($A9="",ISBLANK(XLOOKUP($A9,Tablet_Asignada,Sucursal_Asignada,"",0))),"",XLOOKUP($A9,Tablet_Asignada,Sucursal_Asignada,"",0))</f>
        <v/>
      </c>
      <c r="O9" s="5" t="str">
        <f t="array" ref="O9">IF(OR($A9="",ISBLANK(XLOOKUP($A9,Tablet_Asignada,Departamento_Asignado,"",0))),"",XLOOKUP($A9,Tablet_Asignada,Departamento_Asignado,"",0))</f>
        <v/>
      </c>
      <c r="P9" s="5" t="str">
        <f t="array" ref="P9">IF(OR($A9="",ISBLANK(XLOOKUP($A9,Tablet_Asignada,Nombres_Directorio,"",0))),"",XLOOKUP($A9,Tablet_Asignada,Nombres_Directorio,"",0))</f>
        <v/>
      </c>
      <c r="Q9" s="5" t="str">
        <f t="array" ref="Q9">IF(OR($A9="",ISBLANK(XLOOKUP($A9,Tablet_Asignada,Correos_Gmail,"",0))),"",XLOOKUP($A9,Tablet_Asignada,Correos_Gmail,"",0))</f>
        <v/>
      </c>
      <c r="R9" s="5" t="str">
        <f t="array" ref="R9">IF(OR($A9="",ISBLANK(XLOOKUP($A9,Tablet_Asignada,Correos_Institucionales,"",0))),"",XLOOKUP($A9,Tablet_Asignada,Correos_Institucionales,"",0))</f>
        <v/>
      </c>
    </row>
    <row r="10">
      <c r="A10" s="5">
        <v>9.0</v>
      </c>
      <c r="B10" s="5" t="s">
        <v>1737</v>
      </c>
      <c r="C10" s="5" t="s">
        <v>1738</v>
      </c>
      <c r="D10" s="23">
        <v>8.64273033384056E14</v>
      </c>
      <c r="E10" s="74" t="s">
        <v>1740</v>
      </c>
      <c r="F10" s="75"/>
      <c r="G10" s="5" t="s">
        <v>1132</v>
      </c>
      <c r="H10" s="75"/>
      <c r="I10" s="75"/>
      <c r="J10" s="55"/>
      <c r="K10" s="76">
        <v>2900.0</v>
      </c>
      <c r="L10" s="76">
        <v>1500.0</v>
      </c>
      <c r="M10" s="5" t="str">
        <f t="array" ref="M10">IF(OR($A10="",ISBLANK(XLOOKUP($A10,Tablet_Asignada,Nombres_Directorio,"",0))),"",XLOOKUP($A10,Tablet_Asignada,Nombres_Directorio,"",0))</f>
        <v/>
      </c>
      <c r="N10" s="5" t="str">
        <f t="array" ref="N10">IF(OR($A10="",ISBLANK(XLOOKUP($A10,Tablet_Asignada,Sucursal_Asignada,"",0))),"",XLOOKUP($A10,Tablet_Asignada,Sucursal_Asignada,"",0))</f>
        <v/>
      </c>
      <c r="O10" s="5" t="str">
        <f t="array" ref="O10">IF(OR($A10="",ISBLANK(XLOOKUP($A10,Tablet_Asignada,Departamento_Asignado,"",0))),"",XLOOKUP($A10,Tablet_Asignada,Departamento_Asignado,"",0))</f>
        <v/>
      </c>
      <c r="P10" s="5" t="str">
        <f t="array" ref="P10">IF(OR($A10="",ISBLANK(XLOOKUP($A10,Tablet_Asignada,Nombres_Directorio,"",0))),"",XLOOKUP($A10,Tablet_Asignada,Nombres_Directorio,"",0))</f>
        <v/>
      </c>
      <c r="Q10" s="5" t="str">
        <f t="array" ref="Q10">IF(OR($A10="",ISBLANK(XLOOKUP($A10,Tablet_Asignada,Correos_Gmail,"",0))),"",XLOOKUP($A10,Tablet_Asignada,Correos_Gmail,"",0))</f>
        <v/>
      </c>
      <c r="R10" s="5" t="str">
        <f t="array" ref="R10">IF(OR($A10="",ISBLANK(XLOOKUP($A10,Tablet_Asignada,Correos_Institucionales,"",0))),"",XLOOKUP($A10,Tablet_Asignada,Correos_Institucionales,"",0))</f>
        <v/>
      </c>
    </row>
    <row r="11">
      <c r="A11" s="5">
        <v>10.0</v>
      </c>
      <c r="B11" s="5" t="s">
        <v>1737</v>
      </c>
      <c r="C11" s="5" t="s">
        <v>1738</v>
      </c>
      <c r="D11" s="23">
        <v>8.64273033394717E14</v>
      </c>
      <c r="E11" s="74" t="s">
        <v>1741</v>
      </c>
      <c r="F11" s="75"/>
      <c r="G11" s="5" t="s">
        <v>1132</v>
      </c>
      <c r="H11" s="75"/>
      <c r="I11" s="75"/>
      <c r="J11" s="55"/>
      <c r="K11" s="76">
        <v>2900.0</v>
      </c>
      <c r="L11" s="76">
        <v>1500.0</v>
      </c>
      <c r="M11" s="5" t="str">
        <f t="array" ref="M11">IF(OR($A11="",ISBLANK(XLOOKUP($A11,Tablet_Asignada,Nombres_Directorio,"",0))),"",XLOOKUP($A11,Tablet_Asignada,Nombres_Directorio,"",0))</f>
        <v/>
      </c>
      <c r="N11" s="5" t="str">
        <f t="array" ref="N11">IF(OR($A11="",ISBLANK(XLOOKUP($A11,Tablet_Asignada,Sucursal_Asignada,"",0))),"",XLOOKUP($A11,Tablet_Asignada,Sucursal_Asignada,"",0))</f>
        <v/>
      </c>
      <c r="O11" s="5" t="str">
        <f t="array" ref="O11">IF(OR($A11="",ISBLANK(XLOOKUP($A11,Tablet_Asignada,Departamento_Asignado,"",0))),"",XLOOKUP($A11,Tablet_Asignada,Departamento_Asignado,"",0))</f>
        <v/>
      </c>
      <c r="P11" s="5" t="str">
        <f t="array" ref="P11">IF(OR($A11="",ISBLANK(XLOOKUP($A11,Tablet_Asignada,Nombres_Directorio,"",0))),"",XLOOKUP($A11,Tablet_Asignada,Nombres_Directorio,"",0))</f>
        <v/>
      </c>
      <c r="Q11" s="5" t="str">
        <f t="array" ref="Q11">IF(OR($A11="",ISBLANK(XLOOKUP($A11,Tablet_Asignada,Correos_Gmail,"",0))),"",XLOOKUP($A11,Tablet_Asignada,Correos_Gmail,"",0))</f>
        <v/>
      </c>
      <c r="R11" s="5" t="str">
        <f t="array" ref="R11">IF(OR($A11="",ISBLANK(XLOOKUP($A11,Tablet_Asignada,Correos_Institucionales,"",0))),"",XLOOKUP($A11,Tablet_Asignada,Correos_Institucionales,"",0))</f>
        <v/>
      </c>
    </row>
    <row r="12">
      <c r="A12" s="5">
        <v>11.0</v>
      </c>
      <c r="B12" s="5" t="s">
        <v>1737</v>
      </c>
      <c r="C12" s="5" t="s">
        <v>1738</v>
      </c>
      <c r="D12" s="23">
        <v>8.64273033251396E14</v>
      </c>
      <c r="E12" s="74" t="s">
        <v>1742</v>
      </c>
      <c r="F12" s="75"/>
      <c r="G12" s="5" t="s">
        <v>1132</v>
      </c>
      <c r="H12" s="75"/>
      <c r="I12" s="75"/>
      <c r="J12" s="55"/>
      <c r="K12" s="76">
        <v>2900.0</v>
      </c>
      <c r="L12" s="76">
        <v>1500.0</v>
      </c>
      <c r="M12" s="5" t="str">
        <f t="array" ref="M12">IF(OR($A12="",ISBLANK(XLOOKUP($A12,Tablet_Asignada,Nombres_Directorio,"",0))),"",XLOOKUP($A12,Tablet_Asignada,Nombres_Directorio,"",0))</f>
        <v/>
      </c>
      <c r="N12" s="5" t="str">
        <f t="array" ref="N12">IF(OR($A12="",ISBLANK(XLOOKUP($A12,Tablet_Asignada,Sucursal_Asignada,"",0))),"",XLOOKUP($A12,Tablet_Asignada,Sucursal_Asignada,"",0))</f>
        <v/>
      </c>
      <c r="O12" s="5" t="str">
        <f t="array" ref="O12">IF(OR($A12="",ISBLANK(XLOOKUP($A12,Tablet_Asignada,Departamento_Asignado,"",0))),"",XLOOKUP($A12,Tablet_Asignada,Departamento_Asignado,"",0))</f>
        <v/>
      </c>
      <c r="P12" s="5" t="str">
        <f t="array" ref="P12">IF(OR($A12="",ISBLANK(XLOOKUP($A12,Tablet_Asignada,Nombres_Directorio,"",0))),"",XLOOKUP($A12,Tablet_Asignada,Nombres_Directorio,"",0))</f>
        <v/>
      </c>
      <c r="Q12" s="5" t="str">
        <f t="array" ref="Q12">IF(OR($A12="",ISBLANK(XLOOKUP($A12,Tablet_Asignada,Correos_Gmail,"",0))),"",XLOOKUP($A12,Tablet_Asignada,Correos_Gmail,"",0))</f>
        <v/>
      </c>
      <c r="R12" s="5" t="str">
        <f t="array" ref="R12">IF(OR($A12="",ISBLANK(XLOOKUP($A12,Tablet_Asignada,Correos_Institucionales,"",0))),"",XLOOKUP($A12,Tablet_Asignada,Correos_Institucionales,"",0))</f>
        <v/>
      </c>
    </row>
    <row r="13">
      <c r="A13" s="5">
        <v>12.0</v>
      </c>
      <c r="B13" s="5" t="s">
        <v>1728</v>
      </c>
      <c r="C13" s="5" t="s">
        <v>1743</v>
      </c>
      <c r="D13" s="23">
        <v>3.53996560433569E14</v>
      </c>
      <c r="E13" s="74" t="s">
        <v>1744</v>
      </c>
      <c r="F13" s="5" t="s">
        <v>1745</v>
      </c>
      <c r="G13" s="5" t="s">
        <v>1132</v>
      </c>
      <c r="H13" s="75"/>
      <c r="I13" s="75"/>
      <c r="J13" s="55"/>
      <c r="K13" s="76">
        <v>3369.0</v>
      </c>
      <c r="L13" s="76">
        <v>1700.0</v>
      </c>
      <c r="M13" s="5" t="str">
        <f t="array" ref="M13">IF(OR($A13="",ISBLANK(XLOOKUP($A13,Tablet_Asignada,Nombres_Directorio,"",0))),"",XLOOKUP($A13,Tablet_Asignada,Nombres_Directorio,"",0))</f>
        <v/>
      </c>
      <c r="N13" s="5" t="str">
        <f t="array" ref="N13">IF(OR($A13="",ISBLANK(XLOOKUP($A13,Tablet_Asignada,Sucursal_Asignada,"",0))),"",XLOOKUP($A13,Tablet_Asignada,Sucursal_Asignada,"",0))</f>
        <v/>
      </c>
      <c r="O13" s="5" t="str">
        <f t="array" ref="O13">IF(OR($A13="",ISBLANK(XLOOKUP($A13,Tablet_Asignada,Departamento_Asignado,"",0))),"",XLOOKUP($A13,Tablet_Asignada,Departamento_Asignado,"",0))</f>
        <v/>
      </c>
      <c r="P13" s="5" t="str">
        <f t="array" ref="P13">IF(OR($A13="",ISBLANK(XLOOKUP($A13,Tablet_Asignada,Nombres_Directorio,"",0))),"",XLOOKUP($A13,Tablet_Asignada,Nombres_Directorio,"",0))</f>
        <v/>
      </c>
      <c r="Q13" s="5" t="str">
        <f t="array" ref="Q13">IF(OR($A13="",ISBLANK(XLOOKUP($A13,Tablet_Asignada,Correos_Gmail,"",0))),"",XLOOKUP($A13,Tablet_Asignada,Correos_Gmail,"",0))</f>
        <v/>
      </c>
      <c r="R13" s="5" t="str">
        <f t="array" ref="R13">IF(OR($A13="",ISBLANK(XLOOKUP($A13,Tablet_Asignada,Correos_Institucionales,"",0))),"",XLOOKUP($A13,Tablet_Asignada,Correos_Institucionales,"",0))</f>
        <v/>
      </c>
    </row>
    <row r="14">
      <c r="A14" s="5">
        <v>13.0</v>
      </c>
      <c r="B14" s="5" t="s">
        <v>1728</v>
      </c>
      <c r="C14" s="5" t="s">
        <v>1743</v>
      </c>
      <c r="D14" s="23">
        <v>3.53996565604487E16</v>
      </c>
      <c r="E14" s="74" t="s">
        <v>1746</v>
      </c>
      <c r="F14" s="5" t="s">
        <v>1747</v>
      </c>
      <c r="G14" s="5" t="s">
        <v>1132</v>
      </c>
      <c r="H14" s="75"/>
      <c r="I14" s="75"/>
      <c r="J14" s="55"/>
      <c r="K14" s="76">
        <v>3369.0</v>
      </c>
      <c r="L14" s="76">
        <v>1700.0</v>
      </c>
      <c r="M14" s="5" t="str">
        <f t="array" ref="M14">IF(OR($A14="",ISBLANK(XLOOKUP($A14,Tablet_Asignada,Nombres_Directorio,"",0))),"",XLOOKUP($A14,Tablet_Asignada,Nombres_Directorio,"",0))</f>
        <v/>
      </c>
      <c r="N14" s="5" t="str">
        <f t="array" ref="N14">IF(OR($A14="",ISBLANK(XLOOKUP($A14,Tablet_Asignada,Sucursal_Asignada,"",0))),"",XLOOKUP($A14,Tablet_Asignada,Sucursal_Asignada,"",0))</f>
        <v/>
      </c>
      <c r="O14" s="5" t="str">
        <f t="array" ref="O14">IF(OR($A14="",ISBLANK(XLOOKUP($A14,Tablet_Asignada,Departamento_Asignado,"",0))),"",XLOOKUP($A14,Tablet_Asignada,Departamento_Asignado,"",0))</f>
        <v/>
      </c>
      <c r="P14" s="5" t="str">
        <f t="array" ref="P14">IF(OR($A14="",ISBLANK(XLOOKUP($A14,Tablet_Asignada,Nombres_Directorio,"",0))),"",XLOOKUP($A14,Tablet_Asignada,Nombres_Directorio,"",0))</f>
        <v/>
      </c>
      <c r="Q14" s="5" t="str">
        <f t="array" ref="Q14">IF(OR($A14="",ISBLANK(XLOOKUP($A14,Tablet_Asignada,Correos_Gmail,"",0))),"",XLOOKUP($A14,Tablet_Asignada,Correos_Gmail,"",0))</f>
        <v/>
      </c>
      <c r="R14" s="5" t="str">
        <f t="array" ref="R14">IF(OR($A14="",ISBLANK(XLOOKUP($A14,Tablet_Asignada,Correos_Institucionales,"",0))),"",XLOOKUP($A14,Tablet_Asignada,Correos_Institucionales,"",0))</f>
        <v/>
      </c>
    </row>
    <row r="15">
      <c r="A15" s="5">
        <v>14.0</v>
      </c>
      <c r="B15" s="5" t="s">
        <v>1728</v>
      </c>
      <c r="C15" s="5" t="s">
        <v>1743</v>
      </c>
      <c r="D15" s="23">
        <v>3.53996560432744E14</v>
      </c>
      <c r="E15" s="74" t="s">
        <v>1748</v>
      </c>
      <c r="F15" s="5" t="s">
        <v>1749</v>
      </c>
      <c r="G15" s="5" t="s">
        <v>1132</v>
      </c>
      <c r="H15" s="5" t="s">
        <v>1290</v>
      </c>
      <c r="I15" s="75"/>
      <c r="J15" s="55" t="s">
        <v>1750</v>
      </c>
      <c r="K15" s="76">
        <v>3100.0</v>
      </c>
      <c r="L15" s="76">
        <v>1700.0</v>
      </c>
      <c r="M15" s="5" t="str">
        <f t="array" ref="M15">IF(OR($A15="",ISBLANK(XLOOKUP($A15,Tablet_Asignada,Nombres_Directorio,"",0))),"",XLOOKUP($A15,Tablet_Asignada,Nombres_Directorio,"",0))</f>
        <v>Adrián Paskinel Hernández Zavala</v>
      </c>
      <c r="N15" s="5" t="str">
        <f t="array" ref="N15">IF(OR($A15="",ISBLANK(XLOOKUP($A15,Tablet_Asignada,Sucursal_Asignada,"",0))),"",XLOOKUP($A15,Tablet_Asignada,Sucursal_Asignada,"",0))</f>
        <v>Corporativo</v>
      </c>
      <c r="O15" s="5" t="str">
        <f t="array" ref="O15">IF(OR($A15="",ISBLANK(XLOOKUP($A15,Tablet_Asignada,Departamento_Asignado,"",0))),"",XLOOKUP($A15,Tablet_Asignada,Departamento_Asignado,"",0))</f>
        <v>Maquinaria Construcción</v>
      </c>
      <c r="P15" s="5" t="str">
        <f t="array" ref="P15">IF(OR($A15="",ISBLANK(XLOOKUP($A15,Tablet_Asignada,Nombres_Directorio,"",0))),"",XLOOKUP($A15,Tablet_Asignada,Nombres_Directorio,"",0))</f>
        <v>Adrián Paskinel Hernández Zavala</v>
      </c>
      <c r="Q15" s="5" t="str">
        <f t="array" ref="Q15">IF(OR($A15="",ISBLANK(XLOOKUP($A15,Tablet_Asignada,Correos_Gmail,"",0))),"",XLOOKUP($A15,Tablet_Asignada,Correos_Gmail,"",0))</f>
        <v>adrian.hernandez@agrocisa.com.mx</v>
      </c>
      <c r="R15" s="5" t="str">
        <f t="array" ref="R15">IF(OR($A15="",ISBLANK(XLOOKUP($A15,Tablet_Asignada,Correos_Institucionales,"",0))),"",XLOOKUP($A15,Tablet_Asignada,Correos_Institucionales,"",0))</f>
        <v>adrian.hernandez@agrocisa.com.mx</v>
      </c>
    </row>
    <row r="16">
      <c r="A16" s="5">
        <v>15.0</v>
      </c>
      <c r="B16" s="5" t="s">
        <v>1728</v>
      </c>
      <c r="C16" s="5" t="s">
        <v>1743</v>
      </c>
      <c r="D16" s="23">
        <v>3.53996560405542E14</v>
      </c>
      <c r="E16" s="74" t="s">
        <v>1751</v>
      </c>
      <c r="F16" s="5" t="s">
        <v>1752</v>
      </c>
      <c r="G16" s="5" t="s">
        <v>1132</v>
      </c>
      <c r="H16" s="5" t="s">
        <v>1290</v>
      </c>
      <c r="I16" s="75"/>
      <c r="J16" s="55" t="s">
        <v>1753</v>
      </c>
      <c r="K16" s="76">
        <v>3100.0</v>
      </c>
      <c r="L16" s="76">
        <v>1700.0</v>
      </c>
      <c r="M16" s="5" t="str">
        <f t="array" ref="M16">IF(OR($A16="",ISBLANK(XLOOKUP($A16,Tablet_Asignada,Nombres_Directorio,"",0))),"",XLOOKUP($A16,Tablet_Asignada,Nombres_Directorio,"",0))</f>
        <v>Jorge Humberto Gómez Córdova</v>
      </c>
      <c r="N16" s="5" t="str">
        <f t="array" ref="N16">IF(OR($A16="",ISBLANK(XLOOKUP($A16,Tablet_Asignada,Sucursal_Asignada,"",0))),"",XLOOKUP($A16,Tablet_Asignada,Sucursal_Asignada,"",0))</f>
        <v>Corporativo</v>
      </c>
      <c r="O16" s="5" t="str">
        <f t="array" ref="O16">IF(OR($A16="",ISBLANK(XLOOKUP($A16,Tablet_Asignada,Departamento_Asignado,"",0))),"",XLOOKUP($A16,Tablet_Asignada,Departamento_Asignado,"",0))</f>
        <v>Maquinaria Agrícola</v>
      </c>
      <c r="P16" s="5" t="str">
        <f t="array" ref="P16">IF(OR($A16="",ISBLANK(XLOOKUP($A16,Tablet_Asignada,Nombres_Directorio,"",0))),"",XLOOKUP($A16,Tablet_Asignada,Nombres_Directorio,"",0))</f>
        <v>Jorge Humberto Gómez Córdova</v>
      </c>
      <c r="Q16" s="5" t="str">
        <f t="array" ref="Q16">IF(OR($A16="",ISBLANK(XLOOKUP($A16,Tablet_Asignada,Correos_Gmail,"",0))),"",XLOOKUP($A16,Tablet_Asignada,Correos_Gmail,"",0))</f>
        <v>jgomez.agro@gmail.com</v>
      </c>
      <c r="R16" s="5" t="str">
        <f t="array" ref="R16">IF(OR($A16="",ISBLANK(XLOOKUP($A16,Tablet_Asignada,Correos_Institucionales,"",0))),"",XLOOKUP($A16,Tablet_Asignada,Correos_Institucionales,"",0))</f>
        <v>jorge.gomez@agrocisa.com.mx</v>
      </c>
    </row>
    <row r="17">
      <c r="A17" s="5">
        <v>16.0</v>
      </c>
      <c r="B17" s="5" t="s">
        <v>1735</v>
      </c>
      <c r="C17" s="5" t="s">
        <v>1754</v>
      </c>
      <c r="D17" s="23">
        <v>3.57153344159393E14</v>
      </c>
      <c r="E17" s="74" t="s">
        <v>1755</v>
      </c>
      <c r="F17" s="75"/>
      <c r="G17" s="5" t="s">
        <v>1132</v>
      </c>
      <c r="H17" s="5" t="s">
        <v>1290</v>
      </c>
      <c r="I17" s="75"/>
      <c r="J17" s="55">
        <v>44814.0</v>
      </c>
      <c r="K17" s="76">
        <v>3700.0</v>
      </c>
      <c r="L17" s="76">
        <v>1500.0</v>
      </c>
      <c r="M17" s="5" t="str">
        <f t="array" ref="M17">IF(OR($A17="",ISBLANK(XLOOKUP($A17,Tablet_Asignada,Nombres_Directorio,"",0))),"",XLOOKUP($A17,Tablet_Asignada,Nombres_Directorio,"",0))</f>
        <v>José Alejandro Tellez Gómez</v>
      </c>
      <c r="N17" s="5" t="str">
        <f t="array" ref="N17">IF(OR($A17="",ISBLANK(XLOOKUP($A17,Tablet_Asignada,Sucursal_Asignada,"",0))),"",XLOOKUP($A17,Tablet_Asignada,Sucursal_Asignada,"",0))</f>
        <v>Corporativo</v>
      </c>
      <c r="O17" s="5" t="str">
        <f t="array" ref="O17">IF(OR($A17="",ISBLANK(XLOOKUP($A17,Tablet_Asignada,Departamento_Asignado,"",0))),"",XLOOKUP($A17,Tablet_Asignada,Departamento_Asignado,"",0))</f>
        <v>Agricultura Inteligente</v>
      </c>
      <c r="P17" s="5" t="str">
        <f t="array" ref="P17">IF(OR($A17="",ISBLANK(XLOOKUP($A17,Tablet_Asignada,Nombres_Directorio,"",0))),"",XLOOKUP($A17,Tablet_Asignada,Nombres_Directorio,"",0))</f>
        <v>José Alejandro Tellez Gómez</v>
      </c>
      <c r="Q17" s="5" t="str">
        <f t="array" ref="Q17">IF(OR($A17="",ISBLANK(XLOOKUP($A17,Tablet_Asignada,Correos_Gmail,"",0))),"",XLOOKUP($A17,Tablet_Asignada,Correos_Gmail,"",0))</f>
        <v>alejandro.tellez@agrocisa.com.mx</v>
      </c>
      <c r="R17" s="5" t="str">
        <f t="array" ref="R17">IF(OR($A17="",ISBLANK(XLOOKUP($A17,Tablet_Asignada,Correos_Institucionales,"",0))),"",XLOOKUP($A17,Tablet_Asignada,Correos_Institucionales,"",0))</f>
        <v>alejandro.tellez@agrocisa.com.mx</v>
      </c>
    </row>
    <row r="18">
      <c r="M18" s="24"/>
      <c r="N18" s="24"/>
      <c r="O18" s="24"/>
      <c r="P18" s="24"/>
      <c r="Q18" s="24"/>
      <c r="R18" s="24"/>
    </row>
    <row r="19">
      <c r="M19" s="24"/>
      <c r="N19" s="24"/>
      <c r="O19" s="24"/>
      <c r="P19" s="24"/>
      <c r="Q19" s="24"/>
      <c r="R19" s="24"/>
    </row>
    <row r="20">
      <c r="M20" s="24"/>
      <c r="N20" s="24"/>
      <c r="O20" s="24"/>
      <c r="P20" s="24"/>
      <c r="Q20" s="24"/>
      <c r="R20" s="24"/>
    </row>
    <row r="21" ht="15.75" customHeight="1">
      <c r="M21" s="24"/>
      <c r="N21" s="24"/>
      <c r="O21" s="24"/>
      <c r="P21" s="24"/>
      <c r="Q21" s="24"/>
      <c r="R21" s="24"/>
    </row>
    <row r="22" ht="15.75" customHeight="1">
      <c r="M22" s="24"/>
      <c r="N22" s="24"/>
      <c r="O22" s="24"/>
      <c r="P22" s="24"/>
      <c r="Q22" s="24"/>
      <c r="R22" s="24"/>
    </row>
    <row r="23" ht="15.75" customHeight="1">
      <c r="M23" s="24"/>
      <c r="N23" s="24"/>
      <c r="O23" s="24"/>
      <c r="P23" s="24"/>
      <c r="Q23" s="24"/>
      <c r="R23" s="24"/>
    </row>
    <row r="24" ht="15.75" customHeight="1">
      <c r="M24" s="24"/>
      <c r="N24" s="24"/>
      <c r="O24" s="24"/>
      <c r="P24" s="24"/>
      <c r="Q24" s="24"/>
      <c r="R24" s="24"/>
    </row>
    <row r="25" ht="15.75" customHeight="1">
      <c r="M25" s="24"/>
      <c r="N25" s="24"/>
      <c r="O25" s="24"/>
      <c r="P25" s="24"/>
      <c r="Q25" s="24"/>
      <c r="R25" s="24"/>
    </row>
    <row r="26" ht="15.75" customHeight="1">
      <c r="M26" s="24"/>
      <c r="N26" s="24"/>
      <c r="O26" s="24"/>
      <c r="P26" s="24"/>
      <c r="Q26" s="24"/>
      <c r="R26" s="24"/>
    </row>
    <row r="27" ht="15.75" customHeight="1">
      <c r="M27" s="24"/>
      <c r="N27" s="24"/>
      <c r="O27" s="24"/>
      <c r="P27" s="24"/>
      <c r="Q27" s="24"/>
      <c r="R27" s="24"/>
    </row>
    <row r="28" ht="15.75" customHeight="1">
      <c r="M28" s="24"/>
      <c r="N28" s="24"/>
      <c r="O28" s="24"/>
      <c r="P28" s="24"/>
      <c r="Q28" s="24"/>
      <c r="R28" s="24"/>
    </row>
    <row r="29" ht="15.75" customHeight="1">
      <c r="M29" s="24"/>
      <c r="N29" s="24"/>
      <c r="O29" s="24"/>
      <c r="P29" s="24"/>
      <c r="Q29" s="24"/>
      <c r="R29" s="24"/>
    </row>
    <row r="30" ht="15.75" customHeight="1">
      <c r="M30" s="24"/>
      <c r="N30" s="24"/>
      <c r="O30" s="24"/>
      <c r="P30" s="24"/>
      <c r="Q30" s="24"/>
      <c r="R30" s="24"/>
    </row>
    <row r="31" ht="15.75" customHeight="1">
      <c r="M31" s="24"/>
      <c r="N31" s="24"/>
      <c r="O31" s="24"/>
      <c r="P31" s="24"/>
      <c r="Q31" s="24"/>
      <c r="R31" s="24"/>
    </row>
    <row r="32" ht="15.75" customHeight="1">
      <c r="M32" s="24"/>
      <c r="N32" s="24"/>
      <c r="O32" s="24"/>
      <c r="P32" s="24"/>
      <c r="Q32" s="24"/>
      <c r="R32" s="24"/>
    </row>
    <row r="33" ht="15.75" customHeight="1">
      <c r="M33" s="24"/>
      <c r="N33" s="24"/>
      <c r="O33" s="24"/>
      <c r="P33" s="24"/>
      <c r="Q33" s="24"/>
      <c r="R33" s="24"/>
    </row>
    <row r="34" ht="15.75" customHeight="1">
      <c r="M34" s="24"/>
      <c r="N34" s="24"/>
      <c r="O34" s="24"/>
      <c r="P34" s="24"/>
      <c r="Q34" s="24"/>
      <c r="R34" s="24"/>
    </row>
    <row r="35" ht="15.75" customHeight="1">
      <c r="M35" s="24"/>
      <c r="N35" s="24"/>
      <c r="O35" s="24"/>
      <c r="P35" s="24"/>
      <c r="Q35" s="24"/>
      <c r="R35" s="24"/>
    </row>
    <row r="36" ht="15.75" customHeight="1">
      <c r="M36" s="24"/>
      <c r="N36" s="24"/>
      <c r="O36" s="24"/>
      <c r="P36" s="24"/>
      <c r="Q36" s="24"/>
      <c r="R36" s="24"/>
    </row>
    <row r="37" ht="15.75" customHeight="1">
      <c r="M37" s="24"/>
      <c r="N37" s="24"/>
      <c r="O37" s="24"/>
      <c r="P37" s="24"/>
      <c r="Q37" s="24"/>
      <c r="R37" s="24"/>
    </row>
    <row r="38" ht="15.75" customHeight="1">
      <c r="M38" s="24"/>
      <c r="N38" s="24"/>
      <c r="O38" s="24"/>
      <c r="P38" s="24"/>
      <c r="Q38" s="24"/>
      <c r="R38" s="24"/>
    </row>
    <row r="39" ht="15.75" customHeight="1">
      <c r="M39" s="24"/>
      <c r="N39" s="24"/>
      <c r="O39" s="24"/>
      <c r="P39" s="24"/>
      <c r="Q39" s="24"/>
      <c r="R39" s="24"/>
    </row>
    <row r="40" ht="15.75" customHeight="1">
      <c r="M40" s="24"/>
      <c r="N40" s="24"/>
      <c r="O40" s="24"/>
      <c r="P40" s="24"/>
      <c r="Q40" s="24"/>
      <c r="R40" s="24"/>
    </row>
    <row r="41" ht="15.75" customHeight="1">
      <c r="M41" s="24"/>
      <c r="N41" s="24"/>
      <c r="O41" s="24"/>
      <c r="P41" s="24"/>
      <c r="Q41" s="24"/>
      <c r="R41" s="24"/>
    </row>
    <row r="42" ht="15.75" customHeight="1">
      <c r="M42" s="24"/>
      <c r="N42" s="24"/>
      <c r="O42" s="24"/>
      <c r="P42" s="24"/>
      <c r="Q42" s="24"/>
      <c r="R42" s="24"/>
    </row>
    <row r="43" ht="15.75" customHeight="1">
      <c r="M43" s="24"/>
      <c r="N43" s="24"/>
      <c r="O43" s="24"/>
      <c r="P43" s="24"/>
      <c r="Q43" s="24"/>
      <c r="R43" s="24"/>
    </row>
    <row r="44" ht="15.75" customHeight="1">
      <c r="M44" s="24"/>
      <c r="N44" s="24"/>
      <c r="O44" s="24"/>
      <c r="P44" s="24"/>
      <c r="Q44" s="24"/>
      <c r="R44" s="24"/>
    </row>
    <row r="45" ht="15.75" customHeight="1">
      <c r="M45" s="24"/>
      <c r="N45" s="24"/>
      <c r="O45" s="24"/>
      <c r="P45" s="24"/>
      <c r="Q45" s="24"/>
      <c r="R45" s="24"/>
    </row>
    <row r="46" ht="15.75" customHeight="1">
      <c r="M46" s="24"/>
      <c r="N46" s="24"/>
      <c r="O46" s="24"/>
      <c r="P46" s="24"/>
      <c r="Q46" s="24"/>
      <c r="R46" s="24"/>
    </row>
    <row r="47" ht="15.75" customHeight="1">
      <c r="M47" s="24"/>
      <c r="N47" s="24"/>
      <c r="O47" s="24"/>
      <c r="P47" s="24"/>
      <c r="Q47" s="24"/>
      <c r="R47" s="24"/>
    </row>
    <row r="48" ht="15.75" customHeight="1">
      <c r="M48" s="24"/>
      <c r="N48" s="24"/>
      <c r="O48" s="24"/>
      <c r="P48" s="24"/>
      <c r="Q48" s="24"/>
      <c r="R48" s="24"/>
    </row>
    <row r="49" ht="15.75" customHeight="1">
      <c r="M49" s="24"/>
      <c r="N49" s="24"/>
      <c r="O49" s="24"/>
      <c r="P49" s="24"/>
      <c r="Q49" s="24"/>
      <c r="R49" s="24"/>
    </row>
    <row r="50" ht="15.75" customHeight="1">
      <c r="M50" s="24"/>
      <c r="N50" s="24"/>
      <c r="O50" s="24"/>
      <c r="P50" s="24"/>
      <c r="Q50" s="24"/>
      <c r="R50" s="24"/>
    </row>
    <row r="51" ht="15.75" customHeight="1">
      <c r="M51" s="24"/>
      <c r="N51" s="24"/>
      <c r="O51" s="24"/>
      <c r="P51" s="24"/>
      <c r="Q51" s="24"/>
      <c r="R51" s="24"/>
    </row>
    <row r="52" ht="15.75" customHeight="1">
      <c r="M52" s="24"/>
      <c r="N52" s="24"/>
      <c r="O52" s="24"/>
      <c r="P52" s="24"/>
      <c r="Q52" s="24"/>
      <c r="R52" s="24"/>
    </row>
    <row r="53" ht="15.75" customHeight="1">
      <c r="M53" s="24"/>
      <c r="N53" s="24"/>
      <c r="O53" s="24"/>
      <c r="P53" s="24"/>
      <c r="Q53" s="24"/>
      <c r="R53" s="24"/>
    </row>
    <row r="54" ht="15.75" customHeight="1">
      <c r="M54" s="24"/>
      <c r="N54" s="24"/>
      <c r="O54" s="24"/>
      <c r="P54" s="24"/>
      <c r="Q54" s="24"/>
      <c r="R54" s="24"/>
    </row>
    <row r="55" ht="15.75" customHeight="1">
      <c r="M55" s="24"/>
      <c r="N55" s="24"/>
      <c r="O55" s="24"/>
      <c r="P55" s="24"/>
      <c r="Q55" s="24"/>
      <c r="R55" s="24"/>
    </row>
    <row r="56" ht="15.75" customHeight="1">
      <c r="M56" s="24"/>
      <c r="N56" s="24"/>
      <c r="O56" s="24"/>
      <c r="P56" s="24"/>
      <c r="Q56" s="24"/>
      <c r="R56" s="24"/>
    </row>
    <row r="57" ht="15.75" customHeight="1">
      <c r="M57" s="24"/>
      <c r="N57" s="24"/>
      <c r="O57" s="24"/>
      <c r="P57" s="24"/>
      <c r="Q57" s="24"/>
      <c r="R57" s="24"/>
    </row>
    <row r="58" ht="15.75" customHeight="1">
      <c r="M58" s="24"/>
      <c r="N58" s="24"/>
      <c r="O58" s="24"/>
      <c r="P58" s="24"/>
      <c r="Q58" s="24"/>
      <c r="R58" s="24"/>
    </row>
    <row r="59" ht="15.75" customHeight="1">
      <c r="M59" s="24"/>
      <c r="N59" s="24"/>
      <c r="O59" s="24"/>
      <c r="P59" s="24"/>
      <c r="Q59" s="24"/>
      <c r="R59" s="24"/>
    </row>
    <row r="60" ht="15.75" customHeight="1">
      <c r="M60" s="24"/>
      <c r="N60" s="24"/>
      <c r="O60" s="24"/>
      <c r="P60" s="24"/>
      <c r="Q60" s="24"/>
      <c r="R60" s="24"/>
    </row>
    <row r="61" ht="15.75" customHeight="1">
      <c r="M61" s="24"/>
      <c r="N61" s="24"/>
      <c r="O61" s="24"/>
      <c r="P61" s="24"/>
      <c r="Q61" s="24"/>
      <c r="R61" s="24"/>
    </row>
    <row r="62" ht="15.75" customHeight="1">
      <c r="M62" s="24"/>
      <c r="N62" s="24"/>
      <c r="O62" s="24"/>
      <c r="P62" s="24"/>
      <c r="Q62" s="24"/>
      <c r="R62" s="24"/>
    </row>
    <row r="63" ht="15.75" customHeight="1">
      <c r="M63" s="24"/>
      <c r="N63" s="24"/>
      <c r="O63" s="24"/>
      <c r="P63" s="24"/>
      <c r="Q63" s="24"/>
      <c r="R63" s="24"/>
    </row>
    <row r="64" ht="15.75" customHeight="1">
      <c r="M64" s="24"/>
      <c r="N64" s="24"/>
      <c r="O64" s="24"/>
      <c r="P64" s="24"/>
      <c r="Q64" s="24"/>
      <c r="R64" s="24"/>
    </row>
    <row r="65" ht="15.75" customHeight="1">
      <c r="M65" s="24"/>
      <c r="N65" s="24"/>
      <c r="O65" s="24"/>
      <c r="P65" s="24"/>
      <c r="Q65" s="24"/>
      <c r="R65" s="24"/>
    </row>
    <row r="66" ht="15.75" customHeight="1">
      <c r="M66" s="24"/>
      <c r="N66" s="24"/>
      <c r="O66" s="24"/>
      <c r="P66" s="24"/>
      <c r="Q66" s="24"/>
      <c r="R66" s="24"/>
    </row>
    <row r="67" ht="15.75" customHeight="1">
      <c r="M67" s="24"/>
      <c r="N67" s="24"/>
      <c r="O67" s="24"/>
      <c r="P67" s="24"/>
      <c r="Q67" s="24"/>
      <c r="R67" s="24"/>
    </row>
    <row r="68" ht="15.75" customHeight="1">
      <c r="M68" s="24"/>
      <c r="N68" s="24"/>
      <c r="O68" s="24"/>
      <c r="P68" s="24"/>
      <c r="Q68" s="24"/>
      <c r="R68" s="24"/>
    </row>
    <row r="69" ht="15.75" customHeight="1">
      <c r="M69" s="24"/>
      <c r="N69" s="24"/>
      <c r="O69" s="24"/>
      <c r="P69" s="24"/>
      <c r="Q69" s="24"/>
      <c r="R69" s="24"/>
    </row>
    <row r="70" ht="15.75" customHeight="1">
      <c r="M70" s="24"/>
      <c r="N70" s="24"/>
      <c r="O70" s="24"/>
      <c r="P70" s="24"/>
      <c r="Q70" s="24"/>
      <c r="R70" s="24"/>
    </row>
    <row r="71" ht="15.75" customHeight="1">
      <c r="M71" s="24"/>
      <c r="N71" s="24"/>
      <c r="O71" s="24"/>
      <c r="P71" s="24"/>
      <c r="Q71" s="24"/>
      <c r="R71" s="24"/>
    </row>
    <row r="72" ht="15.75" customHeight="1">
      <c r="M72" s="24"/>
      <c r="N72" s="24"/>
      <c r="O72" s="24"/>
      <c r="P72" s="24"/>
      <c r="Q72" s="24"/>
      <c r="R72" s="24"/>
    </row>
    <row r="73" ht="15.75" customHeight="1">
      <c r="M73" s="24"/>
      <c r="N73" s="24"/>
      <c r="O73" s="24"/>
      <c r="P73" s="24"/>
      <c r="Q73" s="24"/>
      <c r="R73" s="24"/>
    </row>
    <row r="74" ht="15.75" customHeight="1">
      <c r="M74" s="24"/>
      <c r="N74" s="24"/>
      <c r="O74" s="24"/>
      <c r="P74" s="24"/>
      <c r="Q74" s="24"/>
      <c r="R74" s="24"/>
    </row>
    <row r="75" ht="15.75" customHeight="1">
      <c r="M75" s="24"/>
      <c r="N75" s="24"/>
      <c r="O75" s="24"/>
      <c r="P75" s="24"/>
      <c r="Q75" s="24"/>
      <c r="R75" s="24"/>
    </row>
    <row r="76" ht="15.75" customHeight="1">
      <c r="M76" s="24"/>
      <c r="N76" s="24"/>
      <c r="O76" s="24"/>
      <c r="P76" s="24"/>
      <c r="Q76" s="24"/>
      <c r="R76" s="24"/>
    </row>
    <row r="77" ht="15.75" customHeight="1">
      <c r="M77" s="24"/>
      <c r="N77" s="24"/>
      <c r="O77" s="24"/>
      <c r="P77" s="24"/>
      <c r="Q77" s="24"/>
      <c r="R77" s="24"/>
    </row>
    <row r="78" ht="15.75" customHeight="1">
      <c r="M78" s="24"/>
      <c r="N78" s="24"/>
      <c r="O78" s="24"/>
      <c r="P78" s="24"/>
      <c r="Q78" s="24"/>
      <c r="R78" s="24"/>
    </row>
    <row r="79" ht="15.75" customHeight="1">
      <c r="M79" s="24"/>
      <c r="N79" s="24"/>
      <c r="O79" s="24"/>
      <c r="P79" s="24"/>
      <c r="Q79" s="24"/>
      <c r="R79" s="24"/>
    </row>
    <row r="80" ht="15.75" customHeight="1">
      <c r="M80" s="24"/>
      <c r="N80" s="24"/>
      <c r="O80" s="24"/>
      <c r="P80" s="24"/>
      <c r="Q80" s="24"/>
      <c r="R80" s="24"/>
    </row>
    <row r="81" ht="15.75" customHeight="1">
      <c r="M81" s="24"/>
      <c r="N81" s="24"/>
      <c r="O81" s="24"/>
      <c r="P81" s="24"/>
      <c r="Q81" s="24"/>
      <c r="R81" s="24"/>
    </row>
    <row r="82" ht="15.75" customHeight="1">
      <c r="M82" s="24"/>
      <c r="N82" s="24"/>
      <c r="O82" s="24"/>
      <c r="P82" s="24"/>
      <c r="Q82" s="24"/>
      <c r="R82" s="24"/>
    </row>
    <row r="83" ht="15.75" customHeight="1">
      <c r="M83" s="24"/>
      <c r="N83" s="24"/>
      <c r="O83" s="24"/>
      <c r="P83" s="24"/>
      <c r="Q83" s="24"/>
      <c r="R83" s="24"/>
    </row>
    <row r="84" ht="15.75" customHeight="1">
      <c r="M84" s="24"/>
      <c r="N84" s="24"/>
      <c r="O84" s="24"/>
      <c r="P84" s="24"/>
      <c r="Q84" s="24"/>
      <c r="R84" s="24"/>
    </row>
    <row r="85" ht="15.75" customHeight="1">
      <c r="M85" s="24"/>
      <c r="N85" s="24"/>
      <c r="O85" s="24"/>
      <c r="P85" s="24"/>
      <c r="Q85" s="24"/>
      <c r="R85" s="24"/>
    </row>
    <row r="86" ht="15.75" customHeight="1">
      <c r="M86" s="24"/>
      <c r="N86" s="24"/>
      <c r="O86" s="24"/>
      <c r="P86" s="24"/>
      <c r="Q86" s="24"/>
      <c r="R86" s="24"/>
    </row>
    <row r="87" ht="15.75" customHeight="1">
      <c r="M87" s="24"/>
      <c r="N87" s="24"/>
      <c r="O87" s="24"/>
      <c r="P87" s="24"/>
      <c r="Q87" s="24"/>
      <c r="R87" s="24"/>
    </row>
    <row r="88" ht="15.75" customHeight="1">
      <c r="M88" s="24"/>
      <c r="N88" s="24"/>
      <c r="O88" s="24"/>
      <c r="P88" s="24"/>
      <c r="Q88" s="24"/>
      <c r="R88" s="24"/>
    </row>
    <row r="89" ht="15.75" customHeight="1">
      <c r="M89" s="24"/>
      <c r="N89" s="24"/>
      <c r="O89" s="24"/>
      <c r="P89" s="24"/>
      <c r="Q89" s="24"/>
      <c r="R89" s="24"/>
    </row>
    <row r="90" ht="15.75" customHeight="1">
      <c r="M90" s="24"/>
      <c r="N90" s="24"/>
      <c r="O90" s="24"/>
      <c r="P90" s="24"/>
      <c r="Q90" s="24"/>
      <c r="R90" s="24"/>
    </row>
    <row r="91" ht="15.75" customHeight="1">
      <c r="M91" s="24"/>
      <c r="N91" s="24"/>
      <c r="O91" s="24"/>
      <c r="P91" s="24"/>
      <c r="Q91" s="24"/>
      <c r="R91" s="24"/>
    </row>
    <row r="92" ht="15.75" customHeight="1">
      <c r="M92" s="24"/>
      <c r="N92" s="24"/>
      <c r="O92" s="24"/>
      <c r="P92" s="24"/>
      <c r="Q92" s="24"/>
      <c r="R92" s="24"/>
    </row>
    <row r="93" ht="15.75" customHeight="1">
      <c r="M93" s="24"/>
      <c r="N93" s="24"/>
      <c r="O93" s="24"/>
      <c r="P93" s="24"/>
      <c r="Q93" s="24"/>
      <c r="R93" s="24"/>
    </row>
    <row r="94" ht="15.75" customHeight="1">
      <c r="M94" s="24"/>
      <c r="N94" s="24"/>
      <c r="O94" s="24"/>
      <c r="P94" s="24"/>
      <c r="Q94" s="24"/>
      <c r="R94" s="24"/>
    </row>
    <row r="95" ht="15.75" customHeight="1">
      <c r="M95" s="24"/>
      <c r="N95" s="24"/>
      <c r="O95" s="24"/>
      <c r="P95" s="24"/>
      <c r="Q95" s="24"/>
      <c r="R95" s="24"/>
    </row>
    <row r="96" ht="15.75" customHeight="1">
      <c r="M96" s="24"/>
      <c r="N96" s="24"/>
      <c r="O96" s="24"/>
      <c r="P96" s="24"/>
      <c r="Q96" s="24"/>
      <c r="R96" s="24"/>
    </row>
    <row r="97" ht="15.75" customHeight="1">
      <c r="M97" s="24"/>
      <c r="N97" s="24"/>
      <c r="O97" s="24"/>
      <c r="P97" s="24"/>
      <c r="Q97" s="24"/>
      <c r="R97" s="24"/>
    </row>
    <row r="98" ht="15.75" customHeight="1">
      <c r="M98" s="24"/>
      <c r="N98" s="24"/>
      <c r="O98" s="24"/>
      <c r="P98" s="24"/>
      <c r="Q98" s="24"/>
      <c r="R98" s="24"/>
    </row>
    <row r="99" ht="15.75" customHeight="1">
      <c r="M99" s="24"/>
      <c r="N99" s="24"/>
      <c r="O99" s="24"/>
      <c r="P99" s="24"/>
      <c r="Q99" s="24"/>
      <c r="R99" s="24"/>
    </row>
    <row r="100" ht="15.75" customHeight="1">
      <c r="M100" s="24"/>
      <c r="N100" s="24"/>
      <c r="O100" s="24"/>
      <c r="P100" s="24"/>
      <c r="Q100" s="24"/>
      <c r="R100" s="24"/>
    </row>
    <row r="101" ht="15.75" customHeight="1">
      <c r="M101" s="24"/>
      <c r="N101" s="24"/>
      <c r="O101" s="24"/>
      <c r="P101" s="24"/>
      <c r="Q101" s="24"/>
      <c r="R101" s="24"/>
    </row>
    <row r="102" ht="15.75" customHeight="1">
      <c r="M102" s="24"/>
      <c r="N102" s="24"/>
      <c r="O102" s="24"/>
      <c r="P102" s="24"/>
      <c r="Q102" s="24"/>
      <c r="R102" s="24"/>
    </row>
    <row r="103" ht="15.75" customHeight="1">
      <c r="M103" s="24"/>
      <c r="N103" s="24"/>
      <c r="O103" s="24"/>
      <c r="P103" s="24"/>
      <c r="Q103" s="24"/>
      <c r="R103" s="24"/>
    </row>
    <row r="104" ht="15.75" customHeight="1">
      <c r="M104" s="24"/>
      <c r="N104" s="24"/>
      <c r="O104" s="24"/>
      <c r="P104" s="24"/>
      <c r="Q104" s="24"/>
      <c r="R104" s="24"/>
    </row>
    <row r="105" ht="15.75" customHeight="1">
      <c r="M105" s="24"/>
      <c r="N105" s="24"/>
      <c r="O105" s="24"/>
      <c r="P105" s="24"/>
      <c r="Q105" s="24"/>
      <c r="R105" s="24"/>
    </row>
    <row r="106" ht="15.75" customHeight="1">
      <c r="M106" s="24"/>
      <c r="N106" s="24"/>
      <c r="O106" s="24"/>
      <c r="P106" s="24"/>
      <c r="Q106" s="24"/>
      <c r="R106" s="24"/>
    </row>
    <row r="107" ht="15.75" customHeight="1">
      <c r="M107" s="24"/>
      <c r="N107" s="24"/>
      <c r="O107" s="24"/>
      <c r="P107" s="24"/>
      <c r="Q107" s="24"/>
      <c r="R107" s="24"/>
    </row>
    <row r="108" ht="15.75" customHeight="1">
      <c r="M108" s="24"/>
      <c r="N108" s="24"/>
      <c r="O108" s="24"/>
      <c r="P108" s="24"/>
      <c r="Q108" s="24"/>
      <c r="R108" s="24"/>
    </row>
    <row r="109" ht="15.75" customHeight="1">
      <c r="M109" s="24"/>
      <c r="N109" s="24"/>
      <c r="O109" s="24"/>
      <c r="P109" s="24"/>
      <c r="Q109" s="24"/>
      <c r="R109" s="24"/>
    </row>
    <row r="110" ht="15.75" customHeight="1">
      <c r="M110" s="24"/>
      <c r="N110" s="24"/>
      <c r="O110" s="24"/>
      <c r="P110" s="24"/>
      <c r="Q110" s="24"/>
      <c r="R110" s="24"/>
    </row>
    <row r="111" ht="15.75" customHeight="1">
      <c r="M111" s="24"/>
      <c r="N111" s="24"/>
      <c r="O111" s="24"/>
      <c r="P111" s="24"/>
      <c r="Q111" s="24"/>
      <c r="R111" s="24"/>
    </row>
    <row r="112" ht="15.75" customHeight="1">
      <c r="M112" s="24"/>
      <c r="N112" s="24"/>
      <c r="O112" s="24"/>
      <c r="P112" s="24"/>
      <c r="Q112" s="24"/>
      <c r="R112" s="24"/>
    </row>
    <row r="113" ht="15.75" customHeight="1">
      <c r="M113" s="24"/>
      <c r="N113" s="24"/>
      <c r="O113" s="24"/>
      <c r="P113" s="24"/>
      <c r="Q113" s="24"/>
      <c r="R113" s="24"/>
    </row>
    <row r="114" ht="15.75" customHeight="1">
      <c r="M114" s="24"/>
      <c r="N114" s="24"/>
      <c r="O114" s="24"/>
      <c r="P114" s="24"/>
      <c r="Q114" s="24"/>
      <c r="R114" s="24"/>
    </row>
    <row r="115" ht="15.75" customHeight="1">
      <c r="M115" s="24"/>
      <c r="N115" s="24"/>
      <c r="O115" s="24"/>
      <c r="P115" s="24"/>
      <c r="Q115" s="24"/>
      <c r="R115" s="24"/>
    </row>
    <row r="116" ht="15.75" customHeight="1">
      <c r="M116" s="24"/>
      <c r="N116" s="24"/>
      <c r="O116" s="24"/>
      <c r="P116" s="24"/>
      <c r="Q116" s="24"/>
      <c r="R116" s="24"/>
    </row>
    <row r="117" ht="15.75" customHeight="1">
      <c r="M117" s="24"/>
      <c r="N117" s="24"/>
      <c r="O117" s="24"/>
      <c r="P117" s="24"/>
      <c r="Q117" s="24"/>
      <c r="R117" s="24"/>
    </row>
    <row r="118" ht="15.75" customHeight="1">
      <c r="M118" s="24"/>
      <c r="N118" s="24"/>
      <c r="O118" s="24"/>
      <c r="P118" s="24"/>
      <c r="Q118" s="24"/>
      <c r="R118" s="24"/>
    </row>
    <row r="119" ht="15.75" customHeight="1">
      <c r="M119" s="24"/>
      <c r="N119" s="24"/>
      <c r="O119" s="24"/>
      <c r="P119" s="24"/>
      <c r="Q119" s="24"/>
      <c r="R119" s="24"/>
    </row>
    <row r="120" ht="15.75" customHeight="1">
      <c r="M120" s="24"/>
      <c r="N120" s="24"/>
      <c r="O120" s="24"/>
      <c r="P120" s="24"/>
      <c r="Q120" s="24"/>
      <c r="R120" s="24"/>
    </row>
    <row r="121" ht="15.75" customHeight="1">
      <c r="M121" s="24"/>
      <c r="N121" s="24"/>
      <c r="O121" s="24"/>
      <c r="P121" s="24"/>
      <c r="Q121" s="24"/>
      <c r="R121" s="24"/>
    </row>
    <row r="122" ht="15.75" customHeight="1">
      <c r="M122" s="24"/>
      <c r="N122" s="24"/>
      <c r="O122" s="24"/>
      <c r="P122" s="24"/>
      <c r="Q122" s="24"/>
      <c r="R122" s="24"/>
    </row>
    <row r="123" ht="15.75" customHeight="1">
      <c r="M123" s="24"/>
      <c r="N123" s="24"/>
      <c r="O123" s="24"/>
      <c r="P123" s="24"/>
      <c r="Q123" s="24"/>
      <c r="R123" s="24"/>
    </row>
    <row r="124" ht="15.75" customHeight="1">
      <c r="M124" s="24"/>
      <c r="N124" s="24"/>
      <c r="O124" s="24"/>
      <c r="P124" s="24"/>
      <c r="Q124" s="24"/>
      <c r="R124" s="24"/>
    </row>
    <row r="125" ht="15.75" customHeight="1">
      <c r="M125" s="24"/>
      <c r="N125" s="24"/>
      <c r="O125" s="24"/>
      <c r="P125" s="24"/>
      <c r="Q125" s="24"/>
      <c r="R125" s="24"/>
    </row>
    <row r="126" ht="15.75" customHeight="1">
      <c r="M126" s="24"/>
      <c r="N126" s="24"/>
      <c r="O126" s="24"/>
      <c r="P126" s="24"/>
      <c r="Q126" s="24"/>
      <c r="R126" s="24"/>
    </row>
    <row r="127" ht="15.75" customHeight="1">
      <c r="M127" s="24"/>
      <c r="N127" s="24"/>
      <c r="O127" s="24"/>
      <c r="P127" s="24"/>
      <c r="Q127" s="24"/>
      <c r="R127" s="24"/>
    </row>
    <row r="128" ht="15.75" customHeight="1">
      <c r="M128" s="24"/>
      <c r="N128" s="24"/>
      <c r="O128" s="24"/>
      <c r="P128" s="24"/>
      <c r="Q128" s="24"/>
      <c r="R128" s="24"/>
    </row>
    <row r="129" ht="15.75" customHeight="1">
      <c r="M129" s="24"/>
      <c r="N129" s="24"/>
      <c r="O129" s="24"/>
      <c r="P129" s="24"/>
      <c r="Q129" s="24"/>
      <c r="R129" s="24"/>
    </row>
    <row r="130" ht="15.75" customHeight="1">
      <c r="M130" s="24"/>
      <c r="N130" s="24"/>
      <c r="O130" s="24"/>
      <c r="P130" s="24"/>
      <c r="Q130" s="24"/>
      <c r="R130" s="24"/>
    </row>
    <row r="131" ht="15.75" customHeight="1">
      <c r="M131" s="24"/>
      <c r="N131" s="24"/>
      <c r="O131" s="24"/>
      <c r="P131" s="24"/>
      <c r="Q131" s="24"/>
      <c r="R131" s="24"/>
    </row>
    <row r="132" ht="15.75" customHeight="1">
      <c r="M132" s="24"/>
      <c r="N132" s="24"/>
      <c r="O132" s="24"/>
      <c r="P132" s="24"/>
      <c r="Q132" s="24"/>
      <c r="R132" s="24"/>
    </row>
    <row r="133" ht="15.75" customHeight="1">
      <c r="M133" s="24"/>
      <c r="N133" s="24"/>
      <c r="O133" s="24"/>
      <c r="P133" s="24"/>
      <c r="Q133" s="24"/>
      <c r="R133" s="24"/>
    </row>
    <row r="134" ht="15.75" customHeight="1">
      <c r="M134" s="24"/>
      <c r="N134" s="24"/>
      <c r="O134" s="24"/>
      <c r="P134" s="24"/>
      <c r="Q134" s="24"/>
      <c r="R134" s="24"/>
    </row>
    <row r="135" ht="15.75" customHeight="1">
      <c r="M135" s="24"/>
      <c r="N135" s="24"/>
      <c r="O135" s="24"/>
      <c r="P135" s="24"/>
      <c r="Q135" s="24"/>
      <c r="R135" s="24"/>
    </row>
    <row r="136" ht="15.75" customHeight="1">
      <c r="M136" s="24"/>
      <c r="N136" s="24"/>
      <c r="O136" s="24"/>
      <c r="P136" s="24"/>
      <c r="Q136" s="24"/>
      <c r="R136" s="24"/>
    </row>
    <row r="137" ht="15.75" customHeight="1">
      <c r="M137" s="24"/>
      <c r="N137" s="24"/>
      <c r="O137" s="24"/>
      <c r="P137" s="24"/>
      <c r="Q137" s="24"/>
      <c r="R137" s="24"/>
    </row>
    <row r="138" ht="15.75" customHeight="1">
      <c r="M138" s="24"/>
      <c r="N138" s="24"/>
      <c r="O138" s="24"/>
      <c r="P138" s="24"/>
      <c r="Q138" s="24"/>
      <c r="R138" s="24"/>
    </row>
    <row r="139" ht="15.75" customHeight="1">
      <c r="M139" s="24"/>
      <c r="N139" s="24"/>
      <c r="O139" s="24"/>
      <c r="P139" s="24"/>
      <c r="Q139" s="24"/>
      <c r="R139" s="24"/>
    </row>
    <row r="140" ht="15.75" customHeight="1">
      <c r="M140" s="24"/>
      <c r="N140" s="24"/>
      <c r="O140" s="24"/>
      <c r="P140" s="24"/>
      <c r="Q140" s="24"/>
      <c r="R140" s="24"/>
    </row>
    <row r="141" ht="15.75" customHeight="1">
      <c r="M141" s="24"/>
      <c r="N141" s="24"/>
      <c r="O141" s="24"/>
      <c r="P141" s="24"/>
      <c r="Q141" s="24"/>
      <c r="R141" s="24"/>
    </row>
    <row r="142" ht="15.75" customHeight="1">
      <c r="M142" s="24"/>
      <c r="N142" s="24"/>
      <c r="O142" s="24"/>
      <c r="P142" s="24"/>
      <c r="Q142" s="24"/>
      <c r="R142" s="24"/>
    </row>
    <row r="143" ht="15.75" customHeight="1">
      <c r="M143" s="24"/>
      <c r="N143" s="24"/>
      <c r="O143" s="24"/>
      <c r="P143" s="24"/>
      <c r="Q143" s="24"/>
      <c r="R143" s="24"/>
    </row>
    <row r="144" ht="15.75" customHeight="1">
      <c r="M144" s="24"/>
      <c r="N144" s="24"/>
      <c r="O144" s="24"/>
      <c r="P144" s="24"/>
      <c r="Q144" s="24"/>
      <c r="R144" s="24"/>
    </row>
    <row r="145" ht="15.75" customHeight="1">
      <c r="M145" s="24"/>
      <c r="N145" s="24"/>
      <c r="O145" s="24"/>
      <c r="P145" s="24"/>
      <c r="Q145" s="24"/>
      <c r="R145" s="24"/>
    </row>
    <row r="146" ht="15.75" customHeight="1">
      <c r="M146" s="24"/>
      <c r="N146" s="24"/>
      <c r="O146" s="24"/>
      <c r="P146" s="24"/>
      <c r="Q146" s="24"/>
      <c r="R146" s="24"/>
    </row>
    <row r="147" ht="15.75" customHeight="1">
      <c r="M147" s="24"/>
      <c r="N147" s="24"/>
      <c r="O147" s="24"/>
      <c r="P147" s="24"/>
      <c r="Q147" s="24"/>
      <c r="R147" s="24"/>
    </row>
    <row r="148" ht="15.75" customHeight="1">
      <c r="M148" s="24"/>
      <c r="N148" s="24"/>
      <c r="O148" s="24"/>
      <c r="P148" s="24"/>
      <c r="Q148" s="24"/>
      <c r="R148" s="24"/>
    </row>
    <row r="149" ht="15.75" customHeight="1">
      <c r="M149" s="24"/>
      <c r="N149" s="24"/>
      <c r="O149" s="24"/>
      <c r="P149" s="24"/>
      <c r="Q149" s="24"/>
      <c r="R149" s="24"/>
    </row>
    <row r="150" ht="15.75" customHeight="1">
      <c r="M150" s="24"/>
      <c r="N150" s="24"/>
      <c r="O150" s="24"/>
      <c r="P150" s="24"/>
      <c r="Q150" s="24"/>
      <c r="R150" s="24"/>
    </row>
    <row r="151" ht="15.75" customHeight="1">
      <c r="M151" s="24"/>
      <c r="N151" s="24"/>
      <c r="O151" s="24"/>
      <c r="P151" s="24"/>
      <c r="Q151" s="24"/>
      <c r="R151" s="24"/>
    </row>
    <row r="152" ht="15.75" customHeight="1">
      <c r="M152" s="24"/>
      <c r="N152" s="24"/>
      <c r="O152" s="24"/>
      <c r="P152" s="24"/>
      <c r="Q152" s="24"/>
      <c r="R152" s="24"/>
    </row>
    <row r="153" ht="15.75" customHeight="1">
      <c r="M153" s="24"/>
      <c r="N153" s="24"/>
      <c r="O153" s="24"/>
      <c r="P153" s="24"/>
      <c r="Q153" s="24"/>
      <c r="R153" s="24"/>
    </row>
    <row r="154" ht="15.75" customHeight="1">
      <c r="M154" s="24"/>
      <c r="N154" s="24"/>
      <c r="O154" s="24"/>
      <c r="P154" s="24"/>
      <c r="Q154" s="24"/>
      <c r="R154" s="24"/>
    </row>
    <row r="155" ht="15.75" customHeight="1">
      <c r="M155" s="24"/>
      <c r="N155" s="24"/>
      <c r="O155" s="24"/>
      <c r="P155" s="24"/>
      <c r="Q155" s="24"/>
      <c r="R155" s="24"/>
    </row>
    <row r="156" ht="15.75" customHeight="1">
      <c r="M156" s="24"/>
      <c r="N156" s="24"/>
      <c r="O156" s="24"/>
      <c r="P156" s="24"/>
      <c r="Q156" s="24"/>
      <c r="R156" s="24"/>
    </row>
    <row r="157" ht="15.75" customHeight="1">
      <c r="M157" s="24"/>
      <c r="N157" s="24"/>
      <c r="O157" s="24"/>
      <c r="P157" s="24"/>
      <c r="Q157" s="24"/>
      <c r="R157" s="24"/>
    </row>
    <row r="158" ht="15.75" customHeight="1">
      <c r="M158" s="24"/>
      <c r="N158" s="24"/>
      <c r="O158" s="24"/>
      <c r="P158" s="24"/>
      <c r="Q158" s="24"/>
      <c r="R158" s="24"/>
    </row>
    <row r="159" ht="15.75" customHeight="1">
      <c r="M159" s="24"/>
      <c r="N159" s="24"/>
      <c r="O159" s="24"/>
      <c r="P159" s="24"/>
      <c r="Q159" s="24"/>
      <c r="R159" s="24"/>
    </row>
    <row r="160" ht="15.75" customHeight="1">
      <c r="M160" s="24"/>
      <c r="N160" s="24"/>
      <c r="O160" s="24"/>
      <c r="P160" s="24"/>
      <c r="Q160" s="24"/>
      <c r="R160" s="24"/>
    </row>
    <row r="161" ht="15.75" customHeight="1">
      <c r="M161" s="24"/>
      <c r="N161" s="24"/>
      <c r="O161" s="24"/>
      <c r="P161" s="24"/>
      <c r="Q161" s="24"/>
      <c r="R161" s="24"/>
    </row>
    <row r="162" ht="15.75" customHeight="1">
      <c r="M162" s="24"/>
      <c r="N162" s="24"/>
      <c r="O162" s="24"/>
      <c r="P162" s="24"/>
      <c r="Q162" s="24"/>
      <c r="R162" s="24"/>
    </row>
    <row r="163" ht="15.75" customHeight="1">
      <c r="M163" s="24"/>
      <c r="N163" s="24"/>
      <c r="O163" s="24"/>
      <c r="P163" s="24"/>
      <c r="Q163" s="24"/>
      <c r="R163" s="24"/>
    </row>
    <row r="164" ht="15.75" customHeight="1">
      <c r="M164" s="24"/>
      <c r="N164" s="24"/>
      <c r="O164" s="24"/>
      <c r="P164" s="24"/>
      <c r="Q164" s="24"/>
      <c r="R164" s="24"/>
    </row>
    <row r="165" ht="15.75" customHeight="1">
      <c r="M165" s="24"/>
      <c r="N165" s="24"/>
      <c r="O165" s="24"/>
      <c r="P165" s="24"/>
      <c r="Q165" s="24"/>
      <c r="R165" s="24"/>
    </row>
    <row r="166" ht="15.75" customHeight="1">
      <c r="M166" s="24"/>
      <c r="N166" s="24"/>
      <c r="O166" s="24"/>
      <c r="P166" s="24"/>
      <c r="Q166" s="24"/>
      <c r="R166" s="24"/>
    </row>
    <row r="167" ht="15.75" customHeight="1">
      <c r="M167" s="24"/>
      <c r="N167" s="24"/>
      <c r="O167" s="24"/>
      <c r="P167" s="24"/>
      <c r="Q167" s="24"/>
      <c r="R167" s="24"/>
    </row>
    <row r="168" ht="15.75" customHeight="1">
      <c r="M168" s="24"/>
      <c r="N168" s="24"/>
      <c r="O168" s="24"/>
      <c r="P168" s="24"/>
      <c r="Q168" s="24"/>
      <c r="R168" s="24"/>
    </row>
    <row r="169" ht="15.75" customHeight="1">
      <c r="M169" s="24"/>
      <c r="N169" s="24"/>
      <c r="O169" s="24"/>
      <c r="P169" s="24"/>
      <c r="Q169" s="24"/>
      <c r="R169" s="24"/>
    </row>
    <row r="170" ht="15.75" customHeight="1">
      <c r="M170" s="24"/>
      <c r="N170" s="24"/>
      <c r="O170" s="24"/>
      <c r="P170" s="24"/>
      <c r="Q170" s="24"/>
      <c r="R170" s="24"/>
    </row>
    <row r="171" ht="15.75" customHeight="1">
      <c r="M171" s="24"/>
      <c r="N171" s="24"/>
      <c r="O171" s="24"/>
      <c r="P171" s="24"/>
      <c r="Q171" s="24"/>
      <c r="R171" s="24"/>
    </row>
    <row r="172" ht="15.75" customHeight="1">
      <c r="M172" s="24"/>
      <c r="N172" s="24"/>
      <c r="O172" s="24"/>
      <c r="P172" s="24"/>
      <c r="Q172" s="24"/>
      <c r="R172" s="24"/>
    </row>
    <row r="173" ht="15.75" customHeight="1">
      <c r="M173" s="24"/>
      <c r="N173" s="24"/>
      <c r="O173" s="24"/>
      <c r="P173" s="24"/>
      <c r="Q173" s="24"/>
      <c r="R173" s="24"/>
    </row>
    <row r="174" ht="15.75" customHeight="1">
      <c r="M174" s="24"/>
      <c r="N174" s="24"/>
      <c r="O174" s="24"/>
      <c r="P174" s="24"/>
      <c r="Q174" s="24"/>
      <c r="R174" s="24"/>
    </row>
    <row r="175" ht="15.75" customHeight="1">
      <c r="M175" s="24"/>
      <c r="N175" s="24"/>
      <c r="O175" s="24"/>
      <c r="P175" s="24"/>
      <c r="Q175" s="24"/>
      <c r="R175" s="24"/>
    </row>
    <row r="176" ht="15.75" customHeight="1">
      <c r="M176" s="24"/>
      <c r="N176" s="24"/>
      <c r="O176" s="24"/>
      <c r="P176" s="24"/>
      <c r="Q176" s="24"/>
      <c r="R176" s="24"/>
    </row>
    <row r="177" ht="15.75" customHeight="1">
      <c r="M177" s="24"/>
      <c r="N177" s="24"/>
      <c r="O177" s="24"/>
      <c r="P177" s="24"/>
      <c r="Q177" s="24"/>
      <c r="R177" s="24"/>
    </row>
    <row r="178" ht="15.75" customHeight="1">
      <c r="M178" s="24"/>
      <c r="N178" s="24"/>
      <c r="O178" s="24"/>
      <c r="P178" s="24"/>
      <c r="Q178" s="24"/>
      <c r="R178" s="24"/>
    </row>
    <row r="179" ht="15.75" customHeight="1">
      <c r="M179" s="24"/>
      <c r="N179" s="24"/>
      <c r="O179" s="24"/>
      <c r="P179" s="24"/>
      <c r="Q179" s="24"/>
      <c r="R179" s="24"/>
    </row>
    <row r="180" ht="15.75" customHeight="1">
      <c r="M180" s="24"/>
      <c r="N180" s="24"/>
      <c r="O180" s="24"/>
      <c r="P180" s="24"/>
      <c r="Q180" s="24"/>
      <c r="R180" s="24"/>
    </row>
    <row r="181" ht="15.75" customHeight="1">
      <c r="M181" s="24"/>
      <c r="N181" s="24"/>
      <c r="O181" s="24"/>
      <c r="P181" s="24"/>
      <c r="Q181" s="24"/>
      <c r="R181" s="24"/>
    </row>
    <row r="182" ht="15.75" customHeight="1">
      <c r="M182" s="24"/>
      <c r="N182" s="24"/>
      <c r="O182" s="24"/>
      <c r="P182" s="24"/>
      <c r="Q182" s="24"/>
      <c r="R182" s="24"/>
    </row>
    <row r="183" ht="15.75" customHeight="1">
      <c r="M183" s="24"/>
      <c r="N183" s="24"/>
      <c r="O183" s="24"/>
      <c r="P183" s="24"/>
      <c r="Q183" s="24"/>
      <c r="R183" s="24"/>
    </row>
    <row r="184" ht="15.75" customHeight="1">
      <c r="M184" s="24"/>
      <c r="N184" s="24"/>
      <c r="O184" s="24"/>
      <c r="P184" s="24"/>
      <c r="Q184" s="24"/>
      <c r="R184" s="24"/>
    </row>
    <row r="185" ht="15.75" customHeight="1">
      <c r="M185" s="24"/>
      <c r="N185" s="24"/>
      <c r="O185" s="24"/>
      <c r="P185" s="24"/>
      <c r="Q185" s="24"/>
      <c r="R185" s="24"/>
    </row>
    <row r="186" ht="15.75" customHeight="1">
      <c r="M186" s="24"/>
      <c r="N186" s="24"/>
      <c r="O186" s="24"/>
      <c r="P186" s="24"/>
      <c r="Q186" s="24"/>
      <c r="R186" s="24"/>
    </row>
    <row r="187" ht="15.75" customHeight="1">
      <c r="M187" s="24"/>
      <c r="N187" s="24"/>
      <c r="O187" s="24"/>
      <c r="P187" s="24"/>
      <c r="Q187" s="24"/>
      <c r="R187" s="24"/>
    </row>
    <row r="188" ht="15.75" customHeight="1">
      <c r="M188" s="24"/>
      <c r="N188" s="24"/>
      <c r="O188" s="24"/>
      <c r="P188" s="24"/>
      <c r="Q188" s="24"/>
      <c r="R188" s="24"/>
    </row>
    <row r="189" ht="15.75" customHeight="1">
      <c r="M189" s="24"/>
      <c r="N189" s="24"/>
      <c r="O189" s="24"/>
      <c r="P189" s="24"/>
      <c r="Q189" s="24"/>
      <c r="R189" s="24"/>
    </row>
    <row r="190" ht="15.75" customHeight="1">
      <c r="M190" s="24"/>
      <c r="N190" s="24"/>
      <c r="O190" s="24"/>
      <c r="P190" s="24"/>
      <c r="Q190" s="24"/>
      <c r="R190" s="24"/>
    </row>
    <row r="191" ht="15.75" customHeight="1">
      <c r="M191" s="24"/>
      <c r="N191" s="24"/>
      <c r="O191" s="24"/>
      <c r="P191" s="24"/>
      <c r="Q191" s="24"/>
      <c r="R191" s="24"/>
    </row>
    <row r="192" ht="15.75" customHeight="1">
      <c r="M192" s="24"/>
      <c r="N192" s="24"/>
      <c r="O192" s="24"/>
      <c r="P192" s="24"/>
      <c r="Q192" s="24"/>
      <c r="R192" s="24"/>
    </row>
    <row r="193" ht="15.75" customHeight="1">
      <c r="M193" s="24"/>
      <c r="N193" s="24"/>
      <c r="O193" s="24"/>
      <c r="P193" s="24"/>
      <c r="Q193" s="24"/>
      <c r="R193" s="24"/>
    </row>
    <row r="194" ht="15.75" customHeight="1">
      <c r="M194" s="24"/>
      <c r="N194" s="24"/>
      <c r="O194" s="24"/>
      <c r="P194" s="24"/>
      <c r="Q194" s="24"/>
      <c r="R194" s="24"/>
    </row>
    <row r="195" ht="15.75" customHeight="1">
      <c r="M195" s="24"/>
      <c r="N195" s="24"/>
      <c r="O195" s="24"/>
      <c r="P195" s="24"/>
      <c r="Q195" s="24"/>
      <c r="R195" s="24"/>
    </row>
    <row r="196" ht="15.75" customHeight="1">
      <c r="M196" s="24"/>
      <c r="N196" s="24"/>
      <c r="O196" s="24"/>
      <c r="P196" s="24"/>
      <c r="Q196" s="24"/>
      <c r="R196" s="24"/>
    </row>
    <row r="197" ht="15.75" customHeight="1">
      <c r="M197" s="24"/>
      <c r="N197" s="24"/>
      <c r="O197" s="24"/>
      <c r="P197" s="24"/>
      <c r="Q197" s="24"/>
      <c r="R197" s="24"/>
    </row>
    <row r="198" ht="15.75" customHeight="1">
      <c r="M198" s="24"/>
      <c r="N198" s="24"/>
      <c r="O198" s="24"/>
      <c r="P198" s="24"/>
      <c r="Q198" s="24"/>
      <c r="R198" s="24"/>
    </row>
    <row r="199" ht="15.75" customHeight="1">
      <c r="M199" s="24"/>
      <c r="N199" s="24"/>
      <c r="O199" s="24"/>
      <c r="P199" s="24"/>
      <c r="Q199" s="24"/>
      <c r="R199" s="24"/>
    </row>
    <row r="200" ht="15.75" customHeight="1">
      <c r="M200" s="24"/>
      <c r="N200" s="24"/>
      <c r="O200" s="24"/>
      <c r="P200" s="24"/>
      <c r="Q200" s="24"/>
      <c r="R200" s="24"/>
    </row>
    <row r="201" ht="15.75" customHeight="1">
      <c r="M201" s="24"/>
      <c r="N201" s="24"/>
      <c r="O201" s="24"/>
      <c r="P201" s="24"/>
      <c r="Q201" s="24"/>
      <c r="R201" s="24"/>
    </row>
    <row r="202" ht="15.75" customHeight="1">
      <c r="M202" s="24"/>
      <c r="N202" s="24"/>
      <c r="O202" s="24"/>
      <c r="P202" s="24"/>
      <c r="Q202" s="24"/>
      <c r="R202" s="24"/>
    </row>
    <row r="203" ht="15.75" customHeight="1">
      <c r="M203" s="24"/>
      <c r="N203" s="24"/>
      <c r="O203" s="24"/>
      <c r="P203" s="24"/>
      <c r="Q203" s="24"/>
      <c r="R203" s="24"/>
    </row>
    <row r="204" ht="15.75" customHeight="1">
      <c r="M204" s="24"/>
      <c r="N204" s="24"/>
      <c r="O204" s="24"/>
      <c r="P204" s="24"/>
      <c r="Q204" s="24"/>
      <c r="R204" s="24"/>
    </row>
    <row r="205" ht="15.75" customHeight="1">
      <c r="M205" s="24"/>
      <c r="N205" s="24"/>
      <c r="O205" s="24"/>
      <c r="P205" s="24"/>
      <c r="Q205" s="24"/>
      <c r="R205" s="24"/>
    </row>
    <row r="206" ht="15.75" customHeight="1">
      <c r="M206" s="24"/>
      <c r="N206" s="24"/>
      <c r="O206" s="24"/>
      <c r="P206" s="24"/>
      <c r="Q206" s="24"/>
      <c r="R206" s="24"/>
    </row>
    <row r="207" ht="15.75" customHeight="1">
      <c r="M207" s="24"/>
      <c r="N207" s="24"/>
      <c r="O207" s="24"/>
      <c r="P207" s="24"/>
      <c r="Q207" s="24"/>
      <c r="R207" s="24"/>
    </row>
    <row r="208" ht="15.75" customHeight="1">
      <c r="M208" s="24"/>
      <c r="N208" s="24"/>
      <c r="O208" s="24"/>
      <c r="P208" s="24"/>
      <c r="Q208" s="24"/>
      <c r="R208" s="24"/>
    </row>
    <row r="209" ht="15.75" customHeight="1">
      <c r="M209" s="24"/>
      <c r="N209" s="24"/>
      <c r="O209" s="24"/>
      <c r="P209" s="24"/>
      <c r="Q209" s="24"/>
      <c r="R209" s="24"/>
    </row>
    <row r="210" ht="15.75" customHeight="1">
      <c r="M210" s="24"/>
      <c r="N210" s="24"/>
      <c r="O210" s="24"/>
      <c r="P210" s="24"/>
      <c r="Q210" s="24"/>
      <c r="R210" s="24"/>
    </row>
    <row r="211" ht="15.75" customHeight="1">
      <c r="M211" s="24"/>
      <c r="N211" s="24"/>
      <c r="O211" s="24"/>
      <c r="P211" s="24"/>
      <c r="Q211" s="24"/>
      <c r="R211" s="24"/>
    </row>
    <row r="212" ht="15.75" customHeight="1">
      <c r="M212" s="24"/>
      <c r="N212" s="24"/>
      <c r="O212" s="24"/>
      <c r="P212" s="24"/>
      <c r="Q212" s="24"/>
      <c r="R212" s="24"/>
    </row>
    <row r="213" ht="15.75" customHeight="1">
      <c r="M213" s="24"/>
      <c r="N213" s="24"/>
      <c r="O213" s="24"/>
      <c r="P213" s="24"/>
      <c r="Q213" s="24"/>
      <c r="R213" s="24"/>
    </row>
    <row r="214" ht="15.75" customHeight="1">
      <c r="M214" s="24"/>
      <c r="N214" s="24"/>
      <c r="O214" s="24"/>
      <c r="P214" s="24"/>
      <c r="Q214" s="24"/>
      <c r="R214" s="24"/>
    </row>
    <row r="215" ht="15.75" customHeight="1">
      <c r="M215" s="24"/>
      <c r="N215" s="24"/>
      <c r="O215" s="24"/>
      <c r="P215" s="24"/>
      <c r="Q215" s="24"/>
      <c r="R215" s="24"/>
    </row>
    <row r="216" ht="15.75" customHeight="1">
      <c r="M216" s="24"/>
      <c r="N216" s="24"/>
      <c r="O216" s="24"/>
      <c r="P216" s="24"/>
      <c r="Q216" s="24"/>
      <c r="R216" s="24"/>
    </row>
    <row r="217" ht="15.75" customHeight="1">
      <c r="M217" s="24"/>
      <c r="N217" s="24"/>
      <c r="O217" s="24"/>
      <c r="P217" s="24"/>
      <c r="Q217" s="24"/>
      <c r="R217" s="24"/>
    </row>
    <row r="218" ht="15.75" customHeight="1">
      <c r="M218" s="24"/>
      <c r="N218" s="24"/>
      <c r="O218" s="24"/>
      <c r="P218" s="24"/>
      <c r="Q218" s="24"/>
      <c r="R218" s="24"/>
    </row>
    <row r="219" ht="15.75" customHeight="1">
      <c r="M219" s="24"/>
      <c r="N219" s="24"/>
      <c r="O219" s="24"/>
      <c r="P219" s="24"/>
      <c r="Q219" s="24"/>
      <c r="R219" s="24"/>
    </row>
    <row r="220" ht="15.75" customHeight="1">
      <c r="M220" s="24"/>
      <c r="N220" s="24"/>
      <c r="O220" s="24"/>
      <c r="P220" s="24"/>
      <c r="Q220" s="24"/>
      <c r="R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7"/>
  <dataValidations>
    <dataValidation type="list" allowBlank="1" showErrorMessage="1" sqref="G2:G17">
      <formula1>Condición</formula1>
    </dataValidation>
    <dataValidation type="list" allowBlank="1" showErrorMessage="1" sqref="H2:H17">
      <formula1>Cargadores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4.43" defaultRowHeight="15.0"/>
  <cols>
    <col customWidth="1" min="1" max="1" width="8.43"/>
    <col customWidth="1" min="2" max="2" width="11.43"/>
    <col customWidth="1" min="3" max="3" width="17.86"/>
    <col customWidth="1" min="4" max="4" width="11.43"/>
    <col customWidth="1" min="5" max="5" width="9.0"/>
    <col customWidth="1" min="6" max="6" width="11.43"/>
    <col customWidth="1" min="7" max="7" width="8.57"/>
    <col customWidth="1" min="8" max="8" width="11.43"/>
    <col customWidth="1" min="9" max="9" width="9.43"/>
    <col customWidth="1" min="10" max="10" width="11.43"/>
    <col customWidth="1" min="11" max="11" width="5.71"/>
    <col customWidth="1" min="12" max="12" width="12.43"/>
    <col customWidth="1" min="13" max="13" width="13.71"/>
    <col customWidth="1" min="14" max="14" width="11.43"/>
    <col customWidth="1" min="15" max="15" width="23.14"/>
    <col customWidth="1" min="16" max="16" width="9.71"/>
    <col customWidth="1" min="17" max="17" width="16.29"/>
    <col customWidth="1" min="18" max="18" width="11.43"/>
    <col customWidth="1" min="19" max="19" width="35.14"/>
    <col customWidth="1" min="20" max="20" width="11.43"/>
    <col customWidth="1" min="21" max="22" width="10.71"/>
    <col customWidth="1" min="23" max="23" width="32.0"/>
    <col customWidth="1" min="24" max="24" width="10.71"/>
    <col customWidth="1" min="25" max="25" width="30.86"/>
    <col customWidth="1" min="26" max="26" width="10.71"/>
    <col customWidth="1" min="27" max="27" width="12.43"/>
  </cols>
  <sheetData>
    <row r="1">
      <c r="A1" s="78" t="s">
        <v>768</v>
      </c>
      <c r="B1" s="79"/>
      <c r="C1" s="78" t="s">
        <v>766</v>
      </c>
      <c r="D1" s="48"/>
      <c r="E1" s="80" t="s">
        <v>1075</v>
      </c>
      <c r="F1" s="48"/>
      <c r="G1" s="80" t="s">
        <v>1076</v>
      </c>
      <c r="H1" s="48"/>
      <c r="I1" s="80" t="s">
        <v>1756</v>
      </c>
      <c r="J1" s="48"/>
      <c r="K1" s="81" t="s">
        <v>1757</v>
      </c>
      <c r="L1" s="82"/>
      <c r="M1" s="83"/>
      <c r="N1" s="48"/>
      <c r="O1" s="81" t="s">
        <v>1758</v>
      </c>
      <c r="P1" s="82"/>
      <c r="Q1" s="84"/>
      <c r="R1" s="48"/>
      <c r="S1" s="80" t="s">
        <v>1759</v>
      </c>
      <c r="T1" s="48"/>
      <c r="U1" s="15" t="s">
        <v>11</v>
      </c>
      <c r="W1" s="15" t="s">
        <v>28</v>
      </c>
      <c r="Y1" s="15" t="s">
        <v>29</v>
      </c>
      <c r="AA1" s="15" t="s">
        <v>1760</v>
      </c>
    </row>
    <row r="2">
      <c r="A2" s="85" t="s">
        <v>778</v>
      </c>
      <c r="B2" s="86"/>
      <c r="C2" s="85" t="s">
        <v>776</v>
      </c>
      <c r="D2" s="48"/>
      <c r="E2" s="87" t="s">
        <v>1100</v>
      </c>
      <c r="F2" s="48"/>
      <c r="G2" s="87" t="s">
        <v>223</v>
      </c>
      <c r="H2" s="48"/>
      <c r="I2" s="87" t="s">
        <v>63</v>
      </c>
      <c r="J2" s="48"/>
      <c r="K2" s="88" t="s">
        <v>1756</v>
      </c>
      <c r="L2" s="89" t="s">
        <v>25</v>
      </c>
      <c r="M2" s="90" t="s">
        <v>1761</v>
      </c>
      <c r="N2" s="48"/>
      <c r="O2" s="91" t="s">
        <v>1762</v>
      </c>
      <c r="P2" s="92" t="s">
        <v>772</v>
      </c>
      <c r="Q2" s="93" t="s">
        <v>1763</v>
      </c>
      <c r="R2" s="48"/>
      <c r="S2" s="87" t="s">
        <v>1290</v>
      </c>
      <c r="T2" s="48"/>
      <c r="U2" s="5" t="s">
        <v>31</v>
      </c>
      <c r="W2" s="5" t="s">
        <v>70</v>
      </c>
      <c r="Y2" s="5" t="s">
        <v>345</v>
      </c>
      <c r="AA2" s="5">
        <v>3.310431719E9</v>
      </c>
    </row>
    <row r="3">
      <c r="A3" s="87" t="s">
        <v>1764</v>
      </c>
      <c r="B3" s="86"/>
      <c r="C3" s="87" t="s">
        <v>1132</v>
      </c>
      <c r="D3" s="48"/>
      <c r="E3" s="87" t="s">
        <v>1090</v>
      </c>
      <c r="F3" s="48"/>
      <c r="G3" s="87" t="s">
        <v>1091</v>
      </c>
      <c r="H3" s="48"/>
      <c r="I3" s="87" t="s">
        <v>1765</v>
      </c>
      <c r="J3" s="48"/>
      <c r="K3" s="94" t="s">
        <v>52</v>
      </c>
      <c r="L3" s="17">
        <v>229.0</v>
      </c>
      <c r="M3" s="95">
        <v>4.5</v>
      </c>
      <c r="N3" s="48"/>
      <c r="O3" s="5" t="s">
        <v>799</v>
      </c>
      <c r="P3" s="38">
        <v>19999.0</v>
      </c>
      <c r="Q3" s="17">
        <v>11250.0</v>
      </c>
      <c r="R3" s="48"/>
      <c r="S3" s="87" t="s">
        <v>1766</v>
      </c>
      <c r="T3" s="48"/>
      <c r="U3" s="5" t="s">
        <v>54</v>
      </c>
      <c r="W3" s="5" t="s">
        <v>101</v>
      </c>
      <c r="Y3" s="5" t="s">
        <v>226</v>
      </c>
      <c r="AA3" s="5">
        <v>3.312846765E9</v>
      </c>
    </row>
    <row r="4">
      <c r="A4" s="48"/>
      <c r="B4" s="48"/>
      <c r="C4" s="87" t="s">
        <v>1092</v>
      </c>
      <c r="D4" s="48"/>
      <c r="E4" s="48"/>
      <c r="F4" s="48"/>
      <c r="G4" s="48"/>
      <c r="H4" s="48"/>
      <c r="I4" s="87" t="s">
        <v>65</v>
      </c>
      <c r="J4" s="48"/>
      <c r="K4" s="94">
        <v>1.0</v>
      </c>
      <c r="L4" s="17">
        <v>269.0</v>
      </c>
      <c r="M4" s="95">
        <v>9.0</v>
      </c>
      <c r="N4" s="48"/>
      <c r="O4" s="5" t="s">
        <v>883</v>
      </c>
      <c r="P4" s="47">
        <v>28499.0</v>
      </c>
      <c r="Q4" s="54">
        <v>17500.079999999998</v>
      </c>
      <c r="R4" s="48"/>
      <c r="S4" s="87" t="s">
        <v>1381</v>
      </c>
      <c r="T4" s="48"/>
      <c r="U4" s="5" t="s">
        <v>15</v>
      </c>
      <c r="W4" s="5" t="s">
        <v>117</v>
      </c>
      <c r="Y4" s="5" t="s">
        <v>350</v>
      </c>
      <c r="AA4" s="5">
        <v>3.313254527E9</v>
      </c>
    </row>
    <row r="5">
      <c r="A5" s="48"/>
      <c r="B5" s="48"/>
      <c r="C5" s="87" t="s">
        <v>1617</v>
      </c>
      <c r="D5" s="48"/>
      <c r="E5" s="48"/>
      <c r="F5" s="48"/>
      <c r="G5" s="48"/>
      <c r="H5" s="48"/>
      <c r="I5" s="48"/>
      <c r="J5" s="48"/>
      <c r="K5" s="94">
        <v>2.0</v>
      </c>
      <c r="L5" s="17">
        <v>329.0</v>
      </c>
      <c r="M5" s="95">
        <v>7.5</v>
      </c>
      <c r="N5" s="48"/>
      <c r="O5" s="5" t="s">
        <v>1767</v>
      </c>
      <c r="P5" s="38">
        <v>30999.0</v>
      </c>
      <c r="Q5" s="17"/>
      <c r="R5" s="48"/>
      <c r="S5" s="87" t="s">
        <v>1768</v>
      </c>
      <c r="T5" s="48"/>
      <c r="U5" s="5" t="s">
        <v>551</v>
      </c>
      <c r="W5" s="5" t="s">
        <v>130</v>
      </c>
      <c r="Y5" s="5" t="s">
        <v>1769</v>
      </c>
      <c r="AA5" s="5">
        <v>3.313697838E9</v>
      </c>
    </row>
    <row r="6">
      <c r="A6" s="48"/>
      <c r="B6" s="48"/>
      <c r="C6" s="87" t="s">
        <v>1195</v>
      </c>
      <c r="D6" s="48"/>
      <c r="E6" s="48"/>
      <c r="F6" s="48"/>
      <c r="G6" s="48"/>
      <c r="H6" s="48"/>
      <c r="I6" s="48"/>
      <c r="J6" s="48"/>
      <c r="K6" s="94">
        <v>4.0</v>
      </c>
      <c r="L6" s="17">
        <v>599.0</v>
      </c>
      <c r="M6" s="95">
        <v>22.5</v>
      </c>
      <c r="N6" s="48"/>
      <c r="O6" s="5" t="s">
        <v>1770</v>
      </c>
      <c r="P6" s="38">
        <v>33499.0</v>
      </c>
      <c r="Q6" s="54">
        <v>15624.96</v>
      </c>
      <c r="R6" s="48"/>
      <c r="S6" s="87" t="s">
        <v>1771</v>
      </c>
      <c r="T6" s="48"/>
      <c r="U6" s="5" t="s">
        <v>14</v>
      </c>
      <c r="W6" s="5" t="s">
        <v>134</v>
      </c>
      <c r="Y6" s="5" t="s">
        <v>1772</v>
      </c>
      <c r="AA6" s="5">
        <v>3.315684816E9</v>
      </c>
    </row>
    <row r="7">
      <c r="A7" s="48"/>
      <c r="B7" s="48"/>
      <c r="C7" s="48"/>
      <c r="D7" s="48"/>
      <c r="E7" s="48"/>
      <c r="F7" s="48"/>
      <c r="G7" s="48"/>
      <c r="H7" s="48"/>
      <c r="I7" s="48"/>
      <c r="J7" s="48"/>
      <c r="K7" s="94">
        <v>5.0</v>
      </c>
      <c r="L7" s="17">
        <v>649.0</v>
      </c>
      <c r="M7" s="95">
        <v>45.0</v>
      </c>
      <c r="N7" s="48"/>
      <c r="O7" s="5" t="s">
        <v>785</v>
      </c>
      <c r="P7" s="38">
        <v>15499.0</v>
      </c>
      <c r="Q7" s="17">
        <v>6250.08</v>
      </c>
      <c r="R7" s="48"/>
      <c r="S7" s="87" t="s">
        <v>1773</v>
      </c>
      <c r="T7" s="48"/>
      <c r="U7" s="5" t="s">
        <v>691</v>
      </c>
      <c r="W7" s="5" t="s">
        <v>160</v>
      </c>
      <c r="Y7" s="5" t="s">
        <v>355</v>
      </c>
      <c r="AA7" s="5">
        <v>3.316091328E9</v>
      </c>
    </row>
    <row r="8">
      <c r="A8" s="48"/>
      <c r="B8" s="48"/>
      <c r="C8" s="48"/>
      <c r="D8" s="48"/>
      <c r="E8" s="48"/>
      <c r="F8" s="48"/>
      <c r="G8" s="48"/>
      <c r="H8" s="48"/>
      <c r="I8" s="48"/>
      <c r="J8" s="48"/>
      <c r="K8" s="96"/>
      <c r="L8" s="97"/>
      <c r="M8" s="96"/>
      <c r="N8" s="48"/>
      <c r="O8" s="5" t="s">
        <v>773</v>
      </c>
      <c r="P8" s="38">
        <v>7499.0</v>
      </c>
      <c r="Q8" s="17">
        <v>2749.92</v>
      </c>
      <c r="R8" s="48"/>
      <c r="S8" s="87" t="s">
        <v>777</v>
      </c>
      <c r="T8" s="48"/>
      <c r="U8" s="5" t="s">
        <v>742</v>
      </c>
      <c r="W8" s="5" t="s">
        <v>186</v>
      </c>
      <c r="Y8" s="5" t="s">
        <v>370</v>
      </c>
      <c r="AA8" s="5">
        <v>3.316091879E9</v>
      </c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 t="s">
        <v>780</v>
      </c>
      <c r="P9" s="38">
        <v>10999.0</v>
      </c>
      <c r="Q9" s="17">
        <v>5303.670280373832</v>
      </c>
      <c r="R9" s="4"/>
      <c r="S9" s="4"/>
      <c r="T9" s="4"/>
      <c r="W9" s="5" t="s">
        <v>32</v>
      </c>
      <c r="Y9" s="5" t="s">
        <v>71</v>
      </c>
      <c r="AA9" s="5">
        <v>3.316092672E9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N10" s="4"/>
      <c r="O10" s="5" t="s">
        <v>942</v>
      </c>
      <c r="P10" s="38">
        <v>29999.0</v>
      </c>
      <c r="Q10" s="17">
        <v>17500.079999999998</v>
      </c>
      <c r="R10" s="4"/>
      <c r="S10" s="4"/>
      <c r="T10" s="4"/>
      <c r="W10" s="5" t="s">
        <v>195</v>
      </c>
      <c r="Y10" s="5" t="s">
        <v>304</v>
      </c>
      <c r="AA10" s="5">
        <v>3.316092786E9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N11" s="4"/>
      <c r="O11" s="24"/>
      <c r="P11" s="98"/>
      <c r="Q11" s="99"/>
      <c r="R11" s="4"/>
      <c r="S11" s="4"/>
      <c r="T11" s="4"/>
      <c r="W11" s="5" t="s">
        <v>212</v>
      </c>
      <c r="Y11" s="5" t="s">
        <v>89</v>
      </c>
      <c r="AA11" s="5">
        <v>3.31609388E9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N12" s="4"/>
      <c r="R12" s="4"/>
      <c r="S12" s="4"/>
      <c r="T12" s="4"/>
      <c r="W12" s="5" t="s">
        <v>219</v>
      </c>
      <c r="Y12" s="5" t="s">
        <v>442</v>
      </c>
      <c r="AA12" s="5">
        <v>3.316094471E9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N13" s="4"/>
      <c r="R13" s="4"/>
      <c r="S13" s="4"/>
      <c r="T13" s="4"/>
      <c r="W13" s="5" t="s">
        <v>483</v>
      </c>
      <c r="Y13" s="5" t="s">
        <v>174</v>
      </c>
      <c r="AA13" s="5">
        <v>3.316094916E9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N14" s="4"/>
      <c r="R14" s="4"/>
      <c r="S14" s="4"/>
      <c r="T14" s="4"/>
      <c r="W14" s="5" t="s">
        <v>225</v>
      </c>
      <c r="Y14" s="5" t="s">
        <v>127</v>
      </c>
      <c r="AA14" s="5">
        <v>3.316096709E9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R15" s="4"/>
      <c r="S15" s="4"/>
      <c r="T15" s="4"/>
      <c r="W15" s="5" t="s">
        <v>274</v>
      </c>
      <c r="Y15" s="5" t="s">
        <v>395</v>
      </c>
      <c r="AA15" s="5">
        <v>3.316097179E9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R16" s="4"/>
      <c r="S16" s="4"/>
      <c r="T16" s="4"/>
      <c r="W16" s="5" t="s">
        <v>295</v>
      </c>
      <c r="Y16" s="5" t="s">
        <v>33</v>
      </c>
      <c r="AA16" s="5">
        <v>3.316097328E9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R17" s="4"/>
      <c r="S17" s="4"/>
      <c r="T17" s="4"/>
      <c r="W17" s="5" t="s">
        <v>303</v>
      </c>
      <c r="Y17" s="5" t="s">
        <v>320</v>
      </c>
      <c r="AA17" s="5">
        <v>3.316097918E9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R18" s="4"/>
      <c r="S18" s="4"/>
      <c r="T18" s="4"/>
      <c r="W18" s="5" t="s">
        <v>323</v>
      </c>
      <c r="Y18" s="5" t="s">
        <v>187</v>
      </c>
      <c r="AA18" s="5">
        <v>3.316098052E9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R19" s="4"/>
      <c r="S19" s="4"/>
      <c r="T19" s="4"/>
      <c r="W19" s="5" t="s">
        <v>338</v>
      </c>
      <c r="Y19" s="5" t="s">
        <v>375</v>
      </c>
      <c r="AA19" s="5">
        <v>3.316098501E9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R20" s="4"/>
      <c r="S20" s="4"/>
      <c r="T20" s="4"/>
      <c r="W20" s="5" t="s">
        <v>344</v>
      </c>
      <c r="Y20" s="5" t="s">
        <v>491</v>
      </c>
      <c r="AA20" s="5">
        <v>3.316098529E9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00"/>
      <c r="P21" s="100"/>
      <c r="Q21" s="100"/>
      <c r="R21" s="4"/>
      <c r="S21" s="4"/>
      <c r="T21" s="4"/>
      <c r="W21" s="5" t="s">
        <v>385</v>
      </c>
      <c r="Y21" s="5" t="s">
        <v>460</v>
      </c>
      <c r="AA21" s="5">
        <v>3.316099062E9</v>
      </c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00"/>
      <c r="P22" s="100"/>
      <c r="Q22" s="100"/>
      <c r="R22" s="4"/>
      <c r="S22" s="4"/>
      <c r="T22" s="4"/>
      <c r="W22" s="5" t="s">
        <v>756</v>
      </c>
      <c r="Y22" s="5" t="s">
        <v>290</v>
      </c>
      <c r="AA22" s="5">
        <v>3.316106051E9</v>
      </c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00"/>
      <c r="P23" s="100"/>
      <c r="Q23" s="100"/>
      <c r="R23" s="4"/>
      <c r="S23" s="4"/>
      <c r="T23" s="4"/>
      <c r="W23" s="5" t="s">
        <v>441</v>
      </c>
      <c r="Y23" s="5" t="s">
        <v>180</v>
      </c>
      <c r="AA23" s="5">
        <v>3.316106113E9</v>
      </c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00"/>
      <c r="P24" s="100"/>
      <c r="Q24" s="100"/>
      <c r="R24" s="4"/>
      <c r="S24" s="4"/>
      <c r="T24" s="4"/>
      <c r="W24" s="5" t="s">
        <v>452</v>
      </c>
      <c r="Y24" s="5" t="s">
        <v>205</v>
      </c>
      <c r="AA24" s="5">
        <v>3.316106119E9</v>
      </c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00"/>
      <c r="P25" s="100"/>
      <c r="Q25" s="100"/>
      <c r="R25" s="4"/>
      <c r="S25" s="4"/>
      <c r="T25" s="4"/>
      <c r="W25" s="5" t="s">
        <v>459</v>
      </c>
      <c r="Y25" s="5" t="s">
        <v>436</v>
      </c>
      <c r="AA25" s="5">
        <v>3.316114768E9</v>
      </c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00"/>
      <c r="P26" s="100"/>
      <c r="Q26" s="100"/>
      <c r="R26" s="4"/>
      <c r="S26" s="4"/>
      <c r="T26" s="4"/>
      <c r="W26" s="101"/>
      <c r="Y26" s="5" t="s">
        <v>93</v>
      </c>
      <c r="AA26" s="5">
        <v>3.316117782E9</v>
      </c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00"/>
      <c r="P27" s="100"/>
      <c r="Q27" s="100"/>
      <c r="R27" s="4"/>
      <c r="S27" s="4"/>
      <c r="T27" s="4"/>
      <c r="Y27" s="5" t="s">
        <v>107</v>
      </c>
      <c r="AA27" s="5">
        <v>3.316118572E9</v>
      </c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00"/>
      <c r="P28" s="100"/>
      <c r="Q28" s="100"/>
      <c r="R28" s="4"/>
      <c r="S28" s="4"/>
      <c r="T28" s="4"/>
      <c r="Y28" s="5" t="s">
        <v>154</v>
      </c>
      <c r="AA28" s="5">
        <v>3.316129046E9</v>
      </c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00"/>
      <c r="P29" s="100"/>
      <c r="Q29" s="100"/>
      <c r="R29" s="4"/>
      <c r="S29" s="4"/>
      <c r="T29" s="4"/>
      <c r="Y29" s="5" t="s">
        <v>220</v>
      </c>
      <c r="AA29" s="5">
        <v>3.316132351E9</v>
      </c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00"/>
      <c r="P30" s="100"/>
      <c r="Q30" s="100"/>
      <c r="R30" s="4"/>
      <c r="S30" s="4"/>
      <c r="T30" s="4"/>
      <c r="Y30" s="5" t="s">
        <v>308</v>
      </c>
      <c r="AA30" s="5">
        <v>3.316133712E9</v>
      </c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00"/>
      <c r="P31" s="100"/>
      <c r="Q31" s="100"/>
      <c r="R31" s="4"/>
      <c r="S31" s="4"/>
      <c r="T31" s="4"/>
      <c r="Y31" s="5" t="s">
        <v>379</v>
      </c>
      <c r="AA31" s="5">
        <v>3.31613378E9</v>
      </c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00"/>
      <c r="P32" s="100"/>
      <c r="Q32" s="100"/>
      <c r="R32" s="4"/>
      <c r="S32" s="4"/>
      <c r="T32" s="4"/>
      <c r="Y32" s="5" t="s">
        <v>449</v>
      </c>
      <c r="AA32" s="5">
        <v>3.316135271E9</v>
      </c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00"/>
      <c r="P33" s="100"/>
      <c r="Q33" s="100"/>
      <c r="R33" s="4"/>
      <c r="S33" s="4"/>
      <c r="T33" s="4"/>
      <c r="Y33" s="5" t="s">
        <v>453</v>
      </c>
      <c r="AA33" s="5">
        <v>3.316135604E9</v>
      </c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00"/>
      <c r="P34" s="100"/>
      <c r="Q34" s="100"/>
      <c r="R34" s="4"/>
      <c r="S34" s="4"/>
      <c r="T34" s="4"/>
      <c r="Y34" s="5" t="s">
        <v>400</v>
      </c>
      <c r="AA34" s="5">
        <v>3.316135759E9</v>
      </c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00"/>
      <c r="P35" s="100"/>
      <c r="Q35" s="100"/>
      <c r="R35" s="4"/>
      <c r="S35" s="4"/>
      <c r="T35" s="4"/>
      <c r="Y35" s="5" t="s">
        <v>404</v>
      </c>
      <c r="AA35" s="5">
        <v>3.316137123E9</v>
      </c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00"/>
      <c r="P36" s="100"/>
      <c r="Q36" s="100"/>
      <c r="R36" s="4"/>
      <c r="S36" s="4"/>
      <c r="T36" s="4"/>
      <c r="Y36" s="5" t="s">
        <v>300</v>
      </c>
      <c r="AA36" s="5">
        <v>3.316142992E9</v>
      </c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00"/>
      <c r="P37" s="100"/>
      <c r="Q37" s="100"/>
      <c r="R37" s="4"/>
      <c r="S37" s="4"/>
      <c r="T37" s="4"/>
      <c r="Y37" s="5" t="s">
        <v>408</v>
      </c>
      <c r="AA37" s="5">
        <v>3.316147399E9</v>
      </c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100"/>
      <c r="P38" s="100"/>
      <c r="Q38" s="100"/>
      <c r="R38" s="4"/>
      <c r="S38" s="4"/>
      <c r="T38" s="4"/>
      <c r="Y38" s="5" t="s">
        <v>413</v>
      </c>
      <c r="AA38" s="5">
        <v>3.316156385E9</v>
      </c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00"/>
      <c r="P39" s="100"/>
      <c r="Q39" s="100"/>
      <c r="R39" s="4"/>
      <c r="S39" s="4"/>
      <c r="T39" s="4"/>
      <c r="Y39" s="5" t="s">
        <v>328</v>
      </c>
      <c r="AA39" s="5">
        <v>3.316158093E9</v>
      </c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100"/>
      <c r="P40" s="100"/>
      <c r="Q40" s="100"/>
      <c r="R40" s="4"/>
      <c r="S40" s="4"/>
      <c r="T40" s="4"/>
      <c r="Y40" s="5" t="s">
        <v>339</v>
      </c>
      <c r="AA40" s="5">
        <v>3.316160073E9</v>
      </c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100"/>
      <c r="P41" s="100"/>
      <c r="Q41" s="100"/>
      <c r="R41" s="4"/>
      <c r="S41" s="4"/>
      <c r="T41" s="4"/>
      <c r="Y41" s="5" t="s">
        <v>268</v>
      </c>
      <c r="AA41" s="5">
        <v>3.316172428E9</v>
      </c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100"/>
      <c r="P42" s="100"/>
      <c r="Q42" s="100"/>
      <c r="R42" s="4"/>
      <c r="S42" s="4"/>
      <c r="T42" s="4"/>
      <c r="Y42" s="5" t="s">
        <v>334</v>
      </c>
      <c r="AA42" s="5">
        <v>3.318218012E9</v>
      </c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100"/>
      <c r="P43" s="100"/>
      <c r="Q43" s="100"/>
      <c r="R43" s="4"/>
      <c r="S43" s="4"/>
      <c r="T43" s="4"/>
      <c r="Y43" s="5" t="s">
        <v>314</v>
      </c>
      <c r="AA43" s="5">
        <v>3.318621158E9</v>
      </c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100"/>
      <c r="P44" s="100"/>
      <c r="Q44" s="100"/>
      <c r="R44" s="4"/>
      <c r="S44" s="4"/>
      <c r="T44" s="4"/>
      <c r="Y44" s="5" t="s">
        <v>757</v>
      </c>
      <c r="AA44" s="5">
        <v>3.318629135E9</v>
      </c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100"/>
      <c r="P45" s="100"/>
      <c r="Q45" s="100"/>
      <c r="R45" s="4"/>
      <c r="S45" s="4"/>
      <c r="T45" s="4"/>
      <c r="Y45" s="5" t="s">
        <v>1774</v>
      </c>
      <c r="AA45" s="5">
        <v>3.318934914E9</v>
      </c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00"/>
      <c r="P46" s="100"/>
      <c r="Q46" s="100"/>
      <c r="R46" s="4"/>
      <c r="S46" s="4"/>
      <c r="T46" s="4"/>
      <c r="Y46" s="5" t="s">
        <v>418</v>
      </c>
      <c r="AA46" s="5">
        <v>3.321830554E9</v>
      </c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100"/>
      <c r="P47" s="100"/>
      <c r="Q47" s="100"/>
      <c r="R47" s="4"/>
      <c r="S47" s="4"/>
      <c r="T47" s="4"/>
      <c r="Y47" s="101" t="s">
        <v>318</v>
      </c>
      <c r="AA47" s="5">
        <v>3.321842313E9</v>
      </c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100"/>
      <c r="P48" s="100"/>
      <c r="Q48" s="100"/>
      <c r="R48" s="4"/>
      <c r="S48" s="4"/>
      <c r="T48" s="4"/>
      <c r="Y48" s="5" t="s">
        <v>113</v>
      </c>
      <c r="AA48" s="5">
        <v>3.328358335E9</v>
      </c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100"/>
      <c r="P49" s="100"/>
      <c r="Q49" s="100"/>
      <c r="R49" s="4"/>
      <c r="S49" s="4"/>
      <c r="T49" s="4"/>
      <c r="Y49" s="5" t="s">
        <v>213</v>
      </c>
      <c r="AA49" s="5">
        <v>3.331523332E9</v>
      </c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100"/>
      <c r="P50" s="100"/>
      <c r="Q50" s="100"/>
      <c r="R50" s="4"/>
      <c r="S50" s="4"/>
      <c r="T50" s="4"/>
      <c r="Y50" s="5" t="s">
        <v>756</v>
      </c>
      <c r="AA50" s="5">
        <v>3.33152505E9</v>
      </c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100"/>
      <c r="P51" s="100"/>
      <c r="Q51" s="100"/>
      <c r="R51" s="4"/>
      <c r="S51" s="4"/>
      <c r="T51" s="4"/>
      <c r="Y51" s="5" t="s">
        <v>97</v>
      </c>
      <c r="AA51" s="5">
        <v>3.337194504E9</v>
      </c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100"/>
      <c r="P52" s="100"/>
      <c r="Q52" s="100"/>
      <c r="R52" s="4"/>
      <c r="S52" s="4"/>
      <c r="T52" s="4"/>
      <c r="Y52" s="5" t="s">
        <v>430</v>
      </c>
      <c r="AA52" s="5">
        <v>3.337194505E9</v>
      </c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100"/>
      <c r="P53" s="100"/>
      <c r="Q53" s="100"/>
      <c r="R53" s="4"/>
      <c r="S53" s="4"/>
      <c r="T53" s="4"/>
      <c r="AA53" s="5">
        <v>3.337194517E9</v>
      </c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100"/>
      <c r="P54" s="100"/>
      <c r="Q54" s="100"/>
      <c r="R54" s="4"/>
      <c r="S54" s="4"/>
      <c r="T54" s="4"/>
      <c r="AA54" s="5">
        <v>3.338560241E9</v>
      </c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00"/>
      <c r="P55" s="100"/>
      <c r="Q55" s="100"/>
      <c r="R55" s="4"/>
      <c r="S55" s="4"/>
      <c r="T55" s="4"/>
      <c r="AA55" s="5">
        <v>3.338560382E9</v>
      </c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100"/>
      <c r="P56" s="100"/>
      <c r="Q56" s="100"/>
      <c r="R56" s="4"/>
      <c r="S56" s="4"/>
      <c r="T56" s="4"/>
      <c r="AA56" s="5">
        <v>3.338561078E9</v>
      </c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00"/>
      <c r="P57" s="100"/>
      <c r="Q57" s="100"/>
      <c r="R57" s="4"/>
      <c r="S57" s="4"/>
      <c r="T57" s="4"/>
      <c r="AA57" s="5">
        <v>3.339580163E9</v>
      </c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100"/>
      <c r="P58" s="100"/>
      <c r="Q58" s="100"/>
      <c r="R58" s="4"/>
      <c r="S58" s="4"/>
      <c r="T58" s="4"/>
      <c r="AA58" s="5">
        <v>3.481044349E9</v>
      </c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100"/>
      <c r="P59" s="100"/>
      <c r="Q59" s="100"/>
      <c r="R59" s="4"/>
      <c r="S59" s="4"/>
      <c r="T59" s="4"/>
      <c r="AA59" s="5">
        <v>3.481082366E9</v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00"/>
      <c r="P60" s="100"/>
      <c r="Q60" s="100"/>
      <c r="R60" s="4"/>
      <c r="S60" s="4"/>
      <c r="T60" s="4"/>
      <c r="AA60" s="5">
        <v>3.51111143E9</v>
      </c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100"/>
      <c r="P61" s="100"/>
      <c r="Q61" s="100"/>
      <c r="R61" s="4"/>
      <c r="S61" s="4"/>
      <c r="T61" s="4"/>
      <c r="AA61" s="5">
        <v>3.521250804E9</v>
      </c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100"/>
      <c r="P62" s="100"/>
      <c r="Q62" s="100"/>
      <c r="R62" s="4"/>
      <c r="S62" s="4"/>
      <c r="T62" s="4"/>
      <c r="AA62" s="5">
        <v>3.52138702E9</v>
      </c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100"/>
      <c r="P63" s="100"/>
      <c r="Q63" s="100"/>
      <c r="R63" s="4"/>
      <c r="S63" s="4"/>
      <c r="T63" s="4"/>
      <c r="AA63" s="5">
        <v>3.521399533E9</v>
      </c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100"/>
      <c r="P64" s="100"/>
      <c r="Q64" s="100"/>
      <c r="R64" s="4"/>
      <c r="S64" s="4"/>
      <c r="T64" s="4"/>
      <c r="AA64" s="5">
        <v>3.521420398E9</v>
      </c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00"/>
      <c r="P65" s="100"/>
      <c r="Q65" s="100"/>
      <c r="R65" s="4"/>
      <c r="S65" s="4"/>
      <c r="T65" s="4"/>
      <c r="AA65" s="5">
        <v>3.521421218E9</v>
      </c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100"/>
      <c r="P66" s="100"/>
      <c r="Q66" s="100"/>
      <c r="R66" s="4"/>
      <c r="S66" s="4"/>
      <c r="T66" s="4"/>
      <c r="AA66" s="5">
        <v>3.521423189E9</v>
      </c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00"/>
      <c r="P67" s="100"/>
      <c r="Q67" s="100"/>
      <c r="R67" s="4"/>
      <c r="S67" s="4"/>
      <c r="T67" s="4"/>
      <c r="AA67" s="5">
        <v>3.521471232E9</v>
      </c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100"/>
      <c r="P68" s="100"/>
      <c r="Q68" s="100"/>
      <c r="R68" s="4"/>
      <c r="S68" s="4"/>
      <c r="T68" s="4"/>
      <c r="AA68" s="5">
        <v>3.521949987E9</v>
      </c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100"/>
      <c r="P69" s="100"/>
      <c r="Q69" s="100"/>
      <c r="R69" s="4"/>
      <c r="S69" s="4"/>
      <c r="T69" s="4"/>
      <c r="AA69" s="5">
        <v>3.522060309E9</v>
      </c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100"/>
      <c r="P70" s="100"/>
      <c r="Q70" s="100"/>
      <c r="R70" s="4"/>
      <c r="S70" s="4"/>
      <c r="T70" s="4"/>
      <c r="AA70" s="5">
        <v>3.781155312E9</v>
      </c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100"/>
      <c r="P71" s="100"/>
      <c r="Q71" s="100"/>
      <c r="R71" s="4"/>
      <c r="S71" s="4"/>
      <c r="T71" s="4"/>
      <c r="AA71" s="5">
        <v>3.781868857E9</v>
      </c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100"/>
      <c r="P72" s="100"/>
      <c r="Q72" s="100"/>
      <c r="R72" s="4"/>
      <c r="S72" s="4"/>
      <c r="T72" s="4"/>
      <c r="AA72" s="5">
        <v>3.781868858E9</v>
      </c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100"/>
      <c r="P73" s="100"/>
      <c r="Q73" s="100"/>
      <c r="R73" s="4"/>
      <c r="S73" s="4"/>
      <c r="T73" s="4"/>
      <c r="AA73" s="5">
        <v>3.781868859E9</v>
      </c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100"/>
      <c r="P74" s="100"/>
      <c r="Q74" s="100"/>
      <c r="R74" s="4"/>
      <c r="S74" s="4"/>
      <c r="T74" s="4"/>
      <c r="AA74" s="5">
        <v>3.78186886E9</v>
      </c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100"/>
      <c r="P75" s="100"/>
      <c r="Q75" s="100"/>
      <c r="R75" s="4"/>
      <c r="S75" s="4"/>
      <c r="T75" s="4"/>
      <c r="AA75" s="5">
        <v>3.781868861E9</v>
      </c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100"/>
      <c r="P76" s="100"/>
      <c r="Q76" s="100"/>
      <c r="R76" s="4"/>
      <c r="S76" s="4"/>
      <c r="T76" s="4"/>
      <c r="AA76" s="5">
        <v>3.781868862E9</v>
      </c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100"/>
      <c r="P77" s="100"/>
      <c r="Q77" s="100"/>
      <c r="R77" s="4"/>
      <c r="S77" s="4"/>
      <c r="T77" s="4"/>
      <c r="AA77" s="5">
        <v>3.781868863E9</v>
      </c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100"/>
      <c r="P78" s="100"/>
      <c r="Q78" s="100"/>
      <c r="R78" s="4"/>
      <c r="S78" s="4"/>
      <c r="T78" s="4"/>
      <c r="AA78" s="5">
        <v>3.781868864E9</v>
      </c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100"/>
      <c r="P79" s="100"/>
      <c r="Q79" s="100"/>
      <c r="R79" s="4"/>
      <c r="S79" s="4"/>
      <c r="T79" s="4"/>
      <c r="AA79" s="5">
        <v>3.911035841E9</v>
      </c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100"/>
      <c r="P80" s="100"/>
      <c r="Q80" s="100"/>
      <c r="R80" s="4"/>
      <c r="S80" s="4"/>
      <c r="T80" s="4"/>
      <c r="AA80" s="5">
        <v>3.911039008E9</v>
      </c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00"/>
      <c r="P81" s="100"/>
      <c r="Q81" s="100"/>
      <c r="R81" s="4"/>
      <c r="S81" s="4"/>
      <c r="T81" s="4"/>
      <c r="AA81" s="5">
        <v>3.91125726E9</v>
      </c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100"/>
      <c r="P82" s="100"/>
      <c r="Q82" s="100"/>
      <c r="R82" s="4"/>
      <c r="S82" s="4"/>
      <c r="T82" s="4"/>
      <c r="AA82" s="5">
        <v>3.911257736E9</v>
      </c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100"/>
      <c r="P83" s="100"/>
      <c r="Q83" s="100"/>
      <c r="R83" s="4"/>
      <c r="S83" s="4"/>
      <c r="T83" s="4"/>
      <c r="AA83" s="5">
        <v>3.911750242E9</v>
      </c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100"/>
      <c r="P84" s="100"/>
      <c r="Q84" s="100"/>
      <c r="R84" s="4"/>
      <c r="S84" s="4"/>
      <c r="T84" s="4"/>
      <c r="AA84" s="5">
        <v>3.921006351E9</v>
      </c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100"/>
      <c r="P85" s="100"/>
      <c r="Q85" s="100"/>
      <c r="R85" s="4"/>
      <c r="S85" s="4"/>
      <c r="T85" s="4"/>
      <c r="AA85" s="5">
        <v>3.921057608E9</v>
      </c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100"/>
      <c r="P86" s="100"/>
      <c r="Q86" s="100"/>
      <c r="R86" s="4"/>
      <c r="S86" s="4"/>
      <c r="T86" s="4"/>
      <c r="AA86" s="5">
        <v>3.921237762E9</v>
      </c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100"/>
      <c r="P87" s="100"/>
      <c r="Q87" s="100"/>
      <c r="R87" s="4"/>
      <c r="S87" s="4"/>
      <c r="T87" s="4"/>
      <c r="AA87" s="5">
        <v>3.921368208E9</v>
      </c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100"/>
      <c r="P88" s="100"/>
      <c r="Q88" s="100"/>
      <c r="R88" s="4"/>
      <c r="S88" s="4"/>
      <c r="T88" s="4"/>
      <c r="AA88" s="5">
        <v>3.921368749E9</v>
      </c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100"/>
      <c r="P89" s="100"/>
      <c r="Q89" s="100"/>
      <c r="R89" s="4"/>
      <c r="S89" s="4"/>
      <c r="T89" s="4"/>
      <c r="AA89" s="23">
        <v>3.921369057E9</v>
      </c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100"/>
      <c r="P90" s="100"/>
      <c r="Q90" s="100"/>
      <c r="R90" s="4"/>
      <c r="S90" s="4"/>
      <c r="T90" s="4"/>
      <c r="AA90" s="5">
        <v>3.921580546E9</v>
      </c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100"/>
      <c r="P91" s="100"/>
      <c r="Q91" s="100"/>
      <c r="R91" s="4"/>
      <c r="S91" s="4"/>
      <c r="T91" s="4"/>
      <c r="AA91" s="5">
        <v>3.931001237E9</v>
      </c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100"/>
      <c r="P92" s="100"/>
      <c r="Q92" s="100"/>
      <c r="R92" s="4"/>
      <c r="S92" s="4"/>
      <c r="T92" s="4"/>
      <c r="AA92" s="5">
        <v>3.93100134E9</v>
      </c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100"/>
      <c r="P93" s="100"/>
      <c r="Q93" s="100"/>
      <c r="R93" s="4"/>
      <c r="S93" s="4"/>
      <c r="T93" s="4"/>
      <c r="AA93" s="5">
        <v>3.93100141E9</v>
      </c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100"/>
      <c r="P94" s="100"/>
      <c r="Q94" s="100"/>
      <c r="R94" s="4"/>
      <c r="S94" s="4"/>
      <c r="T94" s="4"/>
      <c r="AA94" s="5">
        <v>3.931001477E9</v>
      </c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100"/>
      <c r="P95" s="100"/>
      <c r="Q95" s="100"/>
      <c r="R95" s="4"/>
      <c r="S95" s="4"/>
      <c r="T95" s="4"/>
      <c r="AA95" s="5">
        <v>3.931001479E9</v>
      </c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100"/>
      <c r="P96" s="100"/>
      <c r="Q96" s="100"/>
      <c r="R96" s="4"/>
      <c r="S96" s="4"/>
      <c r="T96" s="4"/>
      <c r="AA96" s="5">
        <v>3.93104207E9</v>
      </c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100"/>
      <c r="P97" s="100"/>
      <c r="Q97" s="100"/>
      <c r="R97" s="4"/>
      <c r="S97" s="4"/>
      <c r="T97" s="4"/>
      <c r="AA97" s="5">
        <v>3.931042365E9</v>
      </c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100"/>
      <c r="P98" s="100"/>
      <c r="Q98" s="100"/>
      <c r="R98" s="4"/>
      <c r="S98" s="4"/>
      <c r="T98" s="4"/>
      <c r="AA98" s="5">
        <v>3.931042392E9</v>
      </c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100"/>
      <c r="P99" s="100"/>
      <c r="Q99" s="100"/>
      <c r="R99" s="4"/>
      <c r="S99" s="4"/>
      <c r="T99" s="4"/>
      <c r="AA99" s="5">
        <v>3.931042394E9</v>
      </c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100"/>
      <c r="P100" s="100"/>
      <c r="Q100" s="100"/>
      <c r="R100" s="4"/>
      <c r="S100" s="4"/>
      <c r="T100" s="4"/>
      <c r="AA100" s="5">
        <v>3.931047948E9</v>
      </c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100"/>
      <c r="P101" s="100"/>
      <c r="Q101" s="100"/>
      <c r="R101" s="4"/>
      <c r="S101" s="4"/>
      <c r="T101" s="4"/>
      <c r="AA101" s="5">
        <v>3.93106444E9</v>
      </c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100"/>
      <c r="P102" s="100"/>
      <c r="Q102" s="100"/>
      <c r="R102" s="4"/>
      <c r="S102" s="4"/>
      <c r="T102" s="4"/>
      <c r="AA102" s="5">
        <v>3.931073664E9</v>
      </c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100"/>
      <c r="P103" s="100"/>
      <c r="Q103" s="100"/>
      <c r="R103" s="4"/>
      <c r="S103" s="4"/>
      <c r="T103" s="4"/>
      <c r="AA103" s="5">
        <v>3.931073736E9</v>
      </c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100"/>
      <c r="P104" s="100"/>
      <c r="Q104" s="100"/>
      <c r="R104" s="4"/>
      <c r="S104" s="4"/>
      <c r="T104" s="4"/>
      <c r="AA104" s="5">
        <v>3.931073856E9</v>
      </c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100"/>
      <c r="P105" s="100"/>
      <c r="Q105" s="100"/>
      <c r="R105" s="4"/>
      <c r="S105" s="4"/>
      <c r="T105" s="4"/>
      <c r="AA105" s="5">
        <v>3.931073857E9</v>
      </c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100"/>
      <c r="P106" s="100"/>
      <c r="Q106" s="100"/>
      <c r="R106" s="4"/>
      <c r="S106" s="4"/>
      <c r="T106" s="4"/>
      <c r="AA106" s="5">
        <v>3.931078005E9</v>
      </c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00"/>
      <c r="P107" s="100"/>
      <c r="Q107" s="100"/>
      <c r="R107" s="4"/>
      <c r="S107" s="4"/>
      <c r="T107" s="4"/>
      <c r="AA107" s="5">
        <v>3.931078006E9</v>
      </c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100"/>
      <c r="P108" s="100"/>
      <c r="Q108" s="100"/>
      <c r="R108" s="4"/>
      <c r="S108" s="4"/>
      <c r="T108" s="4"/>
      <c r="AA108" s="5">
        <v>3.931078067E9</v>
      </c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00"/>
      <c r="P109" s="100"/>
      <c r="Q109" s="100"/>
      <c r="R109" s="4"/>
      <c r="S109" s="4"/>
      <c r="T109" s="4"/>
      <c r="AA109" s="5">
        <v>3.931079811E9</v>
      </c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00"/>
      <c r="P110" s="100"/>
      <c r="Q110" s="100"/>
      <c r="R110" s="4"/>
      <c r="S110" s="4"/>
      <c r="T110" s="4"/>
      <c r="AA110" s="5">
        <v>3.931079956E9</v>
      </c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00"/>
      <c r="P111" s="100"/>
      <c r="Q111" s="100"/>
      <c r="R111" s="4"/>
      <c r="S111" s="4"/>
      <c r="T111" s="4"/>
      <c r="AA111" s="5">
        <v>3.931079959E9</v>
      </c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00"/>
      <c r="P112" s="100"/>
      <c r="Q112" s="100"/>
      <c r="R112" s="4"/>
      <c r="S112" s="4"/>
      <c r="T112" s="4"/>
      <c r="AA112" s="5">
        <v>3.93107996E9</v>
      </c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00"/>
      <c r="P113" s="100"/>
      <c r="Q113" s="100"/>
      <c r="R113" s="4"/>
      <c r="S113" s="4"/>
      <c r="T113" s="4"/>
      <c r="AA113" s="5">
        <v>3.931090656E9</v>
      </c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00"/>
      <c r="P114" s="100"/>
      <c r="Q114" s="100"/>
      <c r="R114" s="4"/>
      <c r="S114" s="4"/>
      <c r="T114" s="4"/>
      <c r="AA114" s="5">
        <v>3.931091335E9</v>
      </c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00"/>
      <c r="P115" s="100"/>
      <c r="Q115" s="100"/>
      <c r="R115" s="4"/>
      <c r="S115" s="4"/>
      <c r="T115" s="4"/>
      <c r="AA115" s="5">
        <v>3.931099049E9</v>
      </c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00"/>
      <c r="P116" s="100"/>
      <c r="Q116" s="100"/>
      <c r="R116" s="4"/>
      <c r="S116" s="4"/>
      <c r="T116" s="4"/>
      <c r="AA116" s="5">
        <v>3.931171122E9</v>
      </c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00"/>
      <c r="P117" s="100"/>
      <c r="Q117" s="100"/>
      <c r="R117" s="4"/>
      <c r="S117" s="4"/>
      <c r="T117" s="4"/>
      <c r="AA117" s="5">
        <v>3.93117983E9</v>
      </c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00"/>
      <c r="P118" s="100"/>
      <c r="Q118" s="100"/>
      <c r="R118" s="4"/>
      <c r="S118" s="4"/>
      <c r="T118" s="4"/>
      <c r="AA118" s="5">
        <v>3.931190074E9</v>
      </c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00"/>
      <c r="P119" s="100"/>
      <c r="Q119" s="100"/>
      <c r="R119" s="4"/>
      <c r="S119" s="4"/>
      <c r="T119" s="4"/>
      <c r="AA119" s="5">
        <v>3.93119008E9</v>
      </c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00"/>
      <c r="P120" s="100"/>
      <c r="Q120" s="100"/>
      <c r="R120" s="4"/>
      <c r="S120" s="4"/>
      <c r="T120" s="4"/>
      <c r="AA120" s="5">
        <v>3.931190222E9</v>
      </c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100"/>
      <c r="P121" s="100"/>
      <c r="Q121" s="100"/>
      <c r="R121" s="4"/>
      <c r="S121" s="4"/>
      <c r="T121" s="4"/>
      <c r="AA121" s="5">
        <v>3.931190252E9</v>
      </c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100"/>
      <c r="P122" s="100"/>
      <c r="Q122" s="100"/>
      <c r="R122" s="4"/>
      <c r="S122" s="4"/>
      <c r="T122" s="4"/>
      <c r="AA122" s="5">
        <v>3.931190275E9</v>
      </c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100"/>
      <c r="P123" s="100"/>
      <c r="Q123" s="100"/>
      <c r="R123" s="4"/>
      <c r="S123" s="4"/>
      <c r="T123" s="4"/>
      <c r="AA123" s="5">
        <v>3.931190277E9</v>
      </c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100"/>
      <c r="P124" s="100"/>
      <c r="Q124" s="100"/>
      <c r="R124" s="4"/>
      <c r="S124" s="4"/>
      <c r="T124" s="4"/>
      <c r="AA124" s="5">
        <v>3.931196086E9</v>
      </c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100"/>
      <c r="P125" s="100"/>
      <c r="Q125" s="100"/>
      <c r="R125" s="4"/>
      <c r="S125" s="4"/>
      <c r="T125" s="4"/>
      <c r="AA125" s="5">
        <v>3.931196087E9</v>
      </c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100"/>
      <c r="P126" s="100"/>
      <c r="Q126" s="100"/>
      <c r="R126" s="4"/>
      <c r="S126" s="4"/>
      <c r="T126" s="4"/>
      <c r="AA126" s="5">
        <v>3.931196103E9</v>
      </c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100"/>
      <c r="P127" s="100"/>
      <c r="Q127" s="100"/>
      <c r="R127" s="4"/>
      <c r="S127" s="4"/>
      <c r="T127" s="4"/>
      <c r="AA127" s="5">
        <v>3.931196104E9</v>
      </c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100"/>
      <c r="P128" s="100"/>
      <c r="Q128" s="100"/>
      <c r="R128" s="4"/>
      <c r="S128" s="4"/>
      <c r="T128" s="4"/>
      <c r="AA128" s="5">
        <v>3.93119646E9</v>
      </c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100"/>
      <c r="P129" s="100"/>
      <c r="Q129" s="100"/>
      <c r="R129" s="4"/>
      <c r="S129" s="4"/>
      <c r="T129" s="4"/>
      <c r="AA129" s="5">
        <v>3.93119711E9</v>
      </c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100"/>
      <c r="P130" s="100"/>
      <c r="Q130" s="100"/>
      <c r="R130" s="4"/>
      <c r="S130" s="4"/>
      <c r="T130" s="4"/>
      <c r="AA130" s="5">
        <v>3.931205198E9</v>
      </c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100"/>
      <c r="P131" s="100"/>
      <c r="Q131" s="100"/>
      <c r="R131" s="4"/>
      <c r="S131" s="4"/>
      <c r="T131" s="4"/>
      <c r="AA131" s="5">
        <v>3.931245167E9</v>
      </c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100"/>
      <c r="P132" s="100"/>
      <c r="Q132" s="100"/>
      <c r="R132" s="4"/>
      <c r="S132" s="4"/>
      <c r="T132" s="4"/>
      <c r="AA132" s="5">
        <v>3.931245173E9</v>
      </c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100"/>
      <c r="P133" s="100"/>
      <c r="Q133" s="100"/>
      <c r="R133" s="4"/>
      <c r="S133" s="4"/>
      <c r="T133" s="4"/>
      <c r="AA133" s="5">
        <v>3.931245174E9</v>
      </c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00"/>
      <c r="P134" s="100"/>
      <c r="Q134" s="100"/>
      <c r="R134" s="4"/>
      <c r="S134" s="4"/>
      <c r="T134" s="4"/>
      <c r="AA134" s="5">
        <v>3.931245176E9</v>
      </c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100"/>
      <c r="P135" s="100"/>
      <c r="Q135" s="100"/>
      <c r="R135" s="4"/>
      <c r="S135" s="4"/>
      <c r="T135" s="4"/>
      <c r="AA135" s="5">
        <v>3.931245254E9</v>
      </c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100"/>
      <c r="P136" s="100"/>
      <c r="Q136" s="100"/>
      <c r="R136" s="4"/>
      <c r="S136" s="4"/>
      <c r="T136" s="4"/>
      <c r="AA136" s="5">
        <v>3.931245288E9</v>
      </c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100"/>
      <c r="P137" s="100"/>
      <c r="Q137" s="100"/>
      <c r="R137" s="4"/>
      <c r="S137" s="4"/>
      <c r="T137" s="4"/>
      <c r="AA137" s="5">
        <v>3.931583046E9</v>
      </c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100"/>
      <c r="P138" s="100"/>
      <c r="Q138" s="100"/>
      <c r="R138" s="4"/>
      <c r="S138" s="4"/>
      <c r="T138" s="4"/>
      <c r="AA138" s="5">
        <v>3.9315832E9</v>
      </c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100"/>
      <c r="P139" s="100"/>
      <c r="Q139" s="100"/>
      <c r="R139" s="4"/>
      <c r="S139" s="4"/>
      <c r="T139" s="4"/>
      <c r="AA139" s="5">
        <v>3.931583232E9</v>
      </c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100"/>
      <c r="P140" s="100"/>
      <c r="Q140" s="100"/>
      <c r="R140" s="4"/>
      <c r="S140" s="4"/>
      <c r="T140" s="4"/>
      <c r="AA140" s="5">
        <v>3.931583234E9</v>
      </c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100"/>
      <c r="P141" s="100"/>
      <c r="Q141" s="100"/>
      <c r="R141" s="4"/>
      <c r="S141" s="4"/>
      <c r="T141" s="4"/>
      <c r="AA141" s="5">
        <v>3.931583367E9</v>
      </c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100"/>
      <c r="P142" s="100"/>
      <c r="Q142" s="100"/>
      <c r="R142" s="4"/>
      <c r="S142" s="4"/>
      <c r="T142" s="4"/>
      <c r="AA142" s="5">
        <v>3.939332335E9</v>
      </c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100"/>
      <c r="P143" s="100"/>
      <c r="Q143" s="100"/>
      <c r="R143" s="4"/>
      <c r="S143" s="4"/>
      <c r="T143" s="4"/>
      <c r="AA143" s="5">
        <v>3.939336334E9</v>
      </c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100"/>
      <c r="P144" s="100"/>
      <c r="Q144" s="100"/>
      <c r="R144" s="4"/>
      <c r="S144" s="4"/>
      <c r="T144" s="4"/>
      <c r="AA144" s="5">
        <v>3.939366538E9</v>
      </c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100"/>
      <c r="P145" s="100"/>
      <c r="Q145" s="100"/>
      <c r="R145" s="4"/>
      <c r="S145" s="4"/>
      <c r="T145" s="4"/>
      <c r="AA145" s="5">
        <v>3.939382471E9</v>
      </c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100"/>
      <c r="P146" s="100"/>
      <c r="Q146" s="100"/>
      <c r="R146" s="4"/>
      <c r="S146" s="4"/>
      <c r="T146" s="4"/>
      <c r="AA146" s="5">
        <v>3.939385641E9</v>
      </c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100"/>
      <c r="P147" s="100"/>
      <c r="Q147" s="100"/>
      <c r="R147" s="4"/>
      <c r="S147" s="4"/>
      <c r="T147" s="4"/>
      <c r="AA147" s="5">
        <v>3.951198072E9</v>
      </c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100"/>
      <c r="P148" s="100"/>
      <c r="Q148" s="100"/>
      <c r="R148" s="4"/>
      <c r="S148" s="4"/>
      <c r="T148" s="4"/>
      <c r="AA148" s="5">
        <v>3.951428204E9</v>
      </c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100"/>
      <c r="P149" s="100"/>
      <c r="Q149" s="100"/>
      <c r="R149" s="4"/>
      <c r="S149" s="4"/>
      <c r="T149" s="4"/>
      <c r="AA149" s="5">
        <v>3.952680842E9</v>
      </c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100"/>
      <c r="P150" s="100"/>
      <c r="Q150" s="100"/>
      <c r="R150" s="4"/>
      <c r="S150" s="4"/>
      <c r="T150" s="4"/>
      <c r="AA150" s="5">
        <v>4.431281396E9</v>
      </c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100"/>
      <c r="P151" s="100"/>
      <c r="Q151" s="100"/>
      <c r="R151" s="4"/>
      <c r="S151" s="4"/>
      <c r="T151" s="4"/>
      <c r="AA151" s="5">
        <v>4.431358405E9</v>
      </c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100"/>
      <c r="P152" s="100"/>
      <c r="Q152" s="100"/>
      <c r="R152" s="4"/>
      <c r="S152" s="4"/>
      <c r="T152" s="4"/>
      <c r="AA152" s="5">
        <v>4.431415536E9</v>
      </c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100"/>
      <c r="P153" s="100"/>
      <c r="Q153" s="100"/>
      <c r="R153" s="4"/>
      <c r="S153" s="4"/>
      <c r="T153" s="4"/>
      <c r="AA153" s="5">
        <v>4.431677121E9</v>
      </c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100"/>
      <c r="P154" s="100"/>
      <c r="Q154" s="100"/>
      <c r="R154" s="4"/>
      <c r="S154" s="4"/>
      <c r="T154" s="4"/>
      <c r="AA154" s="5">
        <v>4.432078351E9</v>
      </c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100"/>
      <c r="P155" s="100"/>
      <c r="Q155" s="100"/>
      <c r="R155" s="4"/>
      <c r="S155" s="4"/>
      <c r="T155" s="4"/>
      <c r="AA155" s="5">
        <v>4.432276388E9</v>
      </c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100"/>
      <c r="P156" s="100"/>
      <c r="Q156" s="100"/>
      <c r="R156" s="4"/>
      <c r="S156" s="4"/>
      <c r="T156" s="4"/>
      <c r="AA156" s="5">
        <v>4.43264681E9</v>
      </c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100"/>
      <c r="P157" s="100"/>
      <c r="Q157" s="100"/>
      <c r="R157" s="4"/>
      <c r="S157" s="4"/>
      <c r="T157" s="4"/>
      <c r="AA157" s="5">
        <v>4.432725034E9</v>
      </c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100"/>
      <c r="P158" s="100"/>
      <c r="Q158" s="100"/>
      <c r="R158" s="4"/>
      <c r="S158" s="4"/>
      <c r="T158" s="4"/>
      <c r="AA158" s="5">
        <v>4.433031171E9</v>
      </c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100"/>
      <c r="P159" s="100"/>
      <c r="Q159" s="100"/>
      <c r="R159" s="4"/>
      <c r="S159" s="4"/>
      <c r="T159" s="4"/>
      <c r="AA159" s="5">
        <v>4.433765288E9</v>
      </c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100"/>
      <c r="P160" s="100"/>
      <c r="Q160" s="100"/>
      <c r="R160" s="4"/>
      <c r="S160" s="4"/>
      <c r="T160" s="4"/>
      <c r="AA160" s="5">
        <v>4.434108329E9</v>
      </c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100"/>
      <c r="P161" s="100"/>
      <c r="Q161" s="100"/>
      <c r="R161" s="4"/>
      <c r="S161" s="4"/>
      <c r="T161" s="4"/>
      <c r="AA161" s="5">
        <v>4.434108665E9</v>
      </c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100"/>
      <c r="P162" s="100"/>
      <c r="Q162" s="100"/>
      <c r="R162" s="4"/>
      <c r="S162" s="4"/>
      <c r="T162" s="4"/>
      <c r="AA162" s="5">
        <v>4.434913907E9</v>
      </c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100"/>
      <c r="P163" s="100"/>
      <c r="Q163" s="100"/>
      <c r="R163" s="4"/>
      <c r="S163" s="4"/>
      <c r="T163" s="4"/>
      <c r="AA163" s="5">
        <v>4.434913911E9</v>
      </c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100"/>
      <c r="P164" s="100"/>
      <c r="Q164" s="100"/>
      <c r="R164" s="4"/>
      <c r="S164" s="4"/>
      <c r="T164" s="4"/>
      <c r="AA164" s="5">
        <v>4.434913913E9</v>
      </c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100"/>
      <c r="P165" s="100"/>
      <c r="Q165" s="100"/>
      <c r="R165" s="4"/>
      <c r="S165" s="4"/>
      <c r="T165" s="4"/>
      <c r="AA165" s="5">
        <v>4.434913915E9</v>
      </c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100"/>
      <c r="P166" s="100"/>
      <c r="Q166" s="100"/>
      <c r="R166" s="4"/>
      <c r="S166" s="4"/>
      <c r="T166" s="4"/>
      <c r="AA166" s="5">
        <v>4.691214431E9</v>
      </c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100"/>
      <c r="P167" s="100"/>
      <c r="Q167" s="100"/>
      <c r="R167" s="4"/>
      <c r="S167" s="4"/>
      <c r="T167" s="4"/>
      <c r="AA167" s="5">
        <v>4.691214464E9</v>
      </c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100"/>
      <c r="P168" s="100"/>
      <c r="Q168" s="100"/>
      <c r="R168" s="4"/>
      <c r="S168" s="4"/>
      <c r="T168" s="4"/>
      <c r="AA168" s="5">
        <v>4.691215361E9</v>
      </c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100"/>
      <c r="P169" s="100"/>
      <c r="Q169" s="100"/>
      <c r="R169" s="4"/>
      <c r="S169" s="4"/>
      <c r="T169" s="4"/>
      <c r="AA169" s="5">
        <v>4.691215969E9</v>
      </c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100"/>
      <c r="P170" s="100"/>
      <c r="Q170" s="100"/>
      <c r="R170" s="4"/>
      <c r="S170" s="4"/>
      <c r="T170" s="4"/>
      <c r="AA170" s="5">
        <v>4.696211513E9</v>
      </c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100"/>
      <c r="P171" s="100"/>
      <c r="Q171" s="100"/>
      <c r="R171" s="4"/>
      <c r="S171" s="4"/>
      <c r="T171" s="4"/>
      <c r="AA171" s="5">
        <v>7.531153361E9</v>
      </c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100"/>
      <c r="P172" s="100"/>
      <c r="Q172" s="100"/>
      <c r="R172" s="4"/>
      <c r="S172" s="4"/>
      <c r="T172" s="4"/>
      <c r="AA172" s="5">
        <v>7.531200508E9</v>
      </c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100"/>
      <c r="P173" s="100"/>
      <c r="Q173" s="100"/>
      <c r="R173" s="4"/>
      <c r="S173" s="4"/>
      <c r="T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100"/>
      <c r="P174" s="100"/>
      <c r="Q174" s="100"/>
      <c r="R174" s="4"/>
      <c r="S174" s="4"/>
      <c r="T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100"/>
      <c r="P175" s="100"/>
      <c r="Q175" s="100"/>
      <c r="R175" s="4"/>
      <c r="S175" s="4"/>
      <c r="T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100"/>
      <c r="P176" s="100"/>
      <c r="Q176" s="100"/>
      <c r="R176" s="4"/>
      <c r="S176" s="4"/>
      <c r="T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100"/>
      <c r="P177" s="100"/>
      <c r="Q177" s="100"/>
      <c r="R177" s="4"/>
      <c r="S177" s="4"/>
      <c r="T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100"/>
      <c r="P178" s="100"/>
      <c r="Q178" s="100"/>
      <c r="R178" s="4"/>
      <c r="S178" s="4"/>
      <c r="T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100"/>
      <c r="P179" s="100"/>
      <c r="Q179" s="100"/>
      <c r="R179" s="4"/>
      <c r="S179" s="4"/>
      <c r="T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100"/>
      <c r="P180" s="100"/>
      <c r="Q180" s="100"/>
      <c r="R180" s="4"/>
      <c r="S180" s="4"/>
      <c r="T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100"/>
      <c r="P181" s="100"/>
      <c r="Q181" s="100"/>
      <c r="R181" s="4"/>
      <c r="S181" s="4"/>
      <c r="T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100"/>
      <c r="P182" s="100"/>
      <c r="Q182" s="100"/>
      <c r="R182" s="4"/>
      <c r="S182" s="4"/>
      <c r="T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100"/>
      <c r="P183" s="100"/>
      <c r="Q183" s="100"/>
      <c r="R183" s="4"/>
      <c r="S183" s="4"/>
      <c r="T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100"/>
      <c r="P184" s="100"/>
      <c r="Q184" s="100"/>
      <c r="R184" s="4"/>
      <c r="S184" s="4"/>
      <c r="T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100"/>
      <c r="P185" s="100"/>
      <c r="Q185" s="100"/>
      <c r="R185" s="4"/>
      <c r="S185" s="4"/>
      <c r="T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100"/>
      <c r="P186" s="100"/>
      <c r="Q186" s="100"/>
      <c r="R186" s="4"/>
      <c r="S186" s="4"/>
      <c r="T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100"/>
      <c r="P187" s="100"/>
      <c r="Q187" s="100"/>
      <c r="R187" s="4"/>
      <c r="S187" s="4"/>
      <c r="T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100"/>
      <c r="P188" s="100"/>
      <c r="Q188" s="100"/>
      <c r="R188" s="4"/>
      <c r="S188" s="4"/>
      <c r="T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100"/>
      <c r="P189" s="100"/>
      <c r="Q189" s="100"/>
      <c r="R189" s="4"/>
      <c r="S189" s="4"/>
      <c r="T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100"/>
      <c r="P190" s="100"/>
      <c r="Q190" s="100"/>
      <c r="R190" s="4"/>
      <c r="S190" s="4"/>
      <c r="T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100"/>
      <c r="P191" s="100"/>
      <c r="Q191" s="100"/>
      <c r="R191" s="4"/>
      <c r="S191" s="4"/>
      <c r="T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100"/>
      <c r="P192" s="100"/>
      <c r="Q192" s="100"/>
      <c r="R192" s="4"/>
      <c r="S192" s="4"/>
      <c r="T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100"/>
      <c r="P193" s="100"/>
      <c r="Q193" s="100"/>
      <c r="R193" s="4"/>
      <c r="S193" s="4"/>
      <c r="T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100"/>
      <c r="P194" s="100"/>
      <c r="Q194" s="100"/>
      <c r="R194" s="4"/>
      <c r="S194" s="4"/>
      <c r="T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100"/>
      <c r="P195" s="100"/>
      <c r="Q195" s="100"/>
      <c r="R195" s="4"/>
      <c r="S195" s="4"/>
      <c r="T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100"/>
      <c r="P196" s="100"/>
      <c r="Q196" s="100"/>
      <c r="R196" s="4"/>
      <c r="S196" s="4"/>
      <c r="T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100"/>
      <c r="P197" s="100"/>
      <c r="Q197" s="100"/>
      <c r="R197" s="4"/>
      <c r="S197" s="4"/>
      <c r="T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100"/>
      <c r="P198" s="100"/>
      <c r="Q198" s="100"/>
      <c r="R198" s="4"/>
      <c r="S198" s="4"/>
      <c r="T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100"/>
      <c r="P199" s="100"/>
      <c r="Q199" s="100"/>
      <c r="R199" s="4"/>
      <c r="S199" s="4"/>
      <c r="T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100"/>
      <c r="P200" s="100"/>
      <c r="Q200" s="100"/>
      <c r="R200" s="4"/>
      <c r="S200" s="4"/>
      <c r="T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100"/>
      <c r="P201" s="100"/>
      <c r="Q201" s="100"/>
      <c r="R201" s="4"/>
      <c r="S201" s="4"/>
      <c r="T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100"/>
      <c r="P202" s="100"/>
      <c r="Q202" s="100"/>
      <c r="R202" s="4"/>
      <c r="S202" s="4"/>
      <c r="T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100"/>
      <c r="P203" s="100"/>
      <c r="Q203" s="100"/>
      <c r="R203" s="4"/>
      <c r="S203" s="4"/>
      <c r="T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100"/>
      <c r="P204" s="100"/>
      <c r="Q204" s="100"/>
      <c r="R204" s="4"/>
      <c r="S204" s="4"/>
      <c r="T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100"/>
      <c r="P205" s="100"/>
      <c r="Q205" s="100"/>
      <c r="R205" s="4"/>
      <c r="S205" s="4"/>
      <c r="T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100"/>
      <c r="P206" s="100"/>
      <c r="Q206" s="100"/>
      <c r="R206" s="4"/>
      <c r="S206" s="4"/>
      <c r="T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100"/>
      <c r="P207" s="100"/>
      <c r="Q207" s="100"/>
      <c r="R207" s="4"/>
      <c r="S207" s="4"/>
      <c r="T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100"/>
      <c r="P208" s="100"/>
      <c r="Q208" s="100"/>
      <c r="R208" s="4"/>
      <c r="S208" s="4"/>
      <c r="T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100"/>
      <c r="P209" s="100"/>
      <c r="Q209" s="100"/>
      <c r="R209" s="4"/>
      <c r="S209" s="4"/>
      <c r="T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100"/>
      <c r="P210" s="100"/>
      <c r="Q210" s="100"/>
      <c r="R210" s="4"/>
      <c r="S210" s="4"/>
      <c r="T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100"/>
      <c r="P211" s="100"/>
      <c r="Q211" s="100"/>
      <c r="R211" s="4"/>
      <c r="S211" s="4"/>
      <c r="T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100"/>
      <c r="P212" s="100"/>
      <c r="Q212" s="100"/>
      <c r="R212" s="4"/>
      <c r="S212" s="4"/>
      <c r="T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100"/>
      <c r="P213" s="100"/>
      <c r="Q213" s="100"/>
      <c r="R213" s="4"/>
      <c r="S213" s="4"/>
      <c r="T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100"/>
      <c r="P214" s="100"/>
      <c r="Q214" s="100"/>
      <c r="R214" s="4"/>
      <c r="S214" s="4"/>
      <c r="T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100"/>
      <c r="P215" s="100"/>
      <c r="Q215" s="100"/>
      <c r="R215" s="4"/>
      <c r="S215" s="4"/>
      <c r="T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100"/>
      <c r="P216" s="100"/>
      <c r="Q216" s="100"/>
      <c r="R216" s="4"/>
      <c r="S216" s="4"/>
      <c r="T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100"/>
      <c r="P217" s="100"/>
      <c r="Q217" s="100"/>
      <c r="R217" s="4"/>
      <c r="S217" s="4"/>
      <c r="T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100"/>
      <c r="P218" s="100"/>
      <c r="Q218" s="100"/>
      <c r="R218" s="4"/>
      <c r="S218" s="4"/>
      <c r="T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100"/>
      <c r="P219" s="100"/>
      <c r="Q219" s="100"/>
      <c r="R219" s="4"/>
      <c r="S219" s="4"/>
      <c r="T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100"/>
      <c r="P220" s="100"/>
      <c r="Q220" s="100"/>
      <c r="R220" s="4"/>
      <c r="S220" s="4"/>
      <c r="T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100"/>
      <c r="P221" s="100"/>
      <c r="Q221" s="100"/>
      <c r="R221" s="4"/>
      <c r="S221" s="4"/>
      <c r="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100"/>
      <c r="P222" s="100"/>
      <c r="Q222" s="100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100"/>
      <c r="P223" s="100"/>
      <c r="Q223" s="100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100"/>
      <c r="P224" s="100"/>
      <c r="Q224" s="100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100"/>
      <c r="P225" s="100"/>
      <c r="Q225" s="100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100"/>
      <c r="P226" s="100"/>
      <c r="Q226" s="100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100"/>
      <c r="P227" s="100"/>
      <c r="Q227" s="100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100"/>
      <c r="P228" s="100"/>
      <c r="Q228" s="100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100"/>
      <c r="P229" s="100"/>
      <c r="Q229" s="100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100"/>
      <c r="P230" s="100"/>
      <c r="Q230" s="100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100"/>
      <c r="P231" s="100"/>
      <c r="Q231" s="100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100"/>
      <c r="P232" s="100"/>
      <c r="Q232" s="100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100"/>
      <c r="P233" s="100"/>
      <c r="Q233" s="100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100"/>
      <c r="P234" s="100"/>
      <c r="Q234" s="100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100"/>
      <c r="P235" s="100"/>
      <c r="Q235" s="100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100"/>
      <c r="P236" s="100"/>
      <c r="Q236" s="100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100"/>
      <c r="P237" s="100"/>
      <c r="Q237" s="100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100"/>
      <c r="P238" s="100"/>
      <c r="Q238" s="100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100"/>
      <c r="P239" s="100"/>
      <c r="Q239" s="100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100"/>
      <c r="P240" s="100"/>
      <c r="Q240" s="100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100"/>
      <c r="P241" s="100"/>
      <c r="Q241" s="100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100"/>
      <c r="P242" s="100"/>
      <c r="Q242" s="100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100"/>
      <c r="P243" s="100"/>
      <c r="Q243" s="100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100"/>
      <c r="P244" s="100"/>
      <c r="Q244" s="100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100"/>
      <c r="P245" s="100"/>
      <c r="Q245" s="100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100"/>
      <c r="P246" s="100"/>
      <c r="Q246" s="100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100"/>
      <c r="P247" s="100"/>
      <c r="Q247" s="100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100"/>
      <c r="P248" s="100"/>
      <c r="Q248" s="100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100"/>
      <c r="P249" s="100"/>
      <c r="Q249" s="100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100"/>
      <c r="P250" s="100"/>
      <c r="Q250" s="100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100"/>
      <c r="P251" s="100"/>
      <c r="Q251" s="100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100"/>
      <c r="P252" s="100"/>
      <c r="Q252" s="100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100"/>
      <c r="P253" s="100"/>
      <c r="Q253" s="100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100"/>
      <c r="P254" s="100"/>
      <c r="Q254" s="100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100"/>
      <c r="P255" s="100"/>
      <c r="Q255" s="100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100"/>
      <c r="P256" s="100"/>
      <c r="Q256" s="100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100"/>
      <c r="P257" s="100"/>
      <c r="Q257" s="100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100"/>
      <c r="P258" s="100"/>
      <c r="Q258" s="100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100"/>
      <c r="P259" s="100"/>
      <c r="Q259" s="100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100"/>
      <c r="P260" s="100"/>
      <c r="Q260" s="100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100"/>
      <c r="P261" s="100"/>
      <c r="Q261" s="100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100"/>
      <c r="P262" s="100"/>
      <c r="Q262" s="100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100"/>
      <c r="P263" s="100"/>
      <c r="Q263" s="100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100"/>
      <c r="P264" s="100"/>
      <c r="Q264" s="100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100"/>
      <c r="P265" s="100"/>
      <c r="Q265" s="100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100"/>
      <c r="P266" s="100"/>
      <c r="Q266" s="100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100"/>
      <c r="P267" s="100"/>
      <c r="Q267" s="100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100"/>
      <c r="P268" s="100"/>
      <c r="Q268" s="100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100"/>
      <c r="P269" s="100"/>
      <c r="Q269" s="100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100"/>
      <c r="P270" s="100"/>
      <c r="Q270" s="100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100"/>
      <c r="P271" s="100"/>
      <c r="Q271" s="100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100"/>
      <c r="P272" s="100"/>
      <c r="Q272" s="100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100"/>
      <c r="P273" s="100"/>
      <c r="Q273" s="100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100"/>
      <c r="P274" s="100"/>
      <c r="Q274" s="100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100"/>
      <c r="P275" s="100"/>
      <c r="Q275" s="100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100"/>
      <c r="P276" s="100"/>
      <c r="Q276" s="100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100"/>
      <c r="P277" s="100"/>
      <c r="Q277" s="100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100"/>
      <c r="P278" s="100"/>
      <c r="Q278" s="100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100"/>
      <c r="P279" s="100"/>
      <c r="Q279" s="100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100"/>
      <c r="P280" s="100"/>
      <c r="Q280" s="100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100"/>
      <c r="P281" s="100"/>
      <c r="Q281" s="100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100"/>
      <c r="P282" s="100"/>
      <c r="Q282" s="100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100"/>
      <c r="P283" s="100"/>
      <c r="Q283" s="100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100"/>
      <c r="P284" s="100"/>
      <c r="Q284" s="100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100"/>
      <c r="P285" s="100"/>
      <c r="Q285" s="100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100"/>
      <c r="P286" s="100"/>
      <c r="Q286" s="100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100"/>
      <c r="P287" s="100"/>
      <c r="Q287" s="100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100"/>
      <c r="P288" s="100"/>
      <c r="Q288" s="100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100"/>
      <c r="P289" s="100"/>
      <c r="Q289" s="100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100"/>
      <c r="P290" s="100"/>
      <c r="Q290" s="100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100"/>
      <c r="P291" s="100"/>
      <c r="Q291" s="100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100"/>
      <c r="P292" s="100"/>
      <c r="Q292" s="100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100"/>
      <c r="P293" s="100"/>
      <c r="Q293" s="100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100"/>
      <c r="P294" s="100"/>
      <c r="Q294" s="100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100"/>
      <c r="P295" s="100"/>
      <c r="Q295" s="100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100"/>
      <c r="P296" s="100"/>
      <c r="Q296" s="100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100"/>
      <c r="P297" s="100"/>
      <c r="Q297" s="100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100"/>
      <c r="P298" s="100"/>
      <c r="Q298" s="100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100"/>
      <c r="P299" s="100"/>
      <c r="Q299" s="100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100"/>
      <c r="P300" s="100"/>
      <c r="Q300" s="100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100"/>
      <c r="P301" s="100"/>
      <c r="Q301" s="100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100"/>
      <c r="P302" s="100"/>
      <c r="Q302" s="100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100"/>
      <c r="P303" s="100"/>
      <c r="Q303" s="100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100"/>
      <c r="P304" s="100"/>
      <c r="Q304" s="100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100"/>
      <c r="P305" s="100"/>
      <c r="Q305" s="100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100"/>
      <c r="P306" s="100"/>
      <c r="Q306" s="100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100"/>
      <c r="P307" s="100"/>
      <c r="Q307" s="100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100"/>
      <c r="P308" s="100"/>
      <c r="Q308" s="100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100"/>
      <c r="P309" s="100"/>
      <c r="Q309" s="100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100"/>
      <c r="P310" s="100"/>
      <c r="Q310" s="100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100"/>
      <c r="P311" s="100"/>
      <c r="Q311" s="100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100"/>
      <c r="P312" s="100"/>
      <c r="Q312" s="100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100"/>
      <c r="P313" s="100"/>
      <c r="Q313" s="100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100"/>
      <c r="P314" s="100"/>
      <c r="Q314" s="100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100"/>
      <c r="P315" s="100"/>
      <c r="Q315" s="100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100"/>
      <c r="P316" s="100"/>
      <c r="Q316" s="100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100"/>
      <c r="P317" s="100"/>
      <c r="Q317" s="100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100"/>
      <c r="P318" s="100"/>
      <c r="Q318" s="100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100"/>
      <c r="P319" s="100"/>
      <c r="Q319" s="100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100"/>
      <c r="P320" s="100"/>
      <c r="Q320" s="100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100"/>
      <c r="P321" s="100"/>
      <c r="Q321" s="100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100"/>
      <c r="P322" s="100"/>
      <c r="Q322" s="100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100"/>
      <c r="P323" s="100"/>
      <c r="Q323" s="100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100"/>
      <c r="P324" s="100"/>
      <c r="Q324" s="100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100"/>
      <c r="P325" s="100"/>
      <c r="Q325" s="100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100"/>
      <c r="P326" s="100"/>
      <c r="Q326" s="100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100"/>
      <c r="P327" s="100"/>
      <c r="Q327" s="100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100"/>
      <c r="P328" s="100"/>
      <c r="Q328" s="100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100"/>
      <c r="P329" s="100"/>
      <c r="Q329" s="100"/>
      <c r="R329" s="4"/>
      <c r="S329" s="4"/>
      <c r="T329" s="4"/>
    </row>
    <row r="330" ht="15.75" customHeight="1">
      <c r="O330" s="100"/>
      <c r="P330" s="100"/>
      <c r="Q330" s="100"/>
    </row>
    <row r="331" ht="15.75" customHeight="1">
      <c r="O331" s="100"/>
      <c r="P331" s="100"/>
      <c r="Q331" s="100"/>
    </row>
    <row r="332" ht="15.75" customHeight="1">
      <c r="O332" s="100"/>
      <c r="P332" s="100"/>
      <c r="Q332" s="100"/>
    </row>
    <row r="333" ht="15.75" customHeight="1">
      <c r="O333" s="100"/>
      <c r="P333" s="100"/>
      <c r="Q333" s="100"/>
    </row>
    <row r="334" ht="15.75" customHeight="1">
      <c r="O334" s="100"/>
      <c r="P334" s="100"/>
      <c r="Q334" s="100"/>
    </row>
    <row r="335" ht="15.75" customHeight="1">
      <c r="O335" s="100"/>
      <c r="P335" s="100"/>
      <c r="Q335" s="100"/>
    </row>
    <row r="336" ht="15.75" customHeight="1">
      <c r="O336" s="100"/>
      <c r="P336" s="100"/>
      <c r="Q336" s="100"/>
    </row>
    <row r="337" ht="15.75" customHeight="1">
      <c r="O337" s="100"/>
      <c r="P337" s="100"/>
      <c r="Q337" s="100"/>
    </row>
    <row r="338" ht="15.75" customHeight="1">
      <c r="O338" s="100"/>
      <c r="P338" s="100"/>
      <c r="Q338" s="100"/>
    </row>
    <row r="339" ht="15.75" customHeight="1">
      <c r="O339" s="100"/>
      <c r="P339" s="100"/>
      <c r="Q339" s="100"/>
    </row>
    <row r="340" ht="15.75" customHeight="1">
      <c r="O340" s="100"/>
      <c r="P340" s="100"/>
      <c r="Q340" s="100"/>
    </row>
    <row r="341" ht="15.75" customHeight="1">
      <c r="O341" s="100"/>
      <c r="P341" s="100"/>
      <c r="Q341" s="100"/>
    </row>
    <row r="342" ht="15.75" customHeight="1">
      <c r="O342" s="100"/>
      <c r="P342" s="100"/>
      <c r="Q342" s="100"/>
    </row>
    <row r="343" ht="15.75" customHeight="1">
      <c r="O343" s="100"/>
      <c r="P343" s="100"/>
      <c r="Q343" s="100"/>
    </row>
    <row r="344" ht="15.75" customHeight="1">
      <c r="O344" s="100"/>
      <c r="P344" s="100"/>
      <c r="Q344" s="100"/>
    </row>
    <row r="345" ht="15.75" customHeight="1">
      <c r="O345" s="100"/>
      <c r="P345" s="100"/>
      <c r="Q345" s="100"/>
    </row>
    <row r="346" ht="15.75" customHeight="1">
      <c r="O346" s="100"/>
      <c r="P346" s="100"/>
      <c r="Q346" s="100"/>
    </row>
    <row r="347" ht="15.75" customHeight="1">
      <c r="O347" s="100"/>
      <c r="P347" s="100"/>
      <c r="Q347" s="100"/>
    </row>
    <row r="348" ht="15.75" customHeight="1">
      <c r="O348" s="100"/>
      <c r="P348" s="100"/>
      <c r="Q348" s="100"/>
    </row>
    <row r="349" ht="15.75" customHeight="1">
      <c r="O349" s="100"/>
      <c r="P349" s="100"/>
      <c r="Q349" s="100"/>
    </row>
    <row r="350" ht="15.75" customHeight="1">
      <c r="O350" s="100"/>
      <c r="P350" s="100"/>
      <c r="Q350" s="100"/>
    </row>
    <row r="351" ht="15.75" customHeight="1">
      <c r="O351" s="100"/>
      <c r="P351" s="100"/>
      <c r="Q351" s="100"/>
    </row>
    <row r="352" ht="15.75" customHeight="1">
      <c r="O352" s="100"/>
      <c r="P352" s="100"/>
      <c r="Q352" s="100"/>
    </row>
    <row r="353" ht="15.75" customHeight="1">
      <c r="O353" s="100"/>
      <c r="P353" s="100"/>
      <c r="Q353" s="100"/>
    </row>
    <row r="354" ht="15.75" customHeight="1">
      <c r="O354" s="100"/>
      <c r="P354" s="100"/>
      <c r="Q354" s="100"/>
    </row>
    <row r="355" ht="15.75" customHeight="1">
      <c r="O355" s="100"/>
      <c r="P355" s="100"/>
      <c r="Q355" s="100"/>
    </row>
    <row r="356" ht="15.75" customHeight="1">
      <c r="O356" s="100"/>
      <c r="P356" s="100"/>
      <c r="Q356" s="100"/>
    </row>
    <row r="357" ht="15.75" customHeight="1">
      <c r="O357" s="100"/>
      <c r="P357" s="100"/>
      <c r="Q357" s="100"/>
    </row>
    <row r="358" ht="15.75" customHeight="1">
      <c r="O358" s="100"/>
      <c r="P358" s="100"/>
      <c r="Q358" s="100"/>
    </row>
    <row r="359" ht="15.75" customHeight="1">
      <c r="O359" s="100"/>
      <c r="P359" s="100"/>
      <c r="Q359" s="100"/>
    </row>
    <row r="360" ht="15.75" customHeight="1">
      <c r="O360" s="100"/>
      <c r="P360" s="100"/>
      <c r="Q360" s="100"/>
    </row>
    <row r="361" ht="15.75" customHeight="1">
      <c r="O361" s="100"/>
      <c r="P361" s="100"/>
      <c r="Q361" s="100"/>
    </row>
    <row r="362" ht="15.75" customHeight="1">
      <c r="O362" s="100"/>
      <c r="P362" s="100"/>
      <c r="Q362" s="100"/>
    </row>
    <row r="363" ht="15.75" customHeight="1">
      <c r="O363" s="100"/>
      <c r="P363" s="100"/>
      <c r="Q363" s="100"/>
    </row>
    <row r="364" ht="15.75" customHeight="1">
      <c r="O364" s="100"/>
      <c r="P364" s="100"/>
      <c r="Q364" s="100"/>
    </row>
    <row r="365" ht="15.75" customHeight="1">
      <c r="O365" s="100"/>
      <c r="P365" s="100"/>
      <c r="Q365" s="100"/>
    </row>
    <row r="366" ht="15.75" customHeight="1">
      <c r="O366" s="100"/>
      <c r="P366" s="100"/>
      <c r="Q366" s="100"/>
    </row>
    <row r="367" ht="15.75" customHeight="1">
      <c r="O367" s="100"/>
      <c r="P367" s="100"/>
      <c r="Q367" s="100"/>
    </row>
    <row r="368" ht="15.75" customHeight="1">
      <c r="O368" s="100"/>
      <c r="P368" s="100"/>
      <c r="Q368" s="100"/>
    </row>
    <row r="369" ht="15.75" customHeight="1">
      <c r="O369" s="100"/>
      <c r="P369" s="100"/>
      <c r="Q369" s="100"/>
    </row>
    <row r="370" ht="15.75" customHeight="1">
      <c r="O370" s="100"/>
      <c r="P370" s="100"/>
      <c r="Q370" s="100"/>
    </row>
    <row r="371" ht="15.75" customHeight="1">
      <c r="O371" s="100"/>
      <c r="P371" s="100"/>
      <c r="Q371" s="100"/>
    </row>
    <row r="372" ht="15.75" customHeight="1">
      <c r="O372" s="100"/>
      <c r="P372" s="100"/>
      <c r="Q372" s="100"/>
    </row>
    <row r="373" ht="15.75" customHeight="1">
      <c r="O373" s="100"/>
      <c r="P373" s="100"/>
      <c r="Q373" s="100"/>
    </row>
    <row r="374" ht="15.75" customHeight="1">
      <c r="O374" s="100"/>
      <c r="P374" s="100"/>
      <c r="Q374" s="100"/>
    </row>
    <row r="375" ht="15.75" customHeight="1">
      <c r="O375" s="100"/>
      <c r="P375" s="100"/>
      <c r="Q375" s="100"/>
    </row>
    <row r="376" ht="15.75" customHeight="1">
      <c r="O376" s="100"/>
      <c r="P376" s="100"/>
      <c r="Q376" s="100"/>
    </row>
    <row r="377" ht="15.75" customHeight="1">
      <c r="O377" s="100"/>
      <c r="P377" s="100"/>
      <c r="Q377" s="100"/>
    </row>
    <row r="378" ht="15.75" customHeight="1">
      <c r="O378" s="100"/>
      <c r="P378" s="100"/>
      <c r="Q378" s="100"/>
    </row>
    <row r="379" ht="15.75" customHeight="1">
      <c r="O379" s="100"/>
      <c r="P379" s="100"/>
      <c r="Q379" s="100"/>
    </row>
    <row r="380" ht="15.75" customHeight="1">
      <c r="O380" s="100"/>
      <c r="P380" s="100"/>
      <c r="Q380" s="100"/>
    </row>
    <row r="381" ht="15.75" customHeight="1">
      <c r="O381" s="100"/>
      <c r="P381" s="100"/>
      <c r="Q381" s="100"/>
    </row>
    <row r="382" ht="15.75" customHeight="1">
      <c r="O382" s="100"/>
      <c r="P382" s="100"/>
      <c r="Q382" s="100"/>
    </row>
    <row r="383" ht="15.75" customHeight="1">
      <c r="O383" s="100"/>
      <c r="P383" s="100"/>
      <c r="Q383" s="100"/>
    </row>
    <row r="384" ht="15.75" customHeight="1">
      <c r="O384" s="100"/>
      <c r="P384" s="100"/>
      <c r="Q384" s="100"/>
    </row>
    <row r="385" ht="15.75" customHeight="1">
      <c r="O385" s="100"/>
      <c r="P385" s="100"/>
      <c r="Q385" s="100"/>
    </row>
    <row r="386" ht="15.75" customHeight="1">
      <c r="O386" s="100"/>
      <c r="P386" s="100"/>
      <c r="Q386" s="100"/>
    </row>
    <row r="387" ht="15.75" customHeight="1">
      <c r="O387" s="100"/>
      <c r="P387" s="100"/>
      <c r="Q387" s="100"/>
    </row>
    <row r="388" ht="15.75" customHeight="1">
      <c r="O388" s="100"/>
      <c r="P388" s="100"/>
      <c r="Q388" s="100"/>
    </row>
    <row r="389" ht="15.75" customHeight="1">
      <c r="O389" s="100"/>
      <c r="P389" s="100"/>
      <c r="Q389" s="100"/>
    </row>
    <row r="390" ht="15.75" customHeight="1">
      <c r="O390" s="100"/>
      <c r="P390" s="100"/>
      <c r="Q390" s="100"/>
    </row>
    <row r="391" ht="15.75" customHeight="1">
      <c r="O391" s="100"/>
      <c r="P391" s="100"/>
      <c r="Q391" s="100"/>
    </row>
    <row r="392" ht="15.75" customHeight="1">
      <c r="O392" s="100"/>
      <c r="P392" s="100"/>
      <c r="Q392" s="100"/>
    </row>
    <row r="393" ht="15.75" customHeight="1">
      <c r="O393" s="100"/>
      <c r="P393" s="100"/>
      <c r="Q393" s="100"/>
    </row>
    <row r="394" ht="15.75" customHeight="1">
      <c r="O394" s="100"/>
      <c r="P394" s="100"/>
      <c r="Q394" s="100"/>
    </row>
    <row r="395" ht="15.75" customHeight="1">
      <c r="O395" s="100"/>
      <c r="P395" s="100"/>
      <c r="Q395" s="100"/>
    </row>
    <row r="396" ht="15.75" customHeight="1">
      <c r="O396" s="100"/>
      <c r="P396" s="100"/>
      <c r="Q396" s="100"/>
    </row>
    <row r="397" ht="15.75" customHeight="1">
      <c r="O397" s="100"/>
      <c r="P397" s="100"/>
      <c r="Q397" s="100"/>
    </row>
    <row r="398" ht="15.75" customHeight="1">
      <c r="O398" s="100"/>
      <c r="P398" s="100"/>
      <c r="Q398" s="100"/>
    </row>
    <row r="399" ht="15.75" customHeight="1">
      <c r="O399" s="100"/>
      <c r="P399" s="100"/>
      <c r="Q399" s="100"/>
    </row>
    <row r="400" ht="15.75" customHeight="1">
      <c r="O400" s="100"/>
      <c r="P400" s="100"/>
      <c r="Q400" s="100"/>
    </row>
    <row r="401" ht="15.75" customHeight="1">
      <c r="O401" s="100"/>
      <c r="P401" s="100"/>
      <c r="Q401" s="100"/>
    </row>
    <row r="402" ht="15.75" customHeight="1">
      <c r="O402" s="100"/>
      <c r="P402" s="100"/>
      <c r="Q402" s="100"/>
    </row>
    <row r="403" ht="15.75" customHeight="1">
      <c r="O403" s="100"/>
      <c r="P403" s="100"/>
      <c r="Q403" s="100"/>
    </row>
    <row r="404" ht="15.75" customHeight="1">
      <c r="O404" s="100"/>
      <c r="P404" s="100"/>
      <c r="Q404" s="100"/>
    </row>
    <row r="405" ht="15.75" customHeight="1">
      <c r="O405" s="100"/>
      <c r="P405" s="100"/>
      <c r="Q405" s="100"/>
    </row>
    <row r="406" ht="15.75" customHeight="1">
      <c r="O406" s="100"/>
      <c r="P406" s="100"/>
      <c r="Q406" s="100"/>
    </row>
    <row r="407" ht="15.75" customHeight="1">
      <c r="O407" s="100"/>
      <c r="P407" s="100"/>
      <c r="Q407" s="100"/>
    </row>
    <row r="408" ht="15.75" customHeight="1">
      <c r="O408" s="100"/>
      <c r="P408" s="100"/>
      <c r="Q408" s="100"/>
    </row>
    <row r="409" ht="15.75" customHeight="1">
      <c r="O409" s="100"/>
      <c r="P409" s="100"/>
      <c r="Q409" s="100"/>
    </row>
    <row r="410" ht="15.75" customHeight="1">
      <c r="O410" s="100"/>
      <c r="P410" s="100"/>
      <c r="Q410" s="100"/>
    </row>
    <row r="411" ht="15.75" customHeight="1">
      <c r="O411" s="100"/>
      <c r="P411" s="100"/>
      <c r="Q411" s="100"/>
    </row>
    <row r="412" ht="15.75" customHeight="1">
      <c r="O412" s="100"/>
      <c r="P412" s="100"/>
      <c r="Q412" s="100"/>
    </row>
    <row r="413" ht="15.75" customHeight="1">
      <c r="O413" s="100"/>
      <c r="P413" s="100"/>
      <c r="Q413" s="100"/>
    </row>
    <row r="414" ht="15.75" customHeight="1">
      <c r="O414" s="100"/>
      <c r="P414" s="100"/>
      <c r="Q414" s="100"/>
    </row>
    <row r="415" ht="15.75" customHeight="1">
      <c r="O415" s="100"/>
      <c r="P415" s="100"/>
      <c r="Q415" s="100"/>
    </row>
    <row r="416" ht="15.75" customHeight="1">
      <c r="O416" s="100"/>
      <c r="P416" s="100"/>
      <c r="Q416" s="100"/>
    </row>
    <row r="417" ht="15.75" customHeight="1">
      <c r="O417" s="100"/>
      <c r="P417" s="100"/>
      <c r="Q417" s="100"/>
    </row>
    <row r="418" ht="15.75" customHeight="1">
      <c r="O418" s="100"/>
      <c r="P418" s="100"/>
      <c r="Q418" s="100"/>
    </row>
    <row r="419" ht="15.75" customHeight="1">
      <c r="O419" s="100"/>
      <c r="P419" s="100"/>
      <c r="Q419" s="100"/>
    </row>
    <row r="420" ht="15.75" customHeight="1">
      <c r="O420" s="100"/>
      <c r="P420" s="100"/>
      <c r="Q420" s="100"/>
    </row>
    <row r="421" ht="15.75" customHeight="1">
      <c r="O421" s="100"/>
      <c r="P421" s="100"/>
      <c r="Q421" s="100"/>
    </row>
    <row r="422" ht="15.75" customHeight="1">
      <c r="O422" s="100"/>
      <c r="P422" s="100"/>
      <c r="Q422" s="100"/>
    </row>
    <row r="423" ht="15.75" customHeight="1">
      <c r="O423" s="100"/>
      <c r="P423" s="100"/>
      <c r="Q423" s="100"/>
    </row>
    <row r="424" ht="15.75" customHeight="1">
      <c r="O424" s="100"/>
      <c r="P424" s="100"/>
      <c r="Q424" s="100"/>
    </row>
    <row r="425" ht="15.75" customHeight="1">
      <c r="O425" s="100"/>
      <c r="P425" s="100"/>
      <c r="Q425" s="100"/>
    </row>
    <row r="426" ht="15.75" customHeight="1">
      <c r="O426" s="100"/>
      <c r="P426" s="100"/>
      <c r="Q426" s="100"/>
    </row>
    <row r="427" ht="15.75" customHeight="1">
      <c r="O427" s="100"/>
      <c r="P427" s="100"/>
      <c r="Q427" s="100"/>
    </row>
    <row r="428" ht="15.75" customHeight="1">
      <c r="O428" s="100"/>
      <c r="P428" s="100"/>
      <c r="Q428" s="100"/>
    </row>
    <row r="429" ht="15.75" customHeight="1">
      <c r="O429" s="100"/>
      <c r="P429" s="100"/>
      <c r="Q429" s="100"/>
    </row>
    <row r="430" ht="15.75" customHeight="1">
      <c r="O430" s="100"/>
      <c r="P430" s="100"/>
      <c r="Q430" s="100"/>
    </row>
    <row r="431" ht="15.75" customHeight="1">
      <c r="O431" s="100"/>
      <c r="P431" s="100"/>
      <c r="Q431" s="100"/>
    </row>
    <row r="432" ht="15.75" customHeight="1">
      <c r="O432" s="100"/>
      <c r="P432" s="100"/>
      <c r="Q432" s="100"/>
    </row>
    <row r="433" ht="15.75" customHeight="1">
      <c r="O433" s="100"/>
      <c r="P433" s="100"/>
      <c r="Q433" s="100"/>
    </row>
    <row r="434" ht="15.75" customHeight="1">
      <c r="O434" s="100"/>
      <c r="P434" s="100"/>
      <c r="Q434" s="100"/>
    </row>
    <row r="435" ht="15.75" customHeight="1">
      <c r="O435" s="100"/>
      <c r="P435" s="100"/>
      <c r="Q435" s="100"/>
    </row>
    <row r="436" ht="15.75" customHeight="1">
      <c r="O436" s="100"/>
      <c r="P436" s="100"/>
      <c r="Q436" s="100"/>
    </row>
    <row r="437" ht="15.75" customHeight="1">
      <c r="O437" s="100"/>
      <c r="P437" s="100"/>
      <c r="Q437" s="100"/>
    </row>
    <row r="438" ht="15.75" customHeight="1">
      <c r="O438" s="100"/>
      <c r="P438" s="100"/>
      <c r="Q438" s="100"/>
    </row>
    <row r="439" ht="15.75" customHeight="1">
      <c r="O439" s="100"/>
      <c r="P439" s="100"/>
      <c r="Q439" s="100"/>
    </row>
    <row r="440" ht="15.75" customHeight="1">
      <c r="O440" s="100"/>
      <c r="P440" s="100"/>
      <c r="Q440" s="100"/>
    </row>
    <row r="441" ht="15.75" customHeight="1">
      <c r="O441" s="100"/>
      <c r="P441" s="100"/>
      <c r="Q441" s="100"/>
    </row>
    <row r="442" ht="15.75" customHeight="1">
      <c r="O442" s="100"/>
      <c r="P442" s="100"/>
      <c r="Q442" s="100"/>
    </row>
    <row r="443" ht="15.75" customHeight="1">
      <c r="O443" s="100"/>
      <c r="P443" s="100"/>
      <c r="Q443" s="100"/>
    </row>
    <row r="444" ht="15.75" customHeight="1">
      <c r="O444" s="100"/>
      <c r="P444" s="100"/>
      <c r="Q444" s="100"/>
    </row>
    <row r="445" ht="15.75" customHeight="1">
      <c r="O445" s="100"/>
      <c r="P445" s="100"/>
      <c r="Q445" s="100"/>
    </row>
    <row r="446" ht="15.75" customHeight="1">
      <c r="O446" s="100"/>
      <c r="P446" s="100"/>
      <c r="Q446" s="100"/>
    </row>
    <row r="447" ht="15.75" customHeight="1">
      <c r="O447" s="100"/>
      <c r="P447" s="100"/>
      <c r="Q447" s="100"/>
    </row>
    <row r="448" ht="15.75" customHeight="1">
      <c r="O448" s="100"/>
      <c r="P448" s="100"/>
      <c r="Q448" s="100"/>
    </row>
    <row r="449" ht="15.75" customHeight="1">
      <c r="O449" s="100"/>
      <c r="P449" s="100"/>
      <c r="Q449" s="100"/>
    </row>
    <row r="450" ht="15.75" customHeight="1">
      <c r="O450" s="100"/>
      <c r="P450" s="100"/>
      <c r="Q450" s="100"/>
    </row>
    <row r="451" ht="15.75" customHeight="1">
      <c r="O451" s="100"/>
      <c r="P451" s="100"/>
      <c r="Q451" s="100"/>
    </row>
    <row r="452" ht="15.75" customHeight="1">
      <c r="O452" s="100"/>
      <c r="P452" s="100"/>
      <c r="Q452" s="100"/>
    </row>
    <row r="453" ht="15.75" customHeight="1">
      <c r="O453" s="100"/>
      <c r="P453" s="100"/>
      <c r="Q453" s="100"/>
    </row>
    <row r="454" ht="15.75" customHeight="1">
      <c r="O454" s="100"/>
      <c r="P454" s="100"/>
      <c r="Q454" s="100"/>
    </row>
    <row r="455" ht="15.75" customHeight="1">
      <c r="O455" s="100"/>
      <c r="P455" s="100"/>
      <c r="Q455" s="100"/>
    </row>
    <row r="456" ht="15.75" customHeight="1">
      <c r="O456" s="100"/>
      <c r="P456" s="100"/>
      <c r="Q456" s="100"/>
    </row>
    <row r="457" ht="15.75" customHeight="1">
      <c r="O457" s="100"/>
      <c r="P457" s="100"/>
      <c r="Q457" s="100"/>
    </row>
    <row r="458" ht="15.75" customHeight="1">
      <c r="O458" s="100"/>
      <c r="P458" s="100"/>
      <c r="Q458" s="100"/>
    </row>
    <row r="459" ht="15.75" customHeight="1">
      <c r="O459" s="100"/>
      <c r="P459" s="100"/>
      <c r="Q459" s="100"/>
    </row>
    <row r="460" ht="15.75" customHeight="1">
      <c r="O460" s="100"/>
      <c r="P460" s="100"/>
      <c r="Q460" s="100"/>
    </row>
    <row r="461" ht="15.75" customHeight="1">
      <c r="O461" s="100"/>
      <c r="P461" s="100"/>
      <c r="Q461" s="100"/>
    </row>
    <row r="462" ht="15.75" customHeight="1">
      <c r="O462" s="100"/>
      <c r="P462" s="100"/>
      <c r="Q462" s="100"/>
    </row>
    <row r="463" ht="15.75" customHeight="1">
      <c r="O463" s="100"/>
      <c r="P463" s="100"/>
      <c r="Q463" s="100"/>
    </row>
    <row r="464" ht="15.75" customHeight="1">
      <c r="O464" s="100"/>
      <c r="P464" s="100"/>
      <c r="Q464" s="100"/>
    </row>
    <row r="465" ht="15.75" customHeight="1">
      <c r="O465" s="100"/>
      <c r="P465" s="100"/>
      <c r="Q465" s="100"/>
    </row>
    <row r="466" ht="15.75" customHeight="1">
      <c r="O466" s="100"/>
      <c r="P466" s="100"/>
      <c r="Q466" s="100"/>
    </row>
    <row r="467" ht="15.75" customHeight="1">
      <c r="O467" s="100"/>
      <c r="P467" s="100"/>
      <c r="Q467" s="100"/>
    </row>
    <row r="468" ht="15.75" customHeight="1">
      <c r="O468" s="100"/>
      <c r="P468" s="100"/>
      <c r="Q468" s="100"/>
    </row>
    <row r="469" ht="15.75" customHeight="1">
      <c r="O469" s="100"/>
      <c r="P469" s="100"/>
      <c r="Q469" s="100"/>
    </row>
    <row r="470" ht="15.75" customHeight="1">
      <c r="O470" s="100"/>
      <c r="P470" s="100"/>
      <c r="Q470" s="100"/>
    </row>
    <row r="471" ht="15.75" customHeight="1">
      <c r="O471" s="100"/>
      <c r="P471" s="100"/>
      <c r="Q471" s="100"/>
    </row>
    <row r="472" ht="15.75" customHeight="1">
      <c r="O472" s="100"/>
      <c r="P472" s="100"/>
      <c r="Q472" s="100"/>
    </row>
    <row r="473" ht="15.75" customHeight="1">
      <c r="O473" s="100"/>
      <c r="P473" s="100"/>
      <c r="Q473" s="100"/>
    </row>
    <row r="474" ht="15.75" customHeight="1">
      <c r="O474" s="100"/>
      <c r="P474" s="100"/>
      <c r="Q474" s="100"/>
    </row>
    <row r="475" ht="15.75" customHeight="1">
      <c r="O475" s="100"/>
      <c r="P475" s="100"/>
      <c r="Q475" s="100"/>
    </row>
    <row r="476" ht="15.75" customHeight="1">
      <c r="O476" s="100"/>
      <c r="P476" s="100"/>
      <c r="Q476" s="100"/>
    </row>
    <row r="477" ht="15.75" customHeight="1">
      <c r="O477" s="100"/>
      <c r="P477" s="100"/>
      <c r="Q477" s="100"/>
    </row>
    <row r="478" ht="15.75" customHeight="1">
      <c r="O478" s="100"/>
      <c r="P478" s="100"/>
      <c r="Q478" s="100"/>
    </row>
    <row r="479" ht="15.75" customHeight="1">
      <c r="O479" s="100"/>
      <c r="P479" s="100"/>
      <c r="Q479" s="100"/>
    </row>
    <row r="480" ht="15.75" customHeight="1">
      <c r="O480" s="100"/>
      <c r="P480" s="100"/>
      <c r="Q480" s="100"/>
    </row>
    <row r="481" ht="15.75" customHeight="1">
      <c r="O481" s="100"/>
      <c r="P481" s="100"/>
      <c r="Q481" s="100"/>
    </row>
    <row r="482" ht="15.75" customHeight="1">
      <c r="O482" s="100"/>
      <c r="P482" s="100"/>
      <c r="Q482" s="100"/>
    </row>
    <row r="483" ht="15.75" customHeight="1">
      <c r="O483" s="100"/>
      <c r="P483" s="100"/>
      <c r="Q483" s="100"/>
    </row>
    <row r="484" ht="15.75" customHeight="1">
      <c r="O484" s="100"/>
      <c r="P484" s="100"/>
      <c r="Q484" s="100"/>
    </row>
    <row r="485" ht="15.75" customHeight="1">
      <c r="O485" s="100"/>
      <c r="P485" s="100"/>
      <c r="Q485" s="100"/>
    </row>
    <row r="486" ht="15.75" customHeight="1">
      <c r="O486" s="100"/>
      <c r="P486" s="100"/>
      <c r="Q486" s="100"/>
    </row>
    <row r="487" ht="15.75" customHeight="1">
      <c r="O487" s="100"/>
      <c r="P487" s="100"/>
      <c r="Q487" s="100"/>
    </row>
    <row r="488" ht="15.75" customHeight="1">
      <c r="O488" s="100"/>
      <c r="P488" s="100"/>
      <c r="Q488" s="100"/>
    </row>
    <row r="489" ht="15.75" customHeight="1">
      <c r="O489" s="100"/>
      <c r="P489" s="100"/>
      <c r="Q489" s="100"/>
    </row>
    <row r="490" ht="15.75" customHeight="1">
      <c r="O490" s="100"/>
      <c r="P490" s="100"/>
      <c r="Q490" s="100"/>
    </row>
    <row r="491" ht="15.75" customHeight="1">
      <c r="O491" s="100"/>
      <c r="P491" s="100"/>
      <c r="Q491" s="100"/>
    </row>
    <row r="492" ht="15.75" customHeight="1">
      <c r="O492" s="100"/>
      <c r="P492" s="100"/>
      <c r="Q492" s="100"/>
    </row>
    <row r="493" ht="15.75" customHeight="1">
      <c r="O493" s="100"/>
      <c r="P493" s="100"/>
      <c r="Q493" s="100"/>
    </row>
    <row r="494" ht="15.75" customHeight="1">
      <c r="O494" s="100"/>
      <c r="P494" s="100"/>
      <c r="Q494" s="100"/>
    </row>
    <row r="495" ht="15.75" customHeight="1">
      <c r="O495" s="100"/>
      <c r="P495" s="100"/>
      <c r="Q495" s="100"/>
    </row>
    <row r="496" ht="15.75" customHeight="1">
      <c r="O496" s="100"/>
      <c r="P496" s="100"/>
      <c r="Q496" s="100"/>
    </row>
    <row r="497" ht="15.75" customHeight="1">
      <c r="O497" s="100"/>
      <c r="P497" s="100"/>
      <c r="Q497" s="100"/>
    </row>
    <row r="498" ht="15.75" customHeight="1">
      <c r="O498" s="100"/>
      <c r="P498" s="100"/>
      <c r="Q498" s="100"/>
    </row>
    <row r="499" ht="15.75" customHeight="1">
      <c r="O499" s="100"/>
      <c r="P499" s="100"/>
      <c r="Q499" s="100"/>
    </row>
    <row r="500" ht="15.75" customHeight="1">
      <c r="O500" s="100"/>
      <c r="P500" s="100"/>
      <c r="Q500" s="100"/>
    </row>
    <row r="501" ht="15.75" customHeight="1">
      <c r="O501" s="100"/>
      <c r="P501" s="100"/>
      <c r="Q501" s="100"/>
    </row>
    <row r="502" ht="15.75" customHeight="1">
      <c r="O502" s="100"/>
      <c r="P502" s="100"/>
      <c r="Q502" s="100"/>
    </row>
    <row r="503" ht="15.75" customHeight="1">
      <c r="O503" s="100"/>
      <c r="P503" s="100"/>
      <c r="Q503" s="100"/>
    </row>
    <row r="504" ht="15.75" customHeight="1">
      <c r="O504" s="100"/>
      <c r="P504" s="100"/>
      <c r="Q504" s="100"/>
    </row>
    <row r="505" ht="15.75" customHeight="1">
      <c r="O505" s="100"/>
      <c r="P505" s="100"/>
      <c r="Q505" s="100"/>
    </row>
    <row r="506" ht="15.75" customHeight="1">
      <c r="O506" s="100"/>
      <c r="P506" s="100"/>
      <c r="Q506" s="100"/>
    </row>
    <row r="507" ht="15.75" customHeight="1">
      <c r="O507" s="100"/>
      <c r="P507" s="100"/>
      <c r="Q507" s="100"/>
    </row>
    <row r="508" ht="15.75" customHeight="1">
      <c r="O508" s="100"/>
      <c r="P508" s="100"/>
      <c r="Q508" s="100"/>
    </row>
    <row r="509" ht="15.75" customHeight="1">
      <c r="O509" s="100"/>
      <c r="P509" s="100"/>
      <c r="Q509" s="100"/>
    </row>
    <row r="510" ht="15.75" customHeight="1">
      <c r="O510" s="100"/>
      <c r="P510" s="100"/>
      <c r="Q510" s="100"/>
    </row>
    <row r="511" ht="15.75" customHeight="1">
      <c r="O511" s="100"/>
      <c r="P511" s="100"/>
      <c r="Q511" s="100"/>
    </row>
    <row r="512" ht="15.75" customHeight="1">
      <c r="O512" s="100"/>
      <c r="P512" s="100"/>
      <c r="Q512" s="100"/>
    </row>
    <row r="513" ht="15.75" customHeight="1">
      <c r="O513" s="100"/>
      <c r="P513" s="100"/>
      <c r="Q513" s="100"/>
    </row>
    <row r="514" ht="15.75" customHeight="1">
      <c r="O514" s="100"/>
      <c r="P514" s="100"/>
      <c r="Q514" s="100"/>
    </row>
    <row r="515" ht="15.75" customHeight="1">
      <c r="O515" s="100"/>
      <c r="P515" s="100"/>
      <c r="Q515" s="100"/>
    </row>
    <row r="516" ht="15.75" customHeight="1">
      <c r="O516" s="100"/>
      <c r="P516" s="100"/>
      <c r="Q516" s="100"/>
    </row>
    <row r="517" ht="15.75" customHeight="1">
      <c r="O517" s="100"/>
      <c r="P517" s="100"/>
      <c r="Q517" s="100"/>
    </row>
    <row r="518" ht="15.75" customHeight="1">
      <c r="O518" s="100"/>
      <c r="P518" s="100"/>
      <c r="Q518" s="100"/>
    </row>
    <row r="519" ht="15.75" customHeight="1">
      <c r="O519" s="100"/>
      <c r="P519" s="100"/>
      <c r="Q519" s="100"/>
    </row>
    <row r="520" ht="15.75" customHeight="1">
      <c r="O520" s="100"/>
      <c r="P520" s="100"/>
      <c r="Q520" s="100"/>
    </row>
    <row r="521" ht="15.75" customHeight="1">
      <c r="O521" s="100"/>
      <c r="P521" s="100"/>
      <c r="Q521" s="100"/>
    </row>
    <row r="522" ht="15.75" customHeight="1">
      <c r="O522" s="100"/>
      <c r="P522" s="100"/>
      <c r="Q522" s="100"/>
    </row>
    <row r="523" ht="15.75" customHeight="1">
      <c r="O523" s="100"/>
      <c r="P523" s="100"/>
      <c r="Q523" s="100"/>
    </row>
    <row r="524" ht="15.75" customHeight="1">
      <c r="O524" s="100"/>
      <c r="P524" s="100"/>
      <c r="Q524" s="100"/>
    </row>
    <row r="525" ht="15.75" customHeight="1">
      <c r="O525" s="100"/>
      <c r="P525" s="100"/>
      <c r="Q525" s="100"/>
    </row>
    <row r="526" ht="15.75" customHeight="1">
      <c r="O526" s="100"/>
      <c r="P526" s="100"/>
      <c r="Q526" s="100"/>
    </row>
    <row r="527" ht="15.75" customHeight="1">
      <c r="O527" s="100"/>
      <c r="P527" s="100"/>
      <c r="Q527" s="100"/>
    </row>
    <row r="528" ht="15.75" customHeight="1">
      <c r="O528" s="100"/>
      <c r="P528" s="100"/>
      <c r="Q528" s="100"/>
    </row>
    <row r="529" ht="15.75" customHeight="1">
      <c r="O529" s="100"/>
      <c r="P529" s="100"/>
      <c r="Q529" s="100"/>
    </row>
    <row r="530" ht="15.75" customHeight="1">
      <c r="O530" s="100"/>
      <c r="P530" s="100"/>
      <c r="Q530" s="100"/>
    </row>
    <row r="531" ht="15.75" customHeight="1">
      <c r="O531" s="100"/>
      <c r="P531" s="100"/>
      <c r="Q531" s="100"/>
    </row>
    <row r="532" ht="15.75" customHeight="1">
      <c r="O532" s="100"/>
      <c r="P532" s="100"/>
      <c r="Q532" s="100"/>
    </row>
    <row r="533" ht="15.75" customHeight="1">
      <c r="O533" s="100"/>
      <c r="P533" s="100"/>
      <c r="Q533" s="100"/>
    </row>
    <row r="534" ht="15.75" customHeight="1">
      <c r="O534" s="100"/>
      <c r="P534" s="100"/>
      <c r="Q534" s="100"/>
    </row>
    <row r="535" ht="15.75" customHeight="1">
      <c r="O535" s="100"/>
      <c r="P535" s="100"/>
      <c r="Q535" s="100"/>
    </row>
    <row r="536" ht="15.75" customHeight="1">
      <c r="O536" s="100"/>
      <c r="P536" s="100"/>
      <c r="Q536" s="100"/>
    </row>
    <row r="537" ht="15.75" customHeight="1">
      <c r="O537" s="100"/>
      <c r="P537" s="100"/>
      <c r="Q537" s="100"/>
    </row>
    <row r="538" ht="15.75" customHeight="1">
      <c r="O538" s="100"/>
      <c r="P538" s="100"/>
      <c r="Q538" s="100"/>
    </row>
    <row r="539" ht="15.75" customHeight="1">
      <c r="O539" s="100"/>
      <c r="P539" s="100"/>
      <c r="Q539" s="100"/>
    </row>
    <row r="540" ht="15.75" customHeight="1">
      <c r="O540" s="100"/>
      <c r="P540" s="100"/>
      <c r="Q540" s="100"/>
    </row>
    <row r="541" ht="15.75" customHeight="1">
      <c r="O541" s="100"/>
      <c r="P541" s="100"/>
      <c r="Q541" s="100"/>
    </row>
    <row r="542" ht="15.75" customHeight="1">
      <c r="O542" s="100"/>
      <c r="P542" s="100"/>
      <c r="Q542" s="100"/>
    </row>
    <row r="543" ht="15.75" customHeight="1">
      <c r="O543" s="100"/>
      <c r="P543" s="100"/>
      <c r="Q543" s="100"/>
    </row>
    <row r="544" ht="15.75" customHeight="1">
      <c r="O544" s="100"/>
      <c r="P544" s="100"/>
      <c r="Q544" s="100"/>
    </row>
    <row r="545" ht="15.75" customHeight="1">
      <c r="O545" s="100"/>
      <c r="P545" s="100"/>
      <c r="Q545" s="100"/>
    </row>
    <row r="546" ht="15.75" customHeight="1">
      <c r="O546" s="100"/>
      <c r="P546" s="100"/>
      <c r="Q546" s="100"/>
    </row>
    <row r="547" ht="15.75" customHeight="1">
      <c r="O547" s="100"/>
      <c r="P547" s="100"/>
      <c r="Q547" s="100"/>
    </row>
    <row r="548" ht="15.75" customHeight="1">
      <c r="O548" s="100"/>
      <c r="P548" s="100"/>
      <c r="Q548" s="100"/>
    </row>
    <row r="549" ht="15.75" customHeight="1">
      <c r="O549" s="100"/>
      <c r="P549" s="100"/>
      <c r="Q549" s="100"/>
    </row>
    <row r="550" ht="15.75" customHeight="1">
      <c r="O550" s="100"/>
      <c r="P550" s="100"/>
      <c r="Q550" s="100"/>
    </row>
    <row r="551" ht="15.75" customHeight="1">
      <c r="O551" s="100"/>
      <c r="P551" s="100"/>
      <c r="Q551" s="100"/>
    </row>
    <row r="552" ht="15.75" customHeight="1">
      <c r="O552" s="100"/>
      <c r="P552" s="100"/>
      <c r="Q552" s="100"/>
    </row>
    <row r="553" ht="15.75" customHeight="1">
      <c r="O553" s="100"/>
      <c r="P553" s="100"/>
      <c r="Q553" s="100"/>
    </row>
    <row r="554" ht="15.75" customHeight="1">
      <c r="O554" s="100"/>
      <c r="P554" s="100"/>
      <c r="Q554" s="100"/>
    </row>
    <row r="555" ht="15.75" customHeight="1">
      <c r="O555" s="100"/>
      <c r="P555" s="100"/>
      <c r="Q555" s="100"/>
    </row>
    <row r="556" ht="15.75" customHeight="1">
      <c r="O556" s="100"/>
      <c r="P556" s="100"/>
      <c r="Q556" s="100"/>
    </row>
    <row r="557" ht="15.75" customHeight="1">
      <c r="O557" s="100"/>
      <c r="P557" s="100"/>
      <c r="Q557" s="100"/>
    </row>
    <row r="558" ht="15.75" customHeight="1">
      <c r="O558" s="100"/>
      <c r="P558" s="100"/>
      <c r="Q558" s="100"/>
    </row>
    <row r="559" ht="15.75" customHeight="1">
      <c r="O559" s="100"/>
      <c r="P559" s="100"/>
      <c r="Q559" s="100"/>
    </row>
    <row r="560" ht="15.75" customHeight="1">
      <c r="O560" s="100"/>
      <c r="P560" s="100"/>
      <c r="Q560" s="100"/>
    </row>
    <row r="561" ht="15.75" customHeight="1">
      <c r="O561" s="100"/>
      <c r="P561" s="100"/>
      <c r="Q561" s="100"/>
    </row>
    <row r="562" ht="15.75" customHeight="1">
      <c r="O562" s="100"/>
      <c r="P562" s="100"/>
      <c r="Q562" s="100"/>
    </row>
    <row r="563" ht="15.75" customHeight="1">
      <c r="O563" s="100"/>
      <c r="P563" s="100"/>
      <c r="Q563" s="100"/>
    </row>
    <row r="564" ht="15.75" customHeight="1">
      <c r="O564" s="100"/>
      <c r="P564" s="100"/>
      <c r="Q564" s="100"/>
    </row>
    <row r="565" ht="15.75" customHeight="1">
      <c r="O565" s="100"/>
      <c r="P565" s="100"/>
      <c r="Q565" s="100"/>
    </row>
    <row r="566" ht="15.75" customHeight="1">
      <c r="O566" s="100"/>
      <c r="P566" s="100"/>
      <c r="Q566" s="100"/>
    </row>
    <row r="567" ht="15.75" customHeight="1">
      <c r="O567" s="100"/>
      <c r="P567" s="100"/>
      <c r="Q567" s="100"/>
    </row>
    <row r="568" ht="15.75" customHeight="1">
      <c r="O568" s="100"/>
      <c r="P568" s="100"/>
      <c r="Q568" s="100"/>
    </row>
    <row r="569" ht="15.75" customHeight="1">
      <c r="O569" s="100"/>
      <c r="P569" s="100"/>
      <c r="Q569" s="100"/>
    </row>
    <row r="570" ht="15.75" customHeight="1">
      <c r="O570" s="100"/>
      <c r="P570" s="100"/>
      <c r="Q570" s="100"/>
    </row>
    <row r="571" ht="15.75" customHeight="1">
      <c r="O571" s="100"/>
      <c r="P571" s="100"/>
      <c r="Q571" s="100"/>
    </row>
    <row r="572" ht="15.75" customHeight="1">
      <c r="O572" s="100"/>
      <c r="P572" s="100"/>
      <c r="Q572" s="100"/>
    </row>
    <row r="573" ht="15.75" customHeight="1">
      <c r="O573" s="100"/>
      <c r="P573" s="100"/>
      <c r="Q573" s="100"/>
    </row>
    <row r="574" ht="15.75" customHeight="1">
      <c r="O574" s="100"/>
      <c r="P574" s="100"/>
      <c r="Q574" s="100"/>
    </row>
    <row r="575" ht="15.75" customHeight="1">
      <c r="O575" s="100"/>
      <c r="P575" s="100"/>
      <c r="Q575" s="100"/>
    </row>
    <row r="576" ht="15.75" customHeight="1">
      <c r="O576" s="100"/>
      <c r="P576" s="100"/>
      <c r="Q576" s="100"/>
    </row>
    <row r="577" ht="15.75" customHeight="1">
      <c r="O577" s="100"/>
      <c r="P577" s="100"/>
      <c r="Q577" s="100"/>
    </row>
    <row r="578" ht="15.75" customHeight="1">
      <c r="O578" s="100"/>
      <c r="P578" s="100"/>
      <c r="Q578" s="100"/>
    </row>
    <row r="579" ht="15.75" customHeight="1">
      <c r="O579" s="100"/>
      <c r="P579" s="100"/>
      <c r="Q579" s="100"/>
    </row>
    <row r="580" ht="15.75" customHeight="1">
      <c r="O580" s="100"/>
      <c r="P580" s="100"/>
      <c r="Q580" s="100"/>
    </row>
    <row r="581" ht="15.75" customHeight="1">
      <c r="O581" s="100"/>
      <c r="P581" s="100"/>
      <c r="Q581" s="100"/>
    </row>
    <row r="582" ht="15.75" customHeight="1">
      <c r="O582" s="100"/>
      <c r="P582" s="100"/>
      <c r="Q582" s="100"/>
    </row>
    <row r="583" ht="15.75" customHeight="1">
      <c r="O583" s="100"/>
      <c r="P583" s="100"/>
      <c r="Q583" s="100"/>
    </row>
    <row r="584" ht="15.75" customHeight="1">
      <c r="O584" s="100"/>
      <c r="P584" s="100"/>
      <c r="Q584" s="100"/>
    </row>
    <row r="585" ht="15.75" customHeight="1">
      <c r="O585" s="100"/>
      <c r="P585" s="100"/>
      <c r="Q585" s="100"/>
    </row>
    <row r="586" ht="15.75" customHeight="1">
      <c r="O586" s="100"/>
      <c r="P586" s="100"/>
      <c r="Q586" s="100"/>
    </row>
    <row r="587" ht="15.75" customHeight="1">
      <c r="O587" s="100"/>
      <c r="P587" s="100"/>
      <c r="Q587" s="100"/>
    </row>
    <row r="588" ht="15.75" customHeight="1">
      <c r="O588" s="100"/>
      <c r="P588" s="100"/>
      <c r="Q588" s="100"/>
    </row>
    <row r="589" ht="15.75" customHeight="1">
      <c r="O589" s="100"/>
      <c r="P589" s="100"/>
      <c r="Q589" s="100"/>
    </row>
    <row r="590" ht="15.75" customHeight="1">
      <c r="O590" s="100"/>
      <c r="P590" s="100"/>
      <c r="Q590" s="100"/>
    </row>
    <row r="591" ht="15.75" customHeight="1">
      <c r="O591" s="100"/>
      <c r="P591" s="100"/>
      <c r="Q591" s="100"/>
    </row>
    <row r="592" ht="15.75" customHeight="1">
      <c r="O592" s="100"/>
      <c r="P592" s="100"/>
      <c r="Q592" s="100"/>
    </row>
    <row r="593" ht="15.75" customHeight="1">
      <c r="O593" s="100"/>
      <c r="P593" s="100"/>
      <c r="Q593" s="100"/>
    </row>
    <row r="594" ht="15.75" customHeight="1">
      <c r="O594" s="100"/>
      <c r="P594" s="100"/>
      <c r="Q594" s="100"/>
    </row>
    <row r="595" ht="15.75" customHeight="1">
      <c r="O595" s="100"/>
      <c r="P595" s="100"/>
      <c r="Q595" s="100"/>
    </row>
    <row r="596" ht="15.75" customHeight="1">
      <c r="O596" s="100"/>
      <c r="P596" s="100"/>
      <c r="Q596" s="100"/>
    </row>
    <row r="597" ht="15.75" customHeight="1">
      <c r="O597" s="100"/>
      <c r="P597" s="100"/>
      <c r="Q597" s="100"/>
    </row>
    <row r="598" ht="15.75" customHeight="1">
      <c r="O598" s="100"/>
      <c r="P598" s="100"/>
      <c r="Q598" s="100"/>
    </row>
    <row r="599" ht="15.75" customHeight="1">
      <c r="O599" s="100"/>
      <c r="P599" s="100"/>
      <c r="Q599" s="100"/>
    </row>
    <row r="600" ht="15.75" customHeight="1">
      <c r="O600" s="100"/>
      <c r="P600" s="100"/>
      <c r="Q600" s="100"/>
    </row>
    <row r="601" ht="15.75" customHeight="1">
      <c r="O601" s="100"/>
      <c r="P601" s="100"/>
      <c r="Q601" s="100"/>
    </row>
    <row r="602" ht="15.75" customHeight="1">
      <c r="O602" s="100"/>
      <c r="P602" s="100"/>
      <c r="Q602" s="100"/>
    </row>
    <row r="603" ht="15.75" customHeight="1">
      <c r="O603" s="100"/>
      <c r="P603" s="100"/>
      <c r="Q603" s="100"/>
    </row>
    <row r="604" ht="15.75" customHeight="1">
      <c r="O604" s="100"/>
      <c r="P604" s="100"/>
      <c r="Q604" s="100"/>
    </row>
    <row r="605" ht="15.75" customHeight="1">
      <c r="O605" s="100"/>
      <c r="P605" s="100"/>
      <c r="Q605" s="100"/>
    </row>
    <row r="606" ht="15.75" customHeight="1">
      <c r="O606" s="100"/>
      <c r="P606" s="100"/>
      <c r="Q606" s="100"/>
    </row>
    <row r="607" ht="15.75" customHeight="1">
      <c r="O607" s="100"/>
      <c r="P607" s="100"/>
      <c r="Q607" s="100"/>
    </row>
    <row r="608" ht="15.75" customHeight="1">
      <c r="O608" s="100"/>
      <c r="P608" s="100"/>
      <c r="Q608" s="100"/>
    </row>
    <row r="609" ht="15.75" customHeight="1">
      <c r="O609" s="100"/>
      <c r="P609" s="100"/>
      <c r="Q609" s="100"/>
    </row>
    <row r="610" ht="15.75" customHeight="1">
      <c r="O610" s="100"/>
      <c r="P610" s="100"/>
      <c r="Q610" s="100"/>
    </row>
    <row r="611" ht="15.75" customHeight="1">
      <c r="O611" s="100"/>
      <c r="P611" s="100"/>
      <c r="Q611" s="100"/>
    </row>
    <row r="612" ht="15.75" customHeight="1">
      <c r="O612" s="100"/>
      <c r="P612" s="100"/>
      <c r="Q612" s="100"/>
    </row>
    <row r="613" ht="15.75" customHeight="1">
      <c r="O613" s="100"/>
      <c r="P613" s="100"/>
      <c r="Q613" s="100"/>
    </row>
    <row r="614" ht="15.75" customHeight="1">
      <c r="O614" s="100"/>
      <c r="P614" s="100"/>
      <c r="Q614" s="100"/>
    </row>
    <row r="615" ht="15.75" customHeight="1">
      <c r="O615" s="100"/>
      <c r="P615" s="100"/>
      <c r="Q615" s="100"/>
    </row>
    <row r="616" ht="15.75" customHeight="1">
      <c r="O616" s="100"/>
      <c r="P616" s="100"/>
      <c r="Q616" s="100"/>
    </row>
    <row r="617" ht="15.75" customHeight="1">
      <c r="O617" s="100"/>
      <c r="P617" s="100"/>
      <c r="Q617" s="100"/>
    </row>
    <row r="618" ht="15.75" customHeight="1">
      <c r="O618" s="100"/>
      <c r="P618" s="100"/>
      <c r="Q618" s="100"/>
    </row>
    <row r="619" ht="15.75" customHeight="1">
      <c r="O619" s="100"/>
      <c r="P619" s="100"/>
      <c r="Q619" s="100"/>
    </row>
    <row r="620" ht="15.75" customHeight="1">
      <c r="O620" s="100"/>
      <c r="P620" s="100"/>
      <c r="Q620" s="100"/>
    </row>
    <row r="621" ht="15.75" customHeight="1">
      <c r="O621" s="100"/>
      <c r="P621" s="100"/>
      <c r="Q621" s="100"/>
    </row>
    <row r="622" ht="15.75" customHeight="1">
      <c r="O622" s="100"/>
      <c r="P622" s="100"/>
      <c r="Q622" s="100"/>
    </row>
    <row r="623" ht="15.75" customHeight="1">
      <c r="O623" s="100"/>
      <c r="P623" s="100"/>
      <c r="Q623" s="100"/>
    </row>
    <row r="624" ht="15.75" customHeight="1">
      <c r="O624" s="100"/>
      <c r="P624" s="100"/>
      <c r="Q624" s="100"/>
    </row>
    <row r="625" ht="15.75" customHeight="1">
      <c r="O625" s="100"/>
      <c r="P625" s="100"/>
      <c r="Q625" s="100"/>
    </row>
    <row r="626" ht="15.75" customHeight="1">
      <c r="O626" s="100"/>
      <c r="P626" s="100"/>
      <c r="Q626" s="100"/>
    </row>
    <row r="627" ht="15.75" customHeight="1">
      <c r="O627" s="100"/>
      <c r="P627" s="100"/>
      <c r="Q627" s="100"/>
    </row>
    <row r="628" ht="15.75" customHeight="1">
      <c r="O628" s="100"/>
      <c r="P628" s="100"/>
      <c r="Q628" s="100"/>
    </row>
    <row r="629" ht="15.75" customHeight="1">
      <c r="O629" s="100"/>
      <c r="P629" s="100"/>
      <c r="Q629" s="100"/>
    </row>
    <row r="630" ht="15.75" customHeight="1">
      <c r="O630" s="100"/>
      <c r="P630" s="100"/>
      <c r="Q630" s="100"/>
    </row>
    <row r="631" ht="15.75" customHeight="1">
      <c r="O631" s="100"/>
      <c r="P631" s="100"/>
      <c r="Q631" s="100"/>
    </row>
    <row r="632" ht="15.75" customHeight="1">
      <c r="O632" s="100"/>
      <c r="P632" s="100"/>
      <c r="Q632" s="100"/>
    </row>
    <row r="633" ht="15.75" customHeight="1">
      <c r="O633" s="100"/>
      <c r="P633" s="100"/>
      <c r="Q633" s="100"/>
    </row>
    <row r="634" ht="15.75" customHeight="1">
      <c r="O634" s="100"/>
      <c r="P634" s="100"/>
      <c r="Q634" s="100"/>
    </row>
    <row r="635" ht="15.75" customHeight="1">
      <c r="O635" s="100"/>
      <c r="P635" s="100"/>
      <c r="Q635" s="100"/>
    </row>
    <row r="636" ht="15.75" customHeight="1">
      <c r="O636" s="100"/>
      <c r="P636" s="100"/>
      <c r="Q636" s="100"/>
    </row>
    <row r="637" ht="15.75" customHeight="1">
      <c r="O637" s="100"/>
      <c r="P637" s="100"/>
      <c r="Q637" s="100"/>
    </row>
    <row r="638" ht="15.75" customHeight="1">
      <c r="O638" s="100"/>
      <c r="P638" s="100"/>
      <c r="Q638" s="100"/>
    </row>
    <row r="639" ht="15.75" customHeight="1">
      <c r="O639" s="100"/>
      <c r="P639" s="100"/>
      <c r="Q639" s="100"/>
    </row>
    <row r="640" ht="15.75" customHeight="1">
      <c r="O640" s="100"/>
      <c r="P640" s="100"/>
      <c r="Q640" s="100"/>
    </row>
    <row r="641" ht="15.75" customHeight="1">
      <c r="O641" s="100"/>
      <c r="P641" s="100"/>
      <c r="Q641" s="100"/>
    </row>
    <row r="642" ht="15.75" customHeight="1">
      <c r="O642" s="100"/>
      <c r="P642" s="100"/>
      <c r="Q642" s="100"/>
    </row>
    <row r="643" ht="15.75" customHeight="1">
      <c r="O643" s="100"/>
      <c r="P643" s="100"/>
      <c r="Q643" s="100"/>
    </row>
    <row r="644" ht="15.75" customHeight="1">
      <c r="O644" s="100"/>
      <c r="P644" s="100"/>
      <c r="Q644" s="100"/>
    </row>
    <row r="645" ht="15.75" customHeight="1">
      <c r="O645" s="100"/>
      <c r="P645" s="100"/>
      <c r="Q645" s="100"/>
    </row>
    <row r="646" ht="15.75" customHeight="1">
      <c r="O646" s="100"/>
      <c r="P646" s="100"/>
      <c r="Q646" s="100"/>
    </row>
    <row r="647" ht="15.75" customHeight="1">
      <c r="O647" s="100"/>
      <c r="P647" s="100"/>
      <c r="Q647" s="100"/>
    </row>
    <row r="648" ht="15.75" customHeight="1">
      <c r="O648" s="100"/>
      <c r="P648" s="100"/>
      <c r="Q648" s="100"/>
    </row>
    <row r="649" ht="15.75" customHeight="1">
      <c r="O649" s="100"/>
      <c r="P649" s="100"/>
      <c r="Q649" s="100"/>
    </row>
    <row r="650" ht="15.75" customHeight="1">
      <c r="O650" s="100"/>
      <c r="P650" s="100"/>
      <c r="Q650" s="100"/>
    </row>
    <row r="651" ht="15.75" customHeight="1">
      <c r="O651" s="100"/>
      <c r="P651" s="100"/>
      <c r="Q651" s="100"/>
    </row>
    <row r="652" ht="15.75" customHeight="1">
      <c r="O652" s="100"/>
      <c r="P652" s="100"/>
      <c r="Q652" s="100"/>
    </row>
    <row r="653" ht="15.75" customHeight="1">
      <c r="O653" s="100"/>
      <c r="P653" s="100"/>
      <c r="Q653" s="100"/>
    </row>
    <row r="654" ht="15.75" customHeight="1">
      <c r="O654" s="100"/>
      <c r="P654" s="100"/>
      <c r="Q654" s="100"/>
    </row>
    <row r="655" ht="15.75" customHeight="1">
      <c r="O655" s="100"/>
      <c r="P655" s="100"/>
      <c r="Q655" s="100"/>
    </row>
    <row r="656" ht="15.75" customHeight="1">
      <c r="O656" s="100"/>
      <c r="P656" s="100"/>
      <c r="Q656" s="100"/>
    </row>
    <row r="657" ht="15.75" customHeight="1">
      <c r="O657" s="100"/>
      <c r="P657" s="100"/>
      <c r="Q657" s="100"/>
    </row>
    <row r="658" ht="15.75" customHeight="1">
      <c r="O658" s="100"/>
      <c r="P658" s="100"/>
      <c r="Q658" s="100"/>
    </row>
    <row r="659" ht="15.75" customHeight="1">
      <c r="O659" s="100"/>
      <c r="P659" s="100"/>
      <c r="Q659" s="100"/>
    </row>
    <row r="660" ht="15.75" customHeight="1">
      <c r="O660" s="100"/>
      <c r="P660" s="100"/>
      <c r="Q660" s="100"/>
    </row>
    <row r="661" ht="15.75" customHeight="1">
      <c r="O661" s="100"/>
      <c r="P661" s="100"/>
      <c r="Q661" s="100"/>
    </row>
    <row r="662" ht="15.75" customHeight="1">
      <c r="O662" s="100"/>
      <c r="P662" s="100"/>
      <c r="Q662" s="100"/>
    </row>
    <row r="663" ht="15.75" customHeight="1">
      <c r="O663" s="100"/>
      <c r="P663" s="100"/>
      <c r="Q663" s="100"/>
    </row>
    <row r="664" ht="15.75" customHeight="1">
      <c r="O664" s="100"/>
      <c r="P664" s="100"/>
      <c r="Q664" s="100"/>
    </row>
    <row r="665" ht="15.75" customHeight="1">
      <c r="O665" s="100"/>
      <c r="P665" s="100"/>
      <c r="Q665" s="100"/>
    </row>
    <row r="666" ht="15.75" customHeight="1">
      <c r="O666" s="100"/>
      <c r="P666" s="100"/>
      <c r="Q666" s="100"/>
    </row>
    <row r="667" ht="15.75" customHeight="1">
      <c r="O667" s="100"/>
      <c r="P667" s="100"/>
      <c r="Q667" s="100"/>
    </row>
    <row r="668" ht="15.75" customHeight="1">
      <c r="O668" s="100"/>
      <c r="P668" s="100"/>
      <c r="Q668" s="100"/>
    </row>
    <row r="669" ht="15.75" customHeight="1">
      <c r="O669" s="100"/>
      <c r="P669" s="100"/>
      <c r="Q669" s="100"/>
    </row>
    <row r="670" ht="15.75" customHeight="1">
      <c r="O670" s="100"/>
      <c r="P670" s="100"/>
      <c r="Q670" s="100"/>
    </row>
    <row r="671" ht="15.75" customHeight="1">
      <c r="O671" s="100"/>
      <c r="P671" s="100"/>
      <c r="Q671" s="100"/>
    </row>
    <row r="672" ht="15.75" customHeight="1">
      <c r="O672" s="100"/>
      <c r="P672" s="100"/>
      <c r="Q672" s="100"/>
    </row>
    <row r="673" ht="15.75" customHeight="1">
      <c r="O673" s="100"/>
      <c r="P673" s="100"/>
      <c r="Q673" s="100"/>
    </row>
    <row r="674" ht="15.75" customHeight="1">
      <c r="O674" s="100"/>
      <c r="P674" s="100"/>
      <c r="Q674" s="100"/>
    </row>
    <row r="675" ht="15.75" customHeight="1">
      <c r="O675" s="100"/>
      <c r="P675" s="100"/>
      <c r="Q675" s="100"/>
    </row>
    <row r="676" ht="15.75" customHeight="1">
      <c r="O676" s="100"/>
      <c r="P676" s="100"/>
      <c r="Q676" s="100"/>
    </row>
    <row r="677" ht="15.75" customHeight="1">
      <c r="O677" s="100"/>
      <c r="P677" s="100"/>
      <c r="Q677" s="100"/>
    </row>
    <row r="678" ht="15.75" customHeight="1">
      <c r="O678" s="100"/>
      <c r="P678" s="100"/>
      <c r="Q678" s="100"/>
    </row>
    <row r="679" ht="15.75" customHeight="1">
      <c r="O679" s="100"/>
      <c r="P679" s="100"/>
      <c r="Q679" s="100"/>
    </row>
    <row r="680" ht="15.75" customHeight="1">
      <c r="O680" s="100"/>
      <c r="P680" s="100"/>
      <c r="Q680" s="100"/>
    </row>
    <row r="681" ht="15.75" customHeight="1">
      <c r="O681" s="100"/>
      <c r="P681" s="100"/>
      <c r="Q681" s="100"/>
    </row>
    <row r="682" ht="15.75" customHeight="1">
      <c r="O682" s="100"/>
      <c r="P682" s="100"/>
      <c r="Q682" s="100"/>
    </row>
    <row r="683" ht="15.75" customHeight="1">
      <c r="O683" s="100"/>
      <c r="P683" s="100"/>
      <c r="Q683" s="100"/>
    </row>
    <row r="684" ht="15.75" customHeight="1">
      <c r="O684" s="100"/>
      <c r="P684" s="100"/>
      <c r="Q684" s="100"/>
    </row>
    <row r="685" ht="15.75" customHeight="1">
      <c r="O685" s="100"/>
      <c r="P685" s="100"/>
      <c r="Q685" s="100"/>
    </row>
    <row r="686" ht="15.75" customHeight="1">
      <c r="O686" s="100"/>
      <c r="P686" s="100"/>
      <c r="Q686" s="100"/>
    </row>
    <row r="687" ht="15.75" customHeight="1">
      <c r="O687" s="100"/>
      <c r="P687" s="100"/>
      <c r="Q687" s="100"/>
    </row>
    <row r="688" ht="15.75" customHeight="1">
      <c r="O688" s="100"/>
      <c r="P688" s="100"/>
      <c r="Q688" s="100"/>
    </row>
    <row r="689" ht="15.75" customHeight="1">
      <c r="O689" s="100"/>
      <c r="P689" s="100"/>
      <c r="Q689" s="100"/>
    </row>
    <row r="690" ht="15.75" customHeight="1">
      <c r="O690" s="100"/>
      <c r="P690" s="100"/>
      <c r="Q690" s="100"/>
    </row>
    <row r="691" ht="15.75" customHeight="1">
      <c r="O691" s="100"/>
      <c r="P691" s="100"/>
      <c r="Q691" s="100"/>
    </row>
    <row r="692" ht="15.75" customHeight="1">
      <c r="O692" s="100"/>
      <c r="P692" s="100"/>
      <c r="Q692" s="100"/>
    </row>
    <row r="693" ht="15.75" customHeight="1">
      <c r="O693" s="100"/>
      <c r="P693" s="100"/>
      <c r="Q693" s="100"/>
    </row>
    <row r="694" ht="15.75" customHeight="1">
      <c r="O694" s="100"/>
      <c r="P694" s="100"/>
      <c r="Q694" s="100"/>
    </row>
    <row r="695" ht="15.75" customHeight="1">
      <c r="O695" s="100"/>
      <c r="P695" s="100"/>
      <c r="Q695" s="100"/>
    </row>
    <row r="696" ht="15.75" customHeight="1">
      <c r="O696" s="100"/>
      <c r="P696" s="100"/>
      <c r="Q696" s="100"/>
    </row>
    <row r="697" ht="15.75" customHeight="1">
      <c r="O697" s="100"/>
      <c r="P697" s="100"/>
      <c r="Q697" s="100"/>
    </row>
    <row r="698" ht="15.75" customHeight="1">
      <c r="O698" s="100"/>
      <c r="P698" s="100"/>
      <c r="Q698" s="100"/>
    </row>
    <row r="699" ht="15.75" customHeight="1">
      <c r="O699" s="100"/>
      <c r="P699" s="100"/>
      <c r="Q699" s="100"/>
    </row>
    <row r="700" ht="15.75" customHeight="1">
      <c r="O700" s="100"/>
      <c r="P700" s="100"/>
      <c r="Q700" s="100"/>
    </row>
    <row r="701" ht="15.75" customHeight="1">
      <c r="O701" s="100"/>
      <c r="P701" s="100"/>
      <c r="Q701" s="100"/>
    </row>
    <row r="702" ht="15.75" customHeight="1">
      <c r="O702" s="100"/>
      <c r="P702" s="100"/>
      <c r="Q702" s="100"/>
    </row>
    <row r="703" ht="15.75" customHeight="1">
      <c r="O703" s="100"/>
      <c r="P703" s="100"/>
      <c r="Q703" s="100"/>
    </row>
    <row r="704" ht="15.75" customHeight="1">
      <c r="O704" s="100"/>
      <c r="P704" s="100"/>
      <c r="Q704" s="100"/>
    </row>
    <row r="705" ht="15.75" customHeight="1">
      <c r="O705" s="100"/>
      <c r="P705" s="100"/>
      <c r="Q705" s="100"/>
    </row>
    <row r="706" ht="15.75" customHeight="1">
      <c r="O706" s="100"/>
      <c r="P706" s="100"/>
      <c r="Q706" s="100"/>
    </row>
    <row r="707" ht="15.75" customHeight="1">
      <c r="O707" s="100"/>
      <c r="P707" s="100"/>
      <c r="Q707" s="100"/>
    </row>
    <row r="708" ht="15.75" customHeight="1">
      <c r="O708" s="100"/>
      <c r="P708" s="100"/>
      <c r="Q708" s="100"/>
    </row>
    <row r="709" ht="15.75" customHeight="1">
      <c r="O709" s="100"/>
      <c r="P709" s="100"/>
      <c r="Q709" s="100"/>
    </row>
    <row r="710" ht="15.75" customHeight="1">
      <c r="O710" s="100"/>
      <c r="P710" s="100"/>
      <c r="Q710" s="100"/>
    </row>
    <row r="711" ht="15.75" customHeight="1">
      <c r="O711" s="100"/>
      <c r="P711" s="100"/>
      <c r="Q711" s="100"/>
    </row>
    <row r="712" ht="15.75" customHeight="1">
      <c r="O712" s="100"/>
      <c r="P712" s="100"/>
      <c r="Q712" s="100"/>
    </row>
    <row r="713" ht="15.75" customHeight="1">
      <c r="O713" s="100"/>
      <c r="P713" s="100"/>
      <c r="Q713" s="100"/>
    </row>
    <row r="714" ht="15.75" customHeight="1">
      <c r="O714" s="100"/>
      <c r="P714" s="100"/>
      <c r="Q714" s="100"/>
    </row>
    <row r="715" ht="15.75" customHeight="1">
      <c r="O715" s="100"/>
      <c r="P715" s="100"/>
      <c r="Q715" s="100"/>
    </row>
    <row r="716" ht="15.75" customHeight="1">
      <c r="O716" s="100"/>
      <c r="P716" s="100"/>
      <c r="Q716" s="100"/>
    </row>
    <row r="717" ht="15.75" customHeight="1">
      <c r="O717" s="100"/>
      <c r="P717" s="100"/>
      <c r="Q717" s="100"/>
    </row>
    <row r="718" ht="15.75" customHeight="1">
      <c r="O718" s="100"/>
      <c r="P718" s="100"/>
      <c r="Q718" s="100"/>
    </row>
    <row r="719" ht="15.75" customHeight="1">
      <c r="O719" s="100"/>
      <c r="P719" s="100"/>
      <c r="Q719" s="100"/>
    </row>
    <row r="720" ht="15.75" customHeight="1">
      <c r="O720" s="100"/>
      <c r="P720" s="100"/>
      <c r="Q720" s="100"/>
    </row>
    <row r="721" ht="15.75" customHeight="1">
      <c r="O721" s="100"/>
      <c r="P721" s="100"/>
      <c r="Q721" s="100"/>
    </row>
    <row r="722" ht="15.75" customHeight="1">
      <c r="O722" s="100"/>
      <c r="P722" s="100"/>
      <c r="Q722" s="100"/>
    </row>
    <row r="723" ht="15.75" customHeight="1">
      <c r="O723" s="100"/>
      <c r="P723" s="100"/>
      <c r="Q723" s="100"/>
    </row>
    <row r="724" ht="15.75" customHeight="1">
      <c r="O724" s="100"/>
      <c r="P724" s="100"/>
      <c r="Q724" s="100"/>
    </row>
    <row r="725" ht="15.75" customHeight="1">
      <c r="O725" s="100"/>
      <c r="P725" s="100"/>
      <c r="Q725" s="100"/>
    </row>
    <row r="726" ht="15.75" customHeight="1">
      <c r="O726" s="100"/>
      <c r="P726" s="100"/>
      <c r="Q726" s="100"/>
    </row>
    <row r="727" ht="15.75" customHeight="1">
      <c r="O727" s="100"/>
      <c r="P727" s="100"/>
      <c r="Q727" s="100"/>
    </row>
    <row r="728" ht="15.75" customHeight="1">
      <c r="O728" s="100"/>
      <c r="P728" s="100"/>
      <c r="Q728" s="100"/>
    </row>
    <row r="729" ht="15.75" customHeight="1">
      <c r="O729" s="100"/>
      <c r="P729" s="100"/>
      <c r="Q729" s="100"/>
    </row>
    <row r="730" ht="15.75" customHeight="1">
      <c r="O730" s="100"/>
      <c r="P730" s="100"/>
      <c r="Q730" s="100"/>
    </row>
    <row r="731" ht="15.75" customHeight="1">
      <c r="O731" s="100"/>
      <c r="P731" s="100"/>
      <c r="Q731" s="100"/>
    </row>
    <row r="732" ht="15.75" customHeight="1">
      <c r="O732" s="100"/>
      <c r="P732" s="100"/>
      <c r="Q732" s="100"/>
    </row>
    <row r="733" ht="15.75" customHeight="1">
      <c r="O733" s="100"/>
      <c r="P733" s="100"/>
      <c r="Q733" s="100"/>
    </row>
    <row r="734" ht="15.75" customHeight="1">
      <c r="O734" s="100"/>
      <c r="P734" s="100"/>
      <c r="Q734" s="100"/>
    </row>
    <row r="735" ht="15.75" customHeight="1">
      <c r="O735" s="100"/>
      <c r="P735" s="100"/>
      <c r="Q735" s="100"/>
    </row>
    <row r="736" ht="15.75" customHeight="1">
      <c r="O736" s="100"/>
      <c r="P736" s="100"/>
      <c r="Q736" s="100"/>
    </row>
    <row r="737" ht="15.75" customHeight="1">
      <c r="O737" s="100"/>
      <c r="P737" s="100"/>
      <c r="Q737" s="100"/>
    </row>
    <row r="738" ht="15.75" customHeight="1">
      <c r="O738" s="100"/>
      <c r="P738" s="100"/>
      <c r="Q738" s="100"/>
    </row>
    <row r="739" ht="15.75" customHeight="1">
      <c r="O739" s="100"/>
      <c r="P739" s="100"/>
      <c r="Q739" s="100"/>
    </row>
    <row r="740" ht="15.75" customHeight="1">
      <c r="O740" s="100"/>
      <c r="P740" s="100"/>
      <c r="Q740" s="100"/>
    </row>
    <row r="741" ht="15.75" customHeight="1">
      <c r="O741" s="100"/>
      <c r="P741" s="100"/>
      <c r="Q741" s="100"/>
    </row>
    <row r="742" ht="15.75" customHeight="1">
      <c r="O742" s="100"/>
      <c r="P742" s="100"/>
      <c r="Q742" s="100"/>
    </row>
    <row r="743" ht="15.75" customHeight="1">
      <c r="O743" s="100"/>
      <c r="P743" s="100"/>
      <c r="Q743" s="100"/>
    </row>
    <row r="744" ht="15.75" customHeight="1">
      <c r="O744" s="100"/>
      <c r="P744" s="100"/>
      <c r="Q744" s="100"/>
    </row>
    <row r="745" ht="15.75" customHeight="1">
      <c r="O745" s="100"/>
      <c r="P745" s="100"/>
      <c r="Q745" s="100"/>
    </row>
    <row r="746" ht="15.75" customHeight="1">
      <c r="O746" s="100"/>
      <c r="P746" s="100"/>
      <c r="Q746" s="100"/>
    </row>
    <row r="747" ht="15.75" customHeight="1">
      <c r="O747" s="100"/>
      <c r="P747" s="100"/>
      <c r="Q747" s="100"/>
    </row>
    <row r="748" ht="15.75" customHeight="1">
      <c r="O748" s="100"/>
      <c r="P748" s="100"/>
      <c r="Q748" s="100"/>
    </row>
    <row r="749" ht="15.75" customHeight="1">
      <c r="O749" s="100"/>
      <c r="P749" s="100"/>
      <c r="Q749" s="100"/>
    </row>
    <row r="750" ht="15.75" customHeight="1">
      <c r="O750" s="100"/>
      <c r="P750" s="100"/>
      <c r="Q750" s="100"/>
    </row>
    <row r="751" ht="15.75" customHeight="1">
      <c r="O751" s="100"/>
      <c r="P751" s="100"/>
      <c r="Q751" s="100"/>
    </row>
    <row r="752" ht="15.75" customHeight="1">
      <c r="O752" s="100"/>
      <c r="P752" s="100"/>
      <c r="Q752" s="100"/>
    </row>
    <row r="753" ht="15.75" customHeight="1">
      <c r="O753" s="100"/>
      <c r="P753" s="100"/>
      <c r="Q753" s="100"/>
    </row>
    <row r="754" ht="15.75" customHeight="1">
      <c r="O754" s="100"/>
      <c r="P754" s="100"/>
      <c r="Q754" s="100"/>
    </row>
    <row r="755" ht="15.75" customHeight="1">
      <c r="O755" s="100"/>
      <c r="P755" s="100"/>
      <c r="Q755" s="100"/>
    </row>
    <row r="756" ht="15.75" customHeight="1">
      <c r="O756" s="100"/>
      <c r="P756" s="100"/>
      <c r="Q756" s="100"/>
    </row>
    <row r="757" ht="15.75" customHeight="1">
      <c r="O757" s="100"/>
      <c r="P757" s="100"/>
      <c r="Q757" s="100"/>
    </row>
    <row r="758" ht="15.75" customHeight="1">
      <c r="O758" s="100"/>
      <c r="P758" s="100"/>
      <c r="Q758" s="100"/>
    </row>
    <row r="759" ht="15.75" customHeight="1">
      <c r="O759" s="100"/>
      <c r="P759" s="100"/>
      <c r="Q759" s="100"/>
    </row>
    <row r="760" ht="15.75" customHeight="1">
      <c r="O760" s="100"/>
      <c r="P760" s="100"/>
      <c r="Q760" s="100"/>
    </row>
    <row r="761" ht="15.75" customHeight="1">
      <c r="O761" s="100"/>
      <c r="P761" s="100"/>
      <c r="Q761" s="100"/>
    </row>
    <row r="762" ht="15.75" customHeight="1">
      <c r="O762" s="100"/>
      <c r="P762" s="100"/>
      <c r="Q762" s="100"/>
    </row>
    <row r="763" ht="15.75" customHeight="1">
      <c r="O763" s="100"/>
      <c r="P763" s="100"/>
      <c r="Q763" s="100"/>
    </row>
    <row r="764" ht="15.75" customHeight="1">
      <c r="O764" s="100"/>
      <c r="P764" s="100"/>
      <c r="Q764" s="100"/>
    </row>
    <row r="765" ht="15.75" customHeight="1">
      <c r="O765" s="100"/>
      <c r="P765" s="100"/>
      <c r="Q765" s="100"/>
    </row>
    <row r="766" ht="15.75" customHeight="1">
      <c r="O766" s="100"/>
      <c r="P766" s="100"/>
      <c r="Q766" s="100"/>
    </row>
    <row r="767" ht="15.75" customHeight="1">
      <c r="O767" s="100"/>
      <c r="P767" s="100"/>
      <c r="Q767" s="100"/>
    </row>
    <row r="768" ht="15.75" customHeight="1">
      <c r="O768" s="100"/>
      <c r="P768" s="100"/>
      <c r="Q768" s="100"/>
    </row>
    <row r="769" ht="15.75" customHeight="1">
      <c r="O769" s="100"/>
      <c r="P769" s="100"/>
      <c r="Q769" s="100"/>
    </row>
    <row r="770" ht="15.75" customHeight="1">
      <c r="O770" s="100"/>
      <c r="P770" s="100"/>
      <c r="Q770" s="100"/>
    </row>
    <row r="771" ht="15.75" customHeight="1">
      <c r="O771" s="100"/>
      <c r="P771" s="100"/>
      <c r="Q771" s="100"/>
    </row>
    <row r="772" ht="15.75" customHeight="1">
      <c r="O772" s="100"/>
      <c r="P772" s="100"/>
      <c r="Q772" s="100"/>
    </row>
    <row r="773" ht="15.75" customHeight="1">
      <c r="O773" s="100"/>
      <c r="P773" s="100"/>
      <c r="Q773" s="100"/>
    </row>
    <row r="774" ht="15.75" customHeight="1">
      <c r="O774" s="100"/>
      <c r="P774" s="100"/>
      <c r="Q774" s="100"/>
    </row>
    <row r="775" ht="15.75" customHeight="1">
      <c r="O775" s="100"/>
      <c r="P775" s="100"/>
      <c r="Q775" s="100"/>
    </row>
    <row r="776" ht="15.75" customHeight="1">
      <c r="O776" s="100"/>
      <c r="P776" s="100"/>
      <c r="Q776" s="100"/>
    </row>
    <row r="777" ht="15.75" customHeight="1">
      <c r="O777" s="100"/>
      <c r="P777" s="100"/>
      <c r="Q777" s="100"/>
    </row>
    <row r="778" ht="15.75" customHeight="1">
      <c r="O778" s="100"/>
      <c r="P778" s="100"/>
      <c r="Q778" s="100"/>
    </row>
    <row r="779" ht="15.75" customHeight="1">
      <c r="O779" s="100"/>
      <c r="P779" s="100"/>
      <c r="Q779" s="100"/>
    </row>
    <row r="780" ht="15.75" customHeight="1">
      <c r="O780" s="100"/>
      <c r="P780" s="100"/>
      <c r="Q780" s="100"/>
    </row>
    <row r="781" ht="15.75" customHeight="1">
      <c r="O781" s="100"/>
      <c r="P781" s="100"/>
      <c r="Q781" s="100"/>
    </row>
    <row r="782" ht="15.75" customHeight="1">
      <c r="O782" s="100"/>
      <c r="P782" s="100"/>
      <c r="Q782" s="100"/>
    </row>
    <row r="783" ht="15.75" customHeight="1">
      <c r="O783" s="100"/>
      <c r="P783" s="100"/>
      <c r="Q783" s="100"/>
    </row>
    <row r="784" ht="15.75" customHeight="1">
      <c r="O784" s="100"/>
      <c r="P784" s="100"/>
      <c r="Q784" s="100"/>
    </row>
    <row r="785" ht="15.75" customHeight="1">
      <c r="O785" s="100"/>
      <c r="P785" s="100"/>
      <c r="Q785" s="100"/>
    </row>
    <row r="786" ht="15.75" customHeight="1">
      <c r="O786" s="100"/>
      <c r="P786" s="100"/>
      <c r="Q786" s="100"/>
    </row>
    <row r="787" ht="15.75" customHeight="1">
      <c r="O787" s="100"/>
      <c r="P787" s="100"/>
      <c r="Q787" s="100"/>
    </row>
    <row r="788" ht="15.75" customHeight="1">
      <c r="O788" s="100"/>
      <c r="P788" s="100"/>
      <c r="Q788" s="100"/>
    </row>
    <row r="789" ht="15.75" customHeight="1">
      <c r="O789" s="100"/>
      <c r="P789" s="100"/>
      <c r="Q789" s="100"/>
    </row>
    <row r="790" ht="15.75" customHeight="1">
      <c r="O790" s="100"/>
      <c r="P790" s="100"/>
      <c r="Q790" s="100"/>
    </row>
    <row r="791" ht="15.75" customHeight="1">
      <c r="O791" s="100"/>
      <c r="P791" s="100"/>
      <c r="Q791" s="100"/>
    </row>
    <row r="792" ht="15.75" customHeight="1">
      <c r="O792" s="100"/>
      <c r="P792" s="100"/>
      <c r="Q792" s="100"/>
    </row>
    <row r="793" ht="15.75" customHeight="1">
      <c r="O793" s="100"/>
      <c r="P793" s="100"/>
      <c r="Q793" s="100"/>
    </row>
    <row r="794" ht="15.75" customHeight="1">
      <c r="O794" s="100"/>
      <c r="P794" s="100"/>
      <c r="Q794" s="100"/>
    </row>
    <row r="795" ht="15.75" customHeight="1">
      <c r="O795" s="100"/>
      <c r="P795" s="100"/>
      <c r="Q795" s="100"/>
    </row>
    <row r="796" ht="15.75" customHeight="1">
      <c r="O796" s="100"/>
      <c r="P796" s="100"/>
      <c r="Q796" s="100"/>
    </row>
    <row r="797" ht="15.75" customHeight="1">
      <c r="O797" s="100"/>
      <c r="P797" s="100"/>
      <c r="Q797" s="100"/>
    </row>
    <row r="798" ht="15.75" customHeight="1">
      <c r="O798" s="100"/>
      <c r="P798" s="100"/>
      <c r="Q798" s="100"/>
    </row>
    <row r="799" ht="15.75" customHeight="1">
      <c r="O799" s="100"/>
      <c r="P799" s="100"/>
      <c r="Q799" s="100"/>
    </row>
    <row r="800" ht="15.75" customHeight="1">
      <c r="O800" s="100"/>
      <c r="P800" s="100"/>
      <c r="Q800" s="100"/>
    </row>
    <row r="801" ht="15.75" customHeight="1">
      <c r="O801" s="100"/>
      <c r="P801" s="100"/>
      <c r="Q801" s="100"/>
    </row>
    <row r="802" ht="15.75" customHeight="1">
      <c r="O802" s="100"/>
      <c r="P802" s="100"/>
      <c r="Q802" s="100"/>
    </row>
    <row r="803" ht="15.75" customHeight="1">
      <c r="O803" s="100"/>
      <c r="P803" s="100"/>
      <c r="Q803" s="100"/>
    </row>
    <row r="804" ht="15.75" customHeight="1">
      <c r="O804" s="100"/>
      <c r="P804" s="100"/>
      <c r="Q804" s="100"/>
    </row>
    <row r="805" ht="15.75" customHeight="1">
      <c r="O805" s="100"/>
      <c r="P805" s="100"/>
      <c r="Q805" s="100"/>
    </row>
    <row r="806" ht="15.75" customHeight="1">
      <c r="O806" s="100"/>
      <c r="P806" s="100"/>
      <c r="Q806" s="100"/>
    </row>
    <row r="807" ht="15.75" customHeight="1">
      <c r="O807" s="100"/>
      <c r="P807" s="100"/>
      <c r="Q807" s="100"/>
    </row>
    <row r="808" ht="15.75" customHeight="1">
      <c r="O808" s="100"/>
      <c r="P808" s="100"/>
      <c r="Q808" s="100"/>
    </row>
    <row r="809" ht="15.75" customHeight="1">
      <c r="O809" s="100"/>
      <c r="P809" s="100"/>
      <c r="Q809" s="100"/>
    </row>
    <row r="810" ht="15.75" customHeight="1">
      <c r="O810" s="100"/>
      <c r="P810" s="100"/>
      <c r="Q810" s="100"/>
    </row>
    <row r="811" ht="15.75" customHeight="1">
      <c r="O811" s="100"/>
      <c r="P811" s="100"/>
      <c r="Q811" s="100"/>
    </row>
    <row r="812" ht="15.75" customHeight="1">
      <c r="O812" s="100"/>
      <c r="P812" s="100"/>
      <c r="Q812" s="100"/>
    </row>
    <row r="813" ht="15.75" customHeight="1">
      <c r="O813" s="100"/>
      <c r="P813" s="100"/>
      <c r="Q813" s="100"/>
    </row>
    <row r="814" ht="15.75" customHeight="1">
      <c r="O814" s="100"/>
      <c r="P814" s="100"/>
      <c r="Q814" s="100"/>
    </row>
    <row r="815" ht="15.75" customHeight="1">
      <c r="O815" s="100"/>
      <c r="P815" s="100"/>
      <c r="Q815" s="100"/>
    </row>
    <row r="816" ht="15.75" customHeight="1">
      <c r="O816" s="100"/>
      <c r="P816" s="100"/>
      <c r="Q816" s="100"/>
    </row>
    <row r="817" ht="15.75" customHeight="1">
      <c r="O817" s="100"/>
      <c r="P817" s="100"/>
      <c r="Q817" s="100"/>
    </row>
    <row r="818" ht="15.75" customHeight="1">
      <c r="O818" s="100"/>
      <c r="P818" s="100"/>
      <c r="Q818" s="100"/>
    </row>
    <row r="819" ht="15.75" customHeight="1">
      <c r="O819" s="100"/>
      <c r="P819" s="100"/>
      <c r="Q819" s="100"/>
    </row>
    <row r="820" ht="15.75" customHeight="1">
      <c r="O820" s="100"/>
      <c r="P820" s="100"/>
      <c r="Q820" s="100"/>
    </row>
    <row r="821" ht="15.75" customHeight="1">
      <c r="O821" s="100"/>
      <c r="P821" s="100"/>
      <c r="Q821" s="100"/>
    </row>
    <row r="822" ht="15.75" customHeight="1">
      <c r="O822" s="100"/>
      <c r="P822" s="100"/>
      <c r="Q822" s="100"/>
    </row>
    <row r="823" ht="15.75" customHeight="1">
      <c r="O823" s="100"/>
      <c r="P823" s="100"/>
      <c r="Q823" s="100"/>
    </row>
    <row r="824" ht="15.75" customHeight="1">
      <c r="O824" s="100"/>
      <c r="P824" s="100"/>
      <c r="Q824" s="100"/>
    </row>
    <row r="825" ht="15.75" customHeight="1">
      <c r="O825" s="100"/>
      <c r="P825" s="100"/>
      <c r="Q825" s="100"/>
    </row>
    <row r="826" ht="15.75" customHeight="1">
      <c r="O826" s="100"/>
      <c r="P826" s="100"/>
      <c r="Q826" s="100"/>
    </row>
    <row r="827" ht="15.75" customHeight="1">
      <c r="O827" s="100"/>
      <c r="P827" s="100"/>
      <c r="Q827" s="100"/>
    </row>
    <row r="828" ht="15.75" customHeight="1">
      <c r="O828" s="100"/>
      <c r="P828" s="100"/>
      <c r="Q828" s="100"/>
    </row>
    <row r="829" ht="15.75" customHeight="1">
      <c r="O829" s="100"/>
      <c r="P829" s="100"/>
      <c r="Q829" s="100"/>
    </row>
    <row r="830" ht="15.75" customHeight="1">
      <c r="O830" s="100"/>
      <c r="P830" s="100"/>
      <c r="Q830" s="100"/>
    </row>
    <row r="831" ht="15.75" customHeight="1">
      <c r="O831" s="100"/>
      <c r="P831" s="100"/>
      <c r="Q831" s="100"/>
    </row>
    <row r="832" ht="15.75" customHeight="1">
      <c r="O832" s="100"/>
      <c r="P832" s="100"/>
      <c r="Q832" s="100"/>
    </row>
    <row r="833" ht="15.75" customHeight="1">
      <c r="O833" s="100"/>
      <c r="P833" s="100"/>
      <c r="Q833" s="100"/>
    </row>
    <row r="834" ht="15.75" customHeight="1">
      <c r="O834" s="100"/>
      <c r="P834" s="100"/>
      <c r="Q834" s="100"/>
    </row>
    <row r="835" ht="15.75" customHeight="1">
      <c r="O835" s="100"/>
      <c r="P835" s="100"/>
      <c r="Q835" s="100"/>
    </row>
    <row r="836" ht="15.75" customHeight="1">
      <c r="O836" s="100"/>
      <c r="P836" s="100"/>
      <c r="Q836" s="100"/>
    </row>
    <row r="837" ht="15.75" customHeight="1">
      <c r="O837" s="100"/>
      <c r="P837" s="100"/>
      <c r="Q837" s="100"/>
    </row>
    <row r="838" ht="15.75" customHeight="1">
      <c r="O838" s="100"/>
      <c r="P838" s="100"/>
      <c r="Q838" s="100"/>
    </row>
    <row r="839" ht="15.75" customHeight="1">
      <c r="O839" s="100"/>
      <c r="P839" s="100"/>
      <c r="Q839" s="100"/>
    </row>
    <row r="840" ht="15.75" customHeight="1">
      <c r="O840" s="100"/>
      <c r="P840" s="100"/>
      <c r="Q840" s="100"/>
    </row>
    <row r="841" ht="15.75" customHeight="1">
      <c r="O841" s="100"/>
      <c r="P841" s="100"/>
      <c r="Q841" s="100"/>
    </row>
    <row r="842" ht="15.75" customHeight="1">
      <c r="O842" s="100"/>
      <c r="P842" s="100"/>
      <c r="Q842" s="100"/>
    </row>
    <row r="843" ht="15.75" customHeight="1">
      <c r="O843" s="100"/>
      <c r="P843" s="100"/>
      <c r="Q843" s="100"/>
    </row>
    <row r="844" ht="15.75" customHeight="1">
      <c r="O844" s="100"/>
      <c r="P844" s="100"/>
      <c r="Q844" s="100"/>
    </row>
    <row r="845" ht="15.75" customHeight="1">
      <c r="O845" s="100"/>
      <c r="P845" s="100"/>
      <c r="Q845" s="100"/>
    </row>
    <row r="846" ht="15.75" customHeight="1">
      <c r="O846" s="100"/>
      <c r="P846" s="100"/>
      <c r="Q846" s="100"/>
    </row>
    <row r="847" ht="15.75" customHeight="1">
      <c r="O847" s="100"/>
      <c r="P847" s="100"/>
      <c r="Q847" s="100"/>
    </row>
    <row r="848" ht="15.75" customHeight="1">
      <c r="O848" s="100"/>
      <c r="P848" s="100"/>
      <c r="Q848" s="100"/>
    </row>
    <row r="849" ht="15.75" customHeight="1">
      <c r="O849" s="100"/>
      <c r="P849" s="100"/>
      <c r="Q849" s="100"/>
    </row>
    <row r="850" ht="15.75" customHeight="1">
      <c r="O850" s="100"/>
      <c r="P850" s="100"/>
      <c r="Q850" s="100"/>
    </row>
    <row r="851" ht="15.75" customHeight="1">
      <c r="O851" s="100"/>
      <c r="P851" s="100"/>
      <c r="Q851" s="100"/>
    </row>
    <row r="852" ht="15.75" customHeight="1">
      <c r="O852" s="100"/>
      <c r="P852" s="100"/>
      <c r="Q852" s="100"/>
    </row>
    <row r="853" ht="15.75" customHeight="1">
      <c r="O853" s="100"/>
      <c r="P853" s="100"/>
      <c r="Q853" s="100"/>
    </row>
    <row r="854" ht="15.75" customHeight="1">
      <c r="O854" s="100"/>
      <c r="P854" s="100"/>
      <c r="Q854" s="100"/>
    </row>
    <row r="855" ht="15.75" customHeight="1">
      <c r="O855" s="100"/>
      <c r="P855" s="100"/>
      <c r="Q855" s="100"/>
    </row>
    <row r="856" ht="15.75" customHeight="1">
      <c r="O856" s="100"/>
      <c r="P856" s="100"/>
      <c r="Q856" s="100"/>
    </row>
    <row r="857" ht="15.75" customHeight="1">
      <c r="O857" s="100"/>
      <c r="P857" s="100"/>
      <c r="Q857" s="100"/>
    </row>
    <row r="858" ht="15.75" customHeight="1">
      <c r="O858" s="100"/>
      <c r="P858" s="100"/>
      <c r="Q858" s="100"/>
    </row>
    <row r="859" ht="15.75" customHeight="1">
      <c r="O859" s="100"/>
      <c r="P859" s="100"/>
      <c r="Q859" s="100"/>
    </row>
    <row r="860" ht="15.75" customHeight="1">
      <c r="O860" s="100"/>
      <c r="P860" s="100"/>
      <c r="Q860" s="100"/>
    </row>
    <row r="861" ht="15.75" customHeight="1">
      <c r="O861" s="100"/>
      <c r="P861" s="100"/>
      <c r="Q861" s="100"/>
    </row>
    <row r="862" ht="15.75" customHeight="1">
      <c r="O862" s="100"/>
      <c r="P862" s="100"/>
      <c r="Q862" s="100"/>
    </row>
    <row r="863" ht="15.75" customHeight="1">
      <c r="O863" s="100"/>
      <c r="P863" s="100"/>
      <c r="Q863" s="100"/>
    </row>
    <row r="864" ht="15.75" customHeight="1">
      <c r="O864" s="100"/>
      <c r="P864" s="100"/>
      <c r="Q864" s="100"/>
    </row>
    <row r="865" ht="15.75" customHeight="1">
      <c r="O865" s="100"/>
      <c r="P865" s="100"/>
      <c r="Q865" s="100"/>
    </row>
    <row r="866" ht="15.75" customHeight="1">
      <c r="O866" s="100"/>
      <c r="P866" s="100"/>
      <c r="Q866" s="100"/>
    </row>
    <row r="867" ht="15.75" customHeight="1">
      <c r="O867" s="100"/>
      <c r="P867" s="100"/>
      <c r="Q867" s="100"/>
    </row>
    <row r="868" ht="15.75" customHeight="1">
      <c r="O868" s="100"/>
      <c r="P868" s="100"/>
      <c r="Q868" s="100"/>
    </row>
    <row r="869" ht="15.75" customHeight="1">
      <c r="O869" s="100"/>
      <c r="P869" s="100"/>
      <c r="Q869" s="100"/>
    </row>
    <row r="870" ht="15.75" customHeight="1">
      <c r="O870" s="100"/>
      <c r="P870" s="100"/>
      <c r="Q870" s="100"/>
    </row>
    <row r="871" ht="15.75" customHeight="1">
      <c r="O871" s="100"/>
      <c r="P871" s="100"/>
      <c r="Q871" s="100"/>
    </row>
    <row r="872" ht="15.75" customHeight="1">
      <c r="O872" s="100"/>
      <c r="P872" s="100"/>
      <c r="Q872" s="100"/>
    </row>
    <row r="873" ht="15.75" customHeight="1">
      <c r="O873" s="100"/>
      <c r="P873" s="100"/>
      <c r="Q873" s="100"/>
    </row>
    <row r="874" ht="15.75" customHeight="1">
      <c r="O874" s="100"/>
      <c r="P874" s="100"/>
      <c r="Q874" s="100"/>
    </row>
    <row r="875" ht="15.75" customHeight="1">
      <c r="O875" s="100"/>
      <c r="P875" s="100"/>
      <c r="Q875" s="100"/>
    </row>
    <row r="876" ht="15.75" customHeight="1">
      <c r="O876" s="100"/>
      <c r="P876" s="100"/>
      <c r="Q876" s="100"/>
    </row>
    <row r="877" ht="15.75" customHeight="1">
      <c r="O877" s="100"/>
      <c r="P877" s="100"/>
      <c r="Q877" s="100"/>
    </row>
    <row r="878" ht="15.75" customHeight="1">
      <c r="O878" s="100"/>
      <c r="P878" s="100"/>
      <c r="Q878" s="100"/>
    </row>
    <row r="879" ht="15.75" customHeight="1">
      <c r="O879" s="100"/>
      <c r="P879" s="100"/>
      <c r="Q879" s="100"/>
    </row>
    <row r="880" ht="15.75" customHeight="1">
      <c r="O880" s="100"/>
      <c r="P880" s="100"/>
      <c r="Q880" s="100"/>
    </row>
    <row r="881" ht="15.75" customHeight="1">
      <c r="O881" s="100"/>
      <c r="P881" s="100"/>
      <c r="Q881" s="100"/>
    </row>
    <row r="882" ht="15.75" customHeight="1">
      <c r="O882" s="100"/>
      <c r="P882" s="100"/>
      <c r="Q882" s="100"/>
    </row>
    <row r="883" ht="15.75" customHeight="1">
      <c r="O883" s="100"/>
      <c r="P883" s="100"/>
      <c r="Q883" s="100"/>
    </row>
    <row r="884" ht="15.75" customHeight="1">
      <c r="O884" s="100"/>
      <c r="P884" s="100"/>
      <c r="Q884" s="100"/>
    </row>
    <row r="885" ht="15.75" customHeight="1">
      <c r="O885" s="100"/>
      <c r="P885" s="100"/>
      <c r="Q885" s="100"/>
    </row>
    <row r="886" ht="15.75" customHeight="1">
      <c r="O886" s="100"/>
      <c r="P886" s="100"/>
      <c r="Q886" s="100"/>
    </row>
    <row r="887" ht="15.75" customHeight="1">
      <c r="O887" s="100"/>
      <c r="P887" s="100"/>
      <c r="Q887" s="100"/>
    </row>
    <row r="888" ht="15.75" customHeight="1">
      <c r="O888" s="100"/>
      <c r="P888" s="100"/>
      <c r="Q888" s="100"/>
    </row>
    <row r="889" ht="15.75" customHeight="1">
      <c r="O889" s="100"/>
      <c r="P889" s="100"/>
      <c r="Q889" s="100"/>
    </row>
    <row r="890" ht="15.75" customHeight="1">
      <c r="O890" s="100"/>
      <c r="P890" s="100"/>
      <c r="Q890" s="100"/>
    </row>
    <row r="891" ht="15.75" customHeight="1">
      <c r="O891" s="100"/>
      <c r="P891" s="100"/>
      <c r="Q891" s="100"/>
    </row>
    <row r="892" ht="15.75" customHeight="1">
      <c r="O892" s="100"/>
      <c r="P892" s="100"/>
      <c r="Q892" s="100"/>
    </row>
    <row r="893" ht="15.75" customHeight="1">
      <c r="O893" s="100"/>
      <c r="P893" s="100"/>
      <c r="Q893" s="100"/>
    </row>
    <row r="894" ht="15.75" customHeight="1">
      <c r="O894" s="100"/>
      <c r="P894" s="100"/>
      <c r="Q894" s="100"/>
    </row>
    <row r="895" ht="15.75" customHeight="1">
      <c r="O895" s="100"/>
      <c r="P895" s="100"/>
      <c r="Q895" s="100"/>
    </row>
    <row r="896" ht="15.75" customHeight="1">
      <c r="O896" s="100"/>
      <c r="P896" s="100"/>
      <c r="Q896" s="100"/>
    </row>
    <row r="897" ht="15.75" customHeight="1">
      <c r="O897" s="100"/>
      <c r="P897" s="100"/>
      <c r="Q897" s="100"/>
    </row>
    <row r="898" ht="15.75" customHeight="1">
      <c r="O898" s="100"/>
      <c r="P898" s="100"/>
      <c r="Q898" s="100"/>
    </row>
    <row r="899" ht="15.75" customHeight="1">
      <c r="O899" s="100"/>
      <c r="P899" s="100"/>
      <c r="Q899" s="100"/>
    </row>
    <row r="900" ht="15.75" customHeight="1">
      <c r="O900" s="100"/>
      <c r="P900" s="100"/>
      <c r="Q900" s="100"/>
    </row>
    <row r="901" ht="15.75" customHeight="1">
      <c r="O901" s="100"/>
      <c r="P901" s="100"/>
      <c r="Q901" s="100"/>
    </row>
    <row r="902" ht="15.75" customHeight="1">
      <c r="O902" s="100"/>
      <c r="P902" s="100"/>
      <c r="Q902" s="100"/>
    </row>
    <row r="903" ht="15.75" customHeight="1">
      <c r="O903" s="100"/>
      <c r="P903" s="100"/>
      <c r="Q903" s="100"/>
    </row>
    <row r="904" ht="15.75" customHeight="1">
      <c r="O904" s="100"/>
      <c r="P904" s="100"/>
      <c r="Q904" s="100"/>
    </row>
    <row r="905" ht="15.75" customHeight="1">
      <c r="O905" s="100"/>
      <c r="P905" s="100"/>
      <c r="Q905" s="100"/>
    </row>
    <row r="906" ht="15.75" customHeight="1">
      <c r="O906" s="100"/>
      <c r="P906" s="100"/>
      <c r="Q906" s="100"/>
    </row>
    <row r="907" ht="15.75" customHeight="1">
      <c r="O907" s="100"/>
      <c r="P907" s="100"/>
      <c r="Q907" s="100"/>
    </row>
    <row r="908" ht="15.75" customHeight="1">
      <c r="O908" s="100"/>
      <c r="P908" s="100"/>
      <c r="Q908" s="100"/>
    </row>
    <row r="909" ht="15.75" customHeight="1">
      <c r="O909" s="100"/>
      <c r="P909" s="100"/>
      <c r="Q909" s="100"/>
    </row>
    <row r="910" ht="15.75" customHeight="1">
      <c r="O910" s="100"/>
      <c r="P910" s="100"/>
      <c r="Q910" s="100"/>
    </row>
    <row r="911" ht="15.75" customHeight="1">
      <c r="O911" s="100"/>
      <c r="P911" s="100"/>
      <c r="Q911" s="100"/>
    </row>
    <row r="912" ht="15.75" customHeight="1">
      <c r="O912" s="100"/>
      <c r="P912" s="100"/>
      <c r="Q912" s="100"/>
    </row>
    <row r="913" ht="15.75" customHeight="1">
      <c r="O913" s="100"/>
      <c r="P913" s="100"/>
      <c r="Q913" s="100"/>
    </row>
    <row r="914" ht="15.75" customHeight="1">
      <c r="O914" s="100"/>
      <c r="P914" s="100"/>
      <c r="Q914" s="100"/>
    </row>
    <row r="915" ht="15.75" customHeight="1">
      <c r="O915" s="100"/>
      <c r="P915" s="100"/>
      <c r="Q915" s="100"/>
    </row>
    <row r="916" ht="15.75" customHeight="1">
      <c r="O916" s="100"/>
      <c r="P916" s="100"/>
      <c r="Q916" s="100"/>
    </row>
    <row r="917" ht="15.75" customHeight="1">
      <c r="O917" s="100"/>
      <c r="P917" s="100"/>
      <c r="Q917" s="100"/>
    </row>
    <row r="918" ht="15.75" customHeight="1">
      <c r="O918" s="100"/>
      <c r="P918" s="100"/>
      <c r="Q918" s="100"/>
    </row>
    <row r="919" ht="15.75" customHeight="1">
      <c r="O919" s="100"/>
      <c r="P919" s="100"/>
      <c r="Q919" s="100"/>
    </row>
    <row r="920" ht="15.75" customHeight="1">
      <c r="O920" s="100"/>
      <c r="P920" s="100"/>
      <c r="Q920" s="100"/>
    </row>
    <row r="921" ht="15.75" customHeight="1">
      <c r="O921" s="100"/>
      <c r="P921" s="100"/>
      <c r="Q921" s="100"/>
    </row>
    <row r="922" ht="15.75" customHeight="1">
      <c r="O922" s="100"/>
      <c r="P922" s="100"/>
      <c r="Q922" s="100"/>
    </row>
    <row r="923" ht="15.75" customHeight="1">
      <c r="O923" s="100"/>
      <c r="P923" s="100"/>
      <c r="Q923" s="100"/>
    </row>
    <row r="924" ht="15.75" customHeight="1">
      <c r="O924" s="100"/>
      <c r="P924" s="100"/>
      <c r="Q924" s="100"/>
    </row>
    <row r="925" ht="15.75" customHeight="1">
      <c r="O925" s="100"/>
      <c r="P925" s="100"/>
      <c r="Q925" s="100"/>
    </row>
    <row r="926" ht="15.75" customHeight="1">
      <c r="O926" s="100"/>
      <c r="P926" s="100"/>
      <c r="Q926" s="100"/>
    </row>
    <row r="927" ht="15.75" customHeight="1">
      <c r="O927" s="100"/>
      <c r="P927" s="100"/>
      <c r="Q927" s="100"/>
    </row>
    <row r="928" ht="15.75" customHeight="1">
      <c r="O928" s="100"/>
      <c r="P928" s="100"/>
      <c r="Q928" s="100"/>
    </row>
    <row r="929" ht="15.75" customHeight="1">
      <c r="O929" s="100"/>
      <c r="P929" s="100"/>
      <c r="Q929" s="100"/>
    </row>
    <row r="930" ht="15.75" customHeight="1">
      <c r="O930" s="100"/>
      <c r="P930" s="100"/>
      <c r="Q930" s="100"/>
    </row>
    <row r="931" ht="15.75" customHeight="1">
      <c r="O931" s="100"/>
      <c r="P931" s="100"/>
      <c r="Q931" s="100"/>
    </row>
    <row r="932" ht="15.75" customHeight="1">
      <c r="O932" s="100"/>
      <c r="P932" s="100"/>
      <c r="Q932" s="100"/>
    </row>
    <row r="933" ht="15.75" customHeight="1">
      <c r="O933" s="100"/>
      <c r="P933" s="100"/>
      <c r="Q933" s="100"/>
    </row>
    <row r="934" ht="15.75" customHeight="1">
      <c r="O934" s="100"/>
      <c r="P934" s="100"/>
      <c r="Q934" s="100"/>
    </row>
    <row r="935" ht="15.75" customHeight="1">
      <c r="O935" s="100"/>
      <c r="P935" s="100"/>
      <c r="Q935" s="100"/>
    </row>
    <row r="936" ht="15.75" customHeight="1">
      <c r="O936" s="100"/>
      <c r="P936" s="100"/>
      <c r="Q936" s="100"/>
    </row>
    <row r="937" ht="15.75" customHeight="1">
      <c r="O937" s="100"/>
      <c r="P937" s="100"/>
      <c r="Q937" s="100"/>
    </row>
    <row r="938" ht="15.75" customHeight="1">
      <c r="O938" s="100"/>
      <c r="P938" s="100"/>
      <c r="Q938" s="100"/>
    </row>
    <row r="939" ht="15.75" customHeight="1">
      <c r="O939" s="100"/>
      <c r="P939" s="100"/>
      <c r="Q939" s="100"/>
    </row>
    <row r="940" ht="15.75" customHeight="1">
      <c r="O940" s="100"/>
      <c r="P940" s="100"/>
      <c r="Q940" s="100"/>
    </row>
    <row r="941" ht="15.75" customHeight="1">
      <c r="O941" s="100"/>
      <c r="P941" s="100"/>
      <c r="Q941" s="100"/>
    </row>
    <row r="942" ht="15.75" customHeight="1">
      <c r="O942" s="100"/>
      <c r="P942" s="100"/>
      <c r="Q942" s="100"/>
    </row>
    <row r="943" ht="15.75" customHeight="1">
      <c r="O943" s="100"/>
      <c r="P943" s="100"/>
      <c r="Q943" s="100"/>
    </row>
    <row r="944" ht="15.75" customHeight="1">
      <c r="O944" s="100"/>
      <c r="P944" s="100"/>
      <c r="Q944" s="100"/>
    </row>
    <row r="945" ht="15.75" customHeight="1">
      <c r="O945" s="100"/>
      <c r="P945" s="100"/>
      <c r="Q945" s="100"/>
    </row>
    <row r="946" ht="15.75" customHeight="1">
      <c r="O946" s="100"/>
      <c r="P946" s="100"/>
      <c r="Q946" s="100"/>
    </row>
    <row r="947" ht="15.75" customHeight="1">
      <c r="O947" s="100"/>
      <c r="P947" s="100"/>
      <c r="Q947" s="100"/>
    </row>
    <row r="948" ht="15.75" customHeight="1">
      <c r="O948" s="100"/>
      <c r="P948" s="100"/>
      <c r="Q948" s="100"/>
    </row>
    <row r="949" ht="15.75" customHeight="1">
      <c r="O949" s="100"/>
      <c r="P949" s="100"/>
      <c r="Q949" s="100"/>
    </row>
    <row r="950" ht="15.75" customHeight="1">
      <c r="O950" s="100"/>
      <c r="P950" s="100"/>
      <c r="Q950" s="100"/>
    </row>
    <row r="951" ht="15.75" customHeight="1">
      <c r="O951" s="100"/>
      <c r="P951" s="100"/>
      <c r="Q951" s="100"/>
    </row>
    <row r="952" ht="15.75" customHeight="1">
      <c r="O952" s="100"/>
      <c r="P952" s="100"/>
      <c r="Q952" s="100"/>
    </row>
    <row r="953" ht="15.75" customHeight="1">
      <c r="O953" s="100"/>
      <c r="P953" s="100"/>
      <c r="Q953" s="100"/>
    </row>
    <row r="954" ht="15.75" customHeight="1">
      <c r="O954" s="100"/>
      <c r="P954" s="100"/>
      <c r="Q954" s="100"/>
    </row>
    <row r="955" ht="15.75" customHeight="1">
      <c r="O955" s="100"/>
      <c r="P955" s="100"/>
      <c r="Q955" s="100"/>
    </row>
    <row r="956" ht="15.75" customHeight="1">
      <c r="O956" s="100"/>
      <c r="P956" s="100"/>
      <c r="Q956" s="100"/>
    </row>
    <row r="957" ht="15.75" customHeight="1">
      <c r="O957" s="100"/>
      <c r="P957" s="100"/>
      <c r="Q957" s="100"/>
    </row>
    <row r="958" ht="15.75" customHeight="1">
      <c r="O958" s="100"/>
      <c r="P958" s="100"/>
      <c r="Q958" s="100"/>
    </row>
    <row r="959" ht="15.75" customHeight="1">
      <c r="O959" s="100"/>
      <c r="P959" s="100"/>
      <c r="Q959" s="100"/>
    </row>
    <row r="960" ht="15.75" customHeight="1">
      <c r="O960" s="100"/>
      <c r="P960" s="100"/>
      <c r="Q960" s="100"/>
    </row>
    <row r="961" ht="15.75" customHeight="1">
      <c r="O961" s="100"/>
      <c r="P961" s="100"/>
      <c r="Q961" s="100"/>
    </row>
    <row r="962" ht="15.75" customHeight="1">
      <c r="O962" s="100"/>
      <c r="P962" s="100"/>
      <c r="Q962" s="100"/>
    </row>
    <row r="963" ht="15.75" customHeight="1">
      <c r="O963" s="100"/>
      <c r="P963" s="100"/>
      <c r="Q963" s="100"/>
    </row>
    <row r="964" ht="15.75" customHeight="1">
      <c r="O964" s="100"/>
      <c r="P964" s="100"/>
      <c r="Q964" s="100"/>
    </row>
    <row r="965" ht="15.75" customHeight="1">
      <c r="O965" s="100"/>
      <c r="P965" s="100"/>
      <c r="Q965" s="100"/>
    </row>
    <row r="966" ht="15.75" customHeight="1">
      <c r="O966" s="100"/>
      <c r="P966" s="100"/>
      <c r="Q966" s="100"/>
    </row>
    <row r="967" ht="15.75" customHeight="1">
      <c r="O967" s="100"/>
      <c r="P967" s="100"/>
      <c r="Q967" s="100"/>
    </row>
    <row r="968" ht="15.75" customHeight="1">
      <c r="O968" s="100"/>
      <c r="P968" s="100"/>
      <c r="Q968" s="100"/>
    </row>
    <row r="969" ht="15.75" customHeight="1">
      <c r="O969" s="100"/>
      <c r="P969" s="100"/>
      <c r="Q969" s="100"/>
    </row>
    <row r="970" ht="15.75" customHeight="1">
      <c r="O970" s="100"/>
      <c r="P970" s="100"/>
      <c r="Q970" s="100"/>
    </row>
    <row r="971" ht="15.75" customHeight="1">
      <c r="O971" s="100"/>
      <c r="P971" s="100"/>
      <c r="Q971" s="100"/>
    </row>
    <row r="972" ht="15.75" customHeight="1">
      <c r="O972" s="100"/>
      <c r="P972" s="100"/>
      <c r="Q972" s="100"/>
    </row>
    <row r="973" ht="15.75" customHeight="1">
      <c r="O973" s="100"/>
      <c r="P973" s="100"/>
      <c r="Q973" s="100"/>
    </row>
    <row r="974" ht="15.75" customHeight="1">
      <c r="O974" s="100"/>
      <c r="P974" s="100"/>
      <c r="Q974" s="100"/>
    </row>
    <row r="975" ht="15.75" customHeight="1">
      <c r="O975" s="100"/>
      <c r="P975" s="100"/>
      <c r="Q975" s="100"/>
    </row>
    <row r="976" ht="15.75" customHeight="1">
      <c r="O976" s="100"/>
      <c r="P976" s="100"/>
      <c r="Q976" s="100"/>
    </row>
    <row r="977" ht="15.75" customHeight="1">
      <c r="O977" s="100"/>
      <c r="P977" s="100"/>
      <c r="Q977" s="100"/>
    </row>
    <row r="978" ht="15.75" customHeight="1">
      <c r="O978" s="100"/>
      <c r="P978" s="100"/>
      <c r="Q978" s="100"/>
    </row>
    <row r="979" ht="15.75" customHeight="1">
      <c r="O979" s="100"/>
      <c r="P979" s="100"/>
      <c r="Q979" s="100"/>
    </row>
    <row r="980" ht="15.75" customHeight="1">
      <c r="O980" s="100"/>
      <c r="P980" s="100"/>
      <c r="Q980" s="100"/>
    </row>
    <row r="981" ht="15.75" customHeight="1">
      <c r="O981" s="100"/>
      <c r="P981" s="100"/>
      <c r="Q981" s="100"/>
    </row>
    <row r="982" ht="15.75" customHeight="1">
      <c r="O982" s="100"/>
      <c r="P982" s="100"/>
      <c r="Q982" s="100"/>
    </row>
    <row r="983" ht="15.75" customHeight="1">
      <c r="O983" s="100"/>
      <c r="P983" s="100"/>
      <c r="Q983" s="100"/>
    </row>
    <row r="984" ht="15.75" customHeight="1">
      <c r="O984" s="100"/>
      <c r="P984" s="100"/>
      <c r="Q984" s="100"/>
    </row>
    <row r="985" ht="15.75" customHeight="1">
      <c r="O985" s="100"/>
      <c r="P985" s="100"/>
      <c r="Q985" s="100"/>
    </row>
    <row r="986" ht="15.75" customHeight="1">
      <c r="O986" s="100"/>
      <c r="P986" s="100"/>
      <c r="Q986" s="100"/>
    </row>
    <row r="987" ht="15.75" customHeight="1">
      <c r="O987" s="100"/>
      <c r="P987" s="100"/>
      <c r="Q987" s="100"/>
    </row>
    <row r="988" ht="15.75" customHeight="1">
      <c r="O988" s="100"/>
      <c r="P988" s="100"/>
      <c r="Q988" s="100"/>
    </row>
    <row r="989" ht="15.75" customHeight="1">
      <c r="O989" s="100"/>
      <c r="P989" s="100"/>
      <c r="Q989" s="100"/>
    </row>
    <row r="990" ht="15.75" customHeight="1">
      <c r="O990" s="100"/>
      <c r="P990" s="100"/>
      <c r="Q990" s="100"/>
    </row>
    <row r="991" ht="15.75" customHeight="1">
      <c r="O991" s="100"/>
      <c r="P991" s="100"/>
      <c r="Q991" s="100"/>
    </row>
    <row r="992" ht="15.75" customHeight="1">
      <c r="O992" s="100"/>
      <c r="P992" s="100"/>
      <c r="Q992" s="100"/>
    </row>
    <row r="993" ht="15.75" customHeight="1">
      <c r="O993" s="100"/>
      <c r="P993" s="100"/>
      <c r="Q993" s="100"/>
    </row>
    <row r="994" ht="15.75" customHeight="1">
      <c r="O994" s="100"/>
      <c r="P994" s="100"/>
      <c r="Q994" s="100"/>
    </row>
    <row r="995" ht="15.75" customHeight="1">
      <c r="O995" s="100"/>
      <c r="P995" s="100"/>
      <c r="Q995" s="100"/>
    </row>
    <row r="996" ht="15.75" customHeight="1">
      <c r="O996" s="100"/>
      <c r="P996" s="100"/>
      <c r="Q996" s="100"/>
    </row>
    <row r="997" ht="15.75" customHeight="1">
      <c r="O997" s="100"/>
      <c r="P997" s="100"/>
      <c r="Q997" s="100"/>
    </row>
    <row r="998" ht="15.75" customHeight="1">
      <c r="O998" s="100"/>
      <c r="P998" s="100"/>
      <c r="Q998" s="100"/>
    </row>
    <row r="999" ht="15.75" customHeight="1">
      <c r="O999" s="100"/>
      <c r="P999" s="100"/>
      <c r="Q999" s="100"/>
    </row>
    <row r="1000" ht="15.75" customHeight="1">
      <c r="O1000" s="100"/>
      <c r="P1000" s="100"/>
      <c r="Q1000" s="100"/>
    </row>
  </sheetData>
  <mergeCells count="2">
    <mergeCell ref="K1:M1"/>
    <mergeCell ref="O1:Q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30.29"/>
    <col customWidth="1" min="3" max="3" width="11.0"/>
    <col customWidth="1" min="4" max="4" width="20.0"/>
    <col customWidth="1" min="5" max="5" width="21.43"/>
  </cols>
  <sheetData>
    <row r="1" ht="15.0" customHeight="1">
      <c r="A1" s="15" t="s">
        <v>62</v>
      </c>
      <c r="B1" s="15" t="s">
        <v>27</v>
      </c>
      <c r="C1" s="15" t="s">
        <v>11</v>
      </c>
      <c r="D1" s="15" t="s">
        <v>28</v>
      </c>
      <c r="E1" s="15" t="s">
        <v>29</v>
      </c>
    </row>
    <row r="2" ht="15.0" customHeight="1">
      <c r="A2" s="102">
        <v>3.318621158E9</v>
      </c>
      <c r="B2" s="102" t="s">
        <v>234</v>
      </c>
      <c r="C2" s="102" t="s">
        <v>54</v>
      </c>
      <c r="D2" s="102" t="s">
        <v>225</v>
      </c>
      <c r="E2" s="102" t="s">
        <v>71</v>
      </c>
    </row>
    <row r="3" ht="15.0" customHeight="1">
      <c r="A3" s="65">
        <v>3.93100134E9</v>
      </c>
      <c r="B3" s="65"/>
      <c r="C3" s="65"/>
      <c r="D3" s="65"/>
      <c r="E3" s="65"/>
    </row>
    <row r="4" ht="15.0" customHeight="1">
      <c r="A4" s="102">
        <v>3.931190252E9</v>
      </c>
      <c r="B4" s="102" t="s">
        <v>79</v>
      </c>
      <c r="C4" s="102" t="s">
        <v>54</v>
      </c>
      <c r="D4" s="102" t="s">
        <v>70</v>
      </c>
      <c r="E4" s="102" t="s">
        <v>71</v>
      </c>
    </row>
    <row r="5" ht="15.0" customHeight="1">
      <c r="A5" s="103">
        <v>3.931190275E9</v>
      </c>
      <c r="B5" s="103"/>
      <c r="C5" s="103"/>
      <c r="D5" s="103"/>
      <c r="E5" s="103"/>
    </row>
    <row r="6" ht="15.0" customHeight="1">
      <c r="A6" s="102">
        <v>3.931190277E9</v>
      </c>
      <c r="B6" s="102" t="s">
        <v>333</v>
      </c>
      <c r="C6" s="102" t="s">
        <v>54</v>
      </c>
      <c r="D6" s="102" t="s">
        <v>323</v>
      </c>
      <c r="E6" s="102" t="s">
        <v>334</v>
      </c>
    </row>
    <row r="7" ht="15.0" customHeight="1">
      <c r="A7" s="102">
        <v>3.931205198E9</v>
      </c>
      <c r="B7" s="102" t="s">
        <v>122</v>
      </c>
      <c r="C7" s="102" t="s">
        <v>54</v>
      </c>
      <c r="D7" s="102" t="s">
        <v>117</v>
      </c>
      <c r="E7" s="102" t="s">
        <v>89</v>
      </c>
    </row>
    <row r="8" ht="15.0" customHeight="1">
      <c r="A8" s="102">
        <v>3.931245254E9</v>
      </c>
      <c r="B8" s="102" t="s">
        <v>126</v>
      </c>
      <c r="C8" s="102" t="s">
        <v>54</v>
      </c>
      <c r="D8" s="102" t="s">
        <v>117</v>
      </c>
      <c r="E8" s="102" t="s">
        <v>127</v>
      </c>
    </row>
    <row r="9" ht="15.0" customHeight="1">
      <c r="A9" s="102">
        <v>3.951428204E9</v>
      </c>
      <c r="B9" s="102" t="s">
        <v>327</v>
      </c>
      <c r="C9" s="102" t="s">
        <v>31</v>
      </c>
      <c r="D9" s="102" t="s">
        <v>323</v>
      </c>
      <c r="E9" s="102" t="s">
        <v>328</v>
      </c>
    </row>
    <row r="10" ht="15.0" customHeight="1">
      <c r="A10" s="102">
        <v>4.432078351E9</v>
      </c>
      <c r="B10" s="102" t="s">
        <v>555</v>
      </c>
      <c r="C10" s="102" t="s">
        <v>551</v>
      </c>
      <c r="D10" s="102" t="s">
        <v>483</v>
      </c>
      <c r="E10" s="102" t="s">
        <v>89</v>
      </c>
    </row>
    <row r="11" ht="15.0" customHeight="1">
      <c r="A11" s="102">
        <v>4.432276388E9</v>
      </c>
      <c r="B11" s="102" t="s">
        <v>578</v>
      </c>
      <c r="C11" s="102" t="s">
        <v>551</v>
      </c>
      <c r="D11" s="102" t="s">
        <v>225</v>
      </c>
      <c r="E11" s="102" t="s">
        <v>71</v>
      </c>
    </row>
    <row r="12">
      <c r="A12" s="48"/>
      <c r="B12" s="48"/>
      <c r="C12" s="48"/>
      <c r="D12" s="48"/>
      <c r="E12" s="48"/>
    </row>
    <row r="13">
      <c r="A13" s="48"/>
      <c r="B13" s="48"/>
      <c r="C13" s="48"/>
      <c r="D13" s="48"/>
      <c r="E13" s="48"/>
    </row>
    <row r="14">
      <c r="A14" s="48"/>
      <c r="B14" s="48"/>
      <c r="C14" s="48"/>
      <c r="D14" s="48"/>
      <c r="E14" s="48"/>
    </row>
    <row r="15">
      <c r="A15" s="48"/>
      <c r="B15" s="48"/>
      <c r="C15" s="48"/>
      <c r="D15" s="48"/>
      <c r="E15" s="48"/>
    </row>
    <row r="16">
      <c r="A16" s="48"/>
      <c r="B16" s="48"/>
      <c r="C16" s="48"/>
      <c r="D16" s="48"/>
      <c r="E16" s="48"/>
    </row>
    <row r="17">
      <c r="A17" s="48"/>
      <c r="B17" s="48"/>
      <c r="C17" s="48"/>
      <c r="D17" s="48"/>
      <c r="E17" s="48"/>
    </row>
    <row r="18">
      <c r="A18" s="48"/>
      <c r="B18" s="48"/>
      <c r="C18" s="48"/>
      <c r="D18" s="48"/>
      <c r="E18" s="48"/>
    </row>
    <row r="19">
      <c r="A19" s="48"/>
      <c r="B19" s="48"/>
      <c r="C19" s="48"/>
      <c r="D19" s="48"/>
      <c r="E19" s="48"/>
    </row>
    <row r="20">
      <c r="A20" s="48"/>
      <c r="B20" s="48"/>
      <c r="C20" s="48"/>
      <c r="D20" s="48"/>
      <c r="E20" s="48"/>
    </row>
    <row r="21">
      <c r="A21" s="48"/>
      <c r="B21" s="48"/>
      <c r="C21" s="48"/>
      <c r="D21" s="48"/>
      <c r="E21" s="48"/>
    </row>
    <row r="22">
      <c r="A22" s="48"/>
      <c r="B22" s="48"/>
      <c r="C22" s="48"/>
      <c r="D22" s="48"/>
      <c r="E22" s="48"/>
    </row>
    <row r="23">
      <c r="A23" s="48"/>
      <c r="B23" s="48"/>
      <c r="C23" s="48"/>
      <c r="D23" s="48"/>
      <c r="E23" s="48"/>
    </row>
    <row r="24">
      <c r="A24" s="48"/>
      <c r="B24" s="48"/>
      <c r="C24" s="48"/>
      <c r="D24" s="48"/>
      <c r="E24" s="48"/>
    </row>
    <row r="25">
      <c r="A25" s="48"/>
      <c r="B25" s="48"/>
      <c r="C25" s="48"/>
      <c r="D25" s="48"/>
      <c r="E25" s="48"/>
    </row>
    <row r="26">
      <c r="A26" s="48"/>
      <c r="B26" s="48"/>
      <c r="C26" s="48"/>
      <c r="D26" s="48"/>
      <c r="E26" s="48"/>
    </row>
    <row r="27">
      <c r="A27" s="48"/>
      <c r="B27" s="48"/>
      <c r="C27" s="48"/>
      <c r="D27" s="48"/>
      <c r="E27" s="48"/>
    </row>
    <row r="28">
      <c r="A28" s="48"/>
      <c r="B28" s="48"/>
      <c r="C28" s="48"/>
      <c r="D28" s="48"/>
      <c r="E28" s="48"/>
    </row>
    <row r="29">
      <c r="A29" s="48"/>
      <c r="B29" s="48"/>
      <c r="C29" s="48"/>
      <c r="D29" s="48"/>
      <c r="E29" s="48"/>
    </row>
    <row r="30">
      <c r="A30" s="48"/>
      <c r="B30" s="48"/>
      <c r="C30" s="48"/>
      <c r="D30" s="48"/>
      <c r="E30" s="48"/>
    </row>
    <row r="31">
      <c r="A31" s="48"/>
      <c r="B31" s="48"/>
      <c r="C31" s="48"/>
      <c r="D31" s="48"/>
      <c r="E31" s="48"/>
    </row>
    <row r="32">
      <c r="A32" s="48"/>
      <c r="B32" s="48"/>
      <c r="C32" s="48"/>
      <c r="D32" s="48"/>
      <c r="E32" s="48"/>
    </row>
    <row r="33">
      <c r="A33" s="48"/>
      <c r="B33" s="48"/>
      <c r="C33" s="48"/>
      <c r="D33" s="48"/>
      <c r="E33" s="48"/>
    </row>
    <row r="34">
      <c r="A34" s="48"/>
      <c r="B34" s="48"/>
      <c r="C34" s="48"/>
      <c r="D34" s="48"/>
      <c r="E34" s="48"/>
    </row>
    <row r="35">
      <c r="A35" s="48"/>
      <c r="B35" s="48"/>
      <c r="C35" s="48"/>
      <c r="D35" s="48"/>
      <c r="E35" s="48"/>
    </row>
    <row r="36">
      <c r="A36" s="48"/>
      <c r="B36" s="48"/>
      <c r="C36" s="48"/>
      <c r="D36" s="48"/>
      <c r="E36" s="48"/>
    </row>
    <row r="37">
      <c r="A37" s="48"/>
      <c r="B37" s="48"/>
      <c r="C37" s="48"/>
      <c r="D37" s="48"/>
      <c r="E37" s="48"/>
    </row>
    <row r="38">
      <c r="A38" s="48"/>
      <c r="B38" s="48"/>
      <c r="C38" s="48"/>
      <c r="D38" s="48"/>
      <c r="E38" s="48"/>
    </row>
    <row r="39">
      <c r="A39" s="48"/>
      <c r="B39" s="48"/>
      <c r="C39" s="48"/>
      <c r="D39" s="48"/>
      <c r="E39" s="48"/>
    </row>
    <row r="40">
      <c r="A40" s="48"/>
      <c r="B40" s="48"/>
      <c r="C40" s="48"/>
      <c r="D40" s="48"/>
      <c r="E40" s="48"/>
    </row>
    <row r="41">
      <c r="A41" s="48"/>
      <c r="B41" s="48"/>
      <c r="C41" s="48"/>
      <c r="D41" s="48"/>
      <c r="E41" s="48"/>
    </row>
    <row r="42">
      <c r="A42" s="48"/>
      <c r="B42" s="48"/>
      <c r="C42" s="48"/>
      <c r="D42" s="48"/>
      <c r="E42" s="48"/>
    </row>
    <row r="43">
      <c r="A43" s="48"/>
      <c r="B43" s="48"/>
      <c r="C43" s="48"/>
      <c r="D43" s="48"/>
      <c r="E43" s="48"/>
    </row>
    <row r="44">
      <c r="A44" s="48"/>
      <c r="B44" s="48"/>
      <c r="C44" s="48"/>
      <c r="D44" s="48"/>
      <c r="E44" s="48"/>
    </row>
    <row r="45">
      <c r="A45" s="48"/>
      <c r="B45" s="48"/>
      <c r="C45" s="48"/>
      <c r="D45" s="48"/>
      <c r="E45" s="48"/>
    </row>
    <row r="46">
      <c r="A46" s="48"/>
      <c r="B46" s="48"/>
      <c r="C46" s="48"/>
      <c r="D46" s="48"/>
      <c r="E46" s="48"/>
    </row>
    <row r="47">
      <c r="A47" s="48"/>
      <c r="B47" s="48"/>
      <c r="C47" s="48"/>
      <c r="D47" s="48"/>
      <c r="E47" s="48"/>
    </row>
    <row r="48">
      <c r="A48" s="48"/>
      <c r="B48" s="48"/>
      <c r="C48" s="48"/>
      <c r="D48" s="48"/>
      <c r="E48" s="48"/>
    </row>
    <row r="49">
      <c r="A49" s="48"/>
      <c r="B49" s="48"/>
      <c r="C49" s="48"/>
      <c r="D49" s="48"/>
      <c r="E49" s="48"/>
    </row>
    <row r="50">
      <c r="A50" s="48"/>
      <c r="B50" s="48"/>
      <c r="C50" s="48"/>
      <c r="D50" s="48"/>
      <c r="E50" s="48"/>
    </row>
    <row r="51">
      <c r="A51" s="48"/>
      <c r="B51" s="48"/>
      <c r="C51" s="48"/>
      <c r="D51" s="48"/>
      <c r="E51" s="48"/>
    </row>
    <row r="52">
      <c r="A52" s="48"/>
      <c r="B52" s="48"/>
      <c r="C52" s="48"/>
      <c r="D52" s="48"/>
      <c r="E52" s="48"/>
    </row>
    <row r="53">
      <c r="A53" s="48"/>
      <c r="B53" s="48"/>
      <c r="C53" s="48"/>
      <c r="D53" s="48"/>
      <c r="E53" s="48"/>
    </row>
    <row r="54">
      <c r="A54" s="48"/>
      <c r="B54" s="48"/>
      <c r="C54" s="48"/>
      <c r="D54" s="48"/>
      <c r="E54" s="48"/>
    </row>
    <row r="55">
      <c r="A55" s="48"/>
      <c r="B55" s="48"/>
      <c r="C55" s="48"/>
      <c r="D55" s="48"/>
      <c r="E55" s="48"/>
    </row>
    <row r="56">
      <c r="A56" s="48"/>
      <c r="B56" s="48"/>
      <c r="C56" s="48"/>
      <c r="D56" s="48"/>
      <c r="E56" s="48"/>
    </row>
    <row r="57">
      <c r="A57" s="48"/>
      <c r="B57" s="48"/>
      <c r="C57" s="48"/>
      <c r="D57" s="48"/>
      <c r="E57" s="48"/>
    </row>
    <row r="58">
      <c r="A58" s="48"/>
      <c r="B58" s="48"/>
      <c r="C58" s="48"/>
      <c r="D58" s="48"/>
      <c r="E58" s="48"/>
    </row>
    <row r="59">
      <c r="A59" s="48"/>
      <c r="B59" s="48"/>
      <c r="C59" s="48"/>
      <c r="D59" s="48"/>
      <c r="E59" s="48"/>
    </row>
    <row r="60">
      <c r="A60" s="48"/>
      <c r="B60" s="48"/>
      <c r="C60" s="48"/>
      <c r="D60" s="48"/>
      <c r="E60" s="48"/>
    </row>
    <row r="61">
      <c r="A61" s="48"/>
      <c r="B61" s="48"/>
      <c r="C61" s="48"/>
      <c r="D61" s="48"/>
      <c r="E61" s="48"/>
    </row>
    <row r="62">
      <c r="A62" s="48"/>
      <c r="B62" s="48"/>
      <c r="C62" s="48"/>
      <c r="D62" s="48"/>
      <c r="E62" s="48"/>
    </row>
    <row r="63">
      <c r="A63" s="48"/>
      <c r="B63" s="48"/>
      <c r="C63" s="48"/>
      <c r="D63" s="48"/>
      <c r="E63" s="48"/>
    </row>
    <row r="64">
      <c r="A64" s="48"/>
      <c r="B64" s="48"/>
      <c r="C64" s="48"/>
      <c r="D64" s="48"/>
      <c r="E64" s="48"/>
    </row>
    <row r="65">
      <c r="A65" s="48"/>
      <c r="B65" s="48"/>
      <c r="C65" s="48"/>
      <c r="D65" s="48"/>
      <c r="E65" s="48"/>
    </row>
    <row r="66">
      <c r="A66" s="48"/>
      <c r="B66" s="48"/>
      <c r="C66" s="48"/>
      <c r="D66" s="48"/>
      <c r="E66" s="48"/>
    </row>
    <row r="67">
      <c r="A67" s="48"/>
      <c r="B67" s="48"/>
      <c r="C67" s="48"/>
      <c r="D67" s="48"/>
      <c r="E67" s="48"/>
    </row>
    <row r="68">
      <c r="A68" s="48"/>
      <c r="B68" s="48"/>
      <c r="C68" s="48"/>
      <c r="D68" s="48"/>
      <c r="E68" s="48"/>
    </row>
    <row r="69">
      <c r="A69" s="48"/>
      <c r="B69" s="48"/>
      <c r="C69" s="48"/>
      <c r="D69" s="48"/>
      <c r="E69" s="48"/>
    </row>
    <row r="70">
      <c r="A70" s="48"/>
      <c r="B70" s="48"/>
      <c r="C70" s="48"/>
      <c r="D70" s="48"/>
      <c r="E70" s="48"/>
    </row>
    <row r="71">
      <c r="A71" s="48"/>
      <c r="B71" s="48"/>
      <c r="C71" s="48"/>
      <c r="D71" s="48"/>
      <c r="E71" s="48"/>
    </row>
    <row r="72">
      <c r="A72" s="48"/>
      <c r="B72" s="48"/>
      <c r="C72" s="48"/>
      <c r="D72" s="48"/>
      <c r="E72" s="48"/>
    </row>
    <row r="73">
      <c r="A73" s="48"/>
      <c r="B73" s="48"/>
      <c r="C73" s="48"/>
      <c r="D73" s="48"/>
      <c r="E73" s="48"/>
    </row>
    <row r="74">
      <c r="A74" s="48"/>
      <c r="B74" s="48"/>
      <c r="C74" s="48"/>
      <c r="D74" s="48"/>
      <c r="E74" s="48"/>
    </row>
    <row r="75">
      <c r="A75" s="48"/>
      <c r="B75" s="48"/>
      <c r="C75" s="48"/>
      <c r="D75" s="48"/>
      <c r="E75" s="48"/>
    </row>
    <row r="76">
      <c r="A76" s="48"/>
      <c r="B76" s="48"/>
      <c r="C76" s="48"/>
      <c r="D76" s="48"/>
      <c r="E76" s="48"/>
    </row>
    <row r="77">
      <c r="A77" s="48"/>
      <c r="B77" s="48"/>
      <c r="C77" s="48"/>
      <c r="D77" s="48"/>
      <c r="E77" s="48"/>
    </row>
    <row r="78">
      <c r="A78" s="48"/>
      <c r="B78" s="48"/>
      <c r="C78" s="48"/>
      <c r="D78" s="48"/>
      <c r="E78" s="48"/>
    </row>
    <row r="79">
      <c r="A79" s="48"/>
      <c r="B79" s="48"/>
      <c r="C79" s="48"/>
      <c r="D79" s="48"/>
      <c r="E79" s="48"/>
    </row>
    <row r="80">
      <c r="A80" s="48"/>
      <c r="B80" s="48"/>
      <c r="C80" s="48"/>
      <c r="D80" s="48"/>
      <c r="E80" s="48"/>
    </row>
    <row r="81">
      <c r="A81" s="48"/>
      <c r="B81" s="48"/>
      <c r="C81" s="48"/>
      <c r="D81" s="48"/>
      <c r="E81" s="48"/>
    </row>
    <row r="82">
      <c r="A82" s="48"/>
      <c r="B82" s="48"/>
      <c r="C82" s="48"/>
      <c r="D82" s="48"/>
      <c r="E82" s="48"/>
    </row>
    <row r="83">
      <c r="A83" s="48"/>
      <c r="B83" s="48"/>
      <c r="C83" s="48"/>
      <c r="D83" s="48"/>
      <c r="E83" s="48"/>
    </row>
    <row r="84">
      <c r="A84" s="48"/>
      <c r="B84" s="48"/>
      <c r="C84" s="48"/>
      <c r="D84" s="48"/>
      <c r="E84" s="48"/>
    </row>
    <row r="85">
      <c r="A85" s="48"/>
      <c r="B85" s="48"/>
      <c r="C85" s="48"/>
      <c r="D85" s="48"/>
      <c r="E85" s="48"/>
    </row>
    <row r="86">
      <c r="A86" s="48"/>
      <c r="B86" s="48"/>
      <c r="C86" s="48"/>
      <c r="D86" s="48"/>
      <c r="E86" s="48"/>
    </row>
    <row r="87">
      <c r="A87" s="48"/>
      <c r="B87" s="48"/>
      <c r="C87" s="48"/>
      <c r="D87" s="48"/>
      <c r="E87" s="48"/>
    </row>
    <row r="88">
      <c r="A88" s="48"/>
      <c r="B88" s="48"/>
      <c r="C88" s="48"/>
      <c r="D88" s="48"/>
      <c r="E88" s="48"/>
    </row>
    <row r="89">
      <c r="A89" s="48"/>
      <c r="B89" s="48"/>
      <c r="C89" s="48"/>
      <c r="D89" s="48"/>
      <c r="E89" s="48"/>
    </row>
    <row r="90">
      <c r="A90" s="48"/>
      <c r="B90" s="48"/>
      <c r="C90" s="48"/>
      <c r="D90" s="48"/>
      <c r="E90" s="48"/>
    </row>
    <row r="91">
      <c r="A91" s="48"/>
      <c r="B91" s="48"/>
      <c r="C91" s="48"/>
      <c r="D91" s="48"/>
      <c r="E91" s="48"/>
    </row>
    <row r="92">
      <c r="A92" s="48"/>
      <c r="B92" s="48"/>
      <c r="C92" s="48"/>
      <c r="D92" s="48"/>
      <c r="E92" s="48"/>
    </row>
    <row r="93">
      <c r="A93" s="48"/>
      <c r="B93" s="48"/>
      <c r="C93" s="48"/>
      <c r="D93" s="48"/>
      <c r="E93" s="48"/>
    </row>
    <row r="94">
      <c r="A94" s="48"/>
      <c r="B94" s="48"/>
      <c r="C94" s="48"/>
      <c r="D94" s="48"/>
      <c r="E94" s="48"/>
    </row>
    <row r="95">
      <c r="A95" s="48"/>
      <c r="B95" s="48"/>
      <c r="C95" s="48"/>
      <c r="D95" s="48"/>
      <c r="E95" s="48"/>
    </row>
    <row r="96">
      <c r="A96" s="48"/>
      <c r="B96" s="48"/>
      <c r="C96" s="48"/>
      <c r="D96" s="48"/>
      <c r="E96" s="48"/>
    </row>
    <row r="97">
      <c r="A97" s="48"/>
      <c r="B97" s="48"/>
      <c r="C97" s="48"/>
      <c r="D97" s="48"/>
      <c r="E97" s="48"/>
    </row>
    <row r="98">
      <c r="A98" s="48"/>
      <c r="B98" s="48"/>
      <c r="C98" s="48"/>
      <c r="D98" s="48"/>
      <c r="E98" s="48"/>
    </row>
    <row r="99">
      <c r="A99" s="48"/>
      <c r="B99" s="48"/>
      <c r="C99" s="48"/>
      <c r="D99" s="48"/>
      <c r="E99" s="48"/>
    </row>
    <row r="100">
      <c r="A100" s="48"/>
      <c r="B100" s="48"/>
      <c r="C100" s="48"/>
      <c r="D100" s="48"/>
      <c r="E100" s="48"/>
    </row>
    <row r="101">
      <c r="A101" s="48"/>
      <c r="B101" s="48"/>
      <c r="C101" s="48"/>
      <c r="D101" s="48"/>
      <c r="E101" s="48"/>
    </row>
    <row r="102">
      <c r="A102" s="48"/>
      <c r="B102" s="48"/>
      <c r="C102" s="48"/>
      <c r="D102" s="48"/>
      <c r="E102" s="48"/>
    </row>
    <row r="103">
      <c r="A103" s="48"/>
      <c r="B103" s="48"/>
      <c r="C103" s="48"/>
      <c r="D103" s="48"/>
      <c r="E103" s="48"/>
    </row>
    <row r="104">
      <c r="A104" s="48"/>
      <c r="B104" s="48"/>
      <c r="C104" s="48"/>
      <c r="D104" s="48"/>
      <c r="E104" s="48"/>
    </row>
    <row r="105">
      <c r="A105" s="48"/>
      <c r="B105" s="48"/>
      <c r="C105" s="48"/>
      <c r="D105" s="48"/>
      <c r="E105" s="48"/>
    </row>
    <row r="106">
      <c r="A106" s="48"/>
      <c r="B106" s="48"/>
      <c r="C106" s="48"/>
      <c r="D106" s="48"/>
      <c r="E106" s="48"/>
    </row>
    <row r="107">
      <c r="A107" s="48"/>
      <c r="B107" s="48"/>
      <c r="C107" s="48"/>
      <c r="D107" s="48"/>
      <c r="E107" s="48"/>
    </row>
    <row r="108">
      <c r="A108" s="48"/>
      <c r="B108" s="48"/>
      <c r="C108" s="48"/>
      <c r="D108" s="48"/>
      <c r="E108" s="48"/>
    </row>
    <row r="109">
      <c r="A109" s="48"/>
      <c r="B109" s="48"/>
      <c r="C109" s="48"/>
      <c r="D109" s="48"/>
      <c r="E109" s="48"/>
    </row>
    <row r="110">
      <c r="A110" s="48"/>
      <c r="B110" s="48"/>
      <c r="C110" s="48"/>
      <c r="D110" s="48"/>
      <c r="E110" s="48"/>
    </row>
    <row r="111">
      <c r="A111" s="48"/>
      <c r="B111" s="48"/>
      <c r="C111" s="48"/>
      <c r="D111" s="48"/>
      <c r="E111" s="48"/>
    </row>
    <row r="112">
      <c r="A112" s="48"/>
      <c r="B112" s="48"/>
      <c r="C112" s="48"/>
      <c r="D112" s="48"/>
      <c r="E112" s="48"/>
    </row>
    <row r="113">
      <c r="A113" s="48"/>
      <c r="B113" s="48"/>
      <c r="C113" s="48"/>
      <c r="D113" s="48"/>
      <c r="E113" s="48"/>
    </row>
    <row r="114">
      <c r="A114" s="48"/>
      <c r="B114" s="48"/>
      <c r="C114" s="48"/>
      <c r="D114" s="48"/>
      <c r="E114" s="48"/>
    </row>
    <row r="115">
      <c r="A115" s="48"/>
      <c r="B115" s="48"/>
      <c r="C115" s="48"/>
      <c r="D115" s="48"/>
      <c r="E115" s="48"/>
    </row>
    <row r="116">
      <c r="A116" s="48"/>
      <c r="B116" s="48"/>
      <c r="C116" s="48"/>
      <c r="D116" s="48"/>
      <c r="E116" s="48"/>
    </row>
    <row r="117">
      <c r="A117" s="48"/>
      <c r="B117" s="48"/>
      <c r="C117" s="48"/>
      <c r="D117" s="48"/>
      <c r="E117" s="48"/>
    </row>
    <row r="118">
      <c r="A118" s="48"/>
      <c r="B118" s="48"/>
      <c r="C118" s="48"/>
      <c r="D118" s="48"/>
      <c r="E118" s="48"/>
    </row>
    <row r="119">
      <c r="A119" s="48"/>
      <c r="B119" s="48"/>
      <c r="C119" s="48"/>
      <c r="D119" s="48"/>
      <c r="E119" s="48"/>
    </row>
    <row r="120">
      <c r="A120" s="48"/>
      <c r="B120" s="48"/>
      <c r="C120" s="48"/>
      <c r="D120" s="48"/>
      <c r="E120" s="48"/>
    </row>
    <row r="121">
      <c r="A121" s="48"/>
      <c r="B121" s="48"/>
      <c r="C121" s="48"/>
      <c r="D121" s="48"/>
      <c r="E121" s="48"/>
    </row>
    <row r="122">
      <c r="A122" s="48"/>
      <c r="B122" s="48"/>
      <c r="C122" s="48"/>
      <c r="D122" s="48"/>
      <c r="E122" s="48"/>
    </row>
    <row r="123">
      <c r="A123" s="48"/>
      <c r="B123" s="48"/>
      <c r="C123" s="48"/>
      <c r="D123" s="48"/>
      <c r="E123" s="48"/>
    </row>
    <row r="124">
      <c r="A124" s="48"/>
      <c r="B124" s="48"/>
      <c r="C124" s="48"/>
      <c r="D124" s="48"/>
      <c r="E124" s="48"/>
    </row>
    <row r="125">
      <c r="A125" s="48"/>
      <c r="B125" s="48"/>
      <c r="C125" s="48"/>
      <c r="D125" s="48"/>
      <c r="E125" s="48"/>
    </row>
    <row r="126">
      <c r="A126" s="48"/>
      <c r="B126" s="48"/>
      <c r="C126" s="48"/>
      <c r="D126" s="48"/>
      <c r="E126" s="48"/>
    </row>
    <row r="127">
      <c r="A127" s="48"/>
      <c r="B127" s="48"/>
      <c r="C127" s="48"/>
      <c r="D127" s="48"/>
      <c r="E127" s="48"/>
    </row>
    <row r="128">
      <c r="A128" s="48"/>
      <c r="B128" s="48"/>
      <c r="C128" s="48"/>
      <c r="D128" s="48"/>
      <c r="E128" s="48"/>
    </row>
    <row r="129">
      <c r="A129" s="48"/>
      <c r="B129" s="48"/>
      <c r="C129" s="48"/>
      <c r="D129" s="48"/>
      <c r="E129" s="48"/>
    </row>
    <row r="130">
      <c r="A130" s="48"/>
      <c r="B130" s="48"/>
      <c r="C130" s="48"/>
      <c r="D130" s="48"/>
      <c r="E130" s="48"/>
    </row>
    <row r="131">
      <c r="A131" s="48"/>
      <c r="B131" s="48"/>
      <c r="C131" s="48"/>
      <c r="D131" s="48"/>
      <c r="E131" s="48"/>
    </row>
    <row r="132">
      <c r="A132" s="48"/>
      <c r="B132" s="48"/>
      <c r="C132" s="48"/>
      <c r="D132" s="48"/>
      <c r="E132" s="48"/>
    </row>
    <row r="133">
      <c r="A133" s="48"/>
      <c r="B133" s="48"/>
      <c r="C133" s="48"/>
      <c r="D133" s="48"/>
      <c r="E133" s="48"/>
    </row>
    <row r="134">
      <c r="A134" s="48"/>
      <c r="B134" s="48"/>
      <c r="C134" s="48"/>
      <c r="D134" s="48"/>
      <c r="E134" s="48"/>
    </row>
    <row r="135">
      <c r="A135" s="48"/>
      <c r="B135" s="48"/>
      <c r="C135" s="48"/>
      <c r="D135" s="48"/>
      <c r="E135" s="48"/>
    </row>
    <row r="136">
      <c r="A136" s="48"/>
      <c r="B136" s="48"/>
      <c r="C136" s="48"/>
      <c r="D136" s="48"/>
      <c r="E136" s="48"/>
    </row>
    <row r="137">
      <c r="A137" s="48"/>
      <c r="B137" s="48"/>
      <c r="C137" s="48"/>
      <c r="D137" s="48"/>
      <c r="E137" s="48"/>
    </row>
    <row r="138">
      <c r="A138" s="48"/>
      <c r="B138" s="48"/>
      <c r="C138" s="48"/>
      <c r="D138" s="48"/>
      <c r="E138" s="48"/>
    </row>
    <row r="139">
      <c r="A139" s="48"/>
      <c r="B139" s="48"/>
      <c r="C139" s="48"/>
      <c r="D139" s="48"/>
      <c r="E139" s="48"/>
    </row>
    <row r="140">
      <c r="A140" s="48"/>
      <c r="B140" s="48"/>
      <c r="C140" s="48"/>
      <c r="D140" s="48"/>
      <c r="E140" s="48"/>
    </row>
    <row r="141">
      <c r="A141" s="48"/>
      <c r="B141" s="48"/>
      <c r="C141" s="48"/>
      <c r="D141" s="48"/>
      <c r="E141" s="48"/>
    </row>
    <row r="142">
      <c r="A142" s="48"/>
      <c r="B142" s="48"/>
      <c r="C142" s="48"/>
      <c r="D142" s="48"/>
      <c r="E142" s="48"/>
    </row>
    <row r="143">
      <c r="A143" s="48"/>
      <c r="B143" s="48"/>
      <c r="C143" s="48"/>
      <c r="D143" s="48"/>
      <c r="E143" s="48"/>
    </row>
    <row r="144">
      <c r="A144" s="48"/>
      <c r="B144" s="48"/>
      <c r="C144" s="48"/>
      <c r="D144" s="48"/>
      <c r="E144" s="48"/>
    </row>
    <row r="145">
      <c r="A145" s="48"/>
      <c r="B145" s="48"/>
      <c r="C145" s="48"/>
      <c r="D145" s="48"/>
      <c r="E145" s="48"/>
    </row>
    <row r="146">
      <c r="A146" s="48"/>
      <c r="B146" s="48"/>
      <c r="C146" s="48"/>
      <c r="D146" s="48"/>
      <c r="E146" s="48"/>
    </row>
    <row r="147">
      <c r="A147" s="48"/>
      <c r="B147" s="48"/>
      <c r="C147" s="48"/>
      <c r="D147" s="48"/>
      <c r="E147" s="48"/>
    </row>
    <row r="148">
      <c r="A148" s="48"/>
      <c r="B148" s="48"/>
      <c r="C148" s="48"/>
      <c r="D148" s="48"/>
      <c r="E148" s="48"/>
    </row>
    <row r="149">
      <c r="A149" s="48"/>
      <c r="B149" s="48"/>
      <c r="C149" s="48"/>
      <c r="D149" s="48"/>
      <c r="E149" s="48"/>
    </row>
    <row r="150">
      <c r="A150" s="48"/>
      <c r="B150" s="48"/>
      <c r="C150" s="48"/>
      <c r="D150" s="48"/>
      <c r="E150" s="48"/>
    </row>
    <row r="151">
      <c r="A151" s="48"/>
      <c r="B151" s="48"/>
      <c r="C151" s="48"/>
      <c r="D151" s="48"/>
      <c r="E151" s="48"/>
    </row>
    <row r="152">
      <c r="A152" s="48"/>
      <c r="B152" s="48"/>
      <c r="C152" s="48"/>
      <c r="D152" s="48"/>
      <c r="E152" s="48"/>
    </row>
    <row r="153">
      <c r="A153" s="48"/>
      <c r="B153" s="48"/>
      <c r="C153" s="48"/>
      <c r="D153" s="48"/>
      <c r="E153" s="48"/>
    </row>
    <row r="154">
      <c r="A154" s="48"/>
      <c r="B154" s="48"/>
      <c r="C154" s="48"/>
      <c r="D154" s="48"/>
      <c r="E154" s="48"/>
    </row>
    <row r="155">
      <c r="A155" s="48"/>
      <c r="B155" s="48"/>
      <c r="C155" s="48"/>
      <c r="D155" s="48"/>
      <c r="E155" s="48"/>
    </row>
    <row r="156">
      <c r="A156" s="48"/>
      <c r="B156" s="48"/>
      <c r="C156" s="48"/>
      <c r="D156" s="48"/>
      <c r="E156" s="48"/>
    </row>
    <row r="157">
      <c r="A157" s="48"/>
      <c r="B157" s="48"/>
      <c r="C157" s="48"/>
      <c r="D157" s="48"/>
      <c r="E157" s="48"/>
    </row>
    <row r="158">
      <c r="A158" s="48"/>
      <c r="B158" s="48"/>
      <c r="C158" s="48"/>
      <c r="D158" s="48"/>
      <c r="E158" s="48"/>
    </row>
    <row r="159">
      <c r="A159" s="48"/>
      <c r="B159" s="48"/>
      <c r="C159" s="48"/>
      <c r="D159" s="48"/>
      <c r="E159" s="48"/>
    </row>
    <row r="160">
      <c r="A160" s="48"/>
      <c r="B160" s="48"/>
      <c r="C160" s="48"/>
      <c r="D160" s="48"/>
      <c r="E160" s="48"/>
    </row>
    <row r="161">
      <c r="A161" s="48"/>
      <c r="B161" s="48"/>
      <c r="C161" s="48"/>
      <c r="D161" s="48"/>
      <c r="E161" s="48"/>
    </row>
    <row r="162">
      <c r="A162" s="48"/>
      <c r="B162" s="48"/>
      <c r="C162" s="48"/>
      <c r="D162" s="48"/>
      <c r="E162" s="48"/>
    </row>
    <row r="163">
      <c r="A163" s="48"/>
      <c r="B163" s="48"/>
      <c r="C163" s="48"/>
      <c r="D163" s="48"/>
      <c r="E163" s="48"/>
    </row>
    <row r="164">
      <c r="A164" s="48"/>
      <c r="B164" s="48"/>
      <c r="C164" s="48"/>
      <c r="D164" s="48"/>
      <c r="E164" s="48"/>
    </row>
    <row r="165">
      <c r="A165" s="48"/>
      <c r="B165" s="48"/>
      <c r="C165" s="48"/>
      <c r="D165" s="48"/>
      <c r="E165" s="48"/>
    </row>
    <row r="166">
      <c r="A166" s="48"/>
      <c r="B166" s="48"/>
      <c r="C166" s="48"/>
      <c r="D166" s="48"/>
      <c r="E166" s="48"/>
    </row>
    <row r="167">
      <c r="A167" s="48"/>
      <c r="B167" s="48"/>
      <c r="C167" s="48"/>
      <c r="D167" s="48"/>
      <c r="E167" s="48"/>
    </row>
    <row r="168">
      <c r="A168" s="48"/>
      <c r="B168" s="48"/>
      <c r="C168" s="48"/>
      <c r="D168" s="48"/>
      <c r="E168" s="48"/>
    </row>
    <row r="169">
      <c r="A169" s="48"/>
      <c r="B169" s="48"/>
      <c r="C169" s="48"/>
      <c r="D169" s="48"/>
      <c r="E169" s="48"/>
    </row>
    <row r="170">
      <c r="A170" s="48"/>
      <c r="B170" s="48"/>
      <c r="C170" s="48"/>
      <c r="D170" s="48"/>
      <c r="E170" s="48"/>
    </row>
    <row r="171">
      <c r="A171" s="48"/>
      <c r="B171" s="48"/>
      <c r="C171" s="48"/>
      <c r="D171" s="48"/>
      <c r="E171" s="48"/>
    </row>
    <row r="172">
      <c r="A172" s="48"/>
      <c r="B172" s="48"/>
      <c r="C172" s="48"/>
      <c r="D172" s="48"/>
      <c r="E172" s="48"/>
    </row>
    <row r="173">
      <c r="A173" s="48"/>
      <c r="B173" s="48"/>
      <c r="C173" s="48"/>
      <c r="D173" s="48"/>
      <c r="E173" s="48"/>
    </row>
    <row r="174">
      <c r="A174" s="48"/>
      <c r="B174" s="48"/>
      <c r="C174" s="48"/>
      <c r="D174" s="48"/>
      <c r="E174" s="48"/>
    </row>
    <row r="175">
      <c r="A175" s="48"/>
      <c r="B175" s="48"/>
      <c r="C175" s="48"/>
      <c r="D175" s="48"/>
      <c r="E175" s="48"/>
    </row>
    <row r="176">
      <c r="A176" s="48"/>
      <c r="B176" s="48"/>
      <c r="C176" s="48"/>
      <c r="D176" s="48"/>
      <c r="E176" s="48"/>
    </row>
    <row r="177">
      <c r="A177" s="48"/>
      <c r="B177" s="48"/>
      <c r="C177" s="48"/>
      <c r="D177" s="48"/>
      <c r="E177" s="48"/>
    </row>
    <row r="178">
      <c r="A178" s="48"/>
      <c r="B178" s="48"/>
      <c r="C178" s="48"/>
      <c r="D178" s="48"/>
      <c r="E178" s="48"/>
    </row>
    <row r="179">
      <c r="A179" s="48"/>
      <c r="B179" s="48"/>
      <c r="C179" s="48"/>
      <c r="D179" s="48"/>
      <c r="E179" s="48"/>
    </row>
    <row r="180">
      <c r="A180" s="48"/>
      <c r="B180" s="48"/>
      <c r="C180" s="48"/>
      <c r="D180" s="48"/>
      <c r="E180" s="48"/>
    </row>
    <row r="181">
      <c r="A181" s="48"/>
      <c r="B181" s="48"/>
      <c r="C181" s="48"/>
      <c r="D181" s="48"/>
      <c r="E181" s="48"/>
    </row>
    <row r="182">
      <c r="A182" s="48"/>
      <c r="B182" s="48"/>
      <c r="C182" s="48"/>
      <c r="D182" s="48"/>
      <c r="E182" s="48"/>
    </row>
    <row r="183">
      <c r="A183" s="48"/>
      <c r="B183" s="48"/>
      <c r="C183" s="48"/>
      <c r="D183" s="48"/>
      <c r="E183" s="48"/>
    </row>
    <row r="184">
      <c r="A184" s="48"/>
      <c r="B184" s="48"/>
      <c r="C184" s="48"/>
      <c r="D184" s="48"/>
      <c r="E184" s="48"/>
    </row>
    <row r="185">
      <c r="A185" s="48"/>
      <c r="B185" s="48"/>
      <c r="C185" s="48"/>
      <c r="D185" s="48"/>
      <c r="E185" s="48"/>
    </row>
    <row r="186">
      <c r="A186" s="48"/>
      <c r="B186" s="48"/>
      <c r="C186" s="48"/>
      <c r="D186" s="48"/>
      <c r="E186" s="48"/>
    </row>
    <row r="187">
      <c r="A187" s="48"/>
      <c r="B187" s="48"/>
      <c r="C187" s="48"/>
      <c r="D187" s="48"/>
      <c r="E187" s="48"/>
    </row>
    <row r="188">
      <c r="A188" s="48"/>
      <c r="B188" s="48"/>
      <c r="C188" s="48"/>
      <c r="D188" s="48"/>
      <c r="E188" s="48"/>
    </row>
    <row r="189">
      <c r="A189" s="48"/>
      <c r="B189" s="48"/>
      <c r="C189" s="48"/>
      <c r="D189" s="48"/>
      <c r="E189" s="48"/>
    </row>
    <row r="190">
      <c r="A190" s="48"/>
      <c r="B190" s="48"/>
      <c r="C190" s="48"/>
      <c r="D190" s="48"/>
      <c r="E190" s="48"/>
    </row>
    <row r="191">
      <c r="A191" s="48"/>
      <c r="B191" s="48"/>
      <c r="C191" s="48"/>
      <c r="D191" s="48"/>
      <c r="E191" s="48"/>
    </row>
    <row r="192">
      <c r="A192" s="48"/>
      <c r="B192" s="48"/>
      <c r="C192" s="48"/>
      <c r="D192" s="48"/>
      <c r="E192" s="48"/>
    </row>
    <row r="193">
      <c r="A193" s="48"/>
      <c r="B193" s="48"/>
      <c r="C193" s="48"/>
      <c r="D193" s="48"/>
      <c r="E193" s="48"/>
    </row>
    <row r="194">
      <c r="A194" s="48"/>
      <c r="B194" s="48"/>
      <c r="C194" s="48"/>
      <c r="D194" s="48"/>
      <c r="E194" s="48"/>
    </row>
    <row r="195">
      <c r="A195" s="48"/>
      <c r="B195" s="48"/>
      <c r="C195" s="48"/>
      <c r="D195" s="48"/>
      <c r="E195" s="48"/>
    </row>
    <row r="196">
      <c r="A196" s="48"/>
      <c r="B196" s="48"/>
      <c r="C196" s="48"/>
      <c r="D196" s="48"/>
      <c r="E196" s="48"/>
    </row>
    <row r="197">
      <c r="A197" s="48"/>
      <c r="B197" s="48"/>
      <c r="C197" s="48"/>
      <c r="D197" s="48"/>
      <c r="E197" s="48"/>
    </row>
    <row r="198">
      <c r="A198" s="48"/>
      <c r="B198" s="48"/>
      <c r="C198" s="48"/>
      <c r="D198" s="48"/>
      <c r="E198" s="48"/>
    </row>
    <row r="199">
      <c r="A199" s="48"/>
      <c r="B199" s="48"/>
      <c r="C199" s="48"/>
      <c r="D199" s="48"/>
      <c r="E199" s="48"/>
    </row>
    <row r="200">
      <c r="A200" s="48"/>
      <c r="B200" s="48"/>
      <c r="C200" s="48"/>
      <c r="D200" s="48"/>
      <c r="E200" s="48"/>
    </row>
    <row r="201">
      <c r="A201" s="48"/>
      <c r="B201" s="48"/>
      <c r="C201" s="48"/>
      <c r="D201" s="48"/>
      <c r="E201" s="48"/>
    </row>
    <row r="202">
      <c r="A202" s="48"/>
      <c r="B202" s="48"/>
      <c r="C202" s="48"/>
      <c r="D202" s="48"/>
      <c r="E202" s="48"/>
    </row>
    <row r="203">
      <c r="A203" s="48"/>
      <c r="B203" s="48"/>
      <c r="C203" s="48"/>
      <c r="D203" s="48"/>
      <c r="E203" s="48"/>
    </row>
    <row r="204">
      <c r="A204" s="48"/>
      <c r="B204" s="48"/>
      <c r="C204" s="48"/>
      <c r="D204" s="48"/>
      <c r="E204" s="48"/>
    </row>
    <row r="205">
      <c r="A205" s="48"/>
      <c r="B205" s="48"/>
      <c r="C205" s="48"/>
      <c r="D205" s="48"/>
      <c r="E205" s="48"/>
    </row>
    <row r="206">
      <c r="A206" s="48"/>
      <c r="B206" s="48"/>
      <c r="C206" s="48"/>
      <c r="D206" s="48"/>
      <c r="E206" s="48"/>
    </row>
    <row r="207">
      <c r="A207" s="48"/>
      <c r="B207" s="48"/>
      <c r="C207" s="48"/>
      <c r="D207" s="48"/>
      <c r="E207" s="48"/>
    </row>
    <row r="208">
      <c r="A208" s="48"/>
      <c r="B208" s="48"/>
      <c r="C208" s="48"/>
      <c r="D208" s="48"/>
      <c r="E208" s="48"/>
    </row>
    <row r="209">
      <c r="A209" s="48"/>
      <c r="B209" s="48"/>
      <c r="C209" s="48"/>
      <c r="D209" s="48"/>
      <c r="E209" s="48"/>
    </row>
    <row r="210">
      <c r="A210" s="48"/>
      <c r="B210" s="48"/>
      <c r="C210" s="48"/>
      <c r="D210" s="48"/>
      <c r="E210" s="48"/>
    </row>
    <row r="211">
      <c r="A211" s="48"/>
      <c r="B211" s="48"/>
      <c r="C211" s="48"/>
      <c r="D211" s="48"/>
      <c r="E211" s="48"/>
    </row>
    <row r="212">
      <c r="A212" s="48"/>
      <c r="B212" s="48"/>
      <c r="C212" s="48"/>
      <c r="D212" s="48"/>
      <c r="E212" s="48"/>
    </row>
    <row r="213">
      <c r="A213" s="48"/>
      <c r="B213" s="48"/>
      <c r="C213" s="48"/>
      <c r="D213" s="48"/>
      <c r="E213" s="48"/>
    </row>
    <row r="214">
      <c r="A214" s="48"/>
      <c r="B214" s="48"/>
      <c r="C214" s="48"/>
      <c r="D214" s="48"/>
      <c r="E214" s="48"/>
    </row>
    <row r="215">
      <c r="A215" s="48"/>
      <c r="B215" s="48"/>
      <c r="C215" s="48"/>
      <c r="D215" s="48"/>
      <c r="E215" s="48"/>
    </row>
    <row r="216">
      <c r="A216" s="48"/>
      <c r="B216" s="48"/>
      <c r="C216" s="48"/>
      <c r="D216" s="48"/>
      <c r="E216" s="48"/>
    </row>
    <row r="217">
      <c r="A217" s="48"/>
      <c r="B217" s="48"/>
      <c r="C217" s="48"/>
      <c r="D217" s="48"/>
      <c r="E217" s="48"/>
    </row>
    <row r="218">
      <c r="A218" s="48"/>
      <c r="B218" s="48"/>
      <c r="C218" s="48"/>
      <c r="D218" s="48"/>
      <c r="E218" s="48"/>
    </row>
    <row r="219">
      <c r="A219" s="48"/>
      <c r="B219" s="48"/>
      <c r="C219" s="48"/>
      <c r="D219" s="48"/>
      <c r="E219" s="48"/>
    </row>
    <row r="220">
      <c r="A220" s="48"/>
      <c r="B220" s="48"/>
      <c r="C220" s="48"/>
      <c r="D220" s="48"/>
      <c r="E220" s="48"/>
    </row>
    <row r="221">
      <c r="A221" s="48"/>
      <c r="B221" s="48"/>
      <c r="C221" s="48"/>
      <c r="D221" s="48"/>
      <c r="E221" s="48"/>
    </row>
    <row r="222">
      <c r="A222" s="48"/>
      <c r="B222" s="48"/>
      <c r="C222" s="48"/>
      <c r="D222" s="48"/>
      <c r="E222" s="48"/>
    </row>
    <row r="223">
      <c r="A223" s="48"/>
      <c r="B223" s="48"/>
      <c r="C223" s="48"/>
      <c r="D223" s="48"/>
      <c r="E223" s="48"/>
    </row>
    <row r="224">
      <c r="A224" s="48"/>
      <c r="B224" s="48"/>
      <c r="C224" s="48"/>
      <c r="D224" s="48"/>
      <c r="E224" s="48"/>
    </row>
    <row r="225">
      <c r="A225" s="48"/>
      <c r="B225" s="48"/>
      <c r="C225" s="48"/>
      <c r="D225" s="48"/>
      <c r="E225" s="48"/>
    </row>
    <row r="226">
      <c r="A226" s="48"/>
      <c r="B226" s="48"/>
      <c r="C226" s="48"/>
      <c r="D226" s="48"/>
      <c r="E226" s="48"/>
    </row>
    <row r="227">
      <c r="A227" s="48"/>
      <c r="B227" s="48"/>
      <c r="C227" s="48"/>
      <c r="D227" s="48"/>
      <c r="E227" s="48"/>
    </row>
    <row r="228">
      <c r="A228" s="48"/>
      <c r="B228" s="48"/>
      <c r="C228" s="48"/>
      <c r="D228" s="48"/>
      <c r="E228" s="48"/>
    </row>
    <row r="229">
      <c r="A229" s="48"/>
      <c r="B229" s="48"/>
      <c r="C229" s="48"/>
      <c r="D229" s="48"/>
      <c r="E229" s="48"/>
    </row>
    <row r="230">
      <c r="A230" s="48"/>
      <c r="B230" s="48"/>
      <c r="C230" s="48"/>
      <c r="D230" s="48"/>
      <c r="E230" s="48"/>
    </row>
    <row r="231">
      <c r="A231" s="48"/>
      <c r="B231" s="48"/>
      <c r="C231" s="48"/>
      <c r="D231" s="48"/>
      <c r="E231" s="48"/>
    </row>
    <row r="232">
      <c r="A232" s="48"/>
      <c r="B232" s="48"/>
      <c r="C232" s="48"/>
      <c r="D232" s="48"/>
      <c r="E232" s="48"/>
    </row>
    <row r="233">
      <c r="A233" s="48"/>
      <c r="B233" s="48"/>
      <c r="C233" s="48"/>
      <c r="D233" s="48"/>
      <c r="E233" s="48"/>
    </row>
    <row r="234">
      <c r="A234" s="48"/>
      <c r="B234" s="48"/>
      <c r="C234" s="48"/>
      <c r="D234" s="48"/>
      <c r="E234" s="48"/>
    </row>
    <row r="235">
      <c r="A235" s="48"/>
      <c r="B235" s="48"/>
      <c r="C235" s="48"/>
      <c r="D235" s="48"/>
      <c r="E235" s="48"/>
    </row>
    <row r="236">
      <c r="A236" s="48"/>
      <c r="B236" s="48"/>
      <c r="C236" s="48"/>
      <c r="D236" s="48"/>
      <c r="E236" s="48"/>
    </row>
    <row r="237">
      <c r="A237" s="48"/>
      <c r="B237" s="48"/>
      <c r="C237" s="48"/>
      <c r="D237" s="48"/>
      <c r="E237" s="48"/>
    </row>
    <row r="238">
      <c r="A238" s="48"/>
      <c r="B238" s="48"/>
      <c r="C238" s="48"/>
      <c r="D238" s="48"/>
      <c r="E238" s="48"/>
    </row>
    <row r="239">
      <c r="A239" s="48"/>
      <c r="B239" s="48"/>
      <c r="C239" s="48"/>
      <c r="D239" s="48"/>
      <c r="E239" s="48"/>
    </row>
    <row r="240">
      <c r="A240" s="48"/>
      <c r="B240" s="48"/>
      <c r="C240" s="48"/>
      <c r="D240" s="48"/>
      <c r="E240" s="48"/>
    </row>
    <row r="241">
      <c r="A241" s="48"/>
      <c r="B241" s="48"/>
      <c r="C241" s="48"/>
      <c r="D241" s="48"/>
      <c r="E241" s="48"/>
    </row>
    <row r="242">
      <c r="A242" s="48"/>
      <c r="B242" s="48"/>
      <c r="C242" s="48"/>
      <c r="D242" s="48"/>
      <c r="E242" s="48"/>
    </row>
    <row r="243">
      <c r="A243" s="48"/>
      <c r="B243" s="48"/>
      <c r="C243" s="48"/>
      <c r="D243" s="48"/>
      <c r="E243" s="48"/>
    </row>
    <row r="244">
      <c r="A244" s="48"/>
      <c r="B244" s="48"/>
      <c r="C244" s="48"/>
      <c r="D244" s="48"/>
      <c r="E244" s="48"/>
    </row>
    <row r="245">
      <c r="A245" s="48"/>
      <c r="B245" s="48"/>
      <c r="C245" s="48"/>
      <c r="D245" s="48"/>
      <c r="E245" s="48"/>
    </row>
    <row r="246">
      <c r="A246" s="48"/>
      <c r="B246" s="48"/>
      <c r="C246" s="48"/>
      <c r="D246" s="48"/>
      <c r="E246" s="48"/>
    </row>
    <row r="247">
      <c r="A247" s="48"/>
      <c r="B247" s="48"/>
      <c r="C247" s="48"/>
      <c r="D247" s="48"/>
      <c r="E247" s="48"/>
    </row>
    <row r="248">
      <c r="A248" s="48"/>
      <c r="B248" s="48"/>
      <c r="C248" s="48"/>
      <c r="D248" s="48"/>
      <c r="E248" s="48"/>
    </row>
    <row r="249">
      <c r="A249" s="48"/>
      <c r="B249" s="48"/>
      <c r="C249" s="48"/>
      <c r="D249" s="48"/>
      <c r="E249" s="48"/>
    </row>
    <row r="250">
      <c r="A250" s="48"/>
      <c r="B250" s="48"/>
      <c r="C250" s="48"/>
      <c r="D250" s="48"/>
      <c r="E250" s="48"/>
    </row>
    <row r="251">
      <c r="A251" s="48"/>
      <c r="B251" s="48"/>
      <c r="C251" s="48"/>
      <c r="D251" s="48"/>
      <c r="E251" s="48"/>
    </row>
    <row r="252">
      <c r="A252" s="48"/>
      <c r="B252" s="48"/>
      <c r="C252" s="48"/>
      <c r="D252" s="48"/>
      <c r="E252" s="48"/>
    </row>
    <row r="253">
      <c r="A253" s="48"/>
      <c r="B253" s="48"/>
      <c r="C253" s="48"/>
      <c r="D253" s="48"/>
      <c r="E253" s="48"/>
    </row>
    <row r="254">
      <c r="A254" s="48"/>
      <c r="B254" s="48"/>
      <c r="C254" s="48"/>
      <c r="D254" s="48"/>
      <c r="E254" s="48"/>
    </row>
    <row r="255">
      <c r="A255" s="48"/>
      <c r="B255" s="48"/>
      <c r="C255" s="48"/>
      <c r="D255" s="48"/>
      <c r="E255" s="48"/>
    </row>
    <row r="256">
      <c r="A256" s="48"/>
      <c r="B256" s="48"/>
      <c r="C256" s="48"/>
      <c r="D256" s="48"/>
      <c r="E256" s="48"/>
    </row>
    <row r="257">
      <c r="A257" s="48"/>
      <c r="B257" s="48"/>
      <c r="C257" s="48"/>
      <c r="D257" s="48"/>
      <c r="E257" s="48"/>
    </row>
    <row r="258">
      <c r="A258" s="48"/>
      <c r="B258" s="48"/>
      <c r="C258" s="48"/>
      <c r="D258" s="48"/>
      <c r="E258" s="48"/>
    </row>
    <row r="259">
      <c r="A259" s="48"/>
      <c r="B259" s="48"/>
      <c r="C259" s="48"/>
      <c r="D259" s="48"/>
      <c r="E259" s="48"/>
    </row>
    <row r="260">
      <c r="A260" s="48"/>
      <c r="B260" s="48"/>
      <c r="C260" s="48"/>
      <c r="D260" s="48"/>
      <c r="E260" s="48"/>
    </row>
    <row r="261">
      <c r="A261" s="48"/>
      <c r="B261" s="48"/>
      <c r="C261" s="48"/>
      <c r="D261" s="48"/>
      <c r="E261" s="48"/>
    </row>
    <row r="262">
      <c r="A262" s="48"/>
      <c r="B262" s="48"/>
      <c r="C262" s="48"/>
      <c r="D262" s="48"/>
      <c r="E262" s="48"/>
    </row>
    <row r="263">
      <c r="A263" s="48"/>
      <c r="B263" s="48"/>
      <c r="C263" s="48"/>
      <c r="D263" s="48"/>
      <c r="E263" s="48"/>
    </row>
    <row r="264">
      <c r="A264" s="48"/>
      <c r="B264" s="48"/>
      <c r="C264" s="48"/>
      <c r="D264" s="48"/>
      <c r="E264" s="48"/>
    </row>
    <row r="265">
      <c r="A265" s="48"/>
      <c r="B265" s="48"/>
      <c r="C265" s="48"/>
      <c r="D265" s="48"/>
      <c r="E265" s="48"/>
    </row>
    <row r="266">
      <c r="A266" s="48"/>
      <c r="B266" s="48"/>
      <c r="C266" s="48"/>
      <c r="D266" s="48"/>
      <c r="E266" s="48"/>
    </row>
    <row r="267">
      <c r="A267" s="48"/>
      <c r="B267" s="48"/>
      <c r="C267" s="48"/>
      <c r="D267" s="48"/>
      <c r="E267" s="48"/>
    </row>
    <row r="268">
      <c r="A268" s="48"/>
      <c r="B268" s="48"/>
      <c r="C268" s="48"/>
      <c r="D268" s="48"/>
      <c r="E268" s="48"/>
    </row>
    <row r="269">
      <c r="A269" s="48"/>
      <c r="B269" s="48"/>
      <c r="C269" s="48"/>
      <c r="D269" s="48"/>
      <c r="E269" s="48"/>
    </row>
    <row r="270">
      <c r="A270" s="48"/>
      <c r="B270" s="48"/>
      <c r="C270" s="48"/>
      <c r="D270" s="48"/>
      <c r="E270" s="48"/>
    </row>
    <row r="271">
      <c r="A271" s="48"/>
      <c r="B271" s="48"/>
      <c r="C271" s="48"/>
      <c r="D271" s="48"/>
      <c r="E271" s="48"/>
    </row>
    <row r="272">
      <c r="A272" s="48"/>
      <c r="B272" s="48"/>
      <c r="C272" s="48"/>
      <c r="D272" s="48"/>
      <c r="E272" s="48"/>
    </row>
    <row r="273">
      <c r="A273" s="48"/>
      <c r="B273" s="48"/>
      <c r="C273" s="48"/>
      <c r="D273" s="48"/>
      <c r="E273" s="48"/>
    </row>
    <row r="274">
      <c r="A274" s="48"/>
      <c r="B274" s="48"/>
      <c r="C274" s="48"/>
      <c r="D274" s="48"/>
      <c r="E274" s="48"/>
    </row>
    <row r="275">
      <c r="A275" s="48"/>
      <c r="B275" s="48"/>
      <c r="C275" s="48"/>
      <c r="D275" s="48"/>
      <c r="E275" s="48"/>
    </row>
    <row r="276">
      <c r="A276" s="48"/>
      <c r="B276" s="48"/>
      <c r="C276" s="48"/>
      <c r="D276" s="48"/>
      <c r="E276" s="48"/>
    </row>
    <row r="277">
      <c r="A277" s="48"/>
      <c r="B277" s="48"/>
      <c r="C277" s="48"/>
      <c r="D277" s="48"/>
      <c r="E277" s="48"/>
    </row>
    <row r="278">
      <c r="A278" s="48"/>
      <c r="B278" s="48"/>
      <c r="C278" s="48"/>
      <c r="D278" s="48"/>
      <c r="E278" s="48"/>
    </row>
    <row r="279">
      <c r="A279" s="48"/>
      <c r="B279" s="48"/>
      <c r="C279" s="48"/>
      <c r="D279" s="48"/>
      <c r="E279" s="48"/>
    </row>
    <row r="280">
      <c r="A280" s="48"/>
      <c r="B280" s="48"/>
      <c r="C280" s="48"/>
      <c r="D280" s="48"/>
      <c r="E280" s="48"/>
    </row>
    <row r="281">
      <c r="A281" s="48"/>
      <c r="B281" s="48"/>
      <c r="C281" s="48"/>
      <c r="D281" s="48"/>
      <c r="E281" s="48"/>
    </row>
    <row r="282">
      <c r="A282" s="48"/>
      <c r="B282" s="48"/>
      <c r="C282" s="48"/>
      <c r="D282" s="48"/>
      <c r="E282" s="48"/>
    </row>
    <row r="283">
      <c r="A283" s="48"/>
      <c r="B283" s="48"/>
      <c r="C283" s="48"/>
      <c r="D283" s="48"/>
      <c r="E283" s="48"/>
    </row>
    <row r="284">
      <c r="A284" s="48"/>
      <c r="B284" s="48"/>
      <c r="C284" s="48"/>
      <c r="D284" s="48"/>
      <c r="E284" s="48"/>
    </row>
    <row r="285">
      <c r="A285" s="48"/>
      <c r="B285" s="48"/>
      <c r="C285" s="48"/>
      <c r="D285" s="48"/>
      <c r="E285" s="48"/>
    </row>
    <row r="286">
      <c r="A286" s="48"/>
      <c r="B286" s="48"/>
      <c r="C286" s="48"/>
      <c r="D286" s="48"/>
      <c r="E286" s="48"/>
    </row>
    <row r="287">
      <c r="A287" s="48"/>
      <c r="B287" s="48"/>
      <c r="C287" s="48"/>
      <c r="D287" s="48"/>
      <c r="E287" s="48"/>
    </row>
    <row r="288">
      <c r="A288" s="48"/>
      <c r="B288" s="48"/>
      <c r="C288" s="48"/>
      <c r="D288" s="48"/>
      <c r="E288" s="48"/>
    </row>
    <row r="289">
      <c r="A289" s="48"/>
      <c r="B289" s="48"/>
      <c r="C289" s="48"/>
      <c r="D289" s="48"/>
      <c r="E289" s="48"/>
    </row>
    <row r="290">
      <c r="A290" s="48"/>
      <c r="B290" s="48"/>
      <c r="C290" s="48"/>
      <c r="D290" s="48"/>
      <c r="E290" s="48"/>
    </row>
    <row r="291">
      <c r="A291" s="48"/>
      <c r="B291" s="48"/>
      <c r="C291" s="48"/>
      <c r="D291" s="48"/>
      <c r="E291" s="48"/>
    </row>
    <row r="292">
      <c r="A292" s="48"/>
      <c r="B292" s="48"/>
      <c r="C292" s="48"/>
      <c r="D292" s="48"/>
      <c r="E292" s="48"/>
    </row>
    <row r="293">
      <c r="A293" s="48"/>
      <c r="B293" s="48"/>
      <c r="C293" s="48"/>
      <c r="D293" s="48"/>
      <c r="E293" s="48"/>
    </row>
    <row r="294">
      <c r="A294" s="48"/>
      <c r="B294" s="48"/>
      <c r="C294" s="48"/>
      <c r="D294" s="48"/>
      <c r="E294" s="48"/>
    </row>
    <row r="295">
      <c r="A295" s="48"/>
      <c r="B295" s="48"/>
      <c r="C295" s="48"/>
      <c r="D295" s="48"/>
      <c r="E295" s="48"/>
    </row>
    <row r="296">
      <c r="A296" s="48"/>
      <c r="B296" s="48"/>
      <c r="C296" s="48"/>
      <c r="D296" s="48"/>
      <c r="E296" s="48"/>
    </row>
    <row r="297">
      <c r="A297" s="48"/>
      <c r="B297" s="48"/>
      <c r="C297" s="48"/>
      <c r="D297" s="48"/>
      <c r="E297" s="48"/>
    </row>
    <row r="298">
      <c r="A298" s="48"/>
      <c r="B298" s="48"/>
      <c r="C298" s="48"/>
      <c r="D298" s="48"/>
      <c r="E298" s="48"/>
    </row>
    <row r="299">
      <c r="A299" s="48"/>
      <c r="B299" s="48"/>
      <c r="C299" s="48"/>
      <c r="D299" s="48"/>
      <c r="E299" s="48"/>
    </row>
    <row r="300">
      <c r="A300" s="48"/>
      <c r="B300" s="48"/>
      <c r="C300" s="48"/>
      <c r="D300" s="48"/>
      <c r="E300" s="48"/>
    </row>
    <row r="301">
      <c r="A301" s="48"/>
      <c r="B301" s="48"/>
      <c r="C301" s="48"/>
      <c r="D301" s="48"/>
      <c r="E301" s="48"/>
    </row>
    <row r="302">
      <c r="A302" s="48"/>
      <c r="B302" s="48"/>
      <c r="C302" s="48"/>
      <c r="D302" s="48"/>
      <c r="E302" s="48"/>
    </row>
    <row r="303">
      <c r="A303" s="48"/>
      <c r="B303" s="48"/>
      <c r="C303" s="48"/>
      <c r="D303" s="48"/>
      <c r="E303" s="48"/>
    </row>
    <row r="304">
      <c r="A304" s="48"/>
      <c r="B304" s="48"/>
      <c r="C304" s="48"/>
      <c r="D304" s="48"/>
      <c r="E304" s="48"/>
    </row>
    <row r="305">
      <c r="A305" s="48"/>
      <c r="B305" s="48"/>
      <c r="C305" s="48"/>
      <c r="D305" s="48"/>
      <c r="E305" s="48"/>
    </row>
    <row r="306">
      <c r="A306" s="48"/>
      <c r="B306" s="48"/>
      <c r="C306" s="48"/>
      <c r="D306" s="48"/>
      <c r="E306" s="48"/>
    </row>
    <row r="307">
      <c r="A307" s="48"/>
      <c r="B307" s="48"/>
      <c r="C307" s="48"/>
      <c r="D307" s="48"/>
      <c r="E307" s="48"/>
    </row>
    <row r="308">
      <c r="A308" s="48"/>
      <c r="B308" s="48"/>
      <c r="C308" s="48"/>
      <c r="D308" s="48"/>
      <c r="E308" s="48"/>
    </row>
    <row r="309">
      <c r="A309" s="48"/>
      <c r="B309" s="48"/>
      <c r="C309" s="48"/>
      <c r="D309" s="48"/>
      <c r="E309" s="48"/>
    </row>
    <row r="310">
      <c r="A310" s="48"/>
      <c r="B310" s="48"/>
      <c r="C310" s="48"/>
      <c r="D310" s="48"/>
      <c r="E310" s="48"/>
    </row>
    <row r="311">
      <c r="A311" s="48"/>
      <c r="B311" s="48"/>
      <c r="C311" s="48"/>
      <c r="D311" s="48"/>
      <c r="E311" s="48"/>
    </row>
    <row r="312">
      <c r="A312" s="48"/>
      <c r="B312" s="48"/>
      <c r="C312" s="48"/>
      <c r="D312" s="48"/>
      <c r="E312" s="48"/>
    </row>
    <row r="313">
      <c r="A313" s="48"/>
      <c r="B313" s="48"/>
      <c r="C313" s="48"/>
      <c r="D313" s="48"/>
      <c r="E313" s="48"/>
    </row>
    <row r="314">
      <c r="A314" s="48"/>
      <c r="B314" s="48"/>
      <c r="C314" s="48"/>
      <c r="D314" s="48"/>
      <c r="E314" s="48"/>
    </row>
    <row r="315">
      <c r="A315" s="48"/>
      <c r="B315" s="48"/>
      <c r="C315" s="48"/>
      <c r="D315" s="48"/>
      <c r="E315" s="48"/>
    </row>
    <row r="316">
      <c r="A316" s="48"/>
      <c r="B316" s="48"/>
      <c r="C316" s="48"/>
      <c r="D316" s="48"/>
      <c r="E316" s="48"/>
    </row>
    <row r="317">
      <c r="A317" s="48"/>
      <c r="B317" s="48"/>
      <c r="C317" s="48"/>
      <c r="D317" s="48"/>
      <c r="E317" s="48"/>
    </row>
    <row r="318">
      <c r="A318" s="48"/>
      <c r="B318" s="48"/>
      <c r="C318" s="48"/>
      <c r="D318" s="48"/>
      <c r="E318" s="48"/>
    </row>
    <row r="319">
      <c r="A319" s="48"/>
      <c r="B319" s="48"/>
      <c r="C319" s="48"/>
      <c r="D319" s="48"/>
      <c r="E319" s="48"/>
    </row>
    <row r="320">
      <c r="A320" s="48"/>
      <c r="B320" s="48"/>
      <c r="C320" s="48"/>
      <c r="D320" s="48"/>
      <c r="E320" s="48"/>
    </row>
    <row r="321">
      <c r="A321" s="48"/>
      <c r="B321" s="48"/>
      <c r="C321" s="48"/>
      <c r="D321" s="48"/>
      <c r="E321" s="48"/>
    </row>
    <row r="322">
      <c r="A322" s="48"/>
      <c r="B322" s="48"/>
      <c r="C322" s="48"/>
      <c r="D322" s="48"/>
      <c r="E322" s="48"/>
    </row>
    <row r="323">
      <c r="A323" s="48"/>
      <c r="B323" s="48"/>
      <c r="C323" s="48"/>
      <c r="D323" s="48"/>
      <c r="E323" s="48"/>
    </row>
    <row r="324">
      <c r="A324" s="48"/>
      <c r="B324" s="48"/>
      <c r="C324" s="48"/>
      <c r="D324" s="48"/>
      <c r="E324" s="48"/>
    </row>
    <row r="325">
      <c r="A325" s="48"/>
      <c r="B325" s="48"/>
      <c r="C325" s="48"/>
      <c r="D325" s="48"/>
      <c r="E325" s="48"/>
    </row>
    <row r="326">
      <c r="A326" s="48"/>
      <c r="B326" s="48"/>
      <c r="C326" s="48"/>
      <c r="D326" s="48"/>
      <c r="E326" s="48"/>
    </row>
    <row r="327">
      <c r="A327" s="48"/>
      <c r="B327" s="48"/>
      <c r="C327" s="48"/>
      <c r="D327" s="48"/>
      <c r="E327" s="48"/>
    </row>
    <row r="328">
      <c r="A328" s="48"/>
      <c r="B328" s="48"/>
      <c r="C328" s="48"/>
      <c r="D328" s="48"/>
      <c r="E328" s="48"/>
    </row>
    <row r="329">
      <c r="A329" s="48"/>
      <c r="B329" s="48"/>
      <c r="C329" s="48"/>
      <c r="D329" s="48"/>
      <c r="E329" s="48"/>
    </row>
    <row r="330">
      <c r="A330" s="48"/>
      <c r="B330" s="48"/>
      <c r="C330" s="48"/>
      <c r="D330" s="48"/>
      <c r="E330" s="48"/>
    </row>
    <row r="331">
      <c r="A331" s="48"/>
      <c r="B331" s="48"/>
      <c r="C331" s="48"/>
      <c r="D331" s="48"/>
      <c r="E331" s="48"/>
    </row>
    <row r="332">
      <c r="A332" s="48"/>
      <c r="B332" s="48"/>
      <c r="C332" s="48"/>
      <c r="D332" s="48"/>
      <c r="E332" s="48"/>
    </row>
    <row r="333">
      <c r="A333" s="48"/>
      <c r="B333" s="48"/>
      <c r="C333" s="48"/>
      <c r="D333" s="48"/>
      <c r="E333" s="48"/>
    </row>
    <row r="334">
      <c r="A334" s="48"/>
      <c r="B334" s="48"/>
      <c r="C334" s="48"/>
      <c r="D334" s="48"/>
      <c r="E334" s="48"/>
    </row>
    <row r="335">
      <c r="A335" s="48"/>
      <c r="B335" s="48"/>
      <c r="C335" s="48"/>
      <c r="D335" s="48"/>
      <c r="E335" s="48"/>
    </row>
    <row r="336">
      <c r="A336" s="48"/>
      <c r="B336" s="48"/>
      <c r="C336" s="48"/>
      <c r="D336" s="48"/>
      <c r="E336" s="48"/>
    </row>
    <row r="337">
      <c r="A337" s="48"/>
      <c r="B337" s="48"/>
      <c r="C337" s="48"/>
      <c r="D337" s="48"/>
      <c r="E337" s="48"/>
    </row>
    <row r="338">
      <c r="A338" s="48"/>
      <c r="B338" s="48"/>
      <c r="C338" s="48"/>
      <c r="D338" s="48"/>
      <c r="E338" s="48"/>
    </row>
    <row r="339">
      <c r="A339" s="48"/>
      <c r="B339" s="48"/>
      <c r="C339" s="48"/>
      <c r="D339" s="48"/>
      <c r="E339" s="48"/>
    </row>
    <row r="340">
      <c r="A340" s="48"/>
      <c r="B340" s="48"/>
      <c r="C340" s="48"/>
      <c r="D340" s="48"/>
      <c r="E340" s="48"/>
    </row>
    <row r="341">
      <c r="A341" s="48"/>
      <c r="B341" s="48"/>
      <c r="C341" s="48"/>
      <c r="D341" s="48"/>
      <c r="E341" s="48"/>
    </row>
    <row r="342">
      <c r="A342" s="48"/>
      <c r="B342" s="48"/>
      <c r="C342" s="48"/>
      <c r="D342" s="48"/>
      <c r="E342" s="48"/>
    </row>
    <row r="343">
      <c r="A343" s="48"/>
      <c r="B343" s="48"/>
      <c r="C343" s="48"/>
      <c r="D343" s="48"/>
      <c r="E343" s="48"/>
    </row>
    <row r="344">
      <c r="A344" s="48"/>
      <c r="B344" s="48"/>
      <c r="C344" s="48"/>
      <c r="D344" s="48"/>
      <c r="E344" s="48"/>
    </row>
    <row r="345">
      <c r="A345" s="48"/>
      <c r="B345" s="48"/>
      <c r="C345" s="48"/>
      <c r="D345" s="48"/>
      <c r="E345" s="48"/>
    </row>
    <row r="346">
      <c r="A346" s="48"/>
      <c r="B346" s="48"/>
      <c r="C346" s="48"/>
      <c r="D346" s="48"/>
      <c r="E346" s="48"/>
    </row>
    <row r="347">
      <c r="A347" s="48"/>
      <c r="B347" s="48"/>
      <c r="C347" s="48"/>
      <c r="D347" s="48"/>
      <c r="E347" s="48"/>
    </row>
    <row r="348">
      <c r="A348" s="48"/>
      <c r="B348" s="48"/>
      <c r="C348" s="48"/>
      <c r="D348" s="48"/>
      <c r="E348" s="48"/>
    </row>
    <row r="349">
      <c r="A349" s="48"/>
      <c r="B349" s="48"/>
      <c r="C349" s="48"/>
      <c r="D349" s="48"/>
      <c r="E349" s="48"/>
    </row>
    <row r="350">
      <c r="A350" s="48"/>
      <c r="B350" s="48"/>
      <c r="C350" s="48"/>
      <c r="D350" s="48"/>
      <c r="E350" s="48"/>
    </row>
    <row r="351">
      <c r="A351" s="48"/>
      <c r="B351" s="48"/>
      <c r="C351" s="48"/>
      <c r="D351" s="48"/>
      <c r="E351" s="48"/>
    </row>
    <row r="352">
      <c r="A352" s="48"/>
      <c r="B352" s="48"/>
      <c r="C352" s="48"/>
      <c r="D352" s="48"/>
      <c r="E352" s="48"/>
    </row>
    <row r="353">
      <c r="A353" s="48"/>
      <c r="B353" s="48"/>
      <c r="C353" s="48"/>
      <c r="D353" s="48"/>
      <c r="E353" s="48"/>
    </row>
    <row r="354">
      <c r="A354" s="48"/>
      <c r="B354" s="48"/>
      <c r="C354" s="48"/>
      <c r="D354" s="48"/>
      <c r="E354" s="48"/>
    </row>
    <row r="355">
      <c r="A355" s="48"/>
      <c r="B355" s="48"/>
      <c r="C355" s="48"/>
      <c r="D355" s="48"/>
      <c r="E355" s="48"/>
    </row>
    <row r="356">
      <c r="A356" s="48"/>
      <c r="B356" s="48"/>
      <c r="C356" s="48"/>
      <c r="D356" s="48"/>
      <c r="E356" s="48"/>
    </row>
    <row r="357">
      <c r="A357" s="48"/>
      <c r="B357" s="48"/>
      <c r="C357" s="48"/>
      <c r="D357" s="48"/>
      <c r="E357" s="48"/>
    </row>
    <row r="358">
      <c r="A358" s="48"/>
      <c r="B358" s="48"/>
      <c r="C358" s="48"/>
      <c r="D358" s="48"/>
      <c r="E358" s="48"/>
    </row>
    <row r="359">
      <c r="A359" s="48"/>
      <c r="B359" s="48"/>
      <c r="C359" s="48"/>
      <c r="D359" s="48"/>
      <c r="E359" s="48"/>
    </row>
    <row r="360">
      <c r="A360" s="48"/>
      <c r="B360" s="48"/>
      <c r="C360" s="48"/>
      <c r="D360" s="48"/>
      <c r="E360" s="48"/>
    </row>
    <row r="361">
      <c r="A361" s="48"/>
      <c r="B361" s="48"/>
      <c r="C361" s="48"/>
      <c r="D361" s="48"/>
      <c r="E361" s="48"/>
    </row>
    <row r="362">
      <c r="A362" s="48"/>
      <c r="B362" s="48"/>
      <c r="C362" s="48"/>
      <c r="D362" s="48"/>
      <c r="E362" s="48"/>
    </row>
    <row r="363">
      <c r="A363" s="48"/>
      <c r="B363" s="48"/>
      <c r="C363" s="48"/>
      <c r="D363" s="48"/>
      <c r="E363" s="48"/>
    </row>
    <row r="364">
      <c r="A364" s="48"/>
      <c r="B364" s="48"/>
      <c r="C364" s="48"/>
      <c r="D364" s="48"/>
      <c r="E364" s="48"/>
    </row>
    <row r="365">
      <c r="A365" s="48"/>
      <c r="B365" s="48"/>
      <c r="C365" s="48"/>
      <c r="D365" s="48"/>
      <c r="E365" s="48"/>
    </row>
    <row r="366">
      <c r="A366" s="48"/>
      <c r="B366" s="48"/>
      <c r="C366" s="48"/>
      <c r="D366" s="48"/>
      <c r="E366" s="48"/>
    </row>
    <row r="367">
      <c r="A367" s="48"/>
      <c r="B367" s="48"/>
      <c r="C367" s="48"/>
      <c r="D367" s="48"/>
      <c r="E367" s="48"/>
    </row>
    <row r="368">
      <c r="A368" s="48"/>
      <c r="B368" s="48"/>
      <c r="C368" s="48"/>
      <c r="D368" s="48"/>
      <c r="E368" s="48"/>
    </row>
    <row r="369">
      <c r="A369" s="48"/>
      <c r="B369" s="48"/>
      <c r="C369" s="48"/>
      <c r="D369" s="48"/>
      <c r="E369" s="48"/>
    </row>
    <row r="370">
      <c r="A370" s="48"/>
      <c r="B370" s="48"/>
      <c r="C370" s="48"/>
      <c r="D370" s="48"/>
      <c r="E370" s="48"/>
    </row>
    <row r="371">
      <c r="A371" s="48"/>
      <c r="B371" s="48"/>
      <c r="C371" s="48"/>
      <c r="D371" s="48"/>
      <c r="E371" s="48"/>
    </row>
    <row r="372">
      <c r="A372" s="48"/>
      <c r="B372" s="48"/>
      <c r="C372" s="48"/>
      <c r="D372" s="48"/>
      <c r="E372" s="48"/>
    </row>
    <row r="373">
      <c r="A373" s="48"/>
      <c r="B373" s="48"/>
      <c r="C373" s="48"/>
      <c r="D373" s="48"/>
      <c r="E373" s="48"/>
    </row>
    <row r="374">
      <c r="A374" s="48"/>
      <c r="B374" s="48"/>
      <c r="C374" s="48"/>
      <c r="D374" s="48"/>
      <c r="E374" s="48"/>
    </row>
    <row r="375">
      <c r="A375" s="48"/>
      <c r="B375" s="48"/>
      <c r="C375" s="48"/>
      <c r="D375" s="48"/>
      <c r="E375" s="48"/>
    </row>
    <row r="376">
      <c r="A376" s="48"/>
      <c r="B376" s="48"/>
      <c r="C376" s="48"/>
      <c r="D376" s="48"/>
      <c r="E376" s="48"/>
    </row>
    <row r="377">
      <c r="A377" s="48"/>
      <c r="B377" s="48"/>
      <c r="C377" s="48"/>
      <c r="D377" s="48"/>
      <c r="E377" s="48"/>
    </row>
    <row r="378">
      <c r="A378" s="48"/>
      <c r="B378" s="48"/>
      <c r="C378" s="48"/>
      <c r="D378" s="48"/>
      <c r="E378" s="48"/>
    </row>
    <row r="379">
      <c r="A379" s="48"/>
      <c r="B379" s="48"/>
      <c r="C379" s="48"/>
      <c r="D379" s="48"/>
      <c r="E379" s="48"/>
    </row>
    <row r="380">
      <c r="A380" s="48"/>
      <c r="B380" s="48"/>
      <c r="C380" s="48"/>
      <c r="D380" s="48"/>
      <c r="E380" s="48"/>
    </row>
    <row r="381">
      <c r="A381" s="48"/>
      <c r="B381" s="48"/>
      <c r="C381" s="48"/>
      <c r="D381" s="48"/>
      <c r="E381" s="48"/>
    </row>
    <row r="382">
      <c r="A382" s="48"/>
      <c r="B382" s="48"/>
      <c r="C382" s="48"/>
      <c r="D382" s="48"/>
      <c r="E382" s="48"/>
    </row>
    <row r="383">
      <c r="A383" s="48"/>
      <c r="B383" s="48"/>
      <c r="C383" s="48"/>
      <c r="D383" s="48"/>
      <c r="E383" s="48"/>
    </row>
    <row r="384">
      <c r="A384" s="48"/>
      <c r="B384" s="48"/>
      <c r="C384" s="48"/>
      <c r="D384" s="48"/>
      <c r="E384" s="48"/>
    </row>
    <row r="385">
      <c r="A385" s="48"/>
      <c r="B385" s="48"/>
      <c r="C385" s="48"/>
      <c r="D385" s="48"/>
      <c r="E385" s="48"/>
    </row>
    <row r="386">
      <c r="A386" s="48"/>
      <c r="B386" s="48"/>
      <c r="C386" s="48"/>
      <c r="D386" s="48"/>
      <c r="E386" s="48"/>
    </row>
    <row r="387">
      <c r="A387" s="48"/>
      <c r="B387" s="48"/>
      <c r="C387" s="48"/>
      <c r="D387" s="48"/>
      <c r="E387" s="48"/>
    </row>
    <row r="388">
      <c r="A388" s="48"/>
      <c r="B388" s="48"/>
      <c r="C388" s="48"/>
      <c r="D388" s="48"/>
      <c r="E388" s="48"/>
    </row>
    <row r="389">
      <c r="A389" s="48"/>
      <c r="B389" s="48"/>
      <c r="C389" s="48"/>
      <c r="D389" s="48"/>
      <c r="E389" s="48"/>
    </row>
    <row r="390">
      <c r="A390" s="48"/>
      <c r="B390" s="48"/>
      <c r="C390" s="48"/>
      <c r="D390" s="48"/>
      <c r="E390" s="48"/>
    </row>
    <row r="391">
      <c r="A391" s="48"/>
      <c r="B391" s="48"/>
      <c r="C391" s="48"/>
      <c r="D391" s="48"/>
      <c r="E391" s="48"/>
    </row>
    <row r="392">
      <c r="A392" s="48"/>
      <c r="B392" s="48"/>
      <c r="C392" s="48"/>
      <c r="D392" s="48"/>
      <c r="E392" s="48"/>
    </row>
    <row r="393">
      <c r="A393" s="48"/>
      <c r="B393" s="48"/>
      <c r="C393" s="48"/>
      <c r="D393" s="48"/>
      <c r="E393" s="48"/>
    </row>
    <row r="394">
      <c r="A394" s="48"/>
      <c r="B394" s="48"/>
      <c r="C394" s="48"/>
      <c r="D394" s="48"/>
      <c r="E394" s="48"/>
    </row>
    <row r="395">
      <c r="A395" s="48"/>
      <c r="B395" s="48"/>
      <c r="C395" s="48"/>
      <c r="D395" s="48"/>
      <c r="E395" s="48"/>
    </row>
    <row r="396">
      <c r="A396" s="48"/>
      <c r="B396" s="48"/>
      <c r="C396" s="48"/>
      <c r="D396" s="48"/>
      <c r="E396" s="48"/>
    </row>
    <row r="397">
      <c r="A397" s="48"/>
      <c r="B397" s="48"/>
      <c r="C397" s="48"/>
      <c r="D397" s="48"/>
      <c r="E397" s="48"/>
    </row>
    <row r="398">
      <c r="A398" s="48"/>
      <c r="B398" s="48"/>
      <c r="C398" s="48"/>
      <c r="D398" s="48"/>
      <c r="E398" s="48"/>
    </row>
    <row r="399">
      <c r="A399" s="48"/>
      <c r="B399" s="48"/>
      <c r="C399" s="48"/>
      <c r="D399" s="48"/>
      <c r="E399" s="48"/>
    </row>
    <row r="400">
      <c r="A400" s="48"/>
      <c r="B400" s="48"/>
      <c r="C400" s="48"/>
      <c r="D400" s="48"/>
      <c r="E400" s="48"/>
    </row>
    <row r="401">
      <c r="A401" s="48"/>
      <c r="B401" s="48"/>
      <c r="C401" s="48"/>
      <c r="D401" s="48"/>
      <c r="E401" s="48"/>
    </row>
    <row r="402">
      <c r="A402" s="48"/>
      <c r="B402" s="48"/>
      <c r="C402" s="48"/>
      <c r="D402" s="48"/>
      <c r="E402" s="48"/>
    </row>
    <row r="403">
      <c r="A403" s="48"/>
      <c r="B403" s="48"/>
      <c r="C403" s="48"/>
      <c r="D403" s="48"/>
      <c r="E403" s="48"/>
    </row>
    <row r="404">
      <c r="A404" s="48"/>
      <c r="B404" s="48"/>
      <c r="C404" s="48"/>
      <c r="D404" s="48"/>
      <c r="E404" s="48"/>
    </row>
    <row r="405">
      <c r="A405" s="48"/>
      <c r="B405" s="48"/>
      <c r="C405" s="48"/>
      <c r="D405" s="48"/>
      <c r="E405" s="48"/>
    </row>
    <row r="406">
      <c r="A406" s="48"/>
      <c r="B406" s="48"/>
      <c r="C406" s="48"/>
      <c r="D406" s="48"/>
      <c r="E406" s="48"/>
    </row>
    <row r="407">
      <c r="A407" s="48"/>
      <c r="B407" s="48"/>
      <c r="C407" s="48"/>
      <c r="D407" s="48"/>
      <c r="E407" s="48"/>
    </row>
    <row r="408">
      <c r="A408" s="48"/>
      <c r="B408" s="48"/>
      <c r="C408" s="48"/>
      <c r="D408" s="48"/>
      <c r="E408" s="48"/>
    </row>
    <row r="409">
      <c r="A409" s="48"/>
      <c r="B409" s="48"/>
      <c r="C409" s="48"/>
      <c r="D409" s="48"/>
      <c r="E409" s="48"/>
    </row>
    <row r="410">
      <c r="A410" s="48"/>
      <c r="B410" s="48"/>
      <c r="C410" s="48"/>
      <c r="D410" s="48"/>
      <c r="E410" s="48"/>
    </row>
    <row r="411">
      <c r="A411" s="48"/>
      <c r="B411" s="48"/>
      <c r="C411" s="48"/>
      <c r="D411" s="48"/>
      <c r="E411" s="48"/>
    </row>
    <row r="412">
      <c r="A412" s="48"/>
      <c r="B412" s="48"/>
      <c r="C412" s="48"/>
      <c r="D412" s="48"/>
      <c r="E412" s="48"/>
    </row>
    <row r="413">
      <c r="A413" s="48"/>
      <c r="B413" s="48"/>
      <c r="C413" s="48"/>
      <c r="D413" s="48"/>
      <c r="E413" s="48"/>
    </row>
    <row r="414">
      <c r="A414" s="48"/>
      <c r="B414" s="48"/>
      <c r="C414" s="48"/>
      <c r="D414" s="48"/>
      <c r="E414" s="48"/>
    </row>
    <row r="415">
      <c r="A415" s="48"/>
      <c r="B415" s="48"/>
      <c r="C415" s="48"/>
      <c r="D415" s="48"/>
      <c r="E415" s="48"/>
    </row>
    <row r="416">
      <c r="A416" s="48"/>
      <c r="B416" s="48"/>
      <c r="C416" s="48"/>
      <c r="D416" s="48"/>
      <c r="E416" s="48"/>
    </row>
    <row r="417">
      <c r="A417" s="48"/>
      <c r="B417" s="48"/>
      <c r="C417" s="48"/>
      <c r="D417" s="48"/>
      <c r="E417" s="48"/>
    </row>
    <row r="418">
      <c r="A418" s="48"/>
      <c r="B418" s="48"/>
      <c r="C418" s="48"/>
      <c r="D418" s="48"/>
      <c r="E418" s="48"/>
    </row>
    <row r="419">
      <c r="A419" s="48"/>
      <c r="B419" s="48"/>
      <c r="C419" s="48"/>
      <c r="D419" s="48"/>
      <c r="E419" s="48"/>
    </row>
    <row r="420">
      <c r="A420" s="48"/>
      <c r="B420" s="48"/>
      <c r="C420" s="48"/>
      <c r="D420" s="48"/>
      <c r="E420" s="48"/>
    </row>
    <row r="421">
      <c r="A421" s="48"/>
      <c r="B421" s="48"/>
      <c r="C421" s="48"/>
      <c r="D421" s="48"/>
      <c r="E421" s="48"/>
    </row>
    <row r="422">
      <c r="A422" s="48"/>
      <c r="B422" s="48"/>
      <c r="C422" s="48"/>
      <c r="D422" s="48"/>
      <c r="E422" s="48"/>
    </row>
    <row r="423">
      <c r="A423" s="48"/>
      <c r="B423" s="48"/>
      <c r="C423" s="48"/>
      <c r="D423" s="48"/>
      <c r="E423" s="48"/>
    </row>
    <row r="424">
      <c r="A424" s="48"/>
      <c r="B424" s="48"/>
      <c r="C424" s="48"/>
      <c r="D424" s="48"/>
      <c r="E424" s="48"/>
    </row>
    <row r="425">
      <c r="A425" s="48"/>
      <c r="B425" s="48"/>
      <c r="C425" s="48"/>
      <c r="D425" s="48"/>
      <c r="E425" s="48"/>
    </row>
    <row r="426">
      <c r="A426" s="48"/>
      <c r="B426" s="48"/>
      <c r="C426" s="48"/>
      <c r="D426" s="48"/>
      <c r="E426" s="48"/>
    </row>
    <row r="427">
      <c r="A427" s="48"/>
      <c r="B427" s="48"/>
      <c r="C427" s="48"/>
      <c r="D427" s="48"/>
      <c r="E427" s="48"/>
    </row>
    <row r="428">
      <c r="A428" s="48"/>
      <c r="B428" s="48"/>
      <c r="C428" s="48"/>
      <c r="D428" s="48"/>
      <c r="E428" s="48"/>
    </row>
    <row r="429">
      <c r="A429" s="48"/>
      <c r="B429" s="48"/>
      <c r="C429" s="48"/>
      <c r="D429" s="48"/>
      <c r="E429" s="48"/>
    </row>
    <row r="430">
      <c r="A430" s="48"/>
      <c r="B430" s="48"/>
      <c r="C430" s="48"/>
      <c r="D430" s="48"/>
      <c r="E430" s="48"/>
    </row>
    <row r="431">
      <c r="A431" s="48"/>
      <c r="B431" s="48"/>
      <c r="C431" s="48"/>
      <c r="D431" s="48"/>
      <c r="E431" s="48"/>
    </row>
    <row r="432">
      <c r="A432" s="48"/>
      <c r="B432" s="48"/>
      <c r="C432" s="48"/>
      <c r="D432" s="48"/>
      <c r="E432" s="48"/>
    </row>
    <row r="433">
      <c r="A433" s="48"/>
      <c r="B433" s="48"/>
      <c r="C433" s="48"/>
      <c r="D433" s="48"/>
      <c r="E433" s="48"/>
    </row>
    <row r="434">
      <c r="A434" s="48"/>
      <c r="B434" s="48"/>
      <c r="C434" s="48"/>
      <c r="D434" s="48"/>
      <c r="E434" s="48"/>
    </row>
    <row r="435">
      <c r="A435" s="48"/>
      <c r="B435" s="48"/>
      <c r="C435" s="48"/>
      <c r="D435" s="48"/>
      <c r="E435" s="48"/>
    </row>
    <row r="436">
      <c r="A436" s="48"/>
      <c r="B436" s="48"/>
      <c r="C436" s="48"/>
      <c r="D436" s="48"/>
      <c r="E436" s="48"/>
    </row>
    <row r="437">
      <c r="A437" s="48"/>
      <c r="B437" s="48"/>
      <c r="C437" s="48"/>
      <c r="D437" s="48"/>
      <c r="E437" s="48"/>
    </row>
    <row r="438">
      <c r="A438" s="48"/>
      <c r="B438" s="48"/>
      <c r="C438" s="48"/>
      <c r="D438" s="48"/>
      <c r="E438" s="48"/>
    </row>
    <row r="439">
      <c r="A439" s="48"/>
      <c r="B439" s="48"/>
      <c r="C439" s="48"/>
      <c r="D439" s="48"/>
      <c r="E439" s="48"/>
    </row>
    <row r="440">
      <c r="A440" s="48"/>
      <c r="B440" s="48"/>
      <c r="C440" s="48"/>
      <c r="D440" s="48"/>
      <c r="E440" s="48"/>
    </row>
    <row r="441">
      <c r="A441" s="48"/>
      <c r="B441" s="48"/>
      <c r="C441" s="48"/>
      <c r="D441" s="48"/>
      <c r="E441" s="48"/>
    </row>
    <row r="442">
      <c r="A442" s="48"/>
      <c r="B442" s="48"/>
      <c r="C442" s="48"/>
      <c r="D442" s="48"/>
      <c r="E442" s="48"/>
    </row>
    <row r="443">
      <c r="A443" s="48"/>
      <c r="B443" s="48"/>
      <c r="C443" s="48"/>
      <c r="D443" s="48"/>
      <c r="E443" s="48"/>
    </row>
    <row r="444">
      <c r="A444" s="48"/>
      <c r="B444" s="48"/>
      <c r="C444" s="48"/>
      <c r="D444" s="48"/>
      <c r="E444" s="48"/>
    </row>
    <row r="445">
      <c r="A445" s="48"/>
      <c r="B445" s="48"/>
      <c r="C445" s="48"/>
      <c r="D445" s="48"/>
      <c r="E445" s="48"/>
    </row>
    <row r="446">
      <c r="A446" s="48"/>
      <c r="B446" s="48"/>
      <c r="C446" s="48"/>
      <c r="D446" s="48"/>
      <c r="E446" s="48"/>
    </row>
    <row r="447">
      <c r="A447" s="48"/>
      <c r="B447" s="48"/>
      <c r="C447" s="48"/>
      <c r="D447" s="48"/>
      <c r="E447" s="48"/>
    </row>
    <row r="448">
      <c r="A448" s="48"/>
      <c r="B448" s="48"/>
      <c r="C448" s="48"/>
      <c r="D448" s="48"/>
      <c r="E448" s="48"/>
    </row>
    <row r="449">
      <c r="A449" s="48"/>
      <c r="B449" s="48"/>
      <c r="C449" s="48"/>
      <c r="D449" s="48"/>
      <c r="E449" s="48"/>
    </row>
    <row r="450">
      <c r="A450" s="48"/>
      <c r="B450" s="48"/>
      <c r="C450" s="48"/>
      <c r="D450" s="48"/>
      <c r="E450" s="48"/>
    </row>
    <row r="451">
      <c r="A451" s="48"/>
      <c r="B451" s="48"/>
      <c r="C451" s="48"/>
      <c r="D451" s="48"/>
      <c r="E451" s="48"/>
    </row>
    <row r="452">
      <c r="A452" s="48"/>
      <c r="B452" s="48"/>
      <c r="C452" s="48"/>
      <c r="D452" s="48"/>
      <c r="E452" s="48"/>
    </row>
    <row r="453">
      <c r="A453" s="48"/>
      <c r="B453" s="48"/>
      <c r="C453" s="48"/>
      <c r="D453" s="48"/>
      <c r="E453" s="48"/>
    </row>
    <row r="454">
      <c r="A454" s="48"/>
      <c r="B454" s="48"/>
      <c r="C454" s="48"/>
      <c r="D454" s="48"/>
      <c r="E454" s="48"/>
    </row>
    <row r="455">
      <c r="A455" s="48"/>
      <c r="B455" s="48"/>
      <c r="C455" s="48"/>
      <c r="D455" s="48"/>
      <c r="E455" s="48"/>
    </row>
    <row r="456">
      <c r="A456" s="48"/>
      <c r="B456" s="48"/>
      <c r="C456" s="48"/>
      <c r="D456" s="48"/>
      <c r="E456" s="48"/>
    </row>
    <row r="457">
      <c r="A457" s="48"/>
      <c r="B457" s="48"/>
      <c r="C457" s="48"/>
      <c r="D457" s="48"/>
      <c r="E457" s="48"/>
    </row>
    <row r="458">
      <c r="A458" s="48"/>
      <c r="B458" s="48"/>
      <c r="C458" s="48"/>
      <c r="D458" s="48"/>
      <c r="E458" s="48"/>
    </row>
    <row r="459">
      <c r="A459" s="48"/>
      <c r="B459" s="48"/>
      <c r="C459" s="48"/>
      <c r="D459" s="48"/>
      <c r="E459" s="48"/>
    </row>
    <row r="460">
      <c r="A460" s="48"/>
      <c r="B460" s="48"/>
      <c r="C460" s="48"/>
      <c r="D460" s="48"/>
      <c r="E460" s="48"/>
    </row>
    <row r="461">
      <c r="A461" s="48"/>
      <c r="B461" s="48"/>
      <c r="C461" s="48"/>
      <c r="D461" s="48"/>
      <c r="E461" s="48"/>
    </row>
    <row r="462">
      <c r="A462" s="48"/>
      <c r="B462" s="48"/>
      <c r="C462" s="48"/>
      <c r="D462" s="48"/>
      <c r="E462" s="48"/>
    </row>
    <row r="463">
      <c r="A463" s="48"/>
      <c r="B463" s="48"/>
      <c r="C463" s="48"/>
      <c r="D463" s="48"/>
      <c r="E463" s="48"/>
    </row>
    <row r="464">
      <c r="A464" s="48"/>
      <c r="B464" s="48"/>
      <c r="C464" s="48"/>
      <c r="D464" s="48"/>
      <c r="E464" s="48"/>
    </row>
    <row r="465">
      <c r="A465" s="48"/>
      <c r="B465" s="48"/>
      <c r="C465" s="48"/>
      <c r="D465" s="48"/>
      <c r="E465" s="48"/>
    </row>
    <row r="466">
      <c r="A466" s="48"/>
      <c r="B466" s="48"/>
      <c r="C466" s="48"/>
      <c r="D466" s="48"/>
      <c r="E466" s="48"/>
    </row>
    <row r="467">
      <c r="A467" s="48"/>
      <c r="B467" s="48"/>
      <c r="C467" s="48"/>
      <c r="D467" s="48"/>
      <c r="E467" s="48"/>
    </row>
    <row r="468">
      <c r="A468" s="48"/>
      <c r="B468" s="48"/>
      <c r="C468" s="48"/>
      <c r="D468" s="48"/>
      <c r="E468" s="48"/>
    </row>
    <row r="469">
      <c r="A469" s="48"/>
      <c r="B469" s="48"/>
      <c r="C469" s="48"/>
      <c r="D469" s="48"/>
      <c r="E469" s="48"/>
    </row>
    <row r="470">
      <c r="A470" s="48"/>
      <c r="B470" s="48"/>
      <c r="C470" s="48"/>
      <c r="D470" s="48"/>
      <c r="E470" s="48"/>
    </row>
    <row r="471">
      <c r="A471" s="48"/>
      <c r="B471" s="48"/>
      <c r="C471" s="48"/>
      <c r="D471" s="48"/>
      <c r="E471" s="48"/>
    </row>
    <row r="472">
      <c r="A472" s="48"/>
      <c r="B472" s="48"/>
      <c r="C472" s="48"/>
      <c r="D472" s="48"/>
      <c r="E472" s="48"/>
    </row>
    <row r="473">
      <c r="A473" s="48"/>
      <c r="B473" s="48"/>
      <c r="C473" s="48"/>
      <c r="D473" s="48"/>
      <c r="E473" s="48"/>
    </row>
    <row r="474">
      <c r="A474" s="48"/>
      <c r="B474" s="48"/>
      <c r="C474" s="48"/>
      <c r="D474" s="48"/>
      <c r="E474" s="48"/>
    </row>
    <row r="475">
      <c r="A475" s="48"/>
      <c r="B475" s="48"/>
      <c r="C475" s="48"/>
      <c r="D475" s="48"/>
      <c r="E475" s="48"/>
    </row>
    <row r="476">
      <c r="A476" s="48"/>
      <c r="B476" s="48"/>
      <c r="C476" s="48"/>
      <c r="D476" s="48"/>
      <c r="E476" s="48"/>
    </row>
    <row r="477">
      <c r="A477" s="48"/>
      <c r="B477" s="48"/>
      <c r="C477" s="48"/>
      <c r="D477" s="48"/>
      <c r="E477" s="48"/>
    </row>
    <row r="478">
      <c r="A478" s="48"/>
      <c r="B478" s="48"/>
      <c r="C478" s="48"/>
      <c r="D478" s="48"/>
      <c r="E478" s="48"/>
    </row>
    <row r="479">
      <c r="A479" s="48"/>
      <c r="B479" s="48"/>
      <c r="C479" s="48"/>
      <c r="D479" s="48"/>
      <c r="E479" s="48"/>
    </row>
    <row r="480">
      <c r="A480" s="48"/>
      <c r="B480" s="48"/>
      <c r="C480" s="48"/>
      <c r="D480" s="48"/>
      <c r="E480" s="48"/>
    </row>
    <row r="481">
      <c r="A481" s="48"/>
      <c r="B481" s="48"/>
      <c r="C481" s="48"/>
      <c r="D481" s="48"/>
      <c r="E481" s="48"/>
    </row>
    <row r="482">
      <c r="A482" s="48"/>
      <c r="B482" s="48"/>
      <c r="C482" s="48"/>
      <c r="D482" s="48"/>
      <c r="E482" s="48"/>
    </row>
    <row r="483">
      <c r="A483" s="48"/>
      <c r="B483" s="48"/>
      <c r="C483" s="48"/>
      <c r="D483" s="48"/>
      <c r="E483" s="48"/>
    </row>
    <row r="484">
      <c r="A484" s="48"/>
      <c r="B484" s="48"/>
      <c r="C484" s="48"/>
      <c r="D484" s="48"/>
      <c r="E484" s="48"/>
    </row>
    <row r="485">
      <c r="A485" s="48"/>
      <c r="B485" s="48"/>
      <c r="C485" s="48"/>
      <c r="D485" s="48"/>
      <c r="E485" s="48"/>
    </row>
    <row r="486">
      <c r="A486" s="48"/>
      <c r="B486" s="48"/>
      <c r="C486" s="48"/>
      <c r="D486" s="48"/>
      <c r="E486" s="48"/>
    </row>
    <row r="487">
      <c r="A487" s="48"/>
      <c r="B487" s="48"/>
      <c r="C487" s="48"/>
      <c r="D487" s="48"/>
      <c r="E487" s="48"/>
    </row>
    <row r="488">
      <c r="A488" s="48"/>
      <c r="B488" s="48"/>
      <c r="C488" s="48"/>
      <c r="D488" s="48"/>
      <c r="E488" s="48"/>
    </row>
    <row r="489">
      <c r="A489" s="48"/>
      <c r="B489" s="48"/>
      <c r="C489" s="48"/>
      <c r="D489" s="48"/>
      <c r="E489" s="48"/>
    </row>
    <row r="490">
      <c r="A490" s="48"/>
      <c r="B490" s="48"/>
      <c r="C490" s="48"/>
      <c r="D490" s="48"/>
      <c r="E490" s="48"/>
    </row>
    <row r="491">
      <c r="A491" s="48"/>
      <c r="B491" s="48"/>
      <c r="C491" s="48"/>
      <c r="D491" s="48"/>
      <c r="E491" s="48"/>
    </row>
    <row r="492">
      <c r="A492" s="48"/>
      <c r="B492" s="48"/>
      <c r="C492" s="48"/>
      <c r="D492" s="48"/>
      <c r="E492" s="48"/>
    </row>
    <row r="493">
      <c r="A493" s="48"/>
      <c r="B493" s="48"/>
      <c r="C493" s="48"/>
      <c r="D493" s="48"/>
      <c r="E493" s="48"/>
    </row>
    <row r="494">
      <c r="A494" s="48"/>
      <c r="B494" s="48"/>
      <c r="C494" s="48"/>
      <c r="D494" s="48"/>
      <c r="E494" s="48"/>
    </row>
    <row r="495">
      <c r="A495" s="48"/>
      <c r="B495" s="48"/>
      <c r="C495" s="48"/>
      <c r="D495" s="48"/>
      <c r="E495" s="48"/>
    </row>
    <row r="496">
      <c r="A496" s="48"/>
      <c r="B496" s="48"/>
      <c r="C496" s="48"/>
      <c r="D496" s="48"/>
      <c r="E496" s="48"/>
    </row>
    <row r="497">
      <c r="A497" s="48"/>
      <c r="B497" s="48"/>
      <c r="C497" s="48"/>
      <c r="D497" s="48"/>
      <c r="E497" s="48"/>
    </row>
    <row r="498">
      <c r="A498" s="48"/>
      <c r="B498" s="48"/>
      <c r="C498" s="48"/>
      <c r="D498" s="48"/>
      <c r="E498" s="48"/>
    </row>
    <row r="499">
      <c r="A499" s="48"/>
      <c r="B499" s="48"/>
      <c r="C499" s="48"/>
      <c r="D499" s="48"/>
      <c r="E499" s="48"/>
    </row>
    <row r="500">
      <c r="A500" s="48"/>
      <c r="B500" s="48"/>
      <c r="C500" s="48"/>
      <c r="D500" s="48"/>
      <c r="E500" s="48"/>
    </row>
    <row r="501">
      <c r="A501" s="48"/>
      <c r="B501" s="48"/>
      <c r="C501" s="48"/>
      <c r="D501" s="48"/>
      <c r="E501" s="48"/>
    </row>
    <row r="502">
      <c r="A502" s="48"/>
      <c r="B502" s="48"/>
      <c r="C502" s="48"/>
      <c r="D502" s="48"/>
      <c r="E502" s="48"/>
    </row>
    <row r="503">
      <c r="A503" s="48"/>
      <c r="B503" s="48"/>
      <c r="C503" s="48"/>
      <c r="D503" s="48"/>
      <c r="E503" s="48"/>
    </row>
    <row r="504">
      <c r="A504" s="48"/>
      <c r="B504" s="48"/>
      <c r="C504" s="48"/>
      <c r="D504" s="48"/>
      <c r="E504" s="48"/>
    </row>
    <row r="505">
      <c r="A505" s="48"/>
      <c r="B505" s="48"/>
      <c r="C505" s="48"/>
      <c r="D505" s="48"/>
      <c r="E505" s="48"/>
    </row>
    <row r="506">
      <c r="A506" s="48"/>
      <c r="B506" s="48"/>
      <c r="C506" s="48"/>
      <c r="D506" s="48"/>
      <c r="E506" s="48"/>
    </row>
    <row r="507">
      <c r="A507" s="48"/>
      <c r="B507" s="48"/>
      <c r="C507" s="48"/>
      <c r="D507" s="48"/>
      <c r="E507" s="48"/>
    </row>
    <row r="508">
      <c r="A508" s="48"/>
      <c r="B508" s="48"/>
      <c r="C508" s="48"/>
      <c r="D508" s="48"/>
      <c r="E508" s="48"/>
    </row>
    <row r="509">
      <c r="A509" s="48"/>
      <c r="B509" s="48"/>
      <c r="C509" s="48"/>
      <c r="D509" s="48"/>
      <c r="E509" s="48"/>
    </row>
    <row r="510">
      <c r="A510" s="48"/>
      <c r="B510" s="48"/>
      <c r="C510" s="48"/>
      <c r="D510" s="48"/>
      <c r="E510" s="48"/>
    </row>
    <row r="511">
      <c r="A511" s="48"/>
      <c r="B511" s="48"/>
      <c r="C511" s="48"/>
      <c r="D511" s="48"/>
      <c r="E511" s="48"/>
    </row>
    <row r="512">
      <c r="A512" s="48"/>
      <c r="B512" s="48"/>
      <c r="C512" s="48"/>
      <c r="D512" s="48"/>
      <c r="E512" s="48"/>
    </row>
    <row r="513">
      <c r="A513" s="48"/>
      <c r="B513" s="48"/>
      <c r="C513" s="48"/>
      <c r="D513" s="48"/>
      <c r="E513" s="48"/>
    </row>
    <row r="514">
      <c r="A514" s="48"/>
      <c r="B514" s="48"/>
      <c r="C514" s="48"/>
      <c r="D514" s="48"/>
      <c r="E514" s="48"/>
    </row>
    <row r="515">
      <c r="A515" s="48"/>
      <c r="B515" s="48"/>
      <c r="C515" s="48"/>
      <c r="D515" s="48"/>
      <c r="E515" s="48"/>
    </row>
    <row r="516">
      <c r="A516" s="48"/>
      <c r="B516" s="48"/>
      <c r="C516" s="48"/>
      <c r="D516" s="48"/>
      <c r="E516" s="48"/>
    </row>
    <row r="517">
      <c r="A517" s="48"/>
      <c r="B517" s="48"/>
      <c r="C517" s="48"/>
      <c r="D517" s="48"/>
      <c r="E517" s="48"/>
    </row>
    <row r="518">
      <c r="A518" s="48"/>
      <c r="B518" s="48"/>
      <c r="C518" s="48"/>
      <c r="D518" s="48"/>
      <c r="E518" s="48"/>
    </row>
    <row r="519">
      <c r="A519" s="48"/>
      <c r="B519" s="48"/>
      <c r="C519" s="48"/>
      <c r="D519" s="48"/>
      <c r="E519" s="48"/>
    </row>
    <row r="520">
      <c r="A520" s="48"/>
      <c r="B520" s="48"/>
      <c r="C520" s="48"/>
      <c r="D520" s="48"/>
      <c r="E520" s="48"/>
    </row>
    <row r="521">
      <c r="A521" s="48"/>
      <c r="B521" s="48"/>
      <c r="C521" s="48"/>
      <c r="D521" s="48"/>
      <c r="E521" s="48"/>
    </row>
    <row r="522">
      <c r="A522" s="48"/>
      <c r="B522" s="48"/>
      <c r="C522" s="48"/>
      <c r="D522" s="48"/>
      <c r="E522" s="48"/>
    </row>
    <row r="523">
      <c r="A523" s="48"/>
      <c r="B523" s="48"/>
      <c r="C523" s="48"/>
      <c r="D523" s="48"/>
      <c r="E523" s="48"/>
    </row>
    <row r="524">
      <c r="A524" s="48"/>
      <c r="B524" s="48"/>
      <c r="C524" s="48"/>
      <c r="D524" s="48"/>
      <c r="E524" s="48"/>
    </row>
    <row r="525">
      <c r="A525" s="48"/>
      <c r="B525" s="48"/>
      <c r="C525" s="48"/>
      <c r="D525" s="48"/>
      <c r="E525" s="48"/>
    </row>
    <row r="526">
      <c r="A526" s="48"/>
      <c r="B526" s="48"/>
      <c r="C526" s="48"/>
      <c r="D526" s="48"/>
      <c r="E526" s="48"/>
    </row>
    <row r="527">
      <c r="A527" s="48"/>
      <c r="B527" s="48"/>
      <c r="C527" s="48"/>
      <c r="D527" s="48"/>
      <c r="E527" s="48"/>
    </row>
    <row r="528">
      <c r="A528" s="48"/>
      <c r="B528" s="48"/>
      <c r="C528" s="48"/>
      <c r="D528" s="48"/>
      <c r="E528" s="48"/>
    </row>
    <row r="529">
      <c r="A529" s="48"/>
      <c r="B529" s="48"/>
      <c r="C529" s="48"/>
      <c r="D529" s="48"/>
      <c r="E529" s="48"/>
    </row>
    <row r="530">
      <c r="A530" s="48"/>
      <c r="B530" s="48"/>
      <c r="C530" s="48"/>
      <c r="D530" s="48"/>
      <c r="E530" s="48"/>
    </row>
    <row r="531">
      <c r="A531" s="48"/>
      <c r="B531" s="48"/>
      <c r="C531" s="48"/>
      <c r="D531" s="48"/>
      <c r="E531" s="48"/>
    </row>
    <row r="532">
      <c r="A532" s="48"/>
      <c r="B532" s="48"/>
      <c r="C532" s="48"/>
      <c r="D532" s="48"/>
      <c r="E532" s="48"/>
    </row>
    <row r="533">
      <c r="A533" s="48"/>
      <c r="B533" s="48"/>
      <c r="C533" s="48"/>
      <c r="D533" s="48"/>
      <c r="E533" s="48"/>
    </row>
    <row r="534">
      <c r="A534" s="48"/>
      <c r="B534" s="48"/>
      <c r="C534" s="48"/>
      <c r="D534" s="48"/>
      <c r="E534" s="48"/>
    </row>
    <row r="535">
      <c r="A535" s="48"/>
      <c r="B535" s="48"/>
      <c r="C535" s="48"/>
      <c r="D535" s="48"/>
      <c r="E535" s="48"/>
    </row>
    <row r="536">
      <c r="A536" s="48"/>
      <c r="B536" s="48"/>
      <c r="C536" s="48"/>
      <c r="D536" s="48"/>
      <c r="E536" s="48"/>
    </row>
    <row r="537">
      <c r="A537" s="48"/>
      <c r="B537" s="48"/>
      <c r="C537" s="48"/>
      <c r="D537" s="48"/>
      <c r="E537" s="48"/>
    </row>
    <row r="538">
      <c r="A538" s="48"/>
      <c r="B538" s="48"/>
      <c r="C538" s="48"/>
      <c r="D538" s="48"/>
      <c r="E538" s="48"/>
    </row>
    <row r="539">
      <c r="A539" s="48"/>
      <c r="B539" s="48"/>
      <c r="C539" s="48"/>
      <c r="D539" s="48"/>
      <c r="E539" s="48"/>
    </row>
    <row r="540">
      <c r="A540" s="48"/>
      <c r="B540" s="48"/>
      <c r="C540" s="48"/>
      <c r="D540" s="48"/>
      <c r="E540" s="48"/>
    </row>
    <row r="541">
      <c r="A541" s="48"/>
      <c r="B541" s="48"/>
      <c r="C541" s="48"/>
      <c r="D541" s="48"/>
      <c r="E541" s="48"/>
    </row>
    <row r="542">
      <c r="A542" s="48"/>
      <c r="B542" s="48"/>
      <c r="C542" s="48"/>
      <c r="D542" s="48"/>
      <c r="E542" s="48"/>
    </row>
    <row r="543">
      <c r="A543" s="48"/>
      <c r="B543" s="48"/>
      <c r="C543" s="48"/>
      <c r="D543" s="48"/>
      <c r="E543" s="48"/>
    </row>
    <row r="544">
      <c r="A544" s="48"/>
      <c r="B544" s="48"/>
      <c r="C544" s="48"/>
      <c r="D544" s="48"/>
      <c r="E544" s="48"/>
    </row>
    <row r="545">
      <c r="A545" s="48"/>
      <c r="B545" s="48"/>
      <c r="C545" s="48"/>
      <c r="D545" s="48"/>
      <c r="E545" s="48"/>
    </row>
    <row r="546">
      <c r="A546" s="48"/>
      <c r="B546" s="48"/>
      <c r="C546" s="48"/>
      <c r="D546" s="48"/>
      <c r="E546" s="48"/>
    </row>
    <row r="547">
      <c r="A547" s="48"/>
      <c r="B547" s="48"/>
      <c r="C547" s="48"/>
      <c r="D547" s="48"/>
      <c r="E547" s="48"/>
    </row>
    <row r="548">
      <c r="A548" s="48"/>
      <c r="B548" s="48"/>
      <c r="C548" s="48"/>
      <c r="D548" s="48"/>
      <c r="E548" s="48"/>
    </row>
    <row r="549">
      <c r="A549" s="48"/>
      <c r="B549" s="48"/>
      <c r="C549" s="48"/>
      <c r="D549" s="48"/>
      <c r="E549" s="48"/>
    </row>
    <row r="550">
      <c r="A550" s="48"/>
      <c r="B550" s="48"/>
      <c r="C550" s="48"/>
      <c r="D550" s="48"/>
      <c r="E550" s="48"/>
    </row>
    <row r="551">
      <c r="A551" s="48"/>
      <c r="B551" s="48"/>
      <c r="C551" s="48"/>
      <c r="D551" s="48"/>
      <c r="E551" s="48"/>
    </row>
    <row r="552">
      <c r="A552" s="48"/>
      <c r="B552" s="48"/>
      <c r="C552" s="48"/>
      <c r="D552" s="48"/>
      <c r="E552" s="48"/>
    </row>
    <row r="553">
      <c r="A553" s="48"/>
      <c r="B553" s="48"/>
      <c r="C553" s="48"/>
      <c r="D553" s="48"/>
      <c r="E553" s="48"/>
    </row>
    <row r="554">
      <c r="A554" s="48"/>
      <c r="B554" s="48"/>
      <c r="C554" s="48"/>
      <c r="D554" s="48"/>
      <c r="E554" s="48"/>
    </row>
    <row r="555">
      <c r="A555" s="48"/>
      <c r="B555" s="48"/>
      <c r="C555" s="48"/>
      <c r="D555" s="48"/>
      <c r="E555" s="48"/>
    </row>
    <row r="556">
      <c r="A556" s="48"/>
      <c r="B556" s="48"/>
      <c r="C556" s="48"/>
      <c r="D556" s="48"/>
      <c r="E556" s="48"/>
    </row>
    <row r="557">
      <c r="A557" s="48"/>
      <c r="B557" s="48"/>
      <c r="C557" s="48"/>
      <c r="D557" s="48"/>
      <c r="E557" s="48"/>
    </row>
    <row r="558">
      <c r="A558" s="48"/>
      <c r="B558" s="48"/>
      <c r="C558" s="48"/>
      <c r="D558" s="48"/>
      <c r="E558" s="48"/>
    </row>
    <row r="559">
      <c r="A559" s="48"/>
      <c r="B559" s="48"/>
      <c r="C559" s="48"/>
      <c r="D559" s="48"/>
      <c r="E559" s="48"/>
    </row>
    <row r="560">
      <c r="A560" s="48"/>
      <c r="B560" s="48"/>
      <c r="C560" s="48"/>
      <c r="D560" s="48"/>
      <c r="E560" s="48"/>
    </row>
    <row r="561">
      <c r="A561" s="48"/>
      <c r="B561" s="48"/>
      <c r="C561" s="48"/>
      <c r="D561" s="48"/>
      <c r="E561" s="48"/>
    </row>
    <row r="562">
      <c r="A562" s="48"/>
      <c r="B562" s="48"/>
      <c r="C562" s="48"/>
      <c r="D562" s="48"/>
      <c r="E562" s="48"/>
    </row>
    <row r="563">
      <c r="A563" s="48"/>
      <c r="B563" s="48"/>
      <c r="C563" s="48"/>
      <c r="D563" s="48"/>
      <c r="E563" s="48"/>
    </row>
    <row r="564">
      <c r="A564" s="48"/>
      <c r="B564" s="48"/>
      <c r="C564" s="48"/>
      <c r="D564" s="48"/>
      <c r="E564" s="48"/>
    </row>
    <row r="565">
      <c r="A565" s="48"/>
      <c r="B565" s="48"/>
      <c r="C565" s="48"/>
      <c r="D565" s="48"/>
      <c r="E565" s="48"/>
    </row>
    <row r="566">
      <c r="A566" s="48"/>
      <c r="B566" s="48"/>
      <c r="C566" s="48"/>
      <c r="D566" s="48"/>
      <c r="E566" s="48"/>
    </row>
    <row r="567">
      <c r="A567" s="48"/>
      <c r="B567" s="48"/>
      <c r="C567" s="48"/>
      <c r="D567" s="48"/>
      <c r="E567" s="48"/>
    </row>
    <row r="568">
      <c r="A568" s="48"/>
      <c r="B568" s="48"/>
      <c r="C568" s="48"/>
      <c r="D568" s="48"/>
      <c r="E568" s="48"/>
    </row>
    <row r="569">
      <c r="A569" s="48"/>
      <c r="B569" s="48"/>
      <c r="C569" s="48"/>
      <c r="D569" s="48"/>
      <c r="E569" s="48"/>
    </row>
    <row r="570">
      <c r="A570" s="48"/>
      <c r="B570" s="48"/>
      <c r="C570" s="48"/>
      <c r="D570" s="48"/>
      <c r="E570" s="48"/>
    </row>
    <row r="571">
      <c r="A571" s="48"/>
      <c r="B571" s="48"/>
      <c r="C571" s="48"/>
      <c r="D571" s="48"/>
      <c r="E571" s="48"/>
    </row>
    <row r="572">
      <c r="A572" s="48"/>
      <c r="B572" s="48"/>
      <c r="C572" s="48"/>
      <c r="D572" s="48"/>
      <c r="E572" s="48"/>
    </row>
    <row r="573">
      <c r="A573" s="48"/>
      <c r="B573" s="48"/>
      <c r="C573" s="48"/>
      <c r="D573" s="48"/>
      <c r="E573" s="48"/>
    </row>
    <row r="574">
      <c r="A574" s="48"/>
      <c r="B574" s="48"/>
      <c r="C574" s="48"/>
      <c r="D574" s="48"/>
      <c r="E574" s="48"/>
    </row>
    <row r="575">
      <c r="A575" s="48"/>
      <c r="B575" s="48"/>
      <c r="C575" s="48"/>
      <c r="D575" s="48"/>
      <c r="E575" s="48"/>
    </row>
    <row r="576">
      <c r="A576" s="48"/>
      <c r="B576" s="48"/>
      <c r="C576" s="48"/>
      <c r="D576" s="48"/>
      <c r="E576" s="48"/>
    </row>
    <row r="577">
      <c r="A577" s="48"/>
      <c r="B577" s="48"/>
      <c r="C577" s="48"/>
      <c r="D577" s="48"/>
      <c r="E577" s="48"/>
    </row>
    <row r="578">
      <c r="A578" s="48"/>
      <c r="B578" s="48"/>
      <c r="C578" s="48"/>
      <c r="D578" s="48"/>
      <c r="E578" s="48"/>
    </row>
    <row r="579">
      <c r="A579" s="48"/>
      <c r="B579" s="48"/>
      <c r="C579" s="48"/>
      <c r="D579" s="48"/>
      <c r="E579" s="48"/>
    </row>
    <row r="580">
      <c r="A580" s="48"/>
      <c r="B580" s="48"/>
      <c r="C580" s="48"/>
      <c r="D580" s="48"/>
      <c r="E580" s="48"/>
    </row>
    <row r="581">
      <c r="A581" s="48"/>
      <c r="B581" s="48"/>
      <c r="C581" s="48"/>
      <c r="D581" s="48"/>
      <c r="E581" s="48"/>
    </row>
    <row r="582">
      <c r="A582" s="48"/>
      <c r="B582" s="48"/>
      <c r="C582" s="48"/>
      <c r="D582" s="48"/>
      <c r="E582" s="48"/>
    </row>
    <row r="583">
      <c r="A583" s="48"/>
      <c r="B583" s="48"/>
      <c r="C583" s="48"/>
      <c r="D583" s="48"/>
      <c r="E583" s="48"/>
    </row>
    <row r="584">
      <c r="A584" s="48"/>
      <c r="B584" s="48"/>
      <c r="C584" s="48"/>
      <c r="D584" s="48"/>
      <c r="E584" s="48"/>
    </row>
    <row r="585">
      <c r="A585" s="48"/>
      <c r="B585" s="48"/>
      <c r="C585" s="48"/>
      <c r="D585" s="48"/>
      <c r="E585" s="48"/>
    </row>
    <row r="586">
      <c r="A586" s="48"/>
      <c r="B586" s="48"/>
      <c r="C586" s="48"/>
      <c r="D586" s="48"/>
      <c r="E586" s="48"/>
    </row>
    <row r="587">
      <c r="A587" s="48"/>
      <c r="B587" s="48"/>
      <c r="C587" s="48"/>
      <c r="D587" s="48"/>
      <c r="E587" s="48"/>
    </row>
    <row r="588">
      <c r="A588" s="48"/>
      <c r="B588" s="48"/>
      <c r="C588" s="48"/>
      <c r="D588" s="48"/>
      <c r="E588" s="48"/>
    </row>
    <row r="589">
      <c r="A589" s="48"/>
      <c r="B589" s="48"/>
      <c r="C589" s="48"/>
      <c r="D589" s="48"/>
      <c r="E589" s="48"/>
    </row>
    <row r="590">
      <c r="A590" s="48"/>
      <c r="B590" s="48"/>
      <c r="C590" s="48"/>
      <c r="D590" s="48"/>
      <c r="E590" s="48"/>
    </row>
    <row r="591">
      <c r="A591" s="48"/>
      <c r="B591" s="48"/>
      <c r="C591" s="48"/>
      <c r="D591" s="48"/>
      <c r="E591" s="48"/>
    </row>
    <row r="592">
      <c r="A592" s="48"/>
      <c r="B592" s="48"/>
      <c r="C592" s="48"/>
      <c r="D592" s="48"/>
      <c r="E592" s="48"/>
    </row>
    <row r="593">
      <c r="A593" s="48"/>
      <c r="B593" s="48"/>
      <c r="C593" s="48"/>
      <c r="D593" s="48"/>
      <c r="E593" s="48"/>
    </row>
    <row r="594">
      <c r="A594" s="48"/>
      <c r="B594" s="48"/>
      <c r="C594" s="48"/>
      <c r="D594" s="48"/>
      <c r="E594" s="48"/>
    </row>
    <row r="595">
      <c r="A595" s="48"/>
      <c r="B595" s="48"/>
      <c r="C595" s="48"/>
      <c r="D595" s="48"/>
      <c r="E595" s="48"/>
    </row>
    <row r="596">
      <c r="A596" s="48"/>
      <c r="B596" s="48"/>
      <c r="C596" s="48"/>
      <c r="D596" s="48"/>
      <c r="E596" s="48"/>
    </row>
    <row r="597">
      <c r="A597" s="48"/>
      <c r="B597" s="48"/>
      <c r="C597" s="48"/>
      <c r="D597" s="48"/>
      <c r="E597" s="48"/>
    </row>
    <row r="598">
      <c r="A598" s="48"/>
      <c r="B598" s="48"/>
      <c r="C598" s="48"/>
      <c r="D598" s="48"/>
      <c r="E598" s="48"/>
    </row>
    <row r="599">
      <c r="A599" s="48"/>
      <c r="B599" s="48"/>
      <c r="C599" s="48"/>
      <c r="D599" s="48"/>
      <c r="E599" s="48"/>
    </row>
    <row r="600">
      <c r="A600" s="48"/>
      <c r="B600" s="48"/>
      <c r="C600" s="48"/>
      <c r="D600" s="48"/>
      <c r="E600" s="48"/>
    </row>
    <row r="601">
      <c r="A601" s="48"/>
      <c r="B601" s="48"/>
      <c r="C601" s="48"/>
      <c r="D601" s="48"/>
      <c r="E601" s="48"/>
    </row>
    <row r="602">
      <c r="A602" s="48"/>
      <c r="B602" s="48"/>
      <c r="C602" s="48"/>
      <c r="D602" s="48"/>
      <c r="E602" s="48"/>
    </row>
    <row r="603">
      <c r="A603" s="48"/>
      <c r="B603" s="48"/>
      <c r="C603" s="48"/>
      <c r="D603" s="48"/>
      <c r="E603" s="48"/>
    </row>
    <row r="604">
      <c r="A604" s="48"/>
      <c r="B604" s="48"/>
      <c r="C604" s="48"/>
      <c r="D604" s="48"/>
      <c r="E604" s="48"/>
    </row>
    <row r="605">
      <c r="A605" s="48"/>
      <c r="B605" s="48"/>
      <c r="C605" s="48"/>
      <c r="D605" s="48"/>
      <c r="E605" s="48"/>
    </row>
    <row r="606">
      <c r="A606" s="48"/>
      <c r="B606" s="48"/>
      <c r="C606" s="48"/>
      <c r="D606" s="48"/>
      <c r="E606" s="48"/>
    </row>
    <row r="607">
      <c r="A607" s="48"/>
      <c r="B607" s="48"/>
      <c r="C607" s="48"/>
      <c r="D607" s="48"/>
      <c r="E607" s="48"/>
    </row>
    <row r="608">
      <c r="A608" s="48"/>
      <c r="B608" s="48"/>
      <c r="C608" s="48"/>
      <c r="D608" s="48"/>
      <c r="E608" s="48"/>
    </row>
    <row r="609">
      <c r="A609" s="48"/>
      <c r="B609" s="48"/>
      <c r="C609" s="48"/>
      <c r="D609" s="48"/>
      <c r="E609" s="48"/>
    </row>
    <row r="610">
      <c r="A610" s="48"/>
      <c r="B610" s="48"/>
      <c r="C610" s="48"/>
      <c r="D610" s="48"/>
      <c r="E610" s="48"/>
    </row>
    <row r="611">
      <c r="A611" s="48"/>
      <c r="B611" s="48"/>
      <c r="C611" s="48"/>
      <c r="D611" s="48"/>
      <c r="E611" s="48"/>
    </row>
    <row r="612">
      <c r="A612" s="48"/>
      <c r="B612" s="48"/>
      <c r="C612" s="48"/>
      <c r="D612" s="48"/>
      <c r="E612" s="48"/>
    </row>
    <row r="613">
      <c r="A613" s="48"/>
      <c r="B613" s="48"/>
      <c r="C613" s="48"/>
      <c r="D613" s="48"/>
      <c r="E613" s="48"/>
    </row>
    <row r="614">
      <c r="A614" s="48"/>
      <c r="B614" s="48"/>
      <c r="C614" s="48"/>
      <c r="D614" s="48"/>
      <c r="E614" s="48"/>
    </row>
    <row r="615">
      <c r="A615" s="48"/>
      <c r="B615" s="48"/>
      <c r="C615" s="48"/>
      <c r="D615" s="48"/>
      <c r="E615" s="48"/>
    </row>
    <row r="616">
      <c r="A616" s="48"/>
      <c r="B616" s="48"/>
      <c r="C616" s="48"/>
      <c r="D616" s="48"/>
      <c r="E616" s="48"/>
    </row>
    <row r="617">
      <c r="A617" s="48"/>
      <c r="B617" s="48"/>
      <c r="C617" s="48"/>
      <c r="D617" s="48"/>
      <c r="E617" s="48"/>
    </row>
    <row r="618">
      <c r="A618" s="48"/>
      <c r="B618" s="48"/>
      <c r="C618" s="48"/>
      <c r="D618" s="48"/>
      <c r="E618" s="48"/>
    </row>
    <row r="619">
      <c r="A619" s="48"/>
      <c r="B619" s="48"/>
      <c r="C619" s="48"/>
      <c r="D619" s="48"/>
      <c r="E619" s="48"/>
    </row>
    <row r="620">
      <c r="A620" s="48"/>
      <c r="B620" s="48"/>
      <c r="C620" s="48"/>
      <c r="D620" s="48"/>
      <c r="E620" s="48"/>
    </row>
    <row r="621">
      <c r="A621" s="48"/>
      <c r="B621" s="48"/>
      <c r="C621" s="48"/>
      <c r="D621" s="48"/>
      <c r="E621" s="48"/>
    </row>
    <row r="622">
      <c r="A622" s="48"/>
      <c r="B622" s="48"/>
      <c r="C622" s="48"/>
      <c r="D622" s="48"/>
      <c r="E622" s="48"/>
    </row>
    <row r="623">
      <c r="A623" s="48"/>
      <c r="B623" s="48"/>
      <c r="C623" s="48"/>
      <c r="D623" s="48"/>
      <c r="E623" s="48"/>
    </row>
    <row r="624">
      <c r="A624" s="48"/>
      <c r="B624" s="48"/>
      <c r="C624" s="48"/>
      <c r="D624" s="48"/>
      <c r="E624" s="48"/>
    </row>
    <row r="625">
      <c r="A625" s="48"/>
      <c r="B625" s="48"/>
      <c r="C625" s="48"/>
      <c r="D625" s="48"/>
      <c r="E625" s="48"/>
    </row>
    <row r="626">
      <c r="A626" s="48"/>
      <c r="B626" s="48"/>
      <c r="C626" s="48"/>
      <c r="D626" s="48"/>
      <c r="E626" s="48"/>
    </row>
    <row r="627">
      <c r="A627" s="48"/>
      <c r="B627" s="48"/>
      <c r="C627" s="48"/>
      <c r="D627" s="48"/>
      <c r="E627" s="48"/>
    </row>
    <row r="628">
      <c r="A628" s="48"/>
      <c r="B628" s="48"/>
      <c r="C628" s="48"/>
      <c r="D628" s="48"/>
      <c r="E628" s="48"/>
    </row>
    <row r="629">
      <c r="A629" s="48"/>
      <c r="B629" s="48"/>
      <c r="C629" s="48"/>
      <c r="D629" s="48"/>
      <c r="E629" s="48"/>
    </row>
    <row r="630">
      <c r="A630" s="48"/>
      <c r="B630" s="48"/>
      <c r="C630" s="48"/>
      <c r="D630" s="48"/>
      <c r="E630" s="48"/>
    </row>
    <row r="631">
      <c r="A631" s="48"/>
      <c r="B631" s="48"/>
      <c r="C631" s="48"/>
      <c r="D631" s="48"/>
      <c r="E631" s="48"/>
    </row>
    <row r="632">
      <c r="A632" s="48"/>
      <c r="B632" s="48"/>
      <c r="C632" s="48"/>
      <c r="D632" s="48"/>
      <c r="E632" s="48"/>
    </row>
    <row r="633">
      <c r="A633" s="48"/>
      <c r="B633" s="48"/>
      <c r="C633" s="48"/>
      <c r="D633" s="48"/>
      <c r="E633" s="48"/>
    </row>
    <row r="634">
      <c r="A634" s="48"/>
      <c r="B634" s="48"/>
      <c r="C634" s="48"/>
      <c r="D634" s="48"/>
      <c r="E634" s="48"/>
    </row>
    <row r="635">
      <c r="A635" s="48"/>
      <c r="B635" s="48"/>
      <c r="C635" s="48"/>
      <c r="D635" s="48"/>
      <c r="E635" s="48"/>
    </row>
    <row r="636">
      <c r="A636" s="48"/>
      <c r="B636" s="48"/>
      <c r="C636" s="48"/>
      <c r="D636" s="48"/>
      <c r="E636" s="48"/>
    </row>
    <row r="637">
      <c r="A637" s="48"/>
      <c r="B637" s="48"/>
      <c r="C637" s="48"/>
      <c r="D637" s="48"/>
      <c r="E637" s="48"/>
    </row>
    <row r="638">
      <c r="A638" s="48"/>
      <c r="B638" s="48"/>
      <c r="C638" s="48"/>
      <c r="D638" s="48"/>
      <c r="E638" s="48"/>
    </row>
    <row r="639">
      <c r="A639" s="48"/>
      <c r="B639" s="48"/>
      <c r="C639" s="48"/>
      <c r="D639" s="48"/>
      <c r="E639" s="48"/>
    </row>
    <row r="640">
      <c r="A640" s="48"/>
      <c r="B640" s="48"/>
      <c r="C640" s="48"/>
      <c r="D640" s="48"/>
      <c r="E640" s="48"/>
    </row>
    <row r="641">
      <c r="A641" s="48"/>
      <c r="B641" s="48"/>
      <c r="C641" s="48"/>
      <c r="D641" s="48"/>
      <c r="E641" s="48"/>
    </row>
    <row r="642">
      <c r="A642" s="48"/>
      <c r="B642" s="48"/>
      <c r="C642" s="48"/>
      <c r="D642" s="48"/>
      <c r="E642" s="48"/>
    </row>
    <row r="643">
      <c r="A643" s="48"/>
      <c r="B643" s="48"/>
      <c r="C643" s="48"/>
      <c r="D643" s="48"/>
      <c r="E643" s="48"/>
    </row>
    <row r="644">
      <c r="A644" s="48"/>
      <c r="B644" s="48"/>
      <c r="C644" s="48"/>
      <c r="D644" s="48"/>
      <c r="E644" s="48"/>
    </row>
    <row r="645">
      <c r="A645" s="48"/>
      <c r="B645" s="48"/>
      <c r="C645" s="48"/>
      <c r="D645" s="48"/>
      <c r="E645" s="48"/>
    </row>
    <row r="646">
      <c r="A646" s="48"/>
      <c r="B646" s="48"/>
      <c r="C646" s="48"/>
      <c r="D646" s="48"/>
      <c r="E646" s="48"/>
    </row>
    <row r="647">
      <c r="A647" s="48"/>
      <c r="B647" s="48"/>
      <c r="C647" s="48"/>
      <c r="D647" s="48"/>
      <c r="E647" s="48"/>
    </row>
    <row r="648">
      <c r="A648" s="48"/>
      <c r="B648" s="48"/>
      <c r="C648" s="48"/>
      <c r="D648" s="48"/>
      <c r="E648" s="48"/>
    </row>
    <row r="649">
      <c r="A649" s="48"/>
      <c r="B649" s="48"/>
      <c r="C649" s="48"/>
      <c r="D649" s="48"/>
      <c r="E649" s="48"/>
    </row>
    <row r="650">
      <c r="A650" s="48"/>
      <c r="B650" s="48"/>
      <c r="C650" s="48"/>
      <c r="D650" s="48"/>
      <c r="E650" s="48"/>
    </row>
    <row r="651">
      <c r="A651" s="48"/>
      <c r="B651" s="48"/>
      <c r="C651" s="48"/>
      <c r="D651" s="48"/>
      <c r="E651" s="48"/>
    </row>
    <row r="652">
      <c r="A652" s="48"/>
      <c r="B652" s="48"/>
      <c r="C652" s="48"/>
      <c r="D652" s="48"/>
      <c r="E652" s="48"/>
    </row>
    <row r="653">
      <c r="A653" s="48"/>
      <c r="B653" s="48"/>
      <c r="C653" s="48"/>
      <c r="D653" s="48"/>
      <c r="E653" s="48"/>
    </row>
    <row r="654">
      <c r="A654" s="48"/>
      <c r="B654" s="48"/>
      <c r="C654" s="48"/>
      <c r="D654" s="48"/>
      <c r="E654" s="48"/>
    </row>
    <row r="655">
      <c r="A655" s="48"/>
      <c r="B655" s="48"/>
      <c r="C655" s="48"/>
      <c r="D655" s="48"/>
      <c r="E655" s="48"/>
    </row>
    <row r="656">
      <c r="A656" s="48"/>
      <c r="B656" s="48"/>
      <c r="C656" s="48"/>
      <c r="D656" s="48"/>
      <c r="E656" s="48"/>
    </row>
    <row r="657">
      <c r="A657" s="48"/>
      <c r="B657" s="48"/>
      <c r="C657" s="48"/>
      <c r="D657" s="48"/>
      <c r="E657" s="48"/>
    </row>
    <row r="658">
      <c r="A658" s="48"/>
      <c r="B658" s="48"/>
      <c r="C658" s="48"/>
      <c r="D658" s="48"/>
      <c r="E658" s="48"/>
    </row>
    <row r="659">
      <c r="A659" s="48"/>
      <c r="B659" s="48"/>
      <c r="C659" s="48"/>
      <c r="D659" s="48"/>
      <c r="E659" s="48"/>
    </row>
    <row r="660">
      <c r="A660" s="48"/>
      <c r="B660" s="48"/>
      <c r="C660" s="48"/>
      <c r="D660" s="48"/>
      <c r="E660" s="48"/>
    </row>
    <row r="661">
      <c r="A661" s="48"/>
      <c r="B661" s="48"/>
      <c r="C661" s="48"/>
      <c r="D661" s="48"/>
      <c r="E661" s="48"/>
    </row>
    <row r="662">
      <c r="A662" s="48"/>
      <c r="B662" s="48"/>
      <c r="C662" s="48"/>
      <c r="D662" s="48"/>
      <c r="E662" s="48"/>
    </row>
    <row r="663">
      <c r="A663" s="48"/>
      <c r="B663" s="48"/>
      <c r="C663" s="48"/>
      <c r="D663" s="48"/>
      <c r="E663" s="48"/>
    </row>
    <row r="664">
      <c r="A664" s="48"/>
      <c r="B664" s="48"/>
      <c r="C664" s="48"/>
      <c r="D664" s="48"/>
      <c r="E664" s="48"/>
    </row>
    <row r="665">
      <c r="A665" s="48"/>
      <c r="B665" s="48"/>
      <c r="C665" s="48"/>
      <c r="D665" s="48"/>
      <c r="E665" s="48"/>
    </row>
    <row r="666">
      <c r="A666" s="48"/>
      <c r="B666" s="48"/>
      <c r="C666" s="48"/>
      <c r="D666" s="48"/>
      <c r="E666" s="48"/>
    </row>
    <row r="667">
      <c r="A667" s="48"/>
      <c r="B667" s="48"/>
      <c r="C667" s="48"/>
      <c r="D667" s="48"/>
      <c r="E667" s="48"/>
    </row>
    <row r="668">
      <c r="A668" s="48"/>
      <c r="B668" s="48"/>
      <c r="C668" s="48"/>
      <c r="D668" s="48"/>
      <c r="E668" s="48"/>
    </row>
    <row r="669">
      <c r="A669" s="48"/>
      <c r="B669" s="48"/>
      <c r="C669" s="48"/>
      <c r="D669" s="48"/>
      <c r="E669" s="48"/>
    </row>
    <row r="670">
      <c r="A670" s="48"/>
      <c r="B670" s="48"/>
      <c r="C670" s="48"/>
      <c r="D670" s="48"/>
      <c r="E670" s="48"/>
    </row>
    <row r="671">
      <c r="A671" s="48"/>
      <c r="B671" s="48"/>
      <c r="C671" s="48"/>
      <c r="D671" s="48"/>
      <c r="E671" s="48"/>
    </row>
    <row r="672">
      <c r="A672" s="48"/>
      <c r="B672" s="48"/>
      <c r="C672" s="48"/>
      <c r="D672" s="48"/>
      <c r="E672" s="48"/>
    </row>
    <row r="673">
      <c r="A673" s="48"/>
      <c r="B673" s="48"/>
      <c r="C673" s="48"/>
      <c r="D673" s="48"/>
      <c r="E673" s="48"/>
    </row>
    <row r="674">
      <c r="A674" s="48"/>
      <c r="B674" s="48"/>
      <c r="C674" s="48"/>
      <c r="D674" s="48"/>
      <c r="E674" s="48"/>
    </row>
    <row r="675">
      <c r="A675" s="48"/>
      <c r="B675" s="48"/>
      <c r="C675" s="48"/>
      <c r="D675" s="48"/>
      <c r="E675" s="48"/>
    </row>
    <row r="676">
      <c r="A676" s="48"/>
      <c r="B676" s="48"/>
      <c r="C676" s="48"/>
      <c r="D676" s="48"/>
      <c r="E676" s="48"/>
    </row>
    <row r="677">
      <c r="A677" s="48"/>
      <c r="B677" s="48"/>
      <c r="C677" s="48"/>
      <c r="D677" s="48"/>
      <c r="E677" s="48"/>
    </row>
    <row r="678">
      <c r="A678" s="48"/>
      <c r="B678" s="48"/>
      <c r="C678" s="48"/>
      <c r="D678" s="48"/>
      <c r="E678" s="48"/>
    </row>
    <row r="679">
      <c r="A679" s="48"/>
      <c r="B679" s="48"/>
      <c r="C679" s="48"/>
      <c r="D679" s="48"/>
      <c r="E679" s="48"/>
    </row>
    <row r="680">
      <c r="A680" s="48"/>
      <c r="B680" s="48"/>
      <c r="C680" s="48"/>
      <c r="D680" s="48"/>
      <c r="E680" s="48"/>
    </row>
    <row r="681">
      <c r="A681" s="48"/>
      <c r="B681" s="48"/>
      <c r="C681" s="48"/>
      <c r="D681" s="48"/>
      <c r="E681" s="48"/>
    </row>
    <row r="682">
      <c r="A682" s="48"/>
      <c r="B682" s="48"/>
      <c r="C682" s="48"/>
      <c r="D682" s="48"/>
      <c r="E682" s="48"/>
    </row>
    <row r="683">
      <c r="A683" s="48"/>
      <c r="B683" s="48"/>
      <c r="C683" s="48"/>
      <c r="D683" s="48"/>
      <c r="E683" s="48"/>
    </row>
    <row r="684">
      <c r="A684" s="48"/>
      <c r="B684" s="48"/>
      <c r="C684" s="48"/>
      <c r="D684" s="48"/>
      <c r="E684" s="48"/>
    </row>
    <row r="685">
      <c r="A685" s="48"/>
      <c r="B685" s="48"/>
      <c r="C685" s="48"/>
      <c r="D685" s="48"/>
      <c r="E685" s="48"/>
    </row>
    <row r="686">
      <c r="A686" s="48"/>
      <c r="B686" s="48"/>
      <c r="C686" s="48"/>
      <c r="D686" s="48"/>
      <c r="E686" s="48"/>
    </row>
    <row r="687">
      <c r="A687" s="48"/>
      <c r="B687" s="48"/>
      <c r="C687" s="48"/>
      <c r="D687" s="48"/>
      <c r="E687" s="48"/>
    </row>
    <row r="688">
      <c r="A688" s="48"/>
      <c r="B688" s="48"/>
      <c r="C688" s="48"/>
      <c r="D688" s="48"/>
      <c r="E688" s="48"/>
    </row>
    <row r="689">
      <c r="A689" s="48"/>
      <c r="B689" s="48"/>
      <c r="C689" s="48"/>
      <c r="D689" s="48"/>
      <c r="E689" s="48"/>
    </row>
    <row r="690">
      <c r="A690" s="48"/>
      <c r="B690" s="48"/>
      <c r="C690" s="48"/>
      <c r="D690" s="48"/>
      <c r="E690" s="48"/>
    </row>
    <row r="691">
      <c r="A691" s="48"/>
      <c r="B691" s="48"/>
      <c r="C691" s="48"/>
      <c r="D691" s="48"/>
      <c r="E691" s="48"/>
    </row>
    <row r="692">
      <c r="A692" s="48"/>
      <c r="B692" s="48"/>
      <c r="C692" s="48"/>
      <c r="D692" s="48"/>
      <c r="E692" s="48"/>
    </row>
    <row r="693">
      <c r="A693" s="48"/>
      <c r="B693" s="48"/>
      <c r="C693" s="48"/>
      <c r="D693" s="48"/>
      <c r="E693" s="48"/>
    </row>
    <row r="694">
      <c r="A694" s="48"/>
      <c r="B694" s="48"/>
      <c r="C694" s="48"/>
      <c r="D694" s="48"/>
      <c r="E694" s="48"/>
    </row>
    <row r="695">
      <c r="A695" s="48"/>
      <c r="B695" s="48"/>
      <c r="C695" s="48"/>
      <c r="D695" s="48"/>
      <c r="E695" s="48"/>
    </row>
    <row r="696">
      <c r="A696" s="48"/>
      <c r="B696" s="48"/>
      <c r="C696" s="48"/>
      <c r="D696" s="48"/>
      <c r="E696" s="48"/>
    </row>
    <row r="697">
      <c r="A697" s="48"/>
      <c r="B697" s="48"/>
      <c r="C697" s="48"/>
      <c r="D697" s="48"/>
      <c r="E697" s="48"/>
    </row>
    <row r="698">
      <c r="A698" s="48"/>
      <c r="B698" s="48"/>
      <c r="C698" s="48"/>
      <c r="D698" s="48"/>
      <c r="E698" s="48"/>
    </row>
    <row r="699">
      <c r="A699" s="48"/>
      <c r="B699" s="48"/>
      <c r="C699" s="48"/>
      <c r="D699" s="48"/>
      <c r="E699" s="48"/>
    </row>
    <row r="700">
      <c r="A700" s="48"/>
      <c r="B700" s="48"/>
      <c r="C700" s="48"/>
      <c r="D700" s="48"/>
      <c r="E700" s="48"/>
    </row>
    <row r="701">
      <c r="A701" s="48"/>
      <c r="B701" s="48"/>
      <c r="C701" s="48"/>
      <c r="D701" s="48"/>
      <c r="E701" s="48"/>
    </row>
    <row r="702">
      <c r="A702" s="48"/>
      <c r="B702" s="48"/>
      <c r="C702" s="48"/>
      <c r="D702" s="48"/>
      <c r="E702" s="48"/>
    </row>
    <row r="703">
      <c r="A703" s="48"/>
      <c r="B703" s="48"/>
      <c r="C703" s="48"/>
      <c r="D703" s="48"/>
      <c r="E703" s="48"/>
    </row>
    <row r="704">
      <c r="A704" s="48"/>
      <c r="B704" s="48"/>
      <c r="C704" s="48"/>
      <c r="D704" s="48"/>
      <c r="E704" s="48"/>
    </row>
    <row r="705">
      <c r="A705" s="48"/>
      <c r="B705" s="48"/>
      <c r="C705" s="48"/>
      <c r="D705" s="48"/>
      <c r="E705" s="48"/>
    </row>
    <row r="706">
      <c r="A706" s="48"/>
      <c r="B706" s="48"/>
      <c r="C706" s="48"/>
      <c r="D706" s="48"/>
      <c r="E706" s="48"/>
    </row>
    <row r="707">
      <c r="A707" s="48"/>
      <c r="B707" s="48"/>
      <c r="C707" s="48"/>
      <c r="D707" s="48"/>
      <c r="E707" s="48"/>
    </row>
    <row r="708">
      <c r="A708" s="48"/>
      <c r="B708" s="48"/>
      <c r="C708" s="48"/>
      <c r="D708" s="48"/>
      <c r="E708" s="48"/>
    </row>
    <row r="709">
      <c r="A709" s="48"/>
      <c r="B709" s="48"/>
      <c r="C709" s="48"/>
      <c r="D709" s="48"/>
      <c r="E709" s="48"/>
    </row>
    <row r="710">
      <c r="A710" s="48"/>
      <c r="B710" s="48"/>
      <c r="C710" s="48"/>
      <c r="D710" s="48"/>
      <c r="E710" s="48"/>
    </row>
    <row r="711">
      <c r="A711" s="48"/>
      <c r="B711" s="48"/>
      <c r="C711" s="48"/>
      <c r="D711" s="48"/>
      <c r="E711" s="48"/>
    </row>
    <row r="712">
      <c r="A712" s="48"/>
      <c r="B712" s="48"/>
      <c r="C712" s="48"/>
      <c r="D712" s="48"/>
      <c r="E712" s="48"/>
    </row>
    <row r="713">
      <c r="A713" s="48"/>
      <c r="B713" s="48"/>
      <c r="C713" s="48"/>
      <c r="D713" s="48"/>
      <c r="E713" s="48"/>
    </row>
    <row r="714">
      <c r="A714" s="48"/>
      <c r="B714" s="48"/>
      <c r="C714" s="48"/>
      <c r="D714" s="48"/>
      <c r="E714" s="48"/>
    </row>
    <row r="715">
      <c r="A715" s="48"/>
      <c r="B715" s="48"/>
      <c r="C715" s="48"/>
      <c r="D715" s="48"/>
      <c r="E715" s="48"/>
    </row>
    <row r="716">
      <c r="A716" s="48"/>
      <c r="B716" s="48"/>
      <c r="C716" s="48"/>
      <c r="D716" s="48"/>
      <c r="E716" s="48"/>
    </row>
    <row r="717">
      <c r="A717" s="48"/>
      <c r="B717" s="48"/>
      <c r="C717" s="48"/>
      <c r="D717" s="48"/>
      <c r="E717" s="48"/>
    </row>
    <row r="718">
      <c r="A718" s="48"/>
      <c r="B718" s="48"/>
      <c r="C718" s="48"/>
      <c r="D718" s="48"/>
      <c r="E718" s="48"/>
    </row>
    <row r="719">
      <c r="A719" s="48"/>
      <c r="B719" s="48"/>
      <c r="C719" s="48"/>
      <c r="D719" s="48"/>
      <c r="E719" s="48"/>
    </row>
    <row r="720">
      <c r="A720" s="48"/>
      <c r="B720" s="48"/>
      <c r="C720" s="48"/>
      <c r="D720" s="48"/>
      <c r="E720" s="48"/>
    </row>
    <row r="721">
      <c r="A721" s="48"/>
      <c r="B721" s="48"/>
      <c r="C721" s="48"/>
      <c r="D721" s="48"/>
      <c r="E721" s="48"/>
    </row>
    <row r="722">
      <c r="A722" s="48"/>
      <c r="B722" s="48"/>
      <c r="C722" s="48"/>
      <c r="D722" s="48"/>
      <c r="E722" s="48"/>
    </row>
    <row r="723">
      <c r="A723" s="48"/>
      <c r="B723" s="48"/>
      <c r="C723" s="48"/>
      <c r="D723" s="48"/>
      <c r="E723" s="48"/>
    </row>
    <row r="724">
      <c r="A724" s="48"/>
      <c r="B724" s="48"/>
      <c r="C724" s="48"/>
      <c r="D724" s="48"/>
      <c r="E724" s="48"/>
    </row>
    <row r="725">
      <c r="A725" s="48"/>
      <c r="B725" s="48"/>
      <c r="C725" s="48"/>
      <c r="D725" s="48"/>
      <c r="E725" s="48"/>
    </row>
    <row r="726">
      <c r="A726" s="48"/>
      <c r="B726" s="48"/>
      <c r="C726" s="48"/>
      <c r="D726" s="48"/>
      <c r="E726" s="48"/>
    </row>
    <row r="727">
      <c r="A727" s="48"/>
      <c r="B727" s="48"/>
      <c r="C727" s="48"/>
      <c r="D727" s="48"/>
      <c r="E727" s="48"/>
    </row>
    <row r="728">
      <c r="A728" s="48"/>
      <c r="B728" s="48"/>
      <c r="C728" s="48"/>
      <c r="D728" s="48"/>
      <c r="E728" s="48"/>
    </row>
    <row r="729">
      <c r="A729" s="48"/>
      <c r="B729" s="48"/>
      <c r="C729" s="48"/>
      <c r="D729" s="48"/>
      <c r="E729" s="48"/>
    </row>
    <row r="730">
      <c r="A730" s="48"/>
      <c r="B730" s="48"/>
      <c r="C730" s="48"/>
      <c r="D730" s="48"/>
      <c r="E730" s="48"/>
    </row>
    <row r="731">
      <c r="A731" s="48"/>
      <c r="B731" s="48"/>
      <c r="C731" s="48"/>
      <c r="D731" s="48"/>
      <c r="E731" s="48"/>
    </row>
    <row r="732">
      <c r="A732" s="48"/>
      <c r="B732" s="48"/>
      <c r="C732" s="48"/>
      <c r="D732" s="48"/>
      <c r="E732" s="48"/>
    </row>
    <row r="733">
      <c r="A733" s="48"/>
      <c r="B733" s="48"/>
      <c r="C733" s="48"/>
      <c r="D733" s="48"/>
      <c r="E733" s="48"/>
    </row>
    <row r="734">
      <c r="A734" s="48"/>
      <c r="B734" s="48"/>
      <c r="C734" s="48"/>
      <c r="D734" s="48"/>
      <c r="E734" s="48"/>
    </row>
    <row r="735">
      <c r="A735" s="48"/>
      <c r="B735" s="48"/>
      <c r="C735" s="48"/>
      <c r="D735" s="48"/>
      <c r="E735" s="48"/>
    </row>
    <row r="736">
      <c r="A736" s="48"/>
      <c r="B736" s="48"/>
      <c r="C736" s="48"/>
      <c r="D736" s="48"/>
      <c r="E736" s="48"/>
    </row>
    <row r="737">
      <c r="A737" s="48"/>
      <c r="B737" s="48"/>
      <c r="C737" s="48"/>
      <c r="D737" s="48"/>
      <c r="E737" s="48"/>
    </row>
    <row r="738">
      <c r="A738" s="48"/>
      <c r="B738" s="48"/>
      <c r="C738" s="48"/>
      <c r="D738" s="48"/>
      <c r="E738" s="48"/>
    </row>
    <row r="739">
      <c r="A739" s="48"/>
      <c r="B739" s="48"/>
      <c r="C739" s="48"/>
      <c r="D739" s="48"/>
      <c r="E739" s="48"/>
    </row>
    <row r="740">
      <c r="A740" s="48"/>
      <c r="B740" s="48"/>
      <c r="C740" s="48"/>
      <c r="D740" s="48"/>
      <c r="E740" s="48"/>
    </row>
    <row r="741">
      <c r="A741" s="48"/>
      <c r="B741" s="48"/>
      <c r="C741" s="48"/>
      <c r="D741" s="48"/>
      <c r="E741" s="48"/>
    </row>
    <row r="742">
      <c r="A742" s="48"/>
      <c r="B742" s="48"/>
      <c r="C742" s="48"/>
      <c r="D742" s="48"/>
      <c r="E742" s="48"/>
    </row>
    <row r="743">
      <c r="A743" s="48"/>
      <c r="B743" s="48"/>
      <c r="C743" s="48"/>
      <c r="D743" s="48"/>
      <c r="E743" s="48"/>
    </row>
    <row r="744">
      <c r="A744" s="48"/>
      <c r="B744" s="48"/>
      <c r="C744" s="48"/>
      <c r="D744" s="48"/>
      <c r="E744" s="48"/>
    </row>
    <row r="745">
      <c r="A745" s="48"/>
      <c r="B745" s="48"/>
      <c r="C745" s="48"/>
      <c r="D745" s="48"/>
      <c r="E745" s="48"/>
    </row>
    <row r="746">
      <c r="A746" s="48"/>
      <c r="B746" s="48"/>
      <c r="C746" s="48"/>
      <c r="D746" s="48"/>
      <c r="E746" s="48"/>
    </row>
    <row r="747">
      <c r="A747" s="48"/>
      <c r="B747" s="48"/>
      <c r="C747" s="48"/>
      <c r="D747" s="48"/>
      <c r="E747" s="48"/>
    </row>
    <row r="748">
      <c r="A748" s="48"/>
      <c r="B748" s="48"/>
      <c r="C748" s="48"/>
      <c r="D748" s="48"/>
      <c r="E748" s="48"/>
    </row>
    <row r="749">
      <c r="A749" s="48"/>
      <c r="B749" s="48"/>
      <c r="C749" s="48"/>
      <c r="D749" s="48"/>
      <c r="E749" s="48"/>
    </row>
    <row r="750">
      <c r="A750" s="48"/>
      <c r="B750" s="48"/>
      <c r="C750" s="48"/>
      <c r="D750" s="48"/>
      <c r="E750" s="48"/>
    </row>
    <row r="751">
      <c r="A751" s="48"/>
      <c r="B751" s="48"/>
      <c r="C751" s="48"/>
      <c r="D751" s="48"/>
      <c r="E751" s="48"/>
    </row>
    <row r="752">
      <c r="A752" s="48"/>
      <c r="B752" s="48"/>
      <c r="C752" s="48"/>
      <c r="D752" s="48"/>
      <c r="E752" s="48"/>
    </row>
    <row r="753">
      <c r="A753" s="48"/>
      <c r="B753" s="48"/>
      <c r="C753" s="48"/>
      <c r="D753" s="48"/>
      <c r="E753" s="48"/>
    </row>
    <row r="754">
      <c r="A754" s="48"/>
      <c r="B754" s="48"/>
      <c r="C754" s="48"/>
      <c r="D754" s="48"/>
      <c r="E754" s="48"/>
    </row>
    <row r="755">
      <c r="A755" s="48"/>
      <c r="B755" s="48"/>
      <c r="C755" s="48"/>
      <c r="D755" s="48"/>
      <c r="E755" s="48"/>
    </row>
    <row r="756">
      <c r="A756" s="48"/>
      <c r="B756" s="48"/>
      <c r="C756" s="48"/>
      <c r="D756" s="48"/>
      <c r="E756" s="48"/>
    </row>
    <row r="757">
      <c r="A757" s="48"/>
      <c r="B757" s="48"/>
      <c r="C757" s="48"/>
      <c r="D757" s="48"/>
      <c r="E757" s="48"/>
    </row>
    <row r="758">
      <c r="A758" s="48"/>
      <c r="B758" s="48"/>
      <c r="C758" s="48"/>
      <c r="D758" s="48"/>
      <c r="E758" s="48"/>
    </row>
    <row r="759">
      <c r="A759" s="48"/>
      <c r="B759" s="48"/>
      <c r="C759" s="48"/>
      <c r="D759" s="48"/>
      <c r="E759" s="48"/>
    </row>
    <row r="760">
      <c r="A760" s="48"/>
      <c r="B760" s="48"/>
      <c r="C760" s="48"/>
      <c r="D760" s="48"/>
      <c r="E760" s="48"/>
    </row>
    <row r="761">
      <c r="A761" s="48"/>
      <c r="B761" s="48"/>
      <c r="C761" s="48"/>
      <c r="D761" s="48"/>
      <c r="E761" s="48"/>
    </row>
    <row r="762">
      <c r="A762" s="48"/>
      <c r="B762" s="48"/>
      <c r="C762" s="48"/>
      <c r="D762" s="48"/>
      <c r="E762" s="48"/>
    </row>
    <row r="763">
      <c r="A763" s="48"/>
      <c r="B763" s="48"/>
      <c r="C763" s="48"/>
      <c r="D763" s="48"/>
      <c r="E763" s="48"/>
    </row>
    <row r="764">
      <c r="A764" s="48"/>
      <c r="B764" s="48"/>
      <c r="C764" s="48"/>
      <c r="D764" s="48"/>
      <c r="E764" s="48"/>
    </row>
    <row r="765">
      <c r="A765" s="48"/>
      <c r="B765" s="48"/>
      <c r="C765" s="48"/>
      <c r="D765" s="48"/>
      <c r="E765" s="48"/>
    </row>
    <row r="766">
      <c r="A766" s="48"/>
      <c r="B766" s="48"/>
      <c r="C766" s="48"/>
      <c r="D766" s="48"/>
      <c r="E766" s="48"/>
    </row>
    <row r="767">
      <c r="A767" s="48"/>
      <c r="B767" s="48"/>
      <c r="C767" s="48"/>
      <c r="D767" s="48"/>
      <c r="E767" s="48"/>
    </row>
    <row r="768">
      <c r="A768" s="48"/>
      <c r="B768" s="48"/>
      <c r="C768" s="48"/>
      <c r="D768" s="48"/>
      <c r="E768" s="48"/>
    </row>
    <row r="769">
      <c r="A769" s="48"/>
      <c r="B769" s="48"/>
      <c r="C769" s="48"/>
      <c r="D769" s="48"/>
      <c r="E769" s="48"/>
    </row>
    <row r="770">
      <c r="A770" s="48"/>
      <c r="B770" s="48"/>
      <c r="C770" s="48"/>
      <c r="D770" s="48"/>
      <c r="E770" s="48"/>
    </row>
    <row r="771">
      <c r="A771" s="48"/>
      <c r="B771" s="48"/>
      <c r="C771" s="48"/>
      <c r="D771" s="48"/>
      <c r="E771" s="48"/>
    </row>
    <row r="772">
      <c r="A772" s="48"/>
      <c r="B772" s="48"/>
      <c r="C772" s="48"/>
      <c r="D772" s="48"/>
      <c r="E772" s="48"/>
    </row>
    <row r="773">
      <c r="A773" s="48"/>
      <c r="B773" s="48"/>
      <c r="C773" s="48"/>
      <c r="D773" s="48"/>
      <c r="E773" s="48"/>
    </row>
    <row r="774">
      <c r="A774" s="48"/>
      <c r="B774" s="48"/>
      <c r="C774" s="48"/>
      <c r="D774" s="48"/>
      <c r="E774" s="48"/>
    </row>
    <row r="775">
      <c r="A775" s="48"/>
      <c r="B775" s="48"/>
      <c r="C775" s="48"/>
      <c r="D775" s="48"/>
      <c r="E775" s="48"/>
    </row>
    <row r="776">
      <c r="A776" s="48"/>
      <c r="B776" s="48"/>
      <c r="C776" s="48"/>
      <c r="D776" s="48"/>
      <c r="E776" s="48"/>
    </row>
    <row r="777">
      <c r="A777" s="48"/>
      <c r="B777" s="48"/>
      <c r="C777" s="48"/>
      <c r="D777" s="48"/>
      <c r="E777" s="48"/>
    </row>
    <row r="778">
      <c r="A778" s="48"/>
      <c r="B778" s="48"/>
      <c r="C778" s="48"/>
      <c r="D778" s="48"/>
      <c r="E778" s="48"/>
    </row>
    <row r="779">
      <c r="A779" s="48"/>
      <c r="B779" s="48"/>
      <c r="C779" s="48"/>
      <c r="D779" s="48"/>
      <c r="E779" s="48"/>
    </row>
    <row r="780">
      <c r="A780" s="48"/>
      <c r="B780" s="48"/>
      <c r="C780" s="48"/>
      <c r="D780" s="48"/>
      <c r="E780" s="48"/>
    </row>
    <row r="781">
      <c r="A781" s="48"/>
      <c r="B781" s="48"/>
      <c r="C781" s="48"/>
      <c r="D781" s="48"/>
      <c r="E781" s="48"/>
    </row>
    <row r="782">
      <c r="A782" s="48"/>
      <c r="B782" s="48"/>
      <c r="C782" s="48"/>
      <c r="D782" s="48"/>
      <c r="E782" s="48"/>
    </row>
    <row r="783">
      <c r="A783" s="48"/>
      <c r="B783" s="48"/>
      <c r="C783" s="48"/>
      <c r="D783" s="48"/>
      <c r="E783" s="48"/>
    </row>
    <row r="784">
      <c r="A784" s="48"/>
      <c r="B784" s="48"/>
      <c r="C784" s="48"/>
      <c r="D784" s="48"/>
      <c r="E784" s="48"/>
    </row>
    <row r="785">
      <c r="A785" s="48"/>
      <c r="B785" s="48"/>
      <c r="C785" s="48"/>
      <c r="D785" s="48"/>
      <c r="E785" s="48"/>
    </row>
    <row r="786">
      <c r="A786" s="48"/>
      <c r="B786" s="48"/>
      <c r="C786" s="48"/>
      <c r="D786" s="48"/>
      <c r="E786" s="48"/>
    </row>
    <row r="787">
      <c r="A787" s="48"/>
      <c r="B787" s="48"/>
      <c r="C787" s="48"/>
      <c r="D787" s="48"/>
      <c r="E787" s="48"/>
    </row>
    <row r="788">
      <c r="A788" s="48"/>
      <c r="B788" s="48"/>
      <c r="C788" s="48"/>
      <c r="D788" s="48"/>
      <c r="E788" s="48"/>
    </row>
    <row r="789">
      <c r="A789" s="48"/>
      <c r="B789" s="48"/>
      <c r="C789" s="48"/>
      <c r="D789" s="48"/>
      <c r="E789" s="48"/>
    </row>
    <row r="790">
      <c r="A790" s="48"/>
      <c r="B790" s="48"/>
      <c r="C790" s="48"/>
      <c r="D790" s="48"/>
      <c r="E790" s="48"/>
    </row>
    <row r="791">
      <c r="A791" s="48"/>
      <c r="B791" s="48"/>
      <c r="C791" s="48"/>
      <c r="D791" s="48"/>
      <c r="E791" s="48"/>
    </row>
    <row r="792">
      <c r="A792" s="48"/>
      <c r="B792" s="48"/>
      <c r="C792" s="48"/>
      <c r="D792" s="48"/>
      <c r="E792" s="48"/>
    </row>
    <row r="793">
      <c r="A793" s="48"/>
      <c r="B793" s="48"/>
      <c r="C793" s="48"/>
      <c r="D793" s="48"/>
      <c r="E793" s="48"/>
    </row>
    <row r="794">
      <c r="A794" s="48"/>
      <c r="B794" s="48"/>
      <c r="C794" s="48"/>
      <c r="D794" s="48"/>
      <c r="E794" s="48"/>
    </row>
    <row r="795">
      <c r="A795" s="48"/>
      <c r="B795" s="48"/>
      <c r="C795" s="48"/>
      <c r="D795" s="48"/>
      <c r="E795" s="48"/>
    </row>
    <row r="796">
      <c r="A796" s="48"/>
      <c r="B796" s="48"/>
      <c r="C796" s="48"/>
      <c r="D796" s="48"/>
      <c r="E796" s="48"/>
    </row>
    <row r="797">
      <c r="A797" s="48"/>
      <c r="B797" s="48"/>
      <c r="C797" s="48"/>
      <c r="D797" s="48"/>
      <c r="E797" s="48"/>
    </row>
    <row r="798">
      <c r="A798" s="48"/>
      <c r="B798" s="48"/>
      <c r="C798" s="48"/>
      <c r="D798" s="48"/>
      <c r="E798" s="48"/>
    </row>
    <row r="799">
      <c r="A799" s="48"/>
      <c r="B799" s="48"/>
      <c r="C799" s="48"/>
      <c r="D799" s="48"/>
      <c r="E799" s="48"/>
    </row>
    <row r="800">
      <c r="A800" s="48"/>
      <c r="B800" s="48"/>
      <c r="C800" s="48"/>
      <c r="D800" s="48"/>
      <c r="E800" s="48"/>
    </row>
    <row r="801">
      <c r="A801" s="48"/>
      <c r="B801" s="48"/>
      <c r="C801" s="48"/>
      <c r="D801" s="48"/>
      <c r="E801" s="48"/>
    </row>
    <row r="802">
      <c r="A802" s="48"/>
      <c r="B802" s="48"/>
      <c r="C802" s="48"/>
      <c r="D802" s="48"/>
      <c r="E802" s="48"/>
    </row>
    <row r="803">
      <c r="A803" s="48"/>
      <c r="B803" s="48"/>
      <c r="C803" s="48"/>
      <c r="D803" s="48"/>
      <c r="E803" s="48"/>
    </row>
    <row r="804">
      <c r="A804" s="48"/>
      <c r="B804" s="48"/>
      <c r="C804" s="48"/>
      <c r="D804" s="48"/>
      <c r="E804" s="48"/>
    </row>
    <row r="805">
      <c r="A805" s="48"/>
      <c r="B805" s="48"/>
      <c r="C805" s="48"/>
      <c r="D805" s="48"/>
      <c r="E805" s="48"/>
    </row>
    <row r="806">
      <c r="A806" s="48"/>
      <c r="B806" s="48"/>
      <c r="C806" s="48"/>
      <c r="D806" s="48"/>
      <c r="E806" s="48"/>
    </row>
    <row r="807">
      <c r="A807" s="48"/>
      <c r="B807" s="48"/>
      <c r="C807" s="48"/>
      <c r="D807" s="48"/>
      <c r="E807" s="48"/>
    </row>
    <row r="808">
      <c r="A808" s="48"/>
      <c r="B808" s="48"/>
      <c r="C808" s="48"/>
      <c r="D808" s="48"/>
      <c r="E808" s="48"/>
    </row>
    <row r="809">
      <c r="A809" s="48"/>
      <c r="B809" s="48"/>
      <c r="C809" s="48"/>
      <c r="D809" s="48"/>
      <c r="E809" s="48"/>
    </row>
    <row r="810">
      <c r="A810" s="48"/>
      <c r="B810" s="48"/>
      <c r="C810" s="48"/>
      <c r="D810" s="48"/>
      <c r="E810" s="48"/>
    </row>
    <row r="811">
      <c r="A811" s="48"/>
      <c r="B811" s="48"/>
      <c r="C811" s="48"/>
      <c r="D811" s="48"/>
      <c r="E811" s="48"/>
    </row>
    <row r="812">
      <c r="A812" s="48"/>
      <c r="B812" s="48"/>
      <c r="C812" s="48"/>
      <c r="D812" s="48"/>
      <c r="E812" s="48"/>
    </row>
    <row r="813">
      <c r="A813" s="48"/>
      <c r="B813" s="48"/>
      <c r="C813" s="48"/>
      <c r="D813" s="48"/>
      <c r="E813" s="48"/>
    </row>
    <row r="814">
      <c r="A814" s="48"/>
      <c r="B814" s="48"/>
      <c r="C814" s="48"/>
      <c r="D814" s="48"/>
      <c r="E814" s="48"/>
    </row>
    <row r="815">
      <c r="A815" s="48"/>
      <c r="B815" s="48"/>
      <c r="C815" s="48"/>
      <c r="D815" s="48"/>
      <c r="E815" s="48"/>
    </row>
    <row r="816">
      <c r="A816" s="48"/>
      <c r="B816" s="48"/>
      <c r="C816" s="48"/>
      <c r="D816" s="48"/>
      <c r="E816" s="48"/>
    </row>
    <row r="817">
      <c r="A817" s="48"/>
      <c r="B817" s="48"/>
      <c r="C817" s="48"/>
      <c r="D817" s="48"/>
      <c r="E817" s="48"/>
    </row>
    <row r="818">
      <c r="A818" s="48"/>
      <c r="B818" s="48"/>
      <c r="C818" s="48"/>
      <c r="D818" s="48"/>
      <c r="E818" s="48"/>
    </row>
    <row r="819">
      <c r="A819" s="48"/>
      <c r="B819" s="48"/>
      <c r="C819" s="48"/>
      <c r="D819" s="48"/>
      <c r="E819" s="48"/>
    </row>
    <row r="820">
      <c r="A820" s="48"/>
      <c r="B820" s="48"/>
      <c r="C820" s="48"/>
      <c r="D820" s="48"/>
      <c r="E820" s="48"/>
    </row>
    <row r="821">
      <c r="A821" s="48"/>
      <c r="B821" s="48"/>
      <c r="C821" s="48"/>
      <c r="D821" s="48"/>
      <c r="E821" s="48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8"/>
      <c r="B977" s="48"/>
      <c r="C977" s="48"/>
      <c r="D977" s="48"/>
      <c r="E977" s="48"/>
    </row>
    <row r="978">
      <c r="A978" s="48"/>
      <c r="B978" s="48"/>
      <c r="C978" s="48"/>
      <c r="D978" s="48"/>
      <c r="E978" s="48"/>
    </row>
    <row r="979">
      <c r="A979" s="48"/>
      <c r="B979" s="48"/>
      <c r="C979" s="48"/>
      <c r="D979" s="48"/>
      <c r="E979" s="48"/>
    </row>
    <row r="980">
      <c r="A980" s="48"/>
      <c r="B980" s="48"/>
      <c r="C980" s="48"/>
      <c r="D980" s="48"/>
      <c r="E980" s="48"/>
    </row>
    <row r="981">
      <c r="A981" s="48"/>
      <c r="B981" s="48"/>
      <c r="C981" s="48"/>
      <c r="D981" s="48"/>
      <c r="E981" s="48"/>
    </row>
    <row r="982">
      <c r="A982" s="48"/>
      <c r="B982" s="48"/>
      <c r="C982" s="48"/>
      <c r="D982" s="48"/>
      <c r="E982" s="48"/>
    </row>
    <row r="983">
      <c r="A983" s="48"/>
      <c r="B983" s="48"/>
      <c r="C983" s="48"/>
      <c r="D983" s="48"/>
      <c r="E983" s="48"/>
    </row>
    <row r="984">
      <c r="A984" s="48"/>
      <c r="B984" s="48"/>
      <c r="C984" s="48"/>
      <c r="D984" s="48"/>
      <c r="E984" s="48"/>
    </row>
    <row r="985">
      <c r="A985" s="48"/>
      <c r="B985" s="48"/>
      <c r="C985" s="48"/>
      <c r="D985" s="48"/>
      <c r="E985" s="48"/>
    </row>
    <row r="986">
      <c r="A986" s="48"/>
      <c r="B986" s="48"/>
      <c r="C986" s="48"/>
      <c r="D986" s="48"/>
      <c r="E986" s="48"/>
    </row>
    <row r="987">
      <c r="A987" s="48"/>
      <c r="B987" s="48"/>
      <c r="C987" s="48"/>
      <c r="D987" s="48"/>
      <c r="E987" s="48"/>
    </row>
    <row r="988">
      <c r="A988" s="48"/>
      <c r="B988" s="48"/>
      <c r="C988" s="48"/>
      <c r="D988" s="48"/>
      <c r="E988" s="48"/>
    </row>
    <row r="989">
      <c r="A989" s="48"/>
      <c r="B989" s="48"/>
      <c r="C989" s="48"/>
      <c r="D989" s="48"/>
      <c r="E989" s="48"/>
    </row>
    <row r="990">
      <c r="A990" s="48"/>
      <c r="B990" s="48"/>
      <c r="C990" s="48"/>
      <c r="D990" s="48"/>
      <c r="E990" s="48"/>
    </row>
    <row r="991">
      <c r="A991" s="48"/>
      <c r="B991" s="48"/>
      <c r="C991" s="48"/>
      <c r="D991" s="48"/>
      <c r="E991" s="48"/>
    </row>
    <row r="992">
      <c r="A992" s="48"/>
      <c r="B992" s="48"/>
      <c r="C992" s="48"/>
      <c r="D992" s="48"/>
      <c r="E992" s="48"/>
    </row>
    <row r="993">
      <c r="A993" s="48"/>
      <c r="B993" s="48"/>
      <c r="C993" s="48"/>
      <c r="D993" s="48"/>
      <c r="E993" s="48"/>
    </row>
    <row r="994">
      <c r="A994" s="48"/>
      <c r="B994" s="48"/>
      <c r="C994" s="48"/>
      <c r="D994" s="48"/>
      <c r="E994" s="48"/>
    </row>
    <row r="995">
      <c r="A995" s="48"/>
      <c r="B995" s="48"/>
      <c r="C995" s="48"/>
      <c r="D995" s="48"/>
      <c r="E995" s="48"/>
    </row>
    <row r="996">
      <c r="A996" s="48"/>
      <c r="B996" s="48"/>
      <c r="C996" s="48"/>
      <c r="D996" s="48"/>
      <c r="E996" s="48"/>
    </row>
    <row r="997">
      <c r="A997" s="48"/>
      <c r="B997" s="48"/>
      <c r="C997" s="48"/>
      <c r="D997" s="48"/>
      <c r="E997" s="48"/>
    </row>
    <row r="998">
      <c r="A998" s="48"/>
      <c r="B998" s="48"/>
      <c r="C998" s="48"/>
      <c r="D998" s="48"/>
      <c r="E998" s="48"/>
    </row>
    <row r="999">
      <c r="A999" s="48"/>
      <c r="B999" s="48"/>
      <c r="C999" s="48"/>
      <c r="D999" s="48"/>
      <c r="E999" s="48"/>
    </row>
    <row r="1000">
      <c r="A1000" s="48"/>
      <c r="B1000" s="48"/>
      <c r="C1000" s="48"/>
      <c r="D1000" s="48"/>
      <c r="E1000" s="48"/>
    </row>
  </sheetData>
  <printOptions/>
  <pageMargins bottom="0.75" footer="0.0" header="0.0" left="0.7" right="0.7" top="0.75"/>
  <pageSetup orientation="landscape"/>
  <drawing r:id="rId1"/>
</worksheet>
</file>